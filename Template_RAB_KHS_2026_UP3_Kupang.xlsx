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2FB98117-EAA9-4F59-A488-681EFC33415C}" xr6:coauthVersionLast="47" xr6:coauthVersionMax="47" xr10:uidLastSave="{00000000-0000-0000-0000-000000000000}"/>
  <bookViews>
    <workbookView xWindow="28680" yWindow="-120" windowWidth="51840" windowHeight="21120" tabRatio="889" activeTab="1" xr2:uid="{7D5379C5-406C-498B-BF31-54E7DB50416A}"/>
  </bookViews>
  <sheets>
    <sheet name="REKAP" sheetId="39" r:id="rId1"/>
    <sheet name="RAB Pasang" sheetId="7" r:id="rId2"/>
    <sheet name="RAB Bongkar" sheetId="41" r:id="rId3"/>
    <sheet name="RAB Perbaikan" sheetId="42" r:id="rId4"/>
    <sheet name="D1 Tiang" sheetId="12" r:id="rId5"/>
    <sheet name="D2 SUTM" sheetId="15" r:id="rId6"/>
    <sheet name="D3 SKUTM" sheetId="13" r:id="rId7"/>
    <sheet name="D4 SKTM" sheetId="17" r:id="rId8"/>
    <sheet name="D5 Gardu" sheetId="14" r:id="rId9"/>
    <sheet name="D6 SKUTR" sheetId="16" r:id="rId10"/>
    <sheet name="D7 SKTR" sheetId="26" r:id="rId11"/>
    <sheet name="D8 SRAPP" sheetId="22" r:id="rId12"/>
    <sheet name="D9 Arde" sheetId="21" r:id="rId13"/>
    <sheet name="D 10 Finishing" sheetId="24" r:id="rId14"/>
    <sheet name="Harga Satuan Dasar mat" sheetId="20" r:id="rId15"/>
  </sheets>
  <definedNames>
    <definedName name="\SDDS" hidden="1">#REF!</definedName>
    <definedName name="_\SDDS" hidden="1">#REF!</definedName>
    <definedName name="_____\SDDS" hidden="1">#REF!</definedName>
    <definedName name="___________\SDDS" hidden="1">#REF!</definedName>
    <definedName name="______________\SDDS" hidden="1">#REF!</definedName>
    <definedName name="________________________________________________________________________________________________________ERR1" hidden="1">{#N/A,#N/A,FALSE,"M.42"}</definedName>
    <definedName name="______________________________________________________________________________________________________ERR1" hidden="1">{#N/A,#N/A,FALSE,"M.42"}</definedName>
    <definedName name="____________________________________________________________________________________________________ERR1" hidden="1">{#N/A,#N/A,FALSE,"M.42"}</definedName>
    <definedName name="__________________________________________________________________________________________________ERR1" hidden="1">{#N/A,#N/A,FALSE,"M.42"}</definedName>
    <definedName name="_________________________________________________________________________________________________ERR1" hidden="1">{#N/A,#N/A,FALSE,"M.42"}</definedName>
    <definedName name="________________________________________________________________________________________________ERR1" hidden="1">{#N/A,#N/A,FALSE,"M.42"}</definedName>
    <definedName name="_______________________________________________________________________________________________ERR1" hidden="1">{#N/A,#N/A,FALSE,"M.42"}</definedName>
    <definedName name="______________________________________________________________________________________________ERR1" hidden="1">{#N/A,#N/A,FALSE,"M.42"}</definedName>
    <definedName name="_____________________________________________________________________________________________ERR1" hidden="1">{#N/A,#N/A,FALSE,"M.42"}</definedName>
    <definedName name="____________________________________________________________________________________________ERR1" hidden="1">{#N/A,#N/A,FALSE,"M.42"}</definedName>
    <definedName name="___________________________________________________________________________________________ERR1" hidden="1">{#N/A,#N/A,FALSE,"M.42"}</definedName>
    <definedName name="__________________________________________________________________________________________ERR1" hidden="1">{#N/A,#N/A,FALSE,"M.42"}</definedName>
    <definedName name="________________________________________________________________________________________ERR1" hidden="1">{#N/A,#N/A,FALSE,"M.42"}</definedName>
    <definedName name="______________________________________________________________________________________ERR1" hidden="1">{#N/A,#N/A,FALSE,"M.42"}</definedName>
    <definedName name="____________________________________________________________________________________ERR1" hidden="1">{#N/A,#N/A,FALSE,"M.42"}</definedName>
    <definedName name="__________________________________________________________________________________ERR1" hidden="1">{#N/A,#N/A,FALSE,"M.42"}</definedName>
    <definedName name="________________________________________________________________________________ERR1" hidden="1">{#N/A,#N/A,FALSE,"M.42"}</definedName>
    <definedName name="______________________________________________________________________________ERR1" hidden="1">{#N/A,#N/A,FALSE,"M.42"}</definedName>
    <definedName name="____________________________________________________________________________ERR1" hidden="1">{#N/A,#N/A,FALSE,"M.42"}</definedName>
    <definedName name="__________________________________________________________________________ERR1" hidden="1">{#N/A,#N/A,FALSE,"M.42"}</definedName>
    <definedName name="________________________________________________________________________ERR1" hidden="1">{#N/A,#N/A,FALSE,"M.42"}</definedName>
    <definedName name="______________________________________________________________________ERR1" hidden="1">{#N/A,#N/A,FALSE,"M.42"}</definedName>
    <definedName name="____________________________________________________________________ERR1" hidden="1">{#N/A,#N/A,FALSE,"M.42"}</definedName>
    <definedName name="__________________________________________________________________ERR1" hidden="1">{#N/A,#N/A,FALSE,"M.42"}</definedName>
    <definedName name="________________________________________________________________ERR1" hidden="1">{#N/A,#N/A,FALSE,"M.42"}</definedName>
    <definedName name="______________________________________________________________ERR1" hidden="1">{#N/A,#N/A,FALSE,"M.42"}</definedName>
    <definedName name="____________________________________________________________ERR1" hidden="1">{#N/A,#N/A,FALSE,"M.42"}</definedName>
    <definedName name="__________________________________________________________ERR1" hidden="1">{#N/A,#N/A,FALSE,"M.42"}</definedName>
    <definedName name="________________________________________________________ERR1" hidden="1">{#N/A,#N/A,FALSE,"M.42"}</definedName>
    <definedName name="______________________________________________________ERR1" hidden="1">{#N/A,#N/A,FALSE,"M.42"}</definedName>
    <definedName name="____________________________________________________ERR1" hidden="1">{#N/A,#N/A,FALSE,"M.42"}</definedName>
    <definedName name="__________________________________________________ERR1" hidden="1">{#N/A,#N/A,FALSE,"M.42"}</definedName>
    <definedName name="________________________________________________ERR1" hidden="1">{#N/A,#N/A,FALSE,"M.42"}</definedName>
    <definedName name="______________________________________________ERR1" hidden="1">{#N/A,#N/A,FALSE,"M.42"}</definedName>
    <definedName name="____________________________________________ERR1" hidden="1">{#N/A,#N/A,FALSE,"M.42"}</definedName>
    <definedName name="__________________________________________ERR1" hidden="1">{#N/A,#N/A,FALSE,"M.42"}</definedName>
    <definedName name="________________________________________ERR1" hidden="1">{#N/A,#N/A,FALSE,"M.42"}</definedName>
    <definedName name="______________________________________ERR1" hidden="1">{#N/A,#N/A,FALSE,"M.42"}</definedName>
    <definedName name="____________________________________ERR1" hidden="1">{#N/A,#N/A,FALSE,"M.42"}</definedName>
    <definedName name="__________________________________ERR1" hidden="1">{#N/A,#N/A,FALSE,"M.42"}</definedName>
    <definedName name="_________________________________ERR1" hidden="1">{#N/A,#N/A,FALSE,"M.42"}</definedName>
    <definedName name="________________________________ERR1" hidden="1">{#N/A,#N/A,FALSE,"M.42"}</definedName>
    <definedName name="_______________________________ERR1" hidden="1">{#N/A,#N/A,FALSE,"M.42"}</definedName>
    <definedName name="______________________________ERR1" hidden="1">{#N/A,#N/A,FALSE,"M.42"}</definedName>
    <definedName name="_____________________________ERR1" hidden="1">{#N/A,#N/A,FALSE,"M.42"}</definedName>
    <definedName name="____________________________ERR1" hidden="1">{#N/A,#N/A,FALSE,"M.42"}</definedName>
    <definedName name="___________________________ERR1" hidden="1">{#N/A,#N/A,FALSE,"M.42"}</definedName>
    <definedName name="__________________________ERR1" hidden="1">{#N/A,#N/A,FALSE,"M.42"}</definedName>
    <definedName name="_________________________BBM2" hidden="1">{#N/A,#N/A,FALSE,"M.32"}</definedName>
    <definedName name="_________________________BBM3" hidden="1">{#N/A,#N/A,FALSE,"M.32"}</definedName>
    <definedName name="_________________________ERR1" hidden="1">{#N/A,#N/A,FALSE,"M.42"}</definedName>
    <definedName name="________________________ERR1" hidden="1">{#N/A,#N/A,FALSE,"M.42"}</definedName>
    <definedName name="_______________________BBM2" hidden="1">{#N/A,#N/A,FALSE,"M.32"}</definedName>
    <definedName name="_______________________BBM3" hidden="1">{#N/A,#N/A,FALSE,"M.32"}</definedName>
    <definedName name="_______________________ERR1" hidden="1">{#N/A,#N/A,FALSE,"M.42"}</definedName>
    <definedName name="_______________________kl09" hidden="1">{#N/A,#N/A,FALSE,"M.01"}</definedName>
    <definedName name="______________________BBM2" hidden="1">{#N/A,#N/A,FALSE,"M.32"}</definedName>
    <definedName name="______________________BBM3" hidden="1">{#N/A,#N/A,FALSE,"M.32"}</definedName>
    <definedName name="______________________ERR1" hidden="1">{#N/A,#N/A,FALSE,"M.42"}</definedName>
    <definedName name="______________________kl09" hidden="1">{#N/A,#N/A,FALSE,"M.01"}</definedName>
    <definedName name="_____________________BBM2" hidden="1">{#N/A,#N/A,FALSE,"M.32"}</definedName>
    <definedName name="_____________________BBM3" hidden="1">{#N/A,#N/A,FALSE,"M.32"}</definedName>
    <definedName name="_____________________ERR1" hidden="1">{#N/A,#N/A,FALSE,"M.42"}</definedName>
    <definedName name="_____________________kl09" hidden="1">{#N/A,#N/A,FALSE,"M.01"}</definedName>
    <definedName name="____________________ERR1" hidden="1">{#N/A,#N/A,FALSE,"M.42"}</definedName>
    <definedName name="____________________kl09" hidden="1">{#N/A,#N/A,FALSE,"M.01"}</definedName>
    <definedName name="___________________BBM2" hidden="1">{#N/A,#N/A,FALSE,"M.32"}</definedName>
    <definedName name="___________________BBM3" hidden="1">{#N/A,#N/A,FALSE,"M.32"}</definedName>
    <definedName name="___________________ERR1" hidden="1">{#N/A,#N/A,FALSE,"M.42"}</definedName>
    <definedName name="___________________kl09" hidden="1">{#N/A,#N/A,FALSE,"M.01"}</definedName>
    <definedName name="__________________BBM2" hidden="1">{#N/A,#N/A,FALSE,"M.32"}</definedName>
    <definedName name="__________________BBM3" hidden="1">{#N/A,#N/A,FALSE,"M.32"}</definedName>
    <definedName name="__________________ERR1" hidden="1">{#N/A,#N/A,FALSE,"M.42"}</definedName>
    <definedName name="__________________kl09" hidden="1">{#N/A,#N/A,FALSE,"M.01"}</definedName>
    <definedName name="__________________RIP2" hidden="1">{#N/A,#N/A,FALSE,"M.01"}</definedName>
    <definedName name="__________________RIP3" hidden="1">{#N/A,#N/A,FALSE,"M.41"}</definedName>
    <definedName name="__________________TH1" hidden="1">{#N/A,#N/A,FALSE,"M.34"}</definedName>
    <definedName name="__________________th2" hidden="1">{#N/A,#N/A,FALSE,"M.42"}</definedName>
    <definedName name="__________________wil1" hidden="1">{#N/A,#N/A,FALSE,"M.01"}</definedName>
    <definedName name="_________________BBM2" hidden="1">{#N/A,#N/A,FALSE,"M.32"}</definedName>
    <definedName name="_________________BBM3" hidden="1">{#N/A,#N/A,FALSE,"M.32"}</definedName>
    <definedName name="_________________ERR1" hidden="1">{#N/A,#N/A,FALSE,"M.42"}</definedName>
    <definedName name="_________________kl09" hidden="1">{#N/A,#N/A,FALSE,"M.01"}</definedName>
    <definedName name="_________________RIP2" hidden="1">{#N/A,#N/A,FALSE,"M.01"}</definedName>
    <definedName name="_________________RIP3" hidden="1">{#N/A,#N/A,FALSE,"M.41"}</definedName>
    <definedName name="_________________TH1" hidden="1">{#N/A,#N/A,FALSE,"M.34"}</definedName>
    <definedName name="_________________th2" hidden="1">{#N/A,#N/A,FALSE,"M.42"}</definedName>
    <definedName name="________________BBM2" hidden="1">{#N/A,#N/A,FALSE,"M.32"}</definedName>
    <definedName name="________________BBM3" hidden="1">{#N/A,#N/A,FALSE,"M.32"}</definedName>
    <definedName name="________________ERR1" hidden="1">{#N/A,#N/A,FALSE,"M.42"}</definedName>
    <definedName name="________________kl09" hidden="1">{#N/A,#N/A,FALSE,"M.01"}</definedName>
    <definedName name="________________RIP2" hidden="1">{#N/A,#N/A,FALSE,"M.01"}</definedName>
    <definedName name="________________RIP3" hidden="1">{#N/A,#N/A,FALSE,"M.41"}</definedName>
    <definedName name="________________TH1" hidden="1">{#N/A,#N/A,FALSE,"M.34"}</definedName>
    <definedName name="________________th2" hidden="1">{#N/A,#N/A,FALSE,"M.42"}</definedName>
    <definedName name="_______________BBM3" hidden="1">{#N/A,#N/A,FALSE,"M.32"}</definedName>
    <definedName name="_______________ERR1" hidden="1">{#N/A,#N/A,FALSE,"M.42"}</definedName>
    <definedName name="_______________JBN3" hidden="1">{#N/A,#N/A,FALSE,"M.32"}</definedName>
    <definedName name="_______________kl09" hidden="1">{#N/A,#N/A,FALSE,"M.01"}</definedName>
    <definedName name="_______________RIP2" hidden="1">{#N/A,#N/A,FALSE,"M.01"}</definedName>
    <definedName name="_______________RIP3" hidden="1">{#N/A,#N/A,FALSE,"M.41"}</definedName>
    <definedName name="_______________SLA2009" hidden="1">{#N/A,#N/A,FALSE,"M.32"}</definedName>
    <definedName name="_______________TH1" hidden="1">{#N/A,#N/A,FALSE,"M.34"}</definedName>
    <definedName name="_______________th2" hidden="1">{#N/A,#N/A,FALSE,"M.42"}</definedName>
    <definedName name="_______________wil1" hidden="1">{#N/A,#N/A,FALSE,"M.01"}</definedName>
    <definedName name="______________BBM3" hidden="1">{#N/A,#N/A,FALSE,"M.32"}</definedName>
    <definedName name="______________ERR1" hidden="1">{#N/A,#N/A,FALSE,"M.42"}</definedName>
    <definedName name="______________JBN3" hidden="1">{#N/A,#N/A,FALSE,"M.32"}</definedName>
    <definedName name="______________kl09" hidden="1">{#N/A,#N/A,FALSE,"M.01"}</definedName>
    <definedName name="______________RIP2" hidden="1">{#N/A,#N/A,FALSE,"M.01"}</definedName>
    <definedName name="______________RIP3" hidden="1">{#N/A,#N/A,FALSE,"M.41"}</definedName>
    <definedName name="______________SLA2009" hidden="1">{#N/A,#N/A,FALSE,"M.32"}</definedName>
    <definedName name="______________TH1" hidden="1">{#N/A,#N/A,FALSE,"M.34"}</definedName>
    <definedName name="______________th2" hidden="1">{#N/A,#N/A,FALSE,"M.42"}</definedName>
    <definedName name="______________wil1" hidden="1">{#N/A,#N/A,FALSE,"M.01"}</definedName>
    <definedName name="_____________BBM3" hidden="1">{#N/A,#N/A,FALSE,"M.32"}</definedName>
    <definedName name="_____________ERR1" hidden="1">{#N/A,#N/A,FALSE,"M.42"}</definedName>
    <definedName name="_____________JBN3" hidden="1">{#N/A,#N/A,FALSE,"M.32"}</definedName>
    <definedName name="_____________kl09" hidden="1">{#N/A,#N/A,FALSE,"M.01"}</definedName>
    <definedName name="_____________RIP2" hidden="1">{#N/A,#N/A,FALSE,"M.01"}</definedName>
    <definedName name="_____________RIP3" hidden="1">{#N/A,#N/A,FALSE,"M.41"}</definedName>
    <definedName name="_____________SLA2009" hidden="1">{#N/A,#N/A,FALSE,"M.32"}</definedName>
    <definedName name="_____________TH1" hidden="1">{#N/A,#N/A,FALSE,"M.34"}</definedName>
    <definedName name="_____________th2" hidden="1">{#N/A,#N/A,FALSE,"M.42"}</definedName>
    <definedName name="_____________wil1" hidden="1">{#N/A,#N/A,FALSE,"M.01"}</definedName>
    <definedName name="____________aya108" hidden="1">#REF!</definedName>
    <definedName name="____________BBM3" hidden="1">{#N/A,#N/A,FALSE,"M.32"}</definedName>
    <definedName name="____________ERR1" hidden="1">{#N/A,#N/A,FALSE,"M.42"}</definedName>
    <definedName name="____________JBN3" hidden="1">{#N/A,#N/A,FALSE,"M.32"}</definedName>
    <definedName name="____________kl09" hidden="1">{#N/A,#N/A,FALSE,"M.01"}</definedName>
    <definedName name="____________RIP2" hidden="1">{#N/A,#N/A,FALSE,"M.01"}</definedName>
    <definedName name="____________RIP3" hidden="1">{#N/A,#N/A,FALSE,"M.41"}</definedName>
    <definedName name="____________SLA2009" hidden="1">{#N/A,#N/A,FALSE,"M.32"}</definedName>
    <definedName name="____________TH1" hidden="1">{#N/A,#N/A,FALSE,"M.34"}</definedName>
    <definedName name="____________th2" hidden="1">{#N/A,#N/A,FALSE,"M.42"}</definedName>
    <definedName name="____________wil1" hidden="1">{#N/A,#N/A,FALSE,"M.01"}</definedName>
    <definedName name="___________aya108" hidden="1">#REF!</definedName>
    <definedName name="___________BBM3" hidden="1">{#N/A,#N/A,FALSE,"M.32"}</definedName>
    <definedName name="___________ERR1" hidden="1">{#N/A,#N/A,FALSE,"M.42"}</definedName>
    <definedName name="___________JBN3" hidden="1">{#N/A,#N/A,FALSE,"M.32"}</definedName>
    <definedName name="___________kl09" hidden="1">{#N/A,#N/A,FALSE,"M.01"}</definedName>
    <definedName name="___________RIP2" hidden="1">{#N/A,#N/A,FALSE,"M.01"}</definedName>
    <definedName name="___________RIP3" hidden="1">{#N/A,#N/A,FALSE,"M.41"}</definedName>
    <definedName name="___________SLA2009" hidden="1">{#N/A,#N/A,FALSE,"M.32"}</definedName>
    <definedName name="___________TH1" hidden="1">{#N/A,#N/A,FALSE,"M.34"}</definedName>
    <definedName name="___________th2" hidden="1">{#N/A,#N/A,FALSE,"M.42"}</definedName>
    <definedName name="___________wil1" hidden="1">{#N/A,#N/A,FALSE,"M.01"}</definedName>
    <definedName name="__________aya108" hidden="1">#REF!</definedName>
    <definedName name="__________BBM3" hidden="1">{#N/A,#N/A,FALSE,"M.32"}</definedName>
    <definedName name="__________ERR1" hidden="1">{#N/A,#N/A,FALSE,"M.42"}</definedName>
    <definedName name="__________JBN3" hidden="1">{#N/A,#N/A,FALSE,"M.32"}</definedName>
    <definedName name="_____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_____kin3" hidden="1">{#N/A,#N/A,FALSE,"M.31"}</definedName>
    <definedName name="__________kit2" hidden="1">{#N/A,#N/A,FALSE,"M.43"}</definedName>
    <definedName name="__________kl09" hidden="1">{#N/A,#N/A,FALSE,"M.01"}</definedName>
    <definedName name="__________RIP2" hidden="1">{#N/A,#N/A,FALSE,"M.01"}</definedName>
    <definedName name="__________RIP3" hidden="1">{#N/A,#N/A,FALSE,"M.41"}</definedName>
    <definedName name="__________SLA2009" hidden="1">{#N/A,#N/A,FALSE,"M.32"}</definedName>
    <definedName name="__________TH1" hidden="1">{#N/A,#N/A,FALSE,"M.34"}</definedName>
    <definedName name="__________th2" hidden="1">{#N/A,#N/A,FALSE,"M.42"}</definedName>
    <definedName name="__________wil1" hidden="1">{#N/A,#N/A,FALSE,"M.01"}</definedName>
    <definedName name="_________aya108" hidden="1">#REF!</definedName>
    <definedName name="_________BBM3" hidden="1">{#N/A,#N/A,FALSE,"M.32"}</definedName>
    <definedName name="_________cwp2" hidden="1">{#N/A,#N/A,FALSE,"M.01";#N/A,#N/A,FALSE,"M.01"}</definedName>
    <definedName name="_________cwp4" hidden="1">{#N/A,#N/A,FALSE,"M.31"}</definedName>
    <definedName name="_________ERR1" hidden="1">{#N/A,#N/A,FALSE,"M.42"}</definedName>
    <definedName name="_________JBN3" hidden="1">{#N/A,#N/A,FALSE,"M.32"}</definedName>
    <definedName name="____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____kin3" hidden="1">{#N/A,#N/A,FALSE,"M.31"}</definedName>
    <definedName name="_________kit2" hidden="1">{#N/A,#N/A,FALSE,"M.43"}</definedName>
    <definedName name="_________kl09" hidden="1">{#N/A,#N/A,FALSE,"M.01"}</definedName>
    <definedName name="_________M2" hidden="1">{#N/A,#N/A,FALSE,"M.42"}</definedName>
    <definedName name="_________RIP2" hidden="1">{#N/A,#N/A,FALSE,"M.01"}</definedName>
    <definedName name="_________RIP3" hidden="1">{#N/A,#N/A,FALSE,"M.41"}</definedName>
    <definedName name="_________SLA2009" hidden="1">{#N/A,#N/A,FALSE,"M.32"}</definedName>
    <definedName name="_________TH1" hidden="1">{#N/A,#N/A,FALSE,"M.34"}</definedName>
    <definedName name="_________th2" hidden="1">{#N/A,#N/A,FALSE,"M.42"}</definedName>
    <definedName name="_________wil1" hidden="1">{#N/A,#N/A,FALSE,"M.01"}</definedName>
    <definedName name="________aya108" hidden="1">#REF!</definedName>
    <definedName name="________BBM3" hidden="1">{#N/A,#N/A,FALSE,"M.32"}</definedName>
    <definedName name="________ERR1" hidden="1">{#N/A,#N/A,FALSE,"M.42"}</definedName>
    <definedName name="________JBN3" hidden="1">{#N/A,#N/A,FALSE,"M.32"}</definedName>
    <definedName name="___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___kin3" hidden="1">{#N/A,#N/A,FALSE,"M.31"}</definedName>
    <definedName name="________kit2" hidden="1">{#N/A,#N/A,FALSE,"M.43"}</definedName>
    <definedName name="________kl09" hidden="1">{#N/A,#N/A,FALSE,"M.01"}</definedName>
    <definedName name="________RIP2" hidden="1">{#N/A,#N/A,FALSE,"M.01"}</definedName>
    <definedName name="________RIP3" hidden="1">{#N/A,#N/A,FALSE,"M.41"}</definedName>
    <definedName name="________SLA2009" hidden="1">{#N/A,#N/A,FALSE,"M.32"}</definedName>
    <definedName name="________TH1" hidden="1">{#N/A,#N/A,FALSE,"M.34"}</definedName>
    <definedName name="________th2" hidden="1">{#N/A,#N/A,FALSE,"M.42"}</definedName>
    <definedName name="________wil1" hidden="1">{#N/A,#N/A,FALSE,"M.01"}</definedName>
    <definedName name="_______aya108" hidden="1">#REF!</definedName>
    <definedName name="_______BBM3" hidden="1">{#N/A,#N/A,FALSE,"M.32"}</definedName>
    <definedName name="_______cwp2" hidden="1">{#N/A,#N/A,FALSE,"M.01";#N/A,#N/A,FALSE,"M.01"}</definedName>
    <definedName name="_______cwp4" hidden="1">{#N/A,#N/A,FALSE,"M.31"}</definedName>
    <definedName name="_______ERR1" hidden="1">{#N/A,#N/A,FALSE,"M.42"}</definedName>
    <definedName name="_______JBN3" hidden="1">{#N/A,#N/A,FALSE,"M.32"}</definedName>
    <definedName name="__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__kin3" hidden="1">{#N/A,#N/A,FALSE,"M.31"}</definedName>
    <definedName name="_______kit2" hidden="1">{#N/A,#N/A,FALSE,"M.43"}</definedName>
    <definedName name="_______kl09" hidden="1">{#N/A,#N/A,FALSE,"M.01"}</definedName>
    <definedName name="_______RIP2" hidden="1">{#N/A,#N/A,FALSE,"M.01"}</definedName>
    <definedName name="_______RIP3" hidden="1">{#N/A,#N/A,FALSE,"M.41"}</definedName>
    <definedName name="_______SLA2009" hidden="1">{#N/A,#N/A,FALSE,"M.32"}</definedName>
    <definedName name="_______TH1" hidden="1">{#N/A,#N/A,FALSE,"M.34"}</definedName>
    <definedName name="_______th2" hidden="1">{#N/A,#N/A,FALSE,"M.42"}</definedName>
    <definedName name="_______wil1" hidden="1">{#N/A,#N/A,FALSE,"M.01"}</definedName>
    <definedName name="______aya108" hidden="1">#REF!</definedName>
    <definedName name="______BBM3" hidden="1">{#N/A,#N/A,FALSE,"M.32"}</definedName>
    <definedName name="______ERR1" hidden="1">{#N/A,#N/A,FALSE,"M.42"}</definedName>
    <definedName name="______JBN3" hidden="1">{#N/A,#N/A,FALSE,"M.32"}</definedName>
    <definedName name="_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_kin3" hidden="1">{#N/A,#N/A,FALSE,"M.31"}</definedName>
    <definedName name="______kit2" hidden="1">{#N/A,#N/A,FALSE,"M.43"}</definedName>
    <definedName name="______kl09" hidden="1">{#N/A,#N/A,FALSE,"M.01"}</definedName>
    <definedName name="______M2" hidden="1">{#N/A,#N/A,FALSE,"M.42"}</definedName>
    <definedName name="______mp3" hidden="1">{#N/A,#N/A,FALSE,"M.42"}</definedName>
    <definedName name="______RIP2" hidden="1">{#N/A,#N/A,FALSE,"M.01"}</definedName>
    <definedName name="______RIP3" hidden="1">{#N/A,#N/A,FALSE,"M.41"}</definedName>
    <definedName name="______SLA2009" hidden="1">{#N/A,#N/A,FALSE,"M.32"}</definedName>
    <definedName name="______TH1" hidden="1">{#N/A,#N/A,FALSE,"M.34"}</definedName>
    <definedName name="______th2" hidden="1">{#N/A,#N/A,FALSE,"M.42"}</definedName>
    <definedName name="______wil1" hidden="1">{#N/A,#N/A,FALSE,"M.01"}</definedName>
    <definedName name="_____1__123Graph_ACHART_1" hidden="1">#REF!</definedName>
    <definedName name="_____10__123Graph_ACHART_18" hidden="1">#REF!</definedName>
    <definedName name="_____100__123Graph_FCHART_9" hidden="1">#REF!</definedName>
    <definedName name="_____101__123Graph_LBL_ACHART_16" hidden="1">#REF!</definedName>
    <definedName name="_____102__123Graph_LBL_ACHART_47" hidden="1">#REF!</definedName>
    <definedName name="_____103__123Graph_LBL_ACHART_48" hidden="1">#REF!</definedName>
    <definedName name="_____104__123Graph_LBL_ACHART_49" hidden="1">#REF!</definedName>
    <definedName name="_____105__123Graph_LBL_BCHART_16" hidden="1">#REF!</definedName>
    <definedName name="_____106__123Graph_LBL_BCHART_49" hidden="1">#REF!</definedName>
    <definedName name="_____107__123Graph_LBL_CCHART_16" hidden="1">#REF!</definedName>
    <definedName name="_____108__123Graph_LBL_DCHART_16" hidden="1">#REF!</definedName>
    <definedName name="_____109__123Graph_LBL_DCHART_9" hidden="1">#REF!</definedName>
    <definedName name="_____11__123Graph_ACHART_19" hidden="1">#REF!</definedName>
    <definedName name="_____110__123Graph_LBL_ECHART_16" hidden="1">#REF!</definedName>
    <definedName name="_____111__123Graph_LBL_FCHART_9" hidden="1">#REF!</definedName>
    <definedName name="_____112__123Graph_XCHART_13" hidden="1">#REF!</definedName>
    <definedName name="_____113__123Graph_XCHART_16" hidden="1">#REF!</definedName>
    <definedName name="_____114__123Graph_XCHART_18" hidden="1">#REF!</definedName>
    <definedName name="_____115__123Graph_XCHART_20" hidden="1">#REF!</definedName>
    <definedName name="_____116__123Graph_XCHART_24" hidden="1">#REF!</definedName>
    <definedName name="_____117__123Graph_XCHART_26" hidden="1">#REF!</definedName>
    <definedName name="_____118__123Graph_XCHART_3" hidden="1">#REF!</definedName>
    <definedName name="_____119__123Graph_XCHART_34" hidden="1">#REF!</definedName>
    <definedName name="_____12__123Graph_ACHART_2" hidden="1">#REF!</definedName>
    <definedName name="_____120__123Graph_XCHART_37" hidden="1">#REF!</definedName>
    <definedName name="_____121__123Graph_XCHART_4" hidden="1">#REF!</definedName>
    <definedName name="_____122__123Graph_XCHART_43" hidden="1">#REF!</definedName>
    <definedName name="_____123__123Graph_XCHART_45" hidden="1">#REF!</definedName>
    <definedName name="_____124__123Graph_XCHART_48" hidden="1">#REF!</definedName>
    <definedName name="_____125__123Graph_XCHART_5" hidden="1">#REF!</definedName>
    <definedName name="_____126__123Graph_XCHART_6" hidden="1">#REF!</definedName>
    <definedName name="_____127__123Graph_XCHART_7" hidden="1">#REF!</definedName>
    <definedName name="_____13__123Graph_ACHART_20" hidden="1">#REF!</definedName>
    <definedName name="_____14__123Graph_ACHART_21" hidden="1">#REF!</definedName>
    <definedName name="_____15__123Graph_ACHART_22" hidden="1">#REF!</definedName>
    <definedName name="_____16__123Graph_ACHART_23" hidden="1">#REF!</definedName>
    <definedName name="_____17__123Graph_ACHART_24" hidden="1">#REF!</definedName>
    <definedName name="_____18__123Graph_ACHART_25" hidden="1">#REF!</definedName>
    <definedName name="_____19__123Graph_ACHART_26" hidden="1">#REF!</definedName>
    <definedName name="_____2__123Graph_ACHART_10" hidden="1">#REF!</definedName>
    <definedName name="_____20__123Graph_ACHART_27" hidden="1">#REF!</definedName>
    <definedName name="_____21__123Graph_ACHART_28" hidden="1">#REF!</definedName>
    <definedName name="_____22__123Graph_ACHART_29" hidden="1">#REF!</definedName>
    <definedName name="_____23__123Graph_ACHART_3" hidden="1">#REF!</definedName>
    <definedName name="_____24__123Graph_ACHART_31" hidden="1">#REF!</definedName>
    <definedName name="_____25__123Graph_ACHART_32" hidden="1">#REF!</definedName>
    <definedName name="_____26__123Graph_ACHART_33" hidden="1">#REF!</definedName>
    <definedName name="_____27__123Graph_ACHART_34" hidden="1">#REF!</definedName>
    <definedName name="_____28__123Graph_ACHART_35" hidden="1">#REF!</definedName>
    <definedName name="_____29__123Graph_ACHART_36" hidden="1">#REF!</definedName>
    <definedName name="_____3__123Graph_ACHART_11" hidden="1">#REF!</definedName>
    <definedName name="_____30__123Graph_ACHART_37" hidden="1">#REF!</definedName>
    <definedName name="_____31__123Graph_ACHART_4" hidden="1">#REF!</definedName>
    <definedName name="_____32__123Graph_ACHART_41" hidden="1">#REF!</definedName>
    <definedName name="_____33__123Graph_ACHART_42" hidden="1">#REF!</definedName>
    <definedName name="_____34__123Graph_ACHART_43" hidden="1">#REF!</definedName>
    <definedName name="_____35__123Graph_ACHART_44" hidden="1">#REF!</definedName>
    <definedName name="_____36__123Graph_ACHART_45" hidden="1">#REF!</definedName>
    <definedName name="_____37__123Graph_ACHART_46" hidden="1">#REF!</definedName>
    <definedName name="_____38__123Graph_ACHART_47" hidden="1">#REF!</definedName>
    <definedName name="_____39__123Graph_ACHART_48" hidden="1">#REF!</definedName>
    <definedName name="_____4__123Graph_ACHART_12" hidden="1">#REF!</definedName>
    <definedName name="_____40__123Graph_ACHART_49" hidden="1">#REF!</definedName>
    <definedName name="_____41__123Graph_ACHART_5" hidden="1">#REF!</definedName>
    <definedName name="_____42__123Graph_ACHART_6" hidden="1">#REF!</definedName>
    <definedName name="_____43__123Graph_ACHART_7" hidden="1">#REF!</definedName>
    <definedName name="_____44__123Graph_ACHART_8" hidden="1">#REF!</definedName>
    <definedName name="_____45__123Graph_ACHART_9" hidden="1">#REF!</definedName>
    <definedName name="_____46__123Graph_BCHART_10" hidden="1">#REF!</definedName>
    <definedName name="_____47__123Graph_BCHART_13" hidden="1">#REF!</definedName>
    <definedName name="_____48__123Graph_BCHART_16" hidden="1">#REF!</definedName>
    <definedName name="_____49__123Graph_BCHART_17" hidden="1">#REF!</definedName>
    <definedName name="_____5__123Graph_ACHART_13" hidden="1">#REF!</definedName>
    <definedName name="_____50__123Graph_BCHART_19" hidden="1">#REF!</definedName>
    <definedName name="_____51__123Graph_BCHART_2" hidden="1">#REF!</definedName>
    <definedName name="_____52__123Graph_BCHART_20" hidden="1">#REF!</definedName>
    <definedName name="_____53__123Graph_BCHART_21" hidden="1">#REF!</definedName>
    <definedName name="_____54__123Graph_BCHART_22" hidden="1">#REF!</definedName>
    <definedName name="_____55__123Graph_BCHART_27" hidden="1">#REF!</definedName>
    <definedName name="_____56__123Graph_BCHART_28" hidden="1">#REF!</definedName>
    <definedName name="_____57__123Graph_BCHART_29" hidden="1">#REF!</definedName>
    <definedName name="_____58__123Graph_BCHART_3" hidden="1">#REF!</definedName>
    <definedName name="_____59__123Graph_BCHART_31" hidden="1">#REF!</definedName>
    <definedName name="_____6__123Graph_ACHART_14" hidden="1">#REF!</definedName>
    <definedName name="_____60__123Graph_BCHART_32" hidden="1">#REF!</definedName>
    <definedName name="_____61__123Graph_BCHART_33" hidden="1">#REF!</definedName>
    <definedName name="_____62__123Graph_BCHART_34" hidden="1">#REF!</definedName>
    <definedName name="_____63__123Graph_BCHART_35" hidden="1">#REF!</definedName>
    <definedName name="_____64__123Graph_BCHART_36" hidden="1">#REF!</definedName>
    <definedName name="_____65__123Graph_BCHART_4" hidden="1">#REF!</definedName>
    <definedName name="_____66__123Graph_BCHART_41" hidden="1">#REF!</definedName>
    <definedName name="_____67__123Graph_BCHART_42" hidden="1">#REF!</definedName>
    <definedName name="_____68__123Graph_BCHART_43" hidden="1">#REF!</definedName>
    <definedName name="_____69__123Graph_BCHART_44" hidden="1">#REF!</definedName>
    <definedName name="_____7__123Graph_ACHART_15" hidden="1">#REF!</definedName>
    <definedName name="_____70__123Graph_BCHART_45" hidden="1">#REF!</definedName>
    <definedName name="_____71__123Graph_BCHART_46" hidden="1">#REF!</definedName>
    <definedName name="_____72__123Graph_BCHART_49" hidden="1">#REF!</definedName>
    <definedName name="_____73__123Graph_BCHART_5" hidden="1">#REF!</definedName>
    <definedName name="_____74__123Graph_BCHART_6" hidden="1">#REF!</definedName>
    <definedName name="_____75__123Graph_BCHART_7" hidden="1">#REF!</definedName>
    <definedName name="_____76__123Graph_BCHART_8" hidden="1">#REF!</definedName>
    <definedName name="_____77__123Graph_BCHART_9" hidden="1">#REF!</definedName>
    <definedName name="_____78__123Graph_CCHART_16" hidden="1">#REF!</definedName>
    <definedName name="_____79__123Graph_CCHART_20" hidden="1">#REF!</definedName>
    <definedName name="_____8__123Graph_ACHART_16" hidden="1">#REF!</definedName>
    <definedName name="_____80__123Graph_CCHART_21" hidden="1">#REF!</definedName>
    <definedName name="_____81__123Graph_CCHART_22" hidden="1">#REF!</definedName>
    <definedName name="_____82__123Graph_CCHART_27" hidden="1">#REF!</definedName>
    <definedName name="_____83__123Graph_CCHART_31" hidden="1">#REF!</definedName>
    <definedName name="_____84__123Graph_CCHART_33" hidden="1">#REF!</definedName>
    <definedName name="_____85__123Graph_CCHART_35" hidden="1">#REF!</definedName>
    <definedName name="_____86__123Graph_CCHART_41" hidden="1">#REF!</definedName>
    <definedName name="_____87__123Graph_CCHART_42" hidden="1">#REF!</definedName>
    <definedName name="_____88__123Graph_CCHART_44" hidden="1">#REF!</definedName>
    <definedName name="_____89__123Graph_CCHART_46" hidden="1">#REF!</definedName>
    <definedName name="_____9__123Graph_ACHART_17" hidden="1">#REF!</definedName>
    <definedName name="_____90__123Graph_CCHART_8" hidden="1">#REF!</definedName>
    <definedName name="_____91__123Graph_CCHART_9" hidden="1">#REF!</definedName>
    <definedName name="_____92__123Graph_DCHART_16" hidden="1">#REF!</definedName>
    <definedName name="_____93__123Graph_DCHART_22" hidden="1">#REF!</definedName>
    <definedName name="_____94__123Graph_DCHART_44" hidden="1">#REF!</definedName>
    <definedName name="_____95__123Graph_DCHART_9" hidden="1">#REF!</definedName>
    <definedName name="_____96__123Graph_ECHART_16" hidden="1">#REF!</definedName>
    <definedName name="_____97__123Graph_ECHART_22" hidden="1">#REF!</definedName>
    <definedName name="_____98__123Graph_ECHART_9" hidden="1">#REF!</definedName>
    <definedName name="_____99__123Graph_FCHART_22" hidden="1">#REF!</definedName>
    <definedName name="_____aya108" hidden="1">#REF!</definedName>
    <definedName name="_____BBM3" hidden="1">{#N/A,#N/A,FALSE,"M.32"}</definedName>
    <definedName name="_____cwp2" hidden="1">{#N/A,#N/A,FALSE,"M.01";#N/A,#N/A,FALSE,"M.01"}</definedName>
    <definedName name="_____cwp4" hidden="1">{#N/A,#N/A,FALSE,"M.31"}</definedName>
    <definedName name="_____ERR1" hidden="1">{#N/A,#N/A,FALSE,"M.42"}</definedName>
    <definedName name="_____JBN3" hidden="1">{#N/A,#N/A,FALSE,"M.32"}</definedName>
    <definedName name="_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_kin3" hidden="1">{#N/A,#N/A,FALSE,"M.31"}</definedName>
    <definedName name="_____kit2" hidden="1">{#N/A,#N/A,FALSE,"M.43"}</definedName>
    <definedName name="_____kl09" hidden="1">{#N/A,#N/A,FALSE,"M.01"}</definedName>
    <definedName name="_____M2" hidden="1">{#N/A,#N/A,FALSE,"M.42"}</definedName>
    <definedName name="_____RIP2" hidden="1">{#N/A,#N/A,FALSE,"M.01"}</definedName>
    <definedName name="_____RIP3" hidden="1">{#N/A,#N/A,FALSE,"M.41"}</definedName>
    <definedName name="_____SLA2009" hidden="1">{#N/A,#N/A,FALSE,"M.32"}</definedName>
    <definedName name="_____t1" hidden="1">{"Offgrid",#N/A,FALSE,"OFFGRID";"Region",#N/A,FALSE,"REGION";"Offgrid -2",#N/A,FALSE,"OFFGRID";"WTP",#N/A,FALSE,"WTP";"WTP -2",#N/A,FALSE,"WTP";"Project",#N/A,FALSE,"PROJECT";"Summary -2",#N/A,FALSE,"SUMMARY"}</definedName>
    <definedName name="_____t2" hidden="1">{"Offgrid",#N/A,FALSE,"OFFGRID";"Region",#N/A,FALSE,"REGION";"Offgrid -2",#N/A,FALSE,"OFFGRID";"WTP",#N/A,FALSE,"WTP";"WTP -2",#N/A,FALSE,"WTP";"Project",#N/A,FALSE,"PROJECT";"Summary -2",#N/A,FALSE,"SUMMARY"}</definedName>
    <definedName name="_____t3" hidden="1">{"Offgrid",#N/A,FALSE,"OFFGRID";"Region",#N/A,FALSE,"REGION";"Offgrid -2",#N/A,FALSE,"OFFGRID";"WTP",#N/A,FALSE,"WTP";"WTP -2",#N/A,FALSE,"WTP";"Project",#N/A,FALSE,"PROJECT";"Summary -2",#N/A,FALSE,"SUMMARY"}</definedName>
    <definedName name="_____TH1" hidden="1">{#N/A,#N/A,FALSE,"M.34"}</definedName>
    <definedName name="_____th2" hidden="1">{#N/A,#N/A,FALSE,"M.42"}</definedName>
    <definedName name="_____wil1" hidden="1">{#N/A,#N/A,FALSE,"M.01"}</definedName>
    <definedName name="____1__123Graph_ACHART_1" hidden="1">#REF!</definedName>
    <definedName name="____10__123Graph_ACHART_18" hidden="1">#REF!</definedName>
    <definedName name="____100__123Graph_FCHART_9" hidden="1">#REF!</definedName>
    <definedName name="____101__123Graph_LBL_ACHART_16" hidden="1">#REF!</definedName>
    <definedName name="____102__123Graph_LBL_ACHART_47" hidden="1">#REF!</definedName>
    <definedName name="____103__123Graph_LBL_ACHART_48" hidden="1">#REF!</definedName>
    <definedName name="____104__123Graph_LBL_ACHART_49" hidden="1">#REF!</definedName>
    <definedName name="____105__123Graph_LBL_BCHART_16" hidden="1">#REF!</definedName>
    <definedName name="____106__123Graph_LBL_BCHART_49" hidden="1">#REF!</definedName>
    <definedName name="____107__123Graph_LBL_CCHART_16" hidden="1">#REF!</definedName>
    <definedName name="____108__123Graph_LBL_DCHART_16" hidden="1">#REF!</definedName>
    <definedName name="____109__123Graph_LBL_DCHART_9" hidden="1">#REF!</definedName>
    <definedName name="____11__123Graph_ACHART_19" hidden="1">#REF!</definedName>
    <definedName name="____110__123Graph_LBL_ECHART_16" hidden="1">#REF!</definedName>
    <definedName name="____111__123Graph_LBL_FCHART_9" hidden="1">#REF!</definedName>
    <definedName name="____112__123Graph_XCHART_13" hidden="1">#REF!</definedName>
    <definedName name="____113__123Graph_XCHART_16" hidden="1">#REF!</definedName>
    <definedName name="____114__123Graph_XCHART_18" hidden="1">#REF!</definedName>
    <definedName name="____115__123Graph_XCHART_20" hidden="1">#REF!</definedName>
    <definedName name="____116__123Graph_XCHART_24" hidden="1">#REF!</definedName>
    <definedName name="____117__123Graph_XCHART_26" hidden="1">#REF!</definedName>
    <definedName name="____118__123Graph_XCHART_3" hidden="1">#REF!</definedName>
    <definedName name="____119__123Graph_XCHART_34" hidden="1">#REF!</definedName>
    <definedName name="____12__123Graph_ACHART_2" hidden="1">#REF!</definedName>
    <definedName name="____120__123Graph_XCHART_37" hidden="1">#REF!</definedName>
    <definedName name="____121__123Graph_XCHART_4" hidden="1">#REF!</definedName>
    <definedName name="____122__123Graph_XCHART_43" hidden="1">#REF!</definedName>
    <definedName name="____123__123Graph_XCHART_45" hidden="1">#REF!</definedName>
    <definedName name="____124__123Graph_XCHART_48" hidden="1">#REF!</definedName>
    <definedName name="____125__123Graph_XCHART_5" hidden="1">#REF!</definedName>
    <definedName name="____126__123Graph_XCHART_6" hidden="1">#REF!</definedName>
    <definedName name="____127__123Graph_XCHART_7" hidden="1">#REF!</definedName>
    <definedName name="____13__123Graph_ACHART_20" hidden="1">#REF!</definedName>
    <definedName name="____14__123Graph_ACHART_21" hidden="1">#REF!</definedName>
    <definedName name="____15__123Graph_ACHART_22" hidden="1">#REF!</definedName>
    <definedName name="____16__123Graph_ACHART_23" hidden="1">#REF!</definedName>
    <definedName name="____17__123Graph_ACHART_24" hidden="1">#REF!</definedName>
    <definedName name="____18__123Graph_ACHART_25" hidden="1">#REF!</definedName>
    <definedName name="____19__123Graph_ACHART_26" hidden="1">#REF!</definedName>
    <definedName name="____2__123Graph_ACHART_10" hidden="1">#REF!</definedName>
    <definedName name="____20__123Graph_ACHART_27" hidden="1">#REF!</definedName>
    <definedName name="____21__123Graph_ACHART_28" hidden="1">#REF!</definedName>
    <definedName name="____22__123Graph_ACHART_29" hidden="1">#REF!</definedName>
    <definedName name="____23__123Graph_ACHART_3" hidden="1">#REF!</definedName>
    <definedName name="____24__123Graph_ACHART_31" hidden="1">#REF!</definedName>
    <definedName name="____25__123Graph_ACHART_32" hidden="1">#REF!</definedName>
    <definedName name="____26__123Graph_ACHART_33" hidden="1">#REF!</definedName>
    <definedName name="____27__123Graph_ACHART_34" hidden="1">#REF!</definedName>
    <definedName name="____28__123Graph_ACHART_35" hidden="1">#REF!</definedName>
    <definedName name="____29__123Graph_ACHART_36" hidden="1">#REF!</definedName>
    <definedName name="____3__123Graph_ACHART_11" hidden="1">#REF!</definedName>
    <definedName name="____30__123Graph_ACHART_37" hidden="1">#REF!</definedName>
    <definedName name="____31__123Graph_ACHART_4" hidden="1">#REF!</definedName>
    <definedName name="____32__123Graph_ACHART_41" hidden="1">#REF!</definedName>
    <definedName name="____33__123Graph_ACHART_42" hidden="1">#REF!</definedName>
    <definedName name="____34__123Graph_ACHART_43" hidden="1">#REF!</definedName>
    <definedName name="____35__123Graph_ACHART_44" hidden="1">#REF!</definedName>
    <definedName name="____36__123Graph_ACHART_45" hidden="1">#REF!</definedName>
    <definedName name="____37__123Graph_ACHART_46" hidden="1">#REF!</definedName>
    <definedName name="____38__123Graph_ACHART_47" hidden="1">#REF!</definedName>
    <definedName name="____39__123Graph_ACHART_48" hidden="1">#REF!</definedName>
    <definedName name="____4__123Graph_ACHART_12" hidden="1">#REF!</definedName>
    <definedName name="____40__123Graph_ACHART_49" hidden="1">#REF!</definedName>
    <definedName name="____41__123Graph_ACHART_5" hidden="1">#REF!</definedName>
    <definedName name="____42__123Graph_ACHART_6" hidden="1">#REF!</definedName>
    <definedName name="____43__123Graph_ACHART_7" hidden="1">#REF!</definedName>
    <definedName name="____44__123Graph_ACHART_8" hidden="1">#REF!</definedName>
    <definedName name="____45__123Graph_ACHART_9" hidden="1">#REF!</definedName>
    <definedName name="____46__123Graph_BCHART_10" hidden="1">#REF!</definedName>
    <definedName name="____47__123Graph_BCHART_13" hidden="1">#REF!</definedName>
    <definedName name="____48__123Graph_BCHART_16" hidden="1">#REF!</definedName>
    <definedName name="____49__123Graph_BCHART_17" hidden="1">#REF!</definedName>
    <definedName name="____5__123Graph_ACHART_13" hidden="1">#REF!</definedName>
    <definedName name="____50__123Graph_BCHART_19" hidden="1">#REF!</definedName>
    <definedName name="____51__123Graph_BCHART_2" hidden="1">#REF!</definedName>
    <definedName name="____52__123Graph_BCHART_20" hidden="1">#REF!</definedName>
    <definedName name="____53__123Graph_BCHART_21" hidden="1">#REF!</definedName>
    <definedName name="____54__123Graph_BCHART_22" hidden="1">#REF!</definedName>
    <definedName name="____55__123Graph_BCHART_27" hidden="1">#REF!</definedName>
    <definedName name="____56__123Graph_BCHART_28" hidden="1">#REF!</definedName>
    <definedName name="____57__123Graph_BCHART_29" hidden="1">#REF!</definedName>
    <definedName name="____58__123Graph_BCHART_3" hidden="1">#REF!</definedName>
    <definedName name="____59__123Graph_BCHART_31" hidden="1">#REF!</definedName>
    <definedName name="____6__123Graph_ACHART_14" hidden="1">#REF!</definedName>
    <definedName name="____60__123Graph_BCHART_32" hidden="1">#REF!</definedName>
    <definedName name="____61__123Graph_BCHART_33" hidden="1">#REF!</definedName>
    <definedName name="____62__123Graph_BCHART_34" hidden="1">#REF!</definedName>
    <definedName name="____63__123Graph_BCHART_35" hidden="1">#REF!</definedName>
    <definedName name="____64__123Graph_BCHART_36" hidden="1">#REF!</definedName>
    <definedName name="____65__123Graph_BCHART_4" hidden="1">#REF!</definedName>
    <definedName name="____66__123Graph_BCHART_41" hidden="1">#REF!</definedName>
    <definedName name="____67__123Graph_BCHART_42" hidden="1">#REF!</definedName>
    <definedName name="____68__123Graph_BCHART_43" hidden="1">#REF!</definedName>
    <definedName name="____69__123Graph_BCHART_44" hidden="1">#REF!</definedName>
    <definedName name="____7__123Graph_ACHART_15" hidden="1">#REF!</definedName>
    <definedName name="____70__123Graph_BCHART_45" hidden="1">#REF!</definedName>
    <definedName name="____71__123Graph_BCHART_46" hidden="1">#REF!</definedName>
    <definedName name="____72__123Graph_BCHART_49" hidden="1">#REF!</definedName>
    <definedName name="____73__123Graph_BCHART_5" hidden="1">#REF!</definedName>
    <definedName name="____74__123Graph_BCHART_6" hidden="1">#REF!</definedName>
    <definedName name="____75__123Graph_BCHART_7" hidden="1">#REF!</definedName>
    <definedName name="____76__123Graph_BCHART_8" hidden="1">#REF!</definedName>
    <definedName name="____77__123Graph_BCHART_9" hidden="1">#REF!</definedName>
    <definedName name="____78__123Graph_CCHART_16" hidden="1">#REF!</definedName>
    <definedName name="____79__123Graph_CCHART_20" hidden="1">#REF!</definedName>
    <definedName name="____8__123Graph_ACHART_16" hidden="1">#REF!</definedName>
    <definedName name="____80__123Graph_CCHART_21" hidden="1">#REF!</definedName>
    <definedName name="____81__123Graph_CCHART_22" hidden="1">#REF!</definedName>
    <definedName name="____82__123Graph_CCHART_27" hidden="1">#REF!</definedName>
    <definedName name="____83__123Graph_CCHART_31" hidden="1">#REF!</definedName>
    <definedName name="____84__123Graph_CCHART_33" hidden="1">#REF!</definedName>
    <definedName name="____85__123Graph_CCHART_35" hidden="1">#REF!</definedName>
    <definedName name="____86__123Graph_CCHART_41" hidden="1">#REF!</definedName>
    <definedName name="____87__123Graph_CCHART_42" hidden="1">#REF!</definedName>
    <definedName name="____88__123Graph_CCHART_44" hidden="1">#REF!</definedName>
    <definedName name="____89__123Graph_CCHART_46" hidden="1">#REF!</definedName>
    <definedName name="____9__123Graph_ACHART_17" hidden="1">#REF!</definedName>
    <definedName name="____90__123Graph_CCHART_8" hidden="1">#REF!</definedName>
    <definedName name="____91__123Graph_CCHART_9" hidden="1">#REF!</definedName>
    <definedName name="____92__123Graph_DCHART_16" hidden="1">#REF!</definedName>
    <definedName name="____93__123Graph_DCHART_22" hidden="1">#REF!</definedName>
    <definedName name="____94__123Graph_DCHART_44" hidden="1">#REF!</definedName>
    <definedName name="____95__123Graph_DCHART_9" hidden="1">#REF!</definedName>
    <definedName name="____96__123Graph_ECHART_16" hidden="1">#REF!</definedName>
    <definedName name="____97__123Graph_ECHART_22" hidden="1">#REF!</definedName>
    <definedName name="____98__123Graph_ECHART_9" hidden="1">#REF!</definedName>
    <definedName name="____99__123Graph_FCHART_22" hidden="1">#REF!</definedName>
    <definedName name="____aya108" hidden="1">#REF!</definedName>
    <definedName name="____BBM3" hidden="1">{#N/A,#N/A,FALSE,"M.32"}</definedName>
    <definedName name="____cvf345" hidden="1">{#N/A,#N/A,FALSE,"M.41"}</definedName>
    <definedName name="____cwp2" hidden="1">{#N/A,#N/A,FALSE,"M.01";#N/A,#N/A,FALSE,"M.01"}</definedName>
    <definedName name="____cwp4" hidden="1">{#N/A,#N/A,FALSE,"M.31"}</definedName>
    <definedName name="____def123" hidden="1">{#N/A,#N/A,FALSE,"M.01";#N/A,#N/A,FALSE,"M.01"}</definedName>
    <definedName name="____ERR1" hidden="1">{#N/A,#N/A,FALSE,"M.42"}</definedName>
    <definedName name="____ERR2" hidden="1">{#N/A,#N/A,FALSE,"M.42"}</definedName>
    <definedName name="____ERR3" hidden="1">{#N/A,#N/A,FALSE,"M.42"}</definedName>
    <definedName name="____ERR4" hidden="1">{#N/A,#N/A,FALSE,"M.42"}</definedName>
    <definedName name="____gfr234" hidden="1">{#N/A,#N/A,FALSE,"M.01";#N/A,#N/A,FALSE,"M.01"}</definedName>
    <definedName name="____ghn987" hidden="1">{#N/A,#N/A,FALSE,"M.32"}</definedName>
    <definedName name="____hgg23" hidden="1">{#N/A,#N/A,FALSE,"M.43"}</definedName>
    <definedName name="____i76" hidden="1">{#N/A,#N/A,FALSE,"M.31"}</definedName>
    <definedName name="____JBN1" hidden="1">{#N/A,#N/A,FALSE,"M.41"}</definedName>
    <definedName name="____JBN3" hidden="1">{#N/A,#N/A,FALSE,"M.32"}</definedName>
    <definedName name="_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_KBN2" hidden="1">{#N/A,#N/A,FALSE,"M.31"}</definedName>
    <definedName name="____kin3" hidden="1">{#N/A,#N/A,FALSE,"M.31"}</definedName>
    <definedName name="____kit2" hidden="1">{#N/A,#N/A,FALSE,"M.43"}</definedName>
    <definedName name="____kjn456" hidden="1">{#N/A,#N/A,FALSE,"M.42"}</definedName>
    <definedName name="____kl09" hidden="1">{#N/A,#N/A,FALSE,"M.01"}</definedName>
    <definedName name="____kl2" hidden="1">{#N/A,#N/A,FALSE,"M.31"}</definedName>
    <definedName name="____kl4" hidden="1">{#N/A,#N/A,FALSE,"M.31"}</definedName>
    <definedName name="____M2" hidden="1">{#N/A,#N/A,FALSE,"M.42"}</definedName>
    <definedName name="____mp3" hidden="1">{#N/A,#N/A,FALSE,"M.42"}</definedName>
    <definedName name="____po456" hidden="1">{#N/A,#N/A,FALSE,"M.31"}</definedName>
    <definedName name="____re12" hidden="1">{#N/A,#N/A,FALSE,"M.01"}</definedName>
    <definedName name="____RIP2" hidden="1">{#N/A,#N/A,FALSE,"M.01"}</definedName>
    <definedName name="____RIP3" hidden="1">{#N/A,#N/A,FALSE,"M.41"}</definedName>
    <definedName name="____scd12" hidden="1">{#N/A,#N/A,FALSE,"M.02"}</definedName>
    <definedName name="____SLA2009" hidden="1">{#N/A,#N/A,FALSE,"M.32"}</definedName>
    <definedName name="____tgr2" hidden="1">{#N/A,#N/A,FALSE,"M.33"}</definedName>
    <definedName name="____TH1" hidden="1">{#N/A,#N/A,FALSE,"M.34"}</definedName>
    <definedName name="____th2" hidden="1">{#N/A,#N/A,FALSE,"M.42"}</definedName>
    <definedName name="____ujy654" hidden="1">{#N/A,#N/A,FALSE,"M.42"}</definedName>
    <definedName name="____uu5" hidden="1">{#N/A,#N/A,FALSE,"M.41"}</definedName>
    <definedName name="____uyh123" hidden="1">{#N/A,#N/A,FALSE,"M.42"}</definedName>
    <definedName name="____we12" hidden="1">{#N/A,#N/A,FALSE,"M.33"}</definedName>
    <definedName name="____wer12" hidden="1">{#N/A,#N/A,FALSE,"M.43"}</definedName>
    <definedName name="____x213" hidden="1">{#N/A,#N/A,FALSE,"M.02"}</definedName>
    <definedName name="____x456" hidden="1">{#N/A,#N/A,FALSE,"M.42"}</definedName>
    <definedName name="____xd234" hidden="1">{#N/A,#N/A,FALSE,"M.02"}</definedName>
    <definedName name="____xlcn.WorksheetConnection_PrioritasEfisiensi.xlsxTable11" hidden="1">#REF!</definedName>
    <definedName name="____xx23" hidden="1">{#N/A,#N/A,FALSE,"M.34"}</definedName>
    <definedName name="___1___123Graph_ACHART_1" hidden="1">#REF!</definedName>
    <definedName name="___1__123Graph_ACHART_1" hidden="1">#REF!</definedName>
    <definedName name="___10___123Graph_ACHART_18" hidden="1">#REF!</definedName>
    <definedName name="___10__123Graph_ACHART_18" hidden="1">#REF!</definedName>
    <definedName name="___100___123Graph_FCHART_9" hidden="1">#REF!</definedName>
    <definedName name="___100__123Graph_FCHART_9" hidden="1">#REF!</definedName>
    <definedName name="___101___123Graph_LBL_ACHART_16" hidden="1">#REF!</definedName>
    <definedName name="___101__123Graph_LBL_ACHART_16" hidden="1">#REF!</definedName>
    <definedName name="___102___123Graph_LBL_ACHART_47" hidden="1">#REF!</definedName>
    <definedName name="___102__123Graph_LBL_ACHART_47" hidden="1">#REF!</definedName>
    <definedName name="___103___123Graph_LBL_ACHART_48" hidden="1">#REF!</definedName>
    <definedName name="___103__123Graph_LBL_ACHART_48" hidden="1">#REF!</definedName>
    <definedName name="___104___123Graph_LBL_ACHART_49" hidden="1">#REF!</definedName>
    <definedName name="___104__123Graph_LBL_ACHART_49" hidden="1">#REF!</definedName>
    <definedName name="___105___123Graph_LBL_BCHART_16" hidden="1">#REF!</definedName>
    <definedName name="___105__123Graph_LBL_BCHART_16" hidden="1">#REF!</definedName>
    <definedName name="___106___123Graph_LBL_BCHART_49" hidden="1">#REF!</definedName>
    <definedName name="___106__123Graph_LBL_BCHART_49" hidden="1">#REF!</definedName>
    <definedName name="___107___123Graph_LBL_CCHART_16" hidden="1">#REF!</definedName>
    <definedName name="___107__123Graph_LBL_CCHART_16" hidden="1">#REF!</definedName>
    <definedName name="___108___123Graph_LBL_DCHART_16" hidden="1">#REF!</definedName>
    <definedName name="___108__123Graph_LBL_DCHART_16" hidden="1">#REF!</definedName>
    <definedName name="___109___123Graph_LBL_DCHART_9" hidden="1">#REF!</definedName>
    <definedName name="___109__123Graph_LBL_DCHART_9" hidden="1">#REF!</definedName>
    <definedName name="___11___123Graph_ACHART_19" hidden="1">#REF!</definedName>
    <definedName name="___11__123Graph_ACHART_19" hidden="1">#REF!</definedName>
    <definedName name="___110___123Graph_LBL_ECHART_16" hidden="1">#REF!</definedName>
    <definedName name="___110__123Graph_LBL_ECHART_16" hidden="1">#REF!</definedName>
    <definedName name="___111___123Graph_LBL_FCHART_9" hidden="1">#REF!</definedName>
    <definedName name="___111__123Graph_LBL_FCHART_9" hidden="1">#REF!</definedName>
    <definedName name="___112___123Graph_XCHART_13" hidden="1">#REF!</definedName>
    <definedName name="___112__123Graph_XCHART_13" hidden="1">#REF!</definedName>
    <definedName name="___113___123Graph_XCHART_16" hidden="1">#REF!</definedName>
    <definedName name="___113__123Graph_XCHART_16" hidden="1">#REF!</definedName>
    <definedName name="___114___123Graph_XCHART_18" hidden="1">#REF!</definedName>
    <definedName name="___114__123Graph_XCHART_18" hidden="1">#REF!</definedName>
    <definedName name="___115___123Graph_XCHART_20" hidden="1">#REF!</definedName>
    <definedName name="___115__123Graph_XCHART_20" hidden="1">#REF!</definedName>
    <definedName name="___116___123Graph_XCHART_24" hidden="1">#REF!</definedName>
    <definedName name="___116__123Graph_XCHART_24" hidden="1">#REF!</definedName>
    <definedName name="___117___123Graph_XCHART_26" hidden="1">#REF!</definedName>
    <definedName name="___117__123Graph_XCHART_26" hidden="1">#REF!</definedName>
    <definedName name="___118___123Graph_XCHART_3" hidden="1">#REF!</definedName>
    <definedName name="___118__123Graph_XCHART_3" hidden="1">#REF!</definedName>
    <definedName name="___119___123Graph_XCHART_34" hidden="1">#REF!</definedName>
    <definedName name="___119__123Graph_XCHART_34" hidden="1">#REF!</definedName>
    <definedName name="___12___123Graph_ACHART_2" hidden="1">#REF!</definedName>
    <definedName name="___12__123Graph_ACHART_2" hidden="1">#REF!</definedName>
    <definedName name="___120___123Graph_XCHART_37" hidden="1">#REF!</definedName>
    <definedName name="___120__123Graph_XCHART_37" hidden="1">#REF!</definedName>
    <definedName name="___121___123Graph_XCHART_4" hidden="1">#REF!</definedName>
    <definedName name="___121__123Graph_XCHART_4" hidden="1">#REF!</definedName>
    <definedName name="___122___123Graph_XCHART_43" hidden="1">#REF!</definedName>
    <definedName name="___122__123Graph_XCHART_43" hidden="1">#REF!</definedName>
    <definedName name="___123___123Graph_XCHART_45" hidden="1">#REF!</definedName>
    <definedName name="___123__123Graph_XCHART_45" hidden="1">#REF!</definedName>
    <definedName name="___124___123Graph_XCHART_48" hidden="1">#REF!</definedName>
    <definedName name="___124__123Graph_XCHART_48" hidden="1">#REF!</definedName>
    <definedName name="___125___123Graph_XCHART_5" hidden="1">#REF!</definedName>
    <definedName name="___125__123Graph_XCHART_5" hidden="1">#REF!</definedName>
    <definedName name="___126___123Graph_XCHART_6" hidden="1">#REF!</definedName>
    <definedName name="___126__123Graph_XCHART_6" hidden="1">#REF!</definedName>
    <definedName name="___127___123Graph_XCHART_7" hidden="1">#REF!</definedName>
    <definedName name="___127__123Graph_XCHART_7" hidden="1">#REF!</definedName>
    <definedName name="___128__123Graph_ACHART_1" hidden="1">#REF!</definedName>
    <definedName name="___129__123Graph_ACHART_10" hidden="1">#REF!</definedName>
    <definedName name="___13___123Graph_ACHART_20" hidden="1">#REF!</definedName>
    <definedName name="___13__123Graph_ACHART_20" hidden="1">#REF!</definedName>
    <definedName name="___130__123Graph_ACHART_11" hidden="1">#REF!</definedName>
    <definedName name="___131__123Graph_ACHART_12" hidden="1">#REF!</definedName>
    <definedName name="___132__123Graph_ACHART_13" hidden="1">#REF!</definedName>
    <definedName name="___133__123Graph_ACHART_14" hidden="1">#REF!</definedName>
    <definedName name="___134__123Graph_ACHART_15" hidden="1">#REF!</definedName>
    <definedName name="___135__123Graph_ACHART_16" hidden="1">#REF!</definedName>
    <definedName name="___136__123Graph_ACHART_17" hidden="1">#REF!</definedName>
    <definedName name="___137__123Graph_ACHART_18" hidden="1">#REF!</definedName>
    <definedName name="___138__123Graph_ACHART_19" hidden="1">#REF!</definedName>
    <definedName name="___139__123Graph_ACHART_2" hidden="1">#REF!</definedName>
    <definedName name="___14___123Graph_ACHART_21" hidden="1">#REF!</definedName>
    <definedName name="___14__123Graph_ACHART_21" hidden="1">#REF!</definedName>
    <definedName name="___140__123Graph_ACHART_20" hidden="1">#REF!</definedName>
    <definedName name="___141__123Graph_ACHART_21" hidden="1">#REF!</definedName>
    <definedName name="___142__123Graph_ACHART_22" hidden="1">#REF!</definedName>
    <definedName name="___143__123Graph_ACHART_23" hidden="1">#REF!</definedName>
    <definedName name="___144__123Graph_ACHART_24" hidden="1">#REF!</definedName>
    <definedName name="___145__123Graph_ACHART_25" hidden="1">#REF!</definedName>
    <definedName name="___146__123Graph_ACHART_26" hidden="1">#REF!</definedName>
    <definedName name="___147__123Graph_ACHART_27" hidden="1">#REF!</definedName>
    <definedName name="___148__123Graph_ACHART_28" hidden="1">#REF!</definedName>
    <definedName name="___149__123Graph_ACHART_29" hidden="1">#REF!</definedName>
    <definedName name="___15___123Graph_ACHART_22" hidden="1">#REF!</definedName>
    <definedName name="___15__123Graph_ACHART_22" hidden="1">#REF!</definedName>
    <definedName name="___150__123Graph_ACHART_3" hidden="1">#REF!</definedName>
    <definedName name="___151__123Graph_ACHART_31" hidden="1">#REF!</definedName>
    <definedName name="___152__123Graph_ACHART_32" hidden="1">#REF!</definedName>
    <definedName name="___153__123Graph_ACHART_33" hidden="1">#REF!</definedName>
    <definedName name="___154__123Graph_ACHART_34" hidden="1">#REF!</definedName>
    <definedName name="___155__123Graph_ACHART_35" hidden="1">#REF!</definedName>
    <definedName name="___156__123Graph_ACHART_36" hidden="1">#REF!</definedName>
    <definedName name="___157__123Graph_ACHART_37" hidden="1">#REF!</definedName>
    <definedName name="___158__123Graph_ACHART_4" hidden="1">#REF!</definedName>
    <definedName name="___159__123Graph_ACHART_41" hidden="1">#REF!</definedName>
    <definedName name="___16___123Graph_ACHART_23" hidden="1">#REF!</definedName>
    <definedName name="___16__123Graph_ACHART_23" hidden="1">#REF!</definedName>
    <definedName name="___160__123Graph_ACHART_42" hidden="1">#REF!</definedName>
    <definedName name="___161__123Graph_ACHART_43" hidden="1">#REF!</definedName>
    <definedName name="___162__123Graph_ACHART_44" hidden="1">#REF!</definedName>
    <definedName name="___163__123Graph_ACHART_45" hidden="1">#REF!</definedName>
    <definedName name="___164__123Graph_ACHART_46" hidden="1">#REF!</definedName>
    <definedName name="___165__123Graph_ACHART_47" hidden="1">#REF!</definedName>
    <definedName name="___166__123Graph_ACHART_48" hidden="1">#REF!</definedName>
    <definedName name="___167__123Graph_ACHART_49" hidden="1">#REF!</definedName>
    <definedName name="___168__123Graph_ACHART_5" hidden="1">#REF!</definedName>
    <definedName name="___169__123Graph_ACHART_6" hidden="1">#REF!</definedName>
    <definedName name="___17___123Graph_ACHART_24" hidden="1">#REF!</definedName>
    <definedName name="___17__123Graph_ACHART_24" hidden="1">#REF!</definedName>
    <definedName name="___170__123Graph_ACHART_7" hidden="1">#REF!</definedName>
    <definedName name="___171__123Graph_ACHART_8" hidden="1">#REF!</definedName>
    <definedName name="___172__123Graph_ACHART_9" hidden="1">#REF!</definedName>
    <definedName name="___173__123Graph_BCHART_10" hidden="1">#REF!</definedName>
    <definedName name="___174__123Graph_BCHART_13" hidden="1">#REF!</definedName>
    <definedName name="___175__123Graph_BCHART_16" hidden="1">#REF!</definedName>
    <definedName name="___176__123Graph_BCHART_17" hidden="1">#REF!</definedName>
    <definedName name="___177__123Graph_BCHART_19" hidden="1">#REF!</definedName>
    <definedName name="___178__123Graph_BCHART_2" hidden="1">#REF!</definedName>
    <definedName name="___179__123Graph_BCHART_20" hidden="1">#REF!</definedName>
    <definedName name="___18___123Graph_ACHART_25" hidden="1">#REF!</definedName>
    <definedName name="___18__123Graph_ACHART_25" hidden="1">#REF!</definedName>
    <definedName name="___180__123Graph_BCHART_21" hidden="1">#REF!</definedName>
    <definedName name="___181__123Graph_BCHART_22" hidden="1">#REF!</definedName>
    <definedName name="___182__123Graph_BCHART_27" hidden="1">#REF!</definedName>
    <definedName name="___183__123Graph_BCHART_28" hidden="1">#REF!</definedName>
    <definedName name="___184__123Graph_BCHART_29" hidden="1">#REF!</definedName>
    <definedName name="___185__123Graph_BCHART_3" hidden="1">#REF!</definedName>
    <definedName name="___186__123Graph_BCHART_31" hidden="1">#REF!</definedName>
    <definedName name="___187__123Graph_BCHART_32" hidden="1">#REF!</definedName>
    <definedName name="___188__123Graph_BCHART_33" hidden="1">#REF!</definedName>
    <definedName name="___189__123Graph_BCHART_34" hidden="1">#REF!</definedName>
    <definedName name="___19___123Graph_ACHART_26" hidden="1">#REF!</definedName>
    <definedName name="___19__123Graph_ACHART_26" hidden="1">#REF!</definedName>
    <definedName name="___190__123Graph_BCHART_35" hidden="1">#REF!</definedName>
    <definedName name="___191__123Graph_BCHART_36" hidden="1">#REF!</definedName>
    <definedName name="___192__123Graph_BCHART_4" hidden="1">#REF!</definedName>
    <definedName name="___193__123Graph_BCHART_41" hidden="1">#REF!</definedName>
    <definedName name="___194__123Graph_BCHART_42" hidden="1">#REF!</definedName>
    <definedName name="___195__123Graph_BCHART_43" hidden="1">#REF!</definedName>
    <definedName name="___196__123Graph_BCHART_44" hidden="1">#REF!</definedName>
    <definedName name="___197__123Graph_BCHART_45" hidden="1">#REF!</definedName>
    <definedName name="___198__123Graph_BCHART_46" hidden="1">#REF!</definedName>
    <definedName name="___199__123Graph_BCHART_49" hidden="1">#REF!</definedName>
    <definedName name="___2___123Graph_ACHART_10" hidden="1">#REF!</definedName>
    <definedName name="___2__123Graph_ACHART_10" hidden="1">#REF!</definedName>
    <definedName name="___20___123Graph_ACHART_27" hidden="1">#REF!</definedName>
    <definedName name="___20__123Graph_ACHART_27" hidden="1">#REF!</definedName>
    <definedName name="___200__123Graph_BCHART_5" hidden="1">#REF!</definedName>
    <definedName name="___201__123Graph_BCHART_6" hidden="1">#REF!</definedName>
    <definedName name="___202__123Graph_BCHART_7" hidden="1">#REF!</definedName>
    <definedName name="___203__123Graph_BCHART_8" hidden="1">#REF!</definedName>
    <definedName name="___204__123Graph_BCHART_9" hidden="1">#REF!</definedName>
    <definedName name="___205__123Graph_CCHART_16" hidden="1">#REF!</definedName>
    <definedName name="___206__123Graph_CCHART_20" hidden="1">#REF!</definedName>
    <definedName name="___207__123Graph_CCHART_21" hidden="1">#REF!</definedName>
    <definedName name="___208__123Graph_CCHART_22" hidden="1">#REF!</definedName>
    <definedName name="___209__123Graph_CCHART_27" hidden="1">#REF!</definedName>
    <definedName name="___21___123Graph_ACHART_28" hidden="1">#REF!</definedName>
    <definedName name="___21__123Graph_ACHART_28" hidden="1">#REF!</definedName>
    <definedName name="___210__123Graph_CCHART_31" hidden="1">#REF!</definedName>
    <definedName name="___211__123Graph_CCHART_33" hidden="1">#REF!</definedName>
    <definedName name="___212__123Graph_CCHART_35" hidden="1">#REF!</definedName>
    <definedName name="___213__123Graph_CCHART_41" hidden="1">#REF!</definedName>
    <definedName name="___214__123Graph_CCHART_42" hidden="1">#REF!</definedName>
    <definedName name="___215__123Graph_CCHART_44" hidden="1">#REF!</definedName>
    <definedName name="___216__123Graph_CCHART_46" hidden="1">#REF!</definedName>
    <definedName name="___217__123Graph_CCHART_8" hidden="1">#REF!</definedName>
    <definedName name="___218__123Graph_CCHART_9" hidden="1">#REF!</definedName>
    <definedName name="___219__123Graph_DCHART_16" hidden="1">#REF!</definedName>
    <definedName name="___22___123Graph_ACHART_29" hidden="1">#REF!</definedName>
    <definedName name="___22__123Graph_ACHART_29" hidden="1">#REF!</definedName>
    <definedName name="___220__123Graph_DCHART_22" hidden="1">#REF!</definedName>
    <definedName name="___221__123Graph_DCHART_44" hidden="1">#REF!</definedName>
    <definedName name="___222__123Graph_DCHART_9" hidden="1">#REF!</definedName>
    <definedName name="___223__123Graph_ECHART_16" hidden="1">#REF!</definedName>
    <definedName name="___224__123Graph_ECHART_22" hidden="1">#REF!</definedName>
    <definedName name="___225__123Graph_ECHART_9" hidden="1">#REF!</definedName>
    <definedName name="___226__123Graph_FCHART_22" hidden="1">#REF!</definedName>
    <definedName name="___227__123Graph_FCHART_9" hidden="1">#REF!</definedName>
    <definedName name="___228__123Graph_LBL_ACHART_16" hidden="1">#REF!</definedName>
    <definedName name="___229__123Graph_LBL_ACHART_47" hidden="1">#REF!</definedName>
    <definedName name="___23___123Graph_ACHART_3" hidden="1">#REF!</definedName>
    <definedName name="___23__123Graph_ACHART_3" hidden="1">#REF!</definedName>
    <definedName name="___230__123Graph_LBL_ACHART_48" hidden="1">#REF!</definedName>
    <definedName name="___231__123Graph_LBL_ACHART_49" hidden="1">#REF!</definedName>
    <definedName name="___232__123Graph_LBL_BCHART_16" hidden="1">#REF!</definedName>
    <definedName name="___233__123Graph_LBL_BCHART_49" hidden="1">#REF!</definedName>
    <definedName name="___234__123Graph_LBL_CCHART_16" hidden="1">#REF!</definedName>
    <definedName name="___235__123Graph_LBL_DCHART_16" hidden="1">#REF!</definedName>
    <definedName name="___236__123Graph_LBL_DCHART_9" hidden="1">#REF!</definedName>
    <definedName name="___237__123Graph_LBL_ECHART_16" hidden="1">#REF!</definedName>
    <definedName name="___238__123Graph_LBL_FCHART_9" hidden="1">#REF!</definedName>
    <definedName name="___239__123Graph_XCHART_13" hidden="1">#REF!</definedName>
    <definedName name="___24___123Graph_ACHART_31" hidden="1">#REF!</definedName>
    <definedName name="___24__123Graph_ACHART_31" hidden="1">#REF!</definedName>
    <definedName name="___240__123Graph_XCHART_16" hidden="1">#REF!</definedName>
    <definedName name="___241__123Graph_XCHART_18" hidden="1">#REF!</definedName>
    <definedName name="___242__123Graph_XCHART_20" hidden="1">#REF!</definedName>
    <definedName name="___243__123Graph_XCHART_24" hidden="1">#REF!</definedName>
    <definedName name="___244__123Graph_XCHART_26" hidden="1">#REF!</definedName>
    <definedName name="___245__123Graph_XCHART_3" hidden="1">#REF!</definedName>
    <definedName name="___246__123Graph_XCHART_34" hidden="1">#REF!</definedName>
    <definedName name="___247__123Graph_XCHART_37" hidden="1">#REF!</definedName>
    <definedName name="___248__123Graph_XCHART_4" hidden="1">#REF!</definedName>
    <definedName name="___249__123Graph_XCHART_43" hidden="1">#REF!</definedName>
    <definedName name="___25___123Graph_ACHART_32" hidden="1">#REF!</definedName>
    <definedName name="___25__123Graph_ACHART_32" hidden="1">#REF!</definedName>
    <definedName name="___250__123Graph_XCHART_45" hidden="1">#REF!</definedName>
    <definedName name="___251__123Graph_XCHART_48" hidden="1">#REF!</definedName>
    <definedName name="___252__123Graph_XCHART_5" hidden="1">#REF!</definedName>
    <definedName name="___253__123Graph_XCHART_6" hidden="1">#REF!</definedName>
    <definedName name="___254__123Graph_XCHART_7" hidden="1">#REF!</definedName>
    <definedName name="___26___123Graph_ACHART_33" hidden="1">#REF!</definedName>
    <definedName name="___26__123Graph_ACHART_33" hidden="1">#REF!</definedName>
    <definedName name="___27___123Graph_ACHART_34" hidden="1">#REF!</definedName>
    <definedName name="___27__123Graph_ACHART_34" hidden="1">#REF!</definedName>
    <definedName name="___28___123Graph_ACHART_35" hidden="1">#REF!</definedName>
    <definedName name="___28__123Graph_ACHART_35" hidden="1">#REF!</definedName>
    <definedName name="___29___123Graph_ACHART_36" hidden="1">#REF!</definedName>
    <definedName name="___29__123Graph_ACHART_36" hidden="1">#REF!</definedName>
    <definedName name="___3___123Graph_ACHART_11" hidden="1">#REF!</definedName>
    <definedName name="___3__123Graph_ACHART_11" hidden="1">#REF!</definedName>
    <definedName name="___30___123Graph_ACHART_37" hidden="1">#REF!</definedName>
    <definedName name="___30__123Graph_ACHART_37" hidden="1">#REF!</definedName>
    <definedName name="___31___123Graph_ACHART_4" hidden="1">#REF!</definedName>
    <definedName name="___31__123Graph_ACHART_4" hidden="1">#REF!</definedName>
    <definedName name="___32___123Graph_ACHART_41" hidden="1">#REF!</definedName>
    <definedName name="___32__123Graph_ACHART_41" hidden="1">#REF!</definedName>
    <definedName name="___33___123Graph_ACHART_42" hidden="1">#REF!</definedName>
    <definedName name="___33__123Graph_ACHART_42" hidden="1">#REF!</definedName>
    <definedName name="___34___123Graph_ACHART_43" hidden="1">#REF!</definedName>
    <definedName name="___34__123Graph_ACHART_43" hidden="1">#REF!</definedName>
    <definedName name="___35___123Graph_ACHART_44" hidden="1">#REF!</definedName>
    <definedName name="___35__123Graph_ACHART_44" hidden="1">#REF!</definedName>
    <definedName name="___36___123Graph_ACHART_45" hidden="1">#REF!</definedName>
    <definedName name="___36__123Graph_ACHART_45" hidden="1">#REF!</definedName>
    <definedName name="___37___123Graph_ACHART_46" hidden="1">#REF!</definedName>
    <definedName name="___37__123Graph_ACHART_46" hidden="1">#REF!</definedName>
    <definedName name="___38___123Graph_ACHART_47" hidden="1">#REF!</definedName>
    <definedName name="___38__123Graph_ACHART_47" hidden="1">#REF!</definedName>
    <definedName name="___39___123Graph_ACHART_48" hidden="1">#REF!</definedName>
    <definedName name="___39__123Graph_ACHART_48" hidden="1">#REF!</definedName>
    <definedName name="___4___123Graph_ACHART_12" hidden="1">#REF!</definedName>
    <definedName name="___4__123Graph_ACHART_12" hidden="1">#REF!</definedName>
    <definedName name="___40___123Graph_ACHART_49" hidden="1">#REF!</definedName>
    <definedName name="___40__123Graph_ACHART_49" hidden="1">#REF!</definedName>
    <definedName name="___41___123Graph_ACHART_5" hidden="1">#REF!</definedName>
    <definedName name="___41__123Graph_ACHART_5" hidden="1">#REF!</definedName>
    <definedName name="___42___123Graph_ACHART_6" hidden="1">#REF!</definedName>
    <definedName name="___42__123Graph_ACHART_6" hidden="1">#REF!</definedName>
    <definedName name="___43___123Graph_ACHART_7" hidden="1">#REF!</definedName>
    <definedName name="___43__123Graph_ACHART_7" hidden="1">#REF!</definedName>
    <definedName name="___44___123Graph_ACHART_8" hidden="1">#REF!</definedName>
    <definedName name="___44__123Graph_ACHART_8" hidden="1">#REF!</definedName>
    <definedName name="___45___123Graph_ACHART_9" hidden="1">#REF!</definedName>
    <definedName name="___45__123Graph_ACHART_9" hidden="1">#REF!</definedName>
    <definedName name="___46___123Graph_BCHART_10" hidden="1">#REF!</definedName>
    <definedName name="___46__123Graph_BCHART_10" hidden="1">#REF!</definedName>
    <definedName name="___47___123Graph_BCHART_13" hidden="1">#REF!</definedName>
    <definedName name="___47__123Graph_BCHART_13" hidden="1">#REF!</definedName>
    <definedName name="___48___123Graph_BCHART_16" hidden="1">#REF!</definedName>
    <definedName name="___48__123Graph_BCHART_16" hidden="1">#REF!</definedName>
    <definedName name="___49___123Graph_BCHART_17" hidden="1">#REF!</definedName>
    <definedName name="___49__123Graph_BCHART_17" hidden="1">#REF!</definedName>
    <definedName name="___5___123Graph_ACHART_13" hidden="1">#REF!</definedName>
    <definedName name="___5__123Graph_ACHART_13" hidden="1">#REF!</definedName>
    <definedName name="___50___123Graph_BCHART_19" hidden="1">#REF!</definedName>
    <definedName name="___50__123Graph_BCHART_19" hidden="1">#REF!</definedName>
    <definedName name="___51___123Graph_BCHART_2" hidden="1">#REF!</definedName>
    <definedName name="___51__123Graph_BCHART_2" hidden="1">#REF!</definedName>
    <definedName name="___52___123Graph_BCHART_20" hidden="1">#REF!</definedName>
    <definedName name="___52__123Graph_BCHART_20" hidden="1">#REF!</definedName>
    <definedName name="___53___123Graph_BCHART_21" hidden="1">#REF!</definedName>
    <definedName name="___53__123Graph_BCHART_21" hidden="1">#REF!</definedName>
    <definedName name="___54___123Graph_BCHART_22" hidden="1">#REF!</definedName>
    <definedName name="___54__123Graph_BCHART_22" hidden="1">#REF!</definedName>
    <definedName name="___55___123Graph_BCHART_27" hidden="1">#REF!</definedName>
    <definedName name="___55__123Graph_BCHART_27" hidden="1">#REF!</definedName>
    <definedName name="___56___123Graph_BCHART_28" hidden="1">#REF!</definedName>
    <definedName name="___56__123Graph_BCHART_28" hidden="1">#REF!</definedName>
    <definedName name="___57___123Graph_BCHART_29" hidden="1">#REF!</definedName>
    <definedName name="___57__123Graph_BCHART_29" hidden="1">#REF!</definedName>
    <definedName name="___58___123Graph_BCHART_3" hidden="1">#REF!</definedName>
    <definedName name="___58__123Graph_BCHART_3" hidden="1">#REF!</definedName>
    <definedName name="___59___123Graph_BCHART_31" hidden="1">#REF!</definedName>
    <definedName name="___59__123Graph_BCHART_31" hidden="1">#REF!</definedName>
    <definedName name="___6___123Graph_ACHART_14" hidden="1">#REF!</definedName>
    <definedName name="___6__123Graph_ACHART_14" hidden="1">#REF!</definedName>
    <definedName name="___60___123Graph_BCHART_32" hidden="1">#REF!</definedName>
    <definedName name="___60__123Graph_BCHART_32" hidden="1">#REF!</definedName>
    <definedName name="___61___123Graph_BCHART_33" hidden="1">#REF!</definedName>
    <definedName name="___61__123Graph_BCHART_33" hidden="1">#REF!</definedName>
    <definedName name="___62___123Graph_BCHART_34" hidden="1">#REF!</definedName>
    <definedName name="___62__123Graph_BCHART_34" hidden="1">#REF!</definedName>
    <definedName name="___63___123Graph_BCHART_35" hidden="1">#REF!</definedName>
    <definedName name="___63__123Graph_BCHART_35" hidden="1">#REF!</definedName>
    <definedName name="___64___123Graph_BCHART_36" hidden="1">#REF!</definedName>
    <definedName name="___64__123Graph_BCHART_36" hidden="1">#REF!</definedName>
    <definedName name="___65___123Graph_BCHART_4" hidden="1">#REF!</definedName>
    <definedName name="___65__123Graph_BCHART_4" hidden="1">#REF!</definedName>
    <definedName name="___66___123Graph_BCHART_41" hidden="1">#REF!</definedName>
    <definedName name="___66__123Graph_BCHART_41" hidden="1">#REF!</definedName>
    <definedName name="___67___123Graph_BCHART_42" hidden="1">#REF!</definedName>
    <definedName name="___67__123Graph_BCHART_42" hidden="1">#REF!</definedName>
    <definedName name="___68___123Graph_BCHART_43" hidden="1">#REF!</definedName>
    <definedName name="___68__123Graph_BCHART_43" hidden="1">#REF!</definedName>
    <definedName name="___69___123Graph_BCHART_44" hidden="1">#REF!</definedName>
    <definedName name="___69__123Graph_BCHART_44" hidden="1">#REF!</definedName>
    <definedName name="___7___123Graph_ACHART_15" hidden="1">#REF!</definedName>
    <definedName name="___7__123Graph_ACHART_15" hidden="1">#REF!</definedName>
    <definedName name="___70___123Graph_BCHART_45" hidden="1">#REF!</definedName>
    <definedName name="___70__123Graph_BCHART_45" hidden="1">#REF!</definedName>
    <definedName name="___71___123Graph_BCHART_46" hidden="1">#REF!</definedName>
    <definedName name="___71__123Graph_BCHART_46" hidden="1">#REF!</definedName>
    <definedName name="___72___123Graph_BCHART_49" hidden="1">#REF!</definedName>
    <definedName name="___72__123Graph_BCHART_49" hidden="1">#REF!</definedName>
    <definedName name="___73___123Graph_BCHART_5" hidden="1">#REF!</definedName>
    <definedName name="___73__123Graph_BCHART_5" hidden="1">#REF!</definedName>
    <definedName name="___74___123Graph_BCHART_6" hidden="1">#REF!</definedName>
    <definedName name="___74__123Graph_BCHART_6" hidden="1">#REF!</definedName>
    <definedName name="___75___123Graph_BCHART_7" hidden="1">#REF!</definedName>
    <definedName name="___75__123Graph_BCHART_7" hidden="1">#REF!</definedName>
    <definedName name="___76___123Graph_BCHART_8" hidden="1">#REF!</definedName>
    <definedName name="___76__123Graph_BCHART_8" hidden="1">#REF!</definedName>
    <definedName name="___77___123Graph_BCHART_9" hidden="1">#REF!</definedName>
    <definedName name="___77__123Graph_BCHART_9" hidden="1">#REF!</definedName>
    <definedName name="___78___123Graph_CCHART_16" hidden="1">#REF!</definedName>
    <definedName name="___78__123Graph_CCHART_16" hidden="1">#REF!</definedName>
    <definedName name="___79___123Graph_CCHART_20" hidden="1">#REF!</definedName>
    <definedName name="___79__123Graph_CCHART_20" hidden="1">#REF!</definedName>
    <definedName name="___8___123Graph_ACHART_16" hidden="1">#REF!</definedName>
    <definedName name="___8__123Graph_ACHART_16" hidden="1">#REF!</definedName>
    <definedName name="___80___123Graph_CCHART_21" hidden="1">#REF!</definedName>
    <definedName name="___80__123Graph_CCHART_21" hidden="1">#REF!</definedName>
    <definedName name="___81___123Graph_CCHART_22" hidden="1">#REF!</definedName>
    <definedName name="___81__123Graph_CCHART_22" hidden="1">#REF!</definedName>
    <definedName name="___82___123Graph_CCHART_27" hidden="1">#REF!</definedName>
    <definedName name="___82__123Graph_CCHART_27" hidden="1">#REF!</definedName>
    <definedName name="___83___123Graph_CCHART_31" hidden="1">#REF!</definedName>
    <definedName name="___83__123Graph_CCHART_31" hidden="1">#REF!</definedName>
    <definedName name="___84___123Graph_CCHART_33" hidden="1">#REF!</definedName>
    <definedName name="___84__123Graph_CCHART_33" hidden="1">#REF!</definedName>
    <definedName name="___85___123Graph_CCHART_35" hidden="1">#REF!</definedName>
    <definedName name="___85__123Graph_CCHART_35" hidden="1">#REF!</definedName>
    <definedName name="___86___123Graph_CCHART_41" hidden="1">#REF!</definedName>
    <definedName name="___86__123Graph_CCHART_41" hidden="1">#REF!</definedName>
    <definedName name="___87___123Graph_CCHART_42" hidden="1">#REF!</definedName>
    <definedName name="___87__123Graph_CCHART_42" hidden="1">#REF!</definedName>
    <definedName name="___88___123Graph_CCHART_44" hidden="1">#REF!</definedName>
    <definedName name="___88__123Graph_CCHART_44" hidden="1">#REF!</definedName>
    <definedName name="___89___123Graph_CCHART_46" hidden="1">#REF!</definedName>
    <definedName name="___89__123Graph_CCHART_46" hidden="1">#REF!</definedName>
    <definedName name="___9___123Graph_ACHART_17" hidden="1">#REF!</definedName>
    <definedName name="___9__123Graph_ACHART_17" hidden="1">#REF!</definedName>
    <definedName name="___90___123Graph_CCHART_8" hidden="1">#REF!</definedName>
    <definedName name="___90__123Graph_CCHART_8" hidden="1">#REF!</definedName>
    <definedName name="___91___123Graph_CCHART_9" hidden="1">#REF!</definedName>
    <definedName name="___91__123Graph_CCHART_9" hidden="1">#REF!</definedName>
    <definedName name="___92___123Graph_DCHART_16" hidden="1">#REF!</definedName>
    <definedName name="___92__123Graph_DCHART_16" hidden="1">#REF!</definedName>
    <definedName name="___93___123Graph_DCHART_22" hidden="1">#REF!</definedName>
    <definedName name="___93__123Graph_DCHART_22" hidden="1">#REF!</definedName>
    <definedName name="___94___123Graph_DCHART_44" hidden="1">#REF!</definedName>
    <definedName name="___94__123Graph_DCHART_44" hidden="1">#REF!</definedName>
    <definedName name="___95___123Graph_DCHART_9" hidden="1">#REF!</definedName>
    <definedName name="___95__123Graph_DCHART_9" hidden="1">#REF!</definedName>
    <definedName name="___96___123Graph_ECHART_16" hidden="1">#REF!</definedName>
    <definedName name="___96__123Graph_ECHART_16" hidden="1">#REF!</definedName>
    <definedName name="___97___123Graph_ECHART_22" hidden="1">#REF!</definedName>
    <definedName name="___97__123Graph_ECHART_22" hidden="1">#REF!</definedName>
    <definedName name="___98___123Graph_ECHART_9" hidden="1">#REF!</definedName>
    <definedName name="___98__123Graph_ECHART_9" hidden="1">#REF!</definedName>
    <definedName name="___99___123Graph_FCHART_22" hidden="1">#REF!</definedName>
    <definedName name="___99__123Graph_FCHART_22" hidden="1">#REF!</definedName>
    <definedName name="___aya108" hidden="1">#REF!</definedName>
    <definedName name="___BBM3" hidden="1">{#N/A,#N/A,FALSE,"M.32"}</definedName>
    <definedName name="___cwp2" hidden="1">{#N/A,#N/A,FALSE,"M.01";#N/A,#N/A,FALSE,"M.01"}</definedName>
    <definedName name="___cwp4" hidden="1">{#N/A,#N/A,FALSE,"M.31"}</definedName>
    <definedName name="___ERR1" hidden="1">{#N/A,#N/A,FALSE,"M.42"}</definedName>
    <definedName name="___ERR2" hidden="1">{#N/A,#N/A,FALSE,"M.42"}</definedName>
    <definedName name="___JBN3" hidden="1">{#N/A,#N/A,FALSE,"M.32"}</definedName>
    <definedName name="_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_kin3" hidden="1">{#N/A,#N/A,FALSE,"M.31"}</definedName>
    <definedName name="___kit2" hidden="1">{#N/A,#N/A,FALSE,"M.43"}</definedName>
    <definedName name="___kl09" hidden="1">{#N/A,#N/A,FALSE,"M.01"}</definedName>
    <definedName name="___M2" hidden="1">{#N/A,#N/A,FALSE,"M.42"}</definedName>
    <definedName name="___mp3" hidden="1">{#N/A,#N/A,FALSE,"M.42"}</definedName>
    <definedName name="___RIP2" hidden="1">{#N/A,#N/A,FALSE,"M.01"}</definedName>
    <definedName name="___RIP3" hidden="1">{#N/A,#N/A,FALSE,"M.41"}</definedName>
    <definedName name="___SLA2009" hidden="1">{#N/A,#N/A,FALSE,"M.32"}</definedName>
    <definedName name="___t1" hidden="1">{"Offgrid",#N/A,FALSE,"OFFGRID";"Region",#N/A,FALSE,"REGION";"Offgrid -2",#N/A,FALSE,"OFFGRID";"WTP",#N/A,FALSE,"WTP";"WTP -2",#N/A,FALSE,"WTP";"Project",#N/A,FALSE,"PROJECT";"Summary -2",#N/A,FALSE,"SUMMARY"}</definedName>
    <definedName name="___t2" hidden="1">{"Offgrid",#N/A,FALSE,"OFFGRID";"Region",#N/A,FALSE,"REGION";"Offgrid -2",#N/A,FALSE,"OFFGRID";"WTP",#N/A,FALSE,"WTP";"WTP -2",#N/A,FALSE,"WTP";"Project",#N/A,FALSE,"PROJECT";"Summary -2",#N/A,FALSE,"SUMMARY"}</definedName>
    <definedName name="___t3" hidden="1">{"Offgrid",#N/A,FALSE,"OFFGRID";"Region",#N/A,FALSE,"REGION";"Offgrid -2",#N/A,FALSE,"OFFGRID";"WTP",#N/A,FALSE,"WTP";"WTP -2",#N/A,FALSE,"WTP";"Project",#N/A,FALSE,"PROJECT";"Summary -2",#N/A,FALSE,"SUMMARY"}</definedName>
    <definedName name="___TH1" hidden="1">{#N/A,#N/A,FALSE,"M.34"}</definedName>
    <definedName name="___th2" hidden="1">{#N/A,#N/A,FALSE,"M.42"}</definedName>
    <definedName name="___xlcn.WorksheetConnection_PrioritasEfisiensi.xlsxTable11" hidden="1">#REF!</definedName>
    <definedName name="__1___123Graph_ACHART_1" hidden="1">#REF!</definedName>
    <definedName name="__1__123Graph_BCHART_1" hidden="1">#REF!</definedName>
    <definedName name="__10___123Graph_ACHART_18" hidden="1">#REF!</definedName>
    <definedName name="__10__123Graph_ACHART_18" hidden="1">#REF!</definedName>
    <definedName name="__100___123Graph_FCHART_9" hidden="1">#REF!</definedName>
    <definedName name="__100__123Graph_FCHART_9" hidden="1">#REF!</definedName>
    <definedName name="__101___123Graph_LBL_ACHART_16" hidden="1">#REF!</definedName>
    <definedName name="__101__123Graph_LBL_ACHART_16" hidden="1">#REF!</definedName>
    <definedName name="__102___123Graph_LBL_ACHART_47" hidden="1">#REF!</definedName>
    <definedName name="__102__123Graph_LBL_ACHART_47" hidden="1">#REF!</definedName>
    <definedName name="__103___123Graph_LBL_ACHART_48" hidden="1">#REF!</definedName>
    <definedName name="__103__123Graph_LBL_ACHART_48" hidden="1">#REF!</definedName>
    <definedName name="__104___123Graph_LBL_ACHART_49" hidden="1">#REF!</definedName>
    <definedName name="__104__123Graph_LBL_ACHART_49" hidden="1">#REF!</definedName>
    <definedName name="__105___123Graph_LBL_BCHART_16" hidden="1">#REF!</definedName>
    <definedName name="__105__123Graph_LBL_BCHART_16" hidden="1">#REF!</definedName>
    <definedName name="__106___123Graph_LBL_BCHART_49" hidden="1">#REF!</definedName>
    <definedName name="__106__123Graph_LBL_BCHART_49" hidden="1">#REF!</definedName>
    <definedName name="__107___123Graph_LBL_CCHART_16" hidden="1">#REF!</definedName>
    <definedName name="__107__123Graph_LBL_CCHART_16" hidden="1">#REF!</definedName>
    <definedName name="__108___123Graph_LBL_DCHART_16" hidden="1">#REF!</definedName>
    <definedName name="__108__123Graph_LBL_DCHART_16" hidden="1">#REF!</definedName>
    <definedName name="__109___123Graph_LBL_DCHART_9" hidden="1">#REF!</definedName>
    <definedName name="__109__123Graph_LBL_DCHART_9" hidden="1">#REF!</definedName>
    <definedName name="__11___123Graph_ACHART_19" hidden="1">#REF!</definedName>
    <definedName name="__11__123Graph_ACHART_19" hidden="1">#REF!</definedName>
    <definedName name="__110___123Graph_LBL_ECHART_16" hidden="1">#REF!</definedName>
    <definedName name="__110__123Graph_LBL_ECHART_16" hidden="1">#REF!</definedName>
    <definedName name="__111___123Graph_LBL_FCHART_9" hidden="1">#REF!</definedName>
    <definedName name="__111__123Graph_LBL_FCHART_9" hidden="1">#REF!</definedName>
    <definedName name="__112___123Graph_XCHART_13" hidden="1">#REF!</definedName>
    <definedName name="__112__123Graph_XCHART_13" hidden="1">#REF!</definedName>
    <definedName name="__113___123Graph_XCHART_16" hidden="1">#REF!</definedName>
    <definedName name="__113__123Graph_XCHART_16" hidden="1">#REF!</definedName>
    <definedName name="__114___123Graph_XCHART_18" hidden="1">#REF!</definedName>
    <definedName name="__114__123Graph_XCHART_18" hidden="1">#REF!</definedName>
    <definedName name="__115___123Graph_XCHART_20" hidden="1">#REF!</definedName>
    <definedName name="__115__123Graph_XCHART_20" hidden="1">#REF!</definedName>
    <definedName name="__116___123Graph_XCHART_24" hidden="1">#REF!</definedName>
    <definedName name="__116__123Graph_XCHART_24" hidden="1">#REF!</definedName>
    <definedName name="__117___123Graph_XCHART_26" hidden="1">#REF!</definedName>
    <definedName name="__117__123Graph_XCHART_26" hidden="1">#REF!</definedName>
    <definedName name="__118___123Graph_XCHART_3" hidden="1">#REF!</definedName>
    <definedName name="__118__123Graph_XCHART_3" hidden="1">#REF!</definedName>
    <definedName name="__119___123Graph_XCHART_34" hidden="1">#REF!</definedName>
    <definedName name="__119__123Graph_XCHART_34" hidden="1">#REF!</definedName>
    <definedName name="__12___123Graph_ACHART_2" hidden="1">#REF!</definedName>
    <definedName name="__12__123Graph_ACHART_2" hidden="1">#REF!</definedName>
    <definedName name="__120___123Graph_XCHART_37" hidden="1">#REF!</definedName>
    <definedName name="__120__123Graph_XCHART_37" hidden="1">#REF!</definedName>
    <definedName name="__121___123Graph_XCHART_4" hidden="1">#REF!</definedName>
    <definedName name="__121__123Graph_XCHART_4" hidden="1">#REF!</definedName>
    <definedName name="__122___123Graph_XCHART_43" hidden="1">#REF!</definedName>
    <definedName name="__122__123Graph_XCHART_43" hidden="1">#REF!</definedName>
    <definedName name="__123___123Graph_XCHART_45" hidden="1">#REF!</definedName>
    <definedName name="__123__123Graph_XCHART_45" hidden="1">#REF!</definedName>
    <definedName name="__123Graph_A" hidden="1">#REF!</definedName>
    <definedName name="__123Graph_A1" hidden="1">#REF!</definedName>
    <definedName name="__123Graph_A2" hidden="1">#REF!</definedName>
    <definedName name="__123Graph_ACPEXIND" hidden="1">#REF!</definedName>
    <definedName name="__123Graph_ACPEXJAVA" hidden="1">#REF!</definedName>
    <definedName name="__123Graph_ACPEXOUTS" hidden="1">#REF!</definedName>
    <definedName name="__123Graph_AFININDO" hidden="1">#REF!</definedName>
    <definedName name="__123Graph_AFINJAVA" hidden="1">#REF!</definedName>
    <definedName name="__123Graph_AFINOUTS" hidden="1">#REF!</definedName>
    <definedName name="__123Graph_AFUELINDO" hidden="1">#REF!</definedName>
    <definedName name="__123Graph_AFUELJAVA" hidden="1">#REF!</definedName>
    <definedName name="__123Graph_AFUELOUTS" hidden="1">#REF!</definedName>
    <definedName name="__123Graph_AKWH" hidden="1">#REF!</definedName>
    <definedName name="__123Graph_AOPEXIND" hidden="1">#REF!</definedName>
    <definedName name="__123Graph_AOPEXJAVA" hidden="1">#REF!</definedName>
    <definedName name="__123Graph_AOPEXOUTS" hidden="1">#REF!</definedName>
    <definedName name="__123Graph_AREIND" hidden="1">#REF!</definedName>
    <definedName name="__123Graph_AREJAVA" hidden="1">#REF!</definedName>
    <definedName name="__123Graph_AREOUTSIDE" hidden="1">#REF!</definedName>
    <definedName name="__123Graph_AVAPLG" hidden="1">#REF!</definedName>
    <definedName name="__123Graph_B" hidden="1">#REF!</definedName>
    <definedName name="__123Graph_B1" hidden="1">#REF!</definedName>
    <definedName name="__123Graph_B2" hidden="1">#REF!</definedName>
    <definedName name="__123Graph_BBIOPER" hidden="1">#REF!</definedName>
    <definedName name="__123Graph_BCPEXIND" hidden="1">#REF!</definedName>
    <definedName name="__123Graph_BCPEXJAVA" hidden="1">#REF!</definedName>
    <definedName name="__123Graph_BCPEXOUTS" hidden="1">#REF!</definedName>
    <definedName name="__123Graph_BFININDO" hidden="1">#REF!</definedName>
    <definedName name="__123Graph_BFINJAVA" hidden="1">#REF!</definedName>
    <definedName name="__123Graph_BFINOUTS" hidden="1">#REF!</definedName>
    <definedName name="__123Graph_BFUELINDO" hidden="1">#REF!</definedName>
    <definedName name="__123Graph_BFUELJAVA" hidden="1">#REF!</definedName>
    <definedName name="__123Graph_BFUELOUTS" hidden="1">#REF!</definedName>
    <definedName name="__123Graph_BKWH" hidden="1">#REF!</definedName>
    <definedName name="__123Graph_BOPEXIND" hidden="1">#REF!</definedName>
    <definedName name="__123Graph_BOPEXJAVA" hidden="1">#REF!</definedName>
    <definedName name="__123Graph_BOPEXOUTS" hidden="1">#REF!</definedName>
    <definedName name="__123Graph_BREIND" hidden="1">#REF!</definedName>
    <definedName name="__123Graph_BREJAVA" hidden="1">#REF!</definedName>
    <definedName name="__123Graph_BREOUTSIDE" hidden="1">#REF!</definedName>
    <definedName name="__123Graph_BVAPLG" hidden="1">#REF!</definedName>
    <definedName name="__123Graph_C" hidden="1">#REF!</definedName>
    <definedName name="__123Graph_CCPEXIND" hidden="1">#REF!</definedName>
    <definedName name="__123Graph_CCPEXJAVA" hidden="1">#REF!</definedName>
    <definedName name="__123Graph_CCPEXOUTS" hidden="1">#REF!</definedName>
    <definedName name="__123Graph_CFININDO" hidden="1">#REF!</definedName>
    <definedName name="__123Graph_CFINJAVA" hidden="1">#REF!</definedName>
    <definedName name="__123Graph_CFINOUTS" hidden="1">#REF!</definedName>
    <definedName name="__123Graph_CFUELINDO" hidden="1">#REF!</definedName>
    <definedName name="__123Graph_CFUELJAVA" hidden="1">#REF!</definedName>
    <definedName name="__123Graph_CFUELOUTS" hidden="1">#REF!</definedName>
    <definedName name="__123Graph_CKWH" hidden="1">#REF!</definedName>
    <definedName name="__123Graph_COPEXIND" hidden="1">#REF!</definedName>
    <definedName name="__123Graph_COPEXJAVA" hidden="1">#REF!</definedName>
    <definedName name="__123Graph_COPEXOUTS" hidden="1">#REF!</definedName>
    <definedName name="__123Graph_CVAPLG" hidden="1">#REF!</definedName>
    <definedName name="__123Graph_D" hidden="1">#REF!</definedName>
    <definedName name="__123Graph_DCPEXIND" hidden="1">#REF!</definedName>
    <definedName name="__123Graph_DCPEXJAVA" hidden="1">#REF!</definedName>
    <definedName name="__123Graph_DCPEXOUTS" hidden="1">#REF!</definedName>
    <definedName name="__123Graph_DFUELINDO" hidden="1">#REF!</definedName>
    <definedName name="__123Graph_DFUELJAVA" hidden="1">#REF!</definedName>
    <definedName name="__123Graph_DFUELOUTS" hidden="1">#REF!</definedName>
    <definedName name="__123Graph_DOPEXIND" hidden="1">#REF!</definedName>
    <definedName name="__123Graph_DOPEXJAVA" hidden="1">#REF!</definedName>
    <definedName name="__123Graph_DOPEXOUTS" hidden="1">#REF!</definedName>
    <definedName name="__123Graph_E" hidden="1">#REF!</definedName>
    <definedName name="__123Graph_F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CPEXIND" hidden="1">#REF!</definedName>
    <definedName name="__123Graph_XCPEXJAVA" hidden="1">#REF!</definedName>
    <definedName name="__123Graph_XCPEXOUTS" hidden="1">#REF!</definedName>
    <definedName name="__123Graph_XFININDO" hidden="1">#REF!</definedName>
    <definedName name="__123Graph_XFINJAVA" hidden="1">#REF!</definedName>
    <definedName name="__123Graph_XFUELINDO" hidden="1">#REF!</definedName>
    <definedName name="__123Graph_XFUELJAVA" hidden="1">#REF!</definedName>
    <definedName name="__123Graph_XFUELOUTS" hidden="1">#REF!</definedName>
    <definedName name="__123Graph_XKWH" hidden="1">#REF!</definedName>
    <definedName name="__123Graph_XOPEXIND" hidden="1">#REF!</definedName>
    <definedName name="__123Graph_XOPEXJAVA" hidden="1">#REF!</definedName>
    <definedName name="__123Graph_XOPEXOUTS" hidden="1">#REF!</definedName>
    <definedName name="__123Graph_XREJAVA" hidden="1">#REF!</definedName>
    <definedName name="__123Graph_XREOUTSIDE" hidden="1">#REF!</definedName>
    <definedName name="__123Graph_XVAPLG" hidden="1">#REF!</definedName>
    <definedName name="__124___123Graph_XCHART_48" hidden="1">#REF!</definedName>
    <definedName name="__124__123Graph_XCHART_48" hidden="1">#REF!</definedName>
    <definedName name="__125___123Graph_XCHART_5" hidden="1">#REF!</definedName>
    <definedName name="__125__123Graph_XCHART_5" hidden="1">#REF!</definedName>
    <definedName name="__126___123Graph_XCHART_6" hidden="1">#REF!</definedName>
    <definedName name="__126__123Graph_XCHART_6" hidden="1">#REF!</definedName>
    <definedName name="__127___123Graph_XCHART_7" hidden="1">#REF!</definedName>
    <definedName name="__127__123Graph_XCHART_7" hidden="1">#REF!</definedName>
    <definedName name="__128__123Graph_ACHART_1" hidden="1">#REF!</definedName>
    <definedName name="__129__123Graph_ACHART_10" hidden="1">#REF!</definedName>
    <definedName name="__13___123Graph_ACHART_20" hidden="1">#REF!</definedName>
    <definedName name="__13__123Graph_ACHART_20" hidden="1">#REF!</definedName>
    <definedName name="__130__123Graph_ACHART_11" hidden="1">#REF!</definedName>
    <definedName name="__131__123Graph_ACHART_12" hidden="1">#REF!</definedName>
    <definedName name="__132__123Graph_ACHART_13" hidden="1">#REF!</definedName>
    <definedName name="__133__123Graph_ACHART_14" hidden="1">#REF!</definedName>
    <definedName name="__134__123Graph_ACHART_15" hidden="1">#REF!</definedName>
    <definedName name="__135__123Graph_ACHART_16" hidden="1">#REF!</definedName>
    <definedName name="__136__123Graph_ACHART_17" hidden="1">#REF!</definedName>
    <definedName name="__137__123Graph_ACHART_18" hidden="1">#REF!</definedName>
    <definedName name="__138__123Graph_ACHART_19" hidden="1">#REF!</definedName>
    <definedName name="__139__123Graph_ACHART_2" hidden="1">#REF!</definedName>
    <definedName name="__14___123Graph_ACHART_21" hidden="1">#REF!</definedName>
    <definedName name="__14__123Graph_ACHART_21" hidden="1">#REF!</definedName>
    <definedName name="__140__123Graph_ACHART_20" hidden="1">#REF!</definedName>
    <definedName name="__141__123Graph_ACHART_21" hidden="1">#REF!</definedName>
    <definedName name="__142__123Graph_ACHART_22" hidden="1">#REF!</definedName>
    <definedName name="__143__123Graph_ACHART_23" hidden="1">#REF!</definedName>
    <definedName name="__144__123Graph_ACHART_24" hidden="1">#REF!</definedName>
    <definedName name="__145__123Graph_ACHART_25" hidden="1">#REF!</definedName>
    <definedName name="__146__123Graph_ACHART_26" hidden="1">#REF!</definedName>
    <definedName name="__147__123Graph_ACHART_27" hidden="1">#REF!</definedName>
    <definedName name="__148__123Graph_ACHART_28" hidden="1">#REF!</definedName>
    <definedName name="__149__123Graph_ACHART_29" hidden="1">#REF!</definedName>
    <definedName name="__15___123Graph_ACHART_22" hidden="1">#REF!</definedName>
    <definedName name="__15__123Graph_ACHART_22" hidden="1">#REF!</definedName>
    <definedName name="__150__123Graph_ACHART_3" hidden="1">#REF!</definedName>
    <definedName name="__151__123Graph_ACHART_31" hidden="1">#REF!</definedName>
    <definedName name="__152__123Graph_ACHART_32" hidden="1">#REF!</definedName>
    <definedName name="__153__123Graph_ACHART_33" hidden="1">#REF!</definedName>
    <definedName name="__154__123Graph_ACHART_34" hidden="1">#REF!</definedName>
    <definedName name="__155__123Graph_ACHART_35" hidden="1">#REF!</definedName>
    <definedName name="__156__123Graph_ACHART_36" hidden="1">#REF!</definedName>
    <definedName name="__157__123Graph_ACHART_37" hidden="1">#REF!</definedName>
    <definedName name="__158__123Graph_ACHART_4" hidden="1">#REF!</definedName>
    <definedName name="__159__123Graph_ACHART_41" hidden="1">#REF!</definedName>
    <definedName name="__16___123Graph_ACHART_23" hidden="1">#REF!</definedName>
    <definedName name="__16__123Graph_ACHART_23" hidden="1">#REF!</definedName>
    <definedName name="__160__123Graph_ACHART_42" hidden="1">#REF!</definedName>
    <definedName name="__161__123Graph_ACHART_43" hidden="1">#REF!</definedName>
    <definedName name="__162__123Graph_ACHART_44" hidden="1">#REF!</definedName>
    <definedName name="__163__123Graph_ACHART_45" hidden="1">#REF!</definedName>
    <definedName name="__164__123Graph_ACHART_46" hidden="1">#REF!</definedName>
    <definedName name="__165__123Graph_ACHART_47" hidden="1">#REF!</definedName>
    <definedName name="__166__123Graph_ACHART_48" hidden="1">#REF!</definedName>
    <definedName name="__167__123Graph_ACHART_49" hidden="1">#REF!</definedName>
    <definedName name="__168__123Graph_ACHART_5" hidden="1">#REF!</definedName>
    <definedName name="__169__123Graph_ACHART_6" hidden="1">#REF!</definedName>
    <definedName name="__17___123Graph_ACHART_24" hidden="1">#REF!</definedName>
    <definedName name="__17__123Graph_ACHART_24" hidden="1">#REF!</definedName>
    <definedName name="__170__123Graph_ACHART_7" hidden="1">#REF!</definedName>
    <definedName name="__171__123Graph_ACHART_8" hidden="1">#REF!</definedName>
    <definedName name="__172__123Graph_ACHART_9" hidden="1">#REF!</definedName>
    <definedName name="__173__123Graph_BCHART_10" hidden="1">#REF!</definedName>
    <definedName name="__174__123Graph_BCHART_13" hidden="1">#REF!</definedName>
    <definedName name="__175__123Graph_BCHART_16" hidden="1">#REF!</definedName>
    <definedName name="__176__123Graph_BCHART_17" hidden="1">#REF!</definedName>
    <definedName name="__177__123Graph_BCHART_19" hidden="1">#REF!</definedName>
    <definedName name="__178__123Graph_BCHART_2" hidden="1">#REF!</definedName>
    <definedName name="__179__123Graph_BCHART_20" hidden="1">#REF!</definedName>
    <definedName name="__18___123Graph_ACHART_25" hidden="1">#REF!</definedName>
    <definedName name="__18__123Graph_ACHART_25" hidden="1">#REF!</definedName>
    <definedName name="__180__123Graph_BCHART_21" hidden="1">#REF!</definedName>
    <definedName name="__181__123Graph_BCHART_22" hidden="1">#REF!</definedName>
    <definedName name="__182__123Graph_BCHART_27" hidden="1">#REF!</definedName>
    <definedName name="__183__123Graph_BCHART_28" hidden="1">#REF!</definedName>
    <definedName name="__184__123Graph_BCHART_29" hidden="1">#REF!</definedName>
    <definedName name="__185__123Graph_BCHART_3" hidden="1">#REF!</definedName>
    <definedName name="__186__123Graph_BCHART_31" hidden="1">#REF!</definedName>
    <definedName name="__187__123Graph_BCHART_32" hidden="1">#REF!</definedName>
    <definedName name="__188__123Graph_BCHART_33" hidden="1">#REF!</definedName>
    <definedName name="__189__123Graph_BCHART_34" hidden="1">#REF!</definedName>
    <definedName name="__19___123Graph_ACHART_26" hidden="1">#REF!</definedName>
    <definedName name="__19__123Graph_ACHART_26" hidden="1">#REF!</definedName>
    <definedName name="__190__123Graph_BCHART_35" hidden="1">#REF!</definedName>
    <definedName name="__191__123Graph_BCHART_36" hidden="1">#REF!</definedName>
    <definedName name="__192__123Graph_BCHART_4" hidden="1">#REF!</definedName>
    <definedName name="__193__123Graph_BCHART_41" hidden="1">#REF!</definedName>
    <definedName name="__194__123Graph_BCHART_42" hidden="1">#REF!</definedName>
    <definedName name="__195__123Graph_BCHART_43" hidden="1">#REF!</definedName>
    <definedName name="__196__123Graph_BCHART_44" hidden="1">#REF!</definedName>
    <definedName name="__197__123Graph_BCHART_45" hidden="1">#REF!</definedName>
    <definedName name="__198__123Graph_BCHART_46" hidden="1">#REF!</definedName>
    <definedName name="__199__123Graph_BCHART_49" hidden="1">#REF!</definedName>
    <definedName name="__2___123Graph_ACHART_10" hidden="1">#REF!</definedName>
    <definedName name="__2__123Graph_ACHART_10" hidden="1">#REF!</definedName>
    <definedName name="__20___123Graph_ACHART_27" hidden="1">#REF!</definedName>
    <definedName name="__20__123Graph_ACHART_27" hidden="1">#REF!</definedName>
    <definedName name="__200__123Graph_BCHART_5" hidden="1">#REF!</definedName>
    <definedName name="__201__123Graph_BCHART_6" hidden="1">#REF!</definedName>
    <definedName name="__202__123Graph_BCHART_7" hidden="1">#REF!</definedName>
    <definedName name="__203__123Graph_BCHART_8" hidden="1">#REF!</definedName>
    <definedName name="__204__123Graph_BCHART_9" hidden="1">#REF!</definedName>
    <definedName name="__205__123Graph_CCHART_16" hidden="1">#REF!</definedName>
    <definedName name="__206__123Graph_CCHART_20" hidden="1">#REF!</definedName>
    <definedName name="__207__123Graph_CCHART_21" hidden="1">#REF!</definedName>
    <definedName name="__208__123Graph_CCHART_22" hidden="1">#REF!</definedName>
    <definedName name="__209__123Graph_CCHART_27" hidden="1">#REF!</definedName>
    <definedName name="__21___123Graph_ACHART_28" hidden="1">#REF!</definedName>
    <definedName name="__21__123Graph_ACHART_28" hidden="1">#REF!</definedName>
    <definedName name="__210__123Graph_CCHART_31" hidden="1">#REF!</definedName>
    <definedName name="__211__123Graph_CCHART_33" hidden="1">#REF!</definedName>
    <definedName name="__212__123Graph_CCHART_35" hidden="1">#REF!</definedName>
    <definedName name="__213__123Graph_CCHART_41" hidden="1">#REF!</definedName>
    <definedName name="__214__123Graph_CCHART_42" hidden="1">#REF!</definedName>
    <definedName name="__215__123Graph_CCHART_44" hidden="1">#REF!</definedName>
    <definedName name="__216__123Graph_CCHART_46" hidden="1">#REF!</definedName>
    <definedName name="__217__123Graph_CCHART_8" hidden="1">#REF!</definedName>
    <definedName name="__218__123Graph_CCHART_9" hidden="1">#REF!</definedName>
    <definedName name="__219__123Graph_DCHART_16" hidden="1">#REF!</definedName>
    <definedName name="__22___123Graph_ACHART_29" hidden="1">#REF!</definedName>
    <definedName name="__22__123Graph_ACHART_29" hidden="1">#REF!</definedName>
    <definedName name="__220__123Graph_DCHART_22" hidden="1">#REF!</definedName>
    <definedName name="__221__123Graph_DCHART_44" hidden="1">#REF!</definedName>
    <definedName name="__222__123Graph_DCHART_9" hidden="1">#REF!</definedName>
    <definedName name="__223__123Graph_ECHART_16" hidden="1">#REF!</definedName>
    <definedName name="__224__123Graph_ECHART_22" hidden="1">#REF!</definedName>
    <definedName name="__225__123Graph_ECHART_9" hidden="1">#REF!</definedName>
    <definedName name="__226__123Graph_FCHART_22" hidden="1">#REF!</definedName>
    <definedName name="__227__123Graph_FCHART_9" hidden="1">#REF!</definedName>
    <definedName name="__228__123Graph_LBL_ACHART_16" hidden="1">#REF!</definedName>
    <definedName name="__229__123Graph_LBL_ACHART_47" hidden="1">#REF!</definedName>
    <definedName name="__23___123Graph_ACHART_3" hidden="1">#REF!</definedName>
    <definedName name="__23__123Graph_ACHART_3" hidden="1">#REF!</definedName>
    <definedName name="__230__123Graph_LBL_ACHART_48" hidden="1">#REF!</definedName>
    <definedName name="__231__123Graph_LBL_ACHART_49" hidden="1">#REF!</definedName>
    <definedName name="__232__123Graph_LBL_BCHART_16" hidden="1">#REF!</definedName>
    <definedName name="__233__123Graph_LBL_BCHART_49" hidden="1">#REF!</definedName>
    <definedName name="__234__123Graph_LBL_CCHART_16" hidden="1">#REF!</definedName>
    <definedName name="__235__123Graph_LBL_DCHART_16" hidden="1">#REF!</definedName>
    <definedName name="__236__123Graph_LBL_DCHART_9" hidden="1">#REF!</definedName>
    <definedName name="__237__123Graph_LBL_ECHART_16" hidden="1">#REF!</definedName>
    <definedName name="__238__123Graph_LBL_FCHART_9" hidden="1">#REF!</definedName>
    <definedName name="__239__123Graph_XCHART_13" hidden="1">#REF!</definedName>
    <definedName name="__24___123Graph_ACHART_31" hidden="1">#REF!</definedName>
    <definedName name="__24__123Graph_ACHART_31" hidden="1">#REF!</definedName>
    <definedName name="__240__123Graph_XCHART_16" hidden="1">#REF!</definedName>
    <definedName name="__241__123Graph_XCHART_18" hidden="1">#REF!</definedName>
    <definedName name="__242__123Graph_XCHART_20" hidden="1">#REF!</definedName>
    <definedName name="__243__123Graph_XCHART_24" hidden="1">#REF!</definedName>
    <definedName name="__244__123Graph_XCHART_26" hidden="1">#REF!</definedName>
    <definedName name="__245__123Graph_XCHART_3" hidden="1">#REF!</definedName>
    <definedName name="__246__123Graph_XCHART_34" hidden="1">#REF!</definedName>
    <definedName name="__247__123Graph_XCHART_37" hidden="1">#REF!</definedName>
    <definedName name="__248__123Graph_XCHART_4" hidden="1">#REF!</definedName>
    <definedName name="__249__123Graph_XCHART_43" hidden="1">#REF!</definedName>
    <definedName name="__25___123Graph_ACHART_32" hidden="1">#REF!</definedName>
    <definedName name="__25__123Graph_ACHART_32" hidden="1">#REF!</definedName>
    <definedName name="__250__123Graph_XCHART_45" hidden="1">#REF!</definedName>
    <definedName name="__251__123Graph_XCHART_48" hidden="1">#REF!</definedName>
    <definedName name="__252__123Graph_XCHART_5" hidden="1">#REF!</definedName>
    <definedName name="__253__123Graph_XCHART_6" hidden="1">#REF!</definedName>
    <definedName name="__254__123Graph_XCHART_7" hidden="1">#REF!</definedName>
    <definedName name="__26___123Graph_ACHART_33" hidden="1">#REF!</definedName>
    <definedName name="__26__123Graph_ACHART_33" hidden="1">#REF!</definedName>
    <definedName name="__27___123Graph_ACHART_34" hidden="1">#REF!</definedName>
    <definedName name="__27__123Graph_ACHART_34" hidden="1">#REF!</definedName>
    <definedName name="__28___123Graph_ACHART_35" hidden="1">#REF!</definedName>
    <definedName name="__28__123Graph_ACHART_35" hidden="1">#REF!</definedName>
    <definedName name="__29___123Graph_ACHART_36" hidden="1">#REF!</definedName>
    <definedName name="__29__123Graph_ACHART_36" hidden="1">#REF!</definedName>
    <definedName name="__3___123Graph_ACHART_11" hidden="1">#REF!</definedName>
    <definedName name="__3__123Graph_ACHART_11" hidden="1">#REF!</definedName>
    <definedName name="__30___123Graph_ACHART_37" hidden="1">#REF!</definedName>
    <definedName name="__30__123Graph_ACHART_37" hidden="1">#REF!</definedName>
    <definedName name="__31___123Graph_ACHART_4" hidden="1">#REF!</definedName>
    <definedName name="__31__123Graph_ACHART_4" hidden="1">#REF!</definedName>
    <definedName name="__32___123Graph_ACHART_41" hidden="1">#REF!</definedName>
    <definedName name="__32__123Graph_ACHART_41" hidden="1">#REF!</definedName>
    <definedName name="__33___123Graph_ACHART_42" hidden="1">#REF!</definedName>
    <definedName name="__33__123Graph_ACHART_42" hidden="1">#REF!</definedName>
    <definedName name="__34___123Graph_ACHART_43" hidden="1">#REF!</definedName>
    <definedName name="__34__123Graph_ACHART_43" hidden="1">#REF!</definedName>
    <definedName name="__35___123Graph_ACHART_44" hidden="1">#REF!</definedName>
    <definedName name="__35__123Graph_ACHART_44" hidden="1">#REF!</definedName>
    <definedName name="__36___123Graph_ACHART_45" hidden="1">#REF!</definedName>
    <definedName name="__36__123Graph_ACHART_45" hidden="1">#REF!</definedName>
    <definedName name="__37___123Graph_ACHART_46" hidden="1">#REF!</definedName>
    <definedName name="__37__123Graph_ACHART_46" hidden="1">#REF!</definedName>
    <definedName name="__38___123Graph_ACHART_47" hidden="1">#REF!</definedName>
    <definedName name="__38__123Graph_ACHART_47" hidden="1">#REF!</definedName>
    <definedName name="__39___123Graph_ACHART_48" hidden="1">#REF!</definedName>
    <definedName name="__39__123Graph_ACHART_48" hidden="1">#REF!</definedName>
    <definedName name="__4___123Graph_ACHART_12" hidden="1">#REF!</definedName>
    <definedName name="__4__123Graph_ACHART_12" hidden="1">#REF!</definedName>
    <definedName name="__40___123Graph_ACHART_49" hidden="1">#REF!</definedName>
    <definedName name="__40__123Graph_ACHART_49" hidden="1">#REF!</definedName>
    <definedName name="__41___123Graph_ACHART_5" hidden="1">#REF!</definedName>
    <definedName name="__41__123Graph_ACHART_5" hidden="1">#REF!</definedName>
    <definedName name="__42___123Graph_ACHART_6" hidden="1">#REF!</definedName>
    <definedName name="__42__123Graph_ACHART_6" hidden="1">#REF!</definedName>
    <definedName name="__43___123Graph_ACHART_7" hidden="1">#REF!</definedName>
    <definedName name="__43__123Graph_ACHART_7" hidden="1">#REF!</definedName>
    <definedName name="__44___123Graph_ACHART_8" hidden="1">#REF!</definedName>
    <definedName name="__44__123Graph_ACHART_8" hidden="1">#REF!</definedName>
    <definedName name="__45___123Graph_ACHART_9" hidden="1">#REF!</definedName>
    <definedName name="__45__123Graph_ACHART_9" hidden="1">#REF!</definedName>
    <definedName name="__46___123Graph_BCHART_10" hidden="1">#REF!</definedName>
    <definedName name="__46__123Graph_BCHART_10" hidden="1">#REF!</definedName>
    <definedName name="__47___123Graph_BCHART_13" hidden="1">#REF!</definedName>
    <definedName name="__47__123Graph_BCHART_13" hidden="1">#REF!</definedName>
    <definedName name="__48___123Graph_BCHART_16" hidden="1">#REF!</definedName>
    <definedName name="__48__123Graph_BCHART_16" hidden="1">#REF!</definedName>
    <definedName name="__49___123Graph_BCHART_17" hidden="1">#REF!</definedName>
    <definedName name="__49__123Graph_BCHART_17" hidden="1">#REF!</definedName>
    <definedName name="__5___123Graph_ACHART_13" hidden="1">#REF!</definedName>
    <definedName name="__5__123Graph_ACHART_13" hidden="1">#REF!</definedName>
    <definedName name="__50___123Graph_BCHART_19" hidden="1">#REF!</definedName>
    <definedName name="__50__123Graph_BCHART_19" hidden="1">#REF!</definedName>
    <definedName name="__51___123Graph_BCHART_2" hidden="1">#REF!</definedName>
    <definedName name="__51__123Graph_BCHART_2" hidden="1">#REF!</definedName>
    <definedName name="__52___123Graph_BCHART_20" hidden="1">#REF!</definedName>
    <definedName name="__52__123Graph_BCHART_20" hidden="1">#REF!</definedName>
    <definedName name="__53___123Graph_BCHART_21" hidden="1">#REF!</definedName>
    <definedName name="__53__123Graph_BCHART_21" hidden="1">#REF!</definedName>
    <definedName name="__54___123Graph_BCHART_22" hidden="1">#REF!</definedName>
    <definedName name="__54__123Graph_BCHART_22" hidden="1">#REF!</definedName>
    <definedName name="__55___123Graph_BCHART_27" hidden="1">#REF!</definedName>
    <definedName name="__55__123Graph_BCHART_27" hidden="1">#REF!</definedName>
    <definedName name="__56___123Graph_BCHART_28" hidden="1">#REF!</definedName>
    <definedName name="__56__123Graph_BCHART_28" hidden="1">#REF!</definedName>
    <definedName name="__57___123Graph_BCHART_29" hidden="1">#REF!</definedName>
    <definedName name="__57__123Graph_BCHART_29" hidden="1">#REF!</definedName>
    <definedName name="__58___123Graph_BCHART_3" hidden="1">#REF!</definedName>
    <definedName name="__58__123Graph_BCHART_3" hidden="1">#REF!</definedName>
    <definedName name="__59___123Graph_BCHART_31" hidden="1">#REF!</definedName>
    <definedName name="__59__123Graph_BCHART_31" hidden="1">#REF!</definedName>
    <definedName name="__6___123Graph_ACHART_14" hidden="1">#REF!</definedName>
    <definedName name="__6__123Graph_ACHART_14" hidden="1">#REF!</definedName>
    <definedName name="__60___123Graph_BCHART_32" hidden="1">#REF!</definedName>
    <definedName name="__60__123Graph_BCHART_32" hidden="1">#REF!</definedName>
    <definedName name="__61___123Graph_BCHART_33" hidden="1">#REF!</definedName>
    <definedName name="__61__123Graph_BCHART_33" hidden="1">#REF!</definedName>
    <definedName name="__62___123Graph_BCHART_34" hidden="1">#REF!</definedName>
    <definedName name="__62__123Graph_BCHART_34" hidden="1">#REF!</definedName>
    <definedName name="__63___123Graph_BCHART_35" hidden="1">#REF!</definedName>
    <definedName name="__63__123Graph_BCHART_35" hidden="1">#REF!</definedName>
    <definedName name="__64___123Graph_BCHART_36" hidden="1">#REF!</definedName>
    <definedName name="__64__123Graph_BCHART_36" hidden="1">#REF!</definedName>
    <definedName name="__65___123Graph_BCHART_4" hidden="1">#REF!</definedName>
    <definedName name="__65__123Graph_BCHART_4" hidden="1">#REF!</definedName>
    <definedName name="__66___123Graph_BCHART_41" hidden="1">#REF!</definedName>
    <definedName name="__66__123Graph_BCHART_41" hidden="1">#REF!</definedName>
    <definedName name="__67___123Graph_BCHART_42" hidden="1">#REF!</definedName>
    <definedName name="__67__123Graph_BCHART_42" hidden="1">#REF!</definedName>
    <definedName name="__68___123Graph_BCHART_43" hidden="1">#REF!</definedName>
    <definedName name="__68__123Graph_BCHART_43" hidden="1">#REF!</definedName>
    <definedName name="__69___123Graph_BCHART_44" hidden="1">#REF!</definedName>
    <definedName name="__69__123Graph_BCHART_44" hidden="1">#REF!</definedName>
    <definedName name="__7___123Graph_ACHART_15" hidden="1">#REF!</definedName>
    <definedName name="__7__123Graph_ACHART_15" hidden="1">#REF!</definedName>
    <definedName name="__70___123Graph_BCHART_45" hidden="1">#REF!</definedName>
    <definedName name="__70__123Graph_BCHART_45" hidden="1">#REF!</definedName>
    <definedName name="__71___123Graph_BCHART_46" hidden="1">#REF!</definedName>
    <definedName name="__71__123Graph_BCHART_46" hidden="1">#REF!</definedName>
    <definedName name="__72___123Graph_BCHART_49" hidden="1">#REF!</definedName>
    <definedName name="__72__123Graph_BCHART_49" hidden="1">#REF!</definedName>
    <definedName name="__73___123Graph_BCHART_5" hidden="1">#REF!</definedName>
    <definedName name="__73__123Graph_BCHART_5" hidden="1">#REF!</definedName>
    <definedName name="__74___123Graph_BCHART_6" hidden="1">#REF!</definedName>
    <definedName name="__74__123Graph_BCHART_6" hidden="1">#REF!</definedName>
    <definedName name="__75___123Graph_BCHART_7" hidden="1">#REF!</definedName>
    <definedName name="__75__123Graph_BCHART_7" hidden="1">#REF!</definedName>
    <definedName name="__76___123Graph_BCHART_8" hidden="1">#REF!</definedName>
    <definedName name="__76__123Graph_BCHART_8" hidden="1">#REF!</definedName>
    <definedName name="__77___123Graph_BCHART_9" hidden="1">#REF!</definedName>
    <definedName name="__77__123Graph_BCHART_9" hidden="1">#REF!</definedName>
    <definedName name="__78___123Graph_CCHART_16" hidden="1">#REF!</definedName>
    <definedName name="__78__123Graph_CCHART_16" hidden="1">#REF!</definedName>
    <definedName name="__79___123Graph_CCHART_20" hidden="1">#REF!</definedName>
    <definedName name="__79__123Graph_CCHART_20" hidden="1">#REF!</definedName>
    <definedName name="__8___123Graph_ACHART_16" hidden="1">#REF!</definedName>
    <definedName name="__8__123Graph_ACHART_16" hidden="1">#REF!</definedName>
    <definedName name="__80___123Graph_CCHART_21" hidden="1">#REF!</definedName>
    <definedName name="__80__123Graph_CCHART_21" hidden="1">#REF!</definedName>
    <definedName name="__81___123Graph_CCHART_22" hidden="1">#REF!</definedName>
    <definedName name="__81__123Graph_CCHART_22" hidden="1">#REF!</definedName>
    <definedName name="__82___123Graph_CCHART_27" hidden="1">#REF!</definedName>
    <definedName name="__82__123Graph_CCHART_27" hidden="1">#REF!</definedName>
    <definedName name="__83___123Graph_CCHART_31" hidden="1">#REF!</definedName>
    <definedName name="__83__123Graph_CCHART_31" hidden="1">#REF!</definedName>
    <definedName name="__84___123Graph_CCHART_33" hidden="1">#REF!</definedName>
    <definedName name="__84__123Graph_CCHART_33" hidden="1">#REF!</definedName>
    <definedName name="__85___123Graph_CCHART_35" hidden="1">#REF!</definedName>
    <definedName name="__85__123Graph_CCHART_35" hidden="1">#REF!</definedName>
    <definedName name="__86___123Graph_CCHART_41" hidden="1">#REF!</definedName>
    <definedName name="__86__123Graph_CCHART_41" hidden="1">#REF!</definedName>
    <definedName name="__87___123Graph_CCHART_42" hidden="1">#REF!</definedName>
    <definedName name="__87__123Graph_CCHART_42" hidden="1">#REF!</definedName>
    <definedName name="__88___123Graph_CCHART_44" hidden="1">#REF!</definedName>
    <definedName name="__88__123Graph_CCHART_44" hidden="1">#REF!</definedName>
    <definedName name="__89___123Graph_CCHART_46" hidden="1">#REF!</definedName>
    <definedName name="__89__123Graph_CCHART_46" hidden="1">#REF!</definedName>
    <definedName name="__9___123Graph_ACHART_17" hidden="1">#REF!</definedName>
    <definedName name="__9__123Graph_ACHART_17" hidden="1">#REF!</definedName>
    <definedName name="__90___123Graph_CCHART_8" hidden="1">#REF!</definedName>
    <definedName name="__90__123Graph_CCHART_8" hidden="1">#REF!</definedName>
    <definedName name="__91___123Graph_CCHART_9" hidden="1">#REF!</definedName>
    <definedName name="__91__123Graph_CCHART_9" hidden="1">#REF!</definedName>
    <definedName name="__92___123Graph_DCHART_16" hidden="1">#REF!</definedName>
    <definedName name="__92__123Graph_DCHART_16" hidden="1">#REF!</definedName>
    <definedName name="__93___123Graph_DCHART_22" hidden="1">#REF!</definedName>
    <definedName name="__93__123Graph_DCHART_22" hidden="1">#REF!</definedName>
    <definedName name="__94___123Graph_DCHART_44" hidden="1">#REF!</definedName>
    <definedName name="__94__123Graph_DCHART_44" hidden="1">#REF!</definedName>
    <definedName name="__95___123Graph_DCHART_9" hidden="1">#REF!</definedName>
    <definedName name="__95__123Graph_DCHART_9" hidden="1">#REF!</definedName>
    <definedName name="__96___123Graph_ECHART_16" hidden="1">#REF!</definedName>
    <definedName name="__96__123Graph_ECHART_16" hidden="1">#REF!</definedName>
    <definedName name="__97___123Graph_ECHART_22" hidden="1">#REF!</definedName>
    <definedName name="__97__123Graph_ECHART_22" hidden="1">#REF!</definedName>
    <definedName name="__98___123Graph_ECHART_9" hidden="1">#REF!</definedName>
    <definedName name="__98__123Graph_ECHART_9" hidden="1">#REF!</definedName>
    <definedName name="__99___123Graph_FCHART_22" hidden="1">#REF!</definedName>
    <definedName name="__99__123Graph_FCHART_22" hidden="1">#REF!</definedName>
    <definedName name="__aya108" hidden="1">#REF!</definedName>
    <definedName name="__BBM3" hidden="1">{#N/A,#N/A,FALSE,"M.32"}</definedName>
    <definedName name="__cvf345" hidden="1">{#N/A,#N/A,FALSE,"M.41"}</definedName>
    <definedName name="__cwp2" hidden="1">{#N/A,#N/A,FALSE,"M.01";#N/A,#N/A,FALSE,"M.01"}</definedName>
    <definedName name="__cwp4" hidden="1">{#N/A,#N/A,FALSE,"M.31"}</definedName>
    <definedName name="__def123" hidden="1">{#N/A,#N/A,FALSE,"M.01";#N/A,#N/A,FALSE,"M.01"}</definedName>
    <definedName name="__ERR1" hidden="1">{#N/A,#N/A,FALSE,"M.42"}</definedName>
    <definedName name="__ERR1_1" hidden="1">{#N/A,#N/A,FALSE,"M.42"}</definedName>
    <definedName name="__ERR2" hidden="1">{#N/A,#N/A,FALSE,"M.42"}</definedName>
    <definedName name="__ERR3" hidden="1">{#N/A,#N/A,FALSE,"M.42"}</definedName>
    <definedName name="__ERR4" hidden="1">{#N/A,#N/A,FALSE,"M.42"}</definedName>
    <definedName name="__gfr234" hidden="1">{#N/A,#N/A,FALSE,"M.01";#N/A,#N/A,FALSE,"M.01"}</definedName>
    <definedName name="__ghn987" hidden="1">{#N/A,#N/A,FALSE,"M.32"}</definedName>
    <definedName name="__HEP1" hidden="1">{#N/A,#N/A,FALSE,"M.42"}</definedName>
    <definedName name="__hgg23" hidden="1">{#N/A,#N/A,FALSE,"M.43"}</definedName>
    <definedName name="__i76" hidden="1">{#N/A,#N/A,FALSE,"M.31"}</definedName>
    <definedName name="__IntlFixup" hidden="1">TRUE</definedName>
    <definedName name="__JBN1" hidden="1">{#N/A,#N/A,FALSE,"M.41"}</definedName>
    <definedName name="__JBN3" hidden="1">{#N/A,#N/A,FALSE,"M.32"}</definedName>
    <definedName name="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KBN2" hidden="1">{#N/A,#N/A,FALSE,"M.31"}</definedName>
    <definedName name="__kin3" hidden="1">{#N/A,#N/A,FALSE,"M.31"}</definedName>
    <definedName name="__kit2" hidden="1">{#N/A,#N/A,FALSE,"M.43"}</definedName>
    <definedName name="__kjn456" hidden="1">{#N/A,#N/A,FALSE,"M.42"}</definedName>
    <definedName name="__kl09" hidden="1">{#N/A,#N/A,FALSE,"M.01"}</definedName>
    <definedName name="__kl2" hidden="1">{#N/A,#N/A,FALSE,"M.31"}</definedName>
    <definedName name="__kl4" hidden="1">{#N/A,#N/A,FALSE,"M.31"}</definedName>
    <definedName name="__M2" hidden="1">{#N/A,#N/A,FALSE,"M.42"}</definedName>
    <definedName name="__mp3" hidden="1">{#N/A,#N/A,FALSE,"M.42"}</definedName>
    <definedName name="__pl21" hidden="1">{#N/A,#N/A,FALSE,"M.42"}</definedName>
    <definedName name="__po456" hidden="1">{#N/A,#N/A,FALSE,"M.31"}</definedName>
    <definedName name="__re12" hidden="1">{#N/A,#N/A,FALSE,"M.01"}</definedName>
    <definedName name="__RIP2" hidden="1">{#N/A,#N/A,FALSE,"M.01"}</definedName>
    <definedName name="__RIP3" hidden="1">{#N/A,#N/A,FALSE,"M.41"}</definedName>
    <definedName name="__scd12" hidden="1">{#N/A,#N/A,FALSE,"M.02"}</definedName>
    <definedName name="__SLA2009" hidden="1">{#N/A,#N/A,FALSE,"M.32"}</definedName>
    <definedName name="__t1" hidden="1">{"Offgrid",#N/A,FALSE,"OFFGRID";"Region",#N/A,FALSE,"REGION";"Offgrid -2",#N/A,FALSE,"OFFGRID";"WTP",#N/A,FALSE,"WTP";"WTP -2",#N/A,FALSE,"WTP";"Project",#N/A,FALSE,"PROJECT";"Summary -2",#N/A,FALSE,"SUMMARY"}</definedName>
    <definedName name="__t2" hidden="1">{"Offgrid",#N/A,FALSE,"OFFGRID";"Region",#N/A,FALSE,"REGION";"Offgrid -2",#N/A,FALSE,"OFFGRID";"WTP",#N/A,FALSE,"WTP";"WTP -2",#N/A,FALSE,"WTP";"Project",#N/A,FALSE,"PROJECT";"Summary -2",#N/A,FALSE,"SUMMARY"}</definedName>
    <definedName name="__t3" hidden="1">{"Offgrid",#N/A,FALSE,"OFFGRID";"Region",#N/A,FALSE,"REGION";"Offgrid -2",#N/A,FALSE,"OFFGRID";"WTP",#N/A,FALSE,"WTP";"WTP -2",#N/A,FALSE,"WTP";"Project",#N/A,FALSE,"PROJECT";"Summary -2",#N/A,FALSE,"SUMMARY"}</definedName>
    <definedName name="__tgr2" hidden="1">{#N/A,#N/A,FALSE,"M.33"}</definedName>
    <definedName name="__TH1" hidden="1">{#N/A,#N/A,FALSE,"M.34"}</definedName>
    <definedName name="__th2" hidden="1">{#N/A,#N/A,FALSE,"M.42"}</definedName>
    <definedName name="__ujy654" hidden="1">{#N/A,#N/A,FALSE,"M.42"}</definedName>
    <definedName name="__uu5" hidden="1">{#N/A,#N/A,FALSE,"M.41"}</definedName>
    <definedName name="__uyh123" hidden="1">{#N/A,#N/A,FALSE,"M.42"}</definedName>
    <definedName name="__we12" hidden="1">{#N/A,#N/A,FALSE,"M.33"}</definedName>
    <definedName name="__wer12" hidden="1">{#N/A,#N/A,FALSE,"M.43"}</definedName>
    <definedName name="__x213" hidden="1">{#N/A,#N/A,FALSE,"M.02"}</definedName>
    <definedName name="__x456" hidden="1">{#N/A,#N/A,FALSE,"M.42"}</definedName>
    <definedName name="__xd234" hidden="1">{#N/A,#N/A,FALSE,"M.02"}</definedName>
    <definedName name="__xlcn.WorksheetConnection_PrioritasEfisiensi.xlsxTable11" hidden="1">#REF!</definedName>
    <definedName name="__xlfn.BAHTTEXT" hidden="1">#NAME?</definedName>
    <definedName name="__xx23" hidden="1">{#N/A,#N/A,FALSE,"M.34"}</definedName>
    <definedName name="_0" hidden="1">#REF!,#REF!,#REF!</definedName>
    <definedName name="_1_______123Graph_ACHART_1" hidden="1">#REF!</definedName>
    <definedName name="_1_____123Graph_ACHART_1" hidden="1">#REF!</definedName>
    <definedName name="_1___123Graph_ACHART_1" hidden="1">#REF!</definedName>
    <definedName name="_1__123Graph_ACHART_10" hidden="1">#REF!</definedName>
    <definedName name="_1__123Graph_ACHART_2" hidden="1">#REF!</definedName>
    <definedName name="_1__123Graph_ACHART_3" localSheetId="0" hidden="1">#REF!</definedName>
    <definedName name="_1__123Graph_ACHART_3" hidden="1">#REF!</definedName>
    <definedName name="_1__123Graph_BCHART_1" hidden="1">#REF!</definedName>
    <definedName name="_10_______123Graph_ACHART_18" hidden="1">#REF!</definedName>
    <definedName name="_10_____123Graph_ACHART_18" hidden="1">#REF!</definedName>
    <definedName name="_10___123Graph_ACHART_18" hidden="1">#REF!</definedName>
    <definedName name="_10__123Graph_ACHART_18" hidden="1">#REF!</definedName>
    <definedName name="_10__123Graph_ACHART_19" hidden="1">#REF!</definedName>
    <definedName name="_10__123Graph_ACHART_5" hidden="1">#REF!</definedName>
    <definedName name="_10__123Graph_BCHART_5" hidden="1">#REF!</definedName>
    <definedName name="_10__123Graph_CCHART_4" hidden="1">#REF!</definedName>
    <definedName name="_10__123Graph_CCHART_5" hidden="1">#REF!</definedName>
    <definedName name="_100_______123Graph_FCHART_9" hidden="1">#REF!</definedName>
    <definedName name="_100_____123Graph_FCHART_9" hidden="1">#REF!</definedName>
    <definedName name="_100___123Graph_FCHART_9" hidden="1">#REF!</definedName>
    <definedName name="_100__123Graph_FCHART_9" hidden="1">#REF!</definedName>
    <definedName name="_101_______123Graph_LBL_ACHART_16" hidden="1">#REF!</definedName>
    <definedName name="_101_____123Graph_LBL_ACHART_16" hidden="1">#REF!</definedName>
    <definedName name="_101___123Graph_LBL_ACHART_16" hidden="1">#REF!</definedName>
    <definedName name="_101__123Graph_LBL_ACHART_16" hidden="1">#REF!</definedName>
    <definedName name="_102_______123Graph_LBL_ACHART_47" hidden="1">#REF!</definedName>
    <definedName name="_102_____123Graph_LBL_ACHART_47" hidden="1">#REF!</definedName>
    <definedName name="_102___123Graph_LBL_ACHART_47" hidden="1">#REF!</definedName>
    <definedName name="_102__123Graph_LBL_ACHART_47" hidden="1">#REF!</definedName>
    <definedName name="_102__123Graph_XCHART_1" hidden="1">#REF!</definedName>
    <definedName name="_103_______123Graph_LBL_ACHART_48" hidden="1">#REF!</definedName>
    <definedName name="_103_____123Graph_LBL_ACHART_48" hidden="1">#REF!</definedName>
    <definedName name="_103___123Graph_LBL_ACHART_48" hidden="1">#REF!</definedName>
    <definedName name="_103__123Graph_LBL_ACHART_48" hidden="1">#REF!</definedName>
    <definedName name="_104_______123Graph_LBL_ACHART_49" hidden="1">#REF!</definedName>
    <definedName name="_104_____123Graph_LBL_ACHART_49" hidden="1">#REF!</definedName>
    <definedName name="_104___123Graph_LBL_ACHART_49" hidden="1">#REF!</definedName>
    <definedName name="_104__123Graph_LBL_ACHART_49" hidden="1">#REF!</definedName>
    <definedName name="_105_______123Graph_LBL_BCHART_16" hidden="1">#REF!</definedName>
    <definedName name="_105_____123Graph_LBL_BCHART_16" hidden="1">#REF!</definedName>
    <definedName name="_105___123Graph_LBL_BCHART_16" hidden="1">#REF!</definedName>
    <definedName name="_105__123Graph_LBL_BCHART_16" hidden="1">#REF!</definedName>
    <definedName name="_106_______123Graph_LBL_BCHART_49" hidden="1">#REF!</definedName>
    <definedName name="_106_____123Graph_LBL_BCHART_49" hidden="1">#REF!</definedName>
    <definedName name="_106___123Graph_LBL_BCHART_49" hidden="1">#REF!</definedName>
    <definedName name="_106__123Graph_LBL_BCHART_49" hidden="1">#REF!</definedName>
    <definedName name="_107_______123Graph_LBL_CCHART_16" hidden="1">#REF!</definedName>
    <definedName name="_107_____123Graph_LBL_CCHART_16" hidden="1">#REF!</definedName>
    <definedName name="_107___123Graph_LBL_CCHART_16" hidden="1">#REF!</definedName>
    <definedName name="_107__123Graph_LBL_CCHART_16" hidden="1">#REF!</definedName>
    <definedName name="_108_______123Graph_LBL_DCHART_16" hidden="1">#REF!</definedName>
    <definedName name="_108_____123Graph_LBL_DCHART_16" hidden="1">#REF!</definedName>
    <definedName name="_108___123Graph_LBL_DCHART_16" hidden="1">#REF!</definedName>
    <definedName name="_108__123Graph_LBL_DCHART_16" hidden="1">#REF!</definedName>
    <definedName name="_108__123Graph_XCHART_2" hidden="1">#REF!</definedName>
    <definedName name="_109_______123Graph_LBL_DCHART_9" hidden="1">#REF!</definedName>
    <definedName name="_109_____123Graph_LBL_DCHART_9" hidden="1">#REF!</definedName>
    <definedName name="_109___123Graph_LBL_DCHART_9" hidden="1">#REF!</definedName>
    <definedName name="_109__123Graph_LBL_DCHART_9" hidden="1">#REF!</definedName>
    <definedName name="_11_______123Graph_ACHART_19" hidden="1">#REF!</definedName>
    <definedName name="_11_____123Graph_ACHART_19" hidden="1">#REF!</definedName>
    <definedName name="_11___123Graph_ACHART_19" hidden="1">#REF!</definedName>
    <definedName name="_11__123Graph_ACHART_1" hidden="1">#REF!</definedName>
    <definedName name="_11__123Graph_ACHART_19" hidden="1">#REF!</definedName>
    <definedName name="_11__123Graph_ACHART_2" hidden="1">#REF!</definedName>
    <definedName name="_11__123Graph_CCHART_1" hidden="1">#REF!</definedName>
    <definedName name="_11__123Graph_CCHART_5" hidden="1">#REF!</definedName>
    <definedName name="_11__123Graph_DCHART_1" hidden="1">#REF!</definedName>
    <definedName name="_110_______123Graph_LBL_ECHART_16" hidden="1">#REF!</definedName>
    <definedName name="_110_____123Graph_LBL_ECHART_16" hidden="1">#REF!</definedName>
    <definedName name="_110___123Graph_LBL_ECHART_16" hidden="1">#REF!</definedName>
    <definedName name="_110__123Graph_BCHART_5" hidden="1">#REF!</definedName>
    <definedName name="_110__123Graph_LBL_ECHART_16" hidden="1">#REF!</definedName>
    <definedName name="_111_______123Graph_LBL_FCHART_9" hidden="1">#REF!</definedName>
    <definedName name="_111_____123Graph_LBL_FCHART_9" hidden="1">#REF!</definedName>
    <definedName name="_111___123Graph_LBL_FCHART_9" hidden="1">#REF!</definedName>
    <definedName name="_111__123Graph_LBL_FCHART_9" hidden="1">#REF!</definedName>
    <definedName name="_112_______123Graph_XCHART_13" hidden="1">#REF!</definedName>
    <definedName name="_112_____123Graph_XCHART_13" hidden="1">#REF!</definedName>
    <definedName name="_112___123Graph_XCHART_13" hidden="1">#REF!</definedName>
    <definedName name="_112__123Graph_XCHART_13" hidden="1">#REF!</definedName>
    <definedName name="_113_______123Graph_XCHART_16" hidden="1">#REF!</definedName>
    <definedName name="_113_____123Graph_XCHART_16" hidden="1">#REF!</definedName>
    <definedName name="_113___123Graph_XCHART_16" hidden="1">#REF!</definedName>
    <definedName name="_113__123Graph_XCHART_16" hidden="1">#REF!</definedName>
    <definedName name="_114_______123Graph_XCHART_18" hidden="1">#REF!</definedName>
    <definedName name="_114_____123Graph_XCHART_18" hidden="1">#REF!</definedName>
    <definedName name="_114___123Graph_XCHART_18" hidden="1">#REF!</definedName>
    <definedName name="_114__123Graph_XCHART_18" hidden="1">#REF!</definedName>
    <definedName name="_114__123Graph_XCHART_3" hidden="1">#REF!</definedName>
    <definedName name="_115_______123Graph_XCHART_20" hidden="1">#REF!</definedName>
    <definedName name="_115_____123Graph_XCHART_20" hidden="1">#REF!</definedName>
    <definedName name="_115___123Graph_XCHART_20" hidden="1">#REF!</definedName>
    <definedName name="_115__123Graph_XCHART_20" hidden="1">#REF!</definedName>
    <definedName name="_116_______123Graph_XCHART_24" hidden="1">#REF!</definedName>
    <definedName name="_116_____123Graph_XCHART_24" hidden="1">#REF!</definedName>
    <definedName name="_116___123Graph_XCHART_24" hidden="1">#REF!</definedName>
    <definedName name="_116__123Graph_XCHART_24" hidden="1">#REF!</definedName>
    <definedName name="_117_______123Graph_XCHART_26" hidden="1">#REF!</definedName>
    <definedName name="_117_____123Graph_XCHART_26" hidden="1">#REF!</definedName>
    <definedName name="_117___123Graph_XCHART_26" hidden="1">#REF!</definedName>
    <definedName name="_117__123Graph_XCHART_26" hidden="1">#REF!</definedName>
    <definedName name="_118_______123Graph_XCHART_3" hidden="1">#REF!</definedName>
    <definedName name="_118_____123Graph_XCHART_3" hidden="1">#REF!</definedName>
    <definedName name="_118___123Graph_XCHART_3" hidden="1">#REF!</definedName>
    <definedName name="_118__123Graph_XCHART_3" hidden="1">#REF!</definedName>
    <definedName name="_119_______123Graph_XCHART_34" hidden="1">#REF!</definedName>
    <definedName name="_119_____123Graph_XCHART_34" hidden="1">#REF!</definedName>
    <definedName name="_119___123Graph_XCHART_34" hidden="1">#REF!</definedName>
    <definedName name="_119__123Graph_XCHART_34" hidden="1">#REF!</definedName>
    <definedName name="_12_______123Graph_ACHART_2" hidden="1">#REF!</definedName>
    <definedName name="_12_____123Graph_ACHART_2" hidden="1">#REF!</definedName>
    <definedName name="_12___123Graph_ACHART_2" hidden="1">#REF!</definedName>
    <definedName name="_12__123Graph_ACHART_2" hidden="1">#REF!</definedName>
    <definedName name="_12__123Graph_ACHART_20" hidden="1">#REF!</definedName>
    <definedName name="_12__123Graph_BCHART_1" hidden="1">#REF!</definedName>
    <definedName name="_12__123Graph_CCHART_2" hidden="1">#REF!</definedName>
    <definedName name="_12__123Graph_DCHART_1" hidden="1">#REF!</definedName>
    <definedName name="_12__123Graph_DCHART_4" hidden="1">#REF!</definedName>
    <definedName name="_120_______123Graph_XCHART_37" hidden="1">#REF!</definedName>
    <definedName name="_120_____123Graph_XCHART_37" hidden="1">#REF!</definedName>
    <definedName name="_120___123Graph_XCHART_37" hidden="1">#REF!</definedName>
    <definedName name="_120__123Graph_XCHART_37" hidden="1">#REF!</definedName>
    <definedName name="_120__123Graph_XCHART_4" hidden="1">#REF!</definedName>
    <definedName name="_121_______123Graph_XCHART_4" hidden="1">#REF!</definedName>
    <definedName name="_121_____123Graph_XCHART_4" hidden="1">#REF!</definedName>
    <definedName name="_121___123Graph_XCHART_4" hidden="1">#REF!</definedName>
    <definedName name="_121__123Graph_CCHART_1" hidden="1">#REF!</definedName>
    <definedName name="_121__123Graph_XCHART_4" hidden="1">#REF!</definedName>
    <definedName name="_122_______123Graph_XCHART_43" hidden="1">#REF!</definedName>
    <definedName name="_122_____123Graph_XCHART_43" hidden="1">#REF!</definedName>
    <definedName name="_122___123Graph_XCHART_43" hidden="1">#REF!</definedName>
    <definedName name="_122__123Graph_XCHART_43" hidden="1">#REF!</definedName>
    <definedName name="_123_______123Graph_XCHART_45" hidden="1">#REF!</definedName>
    <definedName name="_123_____123Graph_XCHART_45" hidden="1">#REF!</definedName>
    <definedName name="_123___123Graph_XCHART_45" hidden="1">#REF!</definedName>
    <definedName name="_123__123Graph_XCHART_45" hidden="1">#REF!</definedName>
    <definedName name="_124_______123Graph_XCHART_48" hidden="1">#REF!</definedName>
    <definedName name="_124_____123Graph_XCHART_48" hidden="1">#REF!</definedName>
    <definedName name="_124___123Graph_XCHART_48" hidden="1">#REF!</definedName>
    <definedName name="_124__123Graph_XCHART_48" hidden="1">#REF!</definedName>
    <definedName name="_125_______123Graph_XCHART_5" hidden="1">#REF!</definedName>
    <definedName name="_125_____123Graph_XCHART_5" hidden="1">#REF!</definedName>
    <definedName name="_125___123Graph_XCHART_5" hidden="1">#REF!</definedName>
    <definedName name="_125__123Graph_XCHART_5" hidden="1">#REF!</definedName>
    <definedName name="_126_______123Graph_XCHART_6" hidden="1">#REF!</definedName>
    <definedName name="_126_____123Graph_XCHART_6" hidden="1">#REF!</definedName>
    <definedName name="_126___123Graph_XCHART_6" hidden="1">#REF!</definedName>
    <definedName name="_126__123Graph_XCHART_5" hidden="1">#REF!</definedName>
    <definedName name="_126__123Graph_XCHART_6" hidden="1">#REF!</definedName>
    <definedName name="_127_______123Graph_XCHART_7" hidden="1">#REF!</definedName>
    <definedName name="_127_____123Graph_XCHART_7" hidden="1">#REF!</definedName>
    <definedName name="_127___123Graph_XCHART_7" hidden="1">#REF!</definedName>
    <definedName name="_127__123Graph_XCHART_7" hidden="1">#REF!</definedName>
    <definedName name="_128______123Graph_ACHART_1" hidden="1">#REF!</definedName>
    <definedName name="_128____123Graph_ACHART_1" hidden="1">#REF!</definedName>
    <definedName name="_128__123Graph_ACHART_1" hidden="1">#REF!</definedName>
    <definedName name="_129______123Graph_ACHART_10" hidden="1">#REF!</definedName>
    <definedName name="_129____123Graph_ACHART_10" hidden="1">#REF!</definedName>
    <definedName name="_129__123Graph_ACHART_10" hidden="1">#REF!</definedName>
    <definedName name="_13_______123Graph_ACHART_20" hidden="1">#REF!</definedName>
    <definedName name="_13_____123Graph_ACHART_20" hidden="1">#REF!</definedName>
    <definedName name="_13___123Graph_ACHART_20" hidden="1">#REF!</definedName>
    <definedName name="_13__123Graph_ACHART_20" hidden="1">#REF!</definedName>
    <definedName name="_13__123Graph_ACHART_21" hidden="1">#REF!</definedName>
    <definedName name="_13__123Graph_CCHART_3" hidden="1">#REF!</definedName>
    <definedName name="_13__123Graph_DCHART_4" hidden="1">#REF!</definedName>
    <definedName name="_13__123Graph_DCHART_5" hidden="1">#REF!</definedName>
    <definedName name="_130______123Graph_ACHART_11" hidden="1">#REF!</definedName>
    <definedName name="_130____123Graph_ACHART_11" hidden="1">#REF!</definedName>
    <definedName name="_130__123Graph_ACHART_11" hidden="1">#REF!</definedName>
    <definedName name="_131______123Graph_ACHART_12" hidden="1">#REF!</definedName>
    <definedName name="_131____123Graph_ACHART_12" hidden="1">#REF!</definedName>
    <definedName name="_131__123Graph_ACHART_12" hidden="1">#REF!</definedName>
    <definedName name="_132______123Graph_ACHART_13" hidden="1">#REF!</definedName>
    <definedName name="_132____123Graph_ACHART_13" hidden="1">#REF!</definedName>
    <definedName name="_132__123Graph_ACHART_13" hidden="1">#REF!</definedName>
    <definedName name="_132__123Graph_CCHART_2" hidden="1">#REF!</definedName>
    <definedName name="_133______123Graph_ACHART_14" hidden="1">#REF!</definedName>
    <definedName name="_133____123Graph_ACHART_14" hidden="1">#REF!</definedName>
    <definedName name="_133__123Graph_ACHART_14" hidden="1">#REF!</definedName>
    <definedName name="_134______123Graph_ACHART_15" hidden="1">#REF!</definedName>
    <definedName name="_134____123Graph_ACHART_15" hidden="1">#REF!</definedName>
    <definedName name="_134__123Graph_ACHART_15" hidden="1">#REF!</definedName>
    <definedName name="_135______123Graph_ACHART_16" hidden="1">#REF!</definedName>
    <definedName name="_135____123Graph_ACHART_16" hidden="1">#REF!</definedName>
    <definedName name="_135__123Graph_ACHART_16" hidden="1">#REF!</definedName>
    <definedName name="_136______123Graph_ACHART_17" hidden="1">#REF!</definedName>
    <definedName name="_136____123Graph_ACHART_17" hidden="1">#REF!</definedName>
    <definedName name="_136__123Graph_ACHART_17" hidden="1">#REF!</definedName>
    <definedName name="_137______123Graph_ACHART_18" hidden="1">#REF!</definedName>
    <definedName name="_137____123Graph_ACHART_18" hidden="1">#REF!</definedName>
    <definedName name="_137__123Graph_ACHART_18" hidden="1">#REF!</definedName>
    <definedName name="_138______123Graph_ACHART_19" hidden="1">#REF!</definedName>
    <definedName name="_138____123Graph_ACHART_19" hidden="1">#REF!</definedName>
    <definedName name="_138__123Graph_ACHART_19" hidden="1">#REF!</definedName>
    <definedName name="_139______123Graph_ACHART_2" hidden="1">#REF!</definedName>
    <definedName name="_139____123Graph_ACHART_2" hidden="1">#REF!</definedName>
    <definedName name="_139__123Graph_ACHART_2" hidden="1">#REF!</definedName>
    <definedName name="_14_______123Graph_ACHART_21" hidden="1">#REF!</definedName>
    <definedName name="_14_____123Graph_ACHART_21" hidden="1">#REF!</definedName>
    <definedName name="_14___123Graph_ACHART_21" hidden="1">#REF!</definedName>
    <definedName name="_14__123Graph_ACHART_21" hidden="1">#REF!</definedName>
    <definedName name="_14__123Graph_ACHART_22" hidden="1">#REF!</definedName>
    <definedName name="_14__123Graph_BCHART_2" hidden="1">#REF!</definedName>
    <definedName name="_14__123Graph_CCHART_4" hidden="1">#REF!</definedName>
    <definedName name="_14__123Graph_DCHART_5" hidden="1">#REF!</definedName>
    <definedName name="_14__123Graph_ECHART_1" hidden="1">#REF!</definedName>
    <definedName name="_140______123Graph_ACHART_20" hidden="1">#REF!</definedName>
    <definedName name="_140____123Graph_ACHART_20" hidden="1">#REF!</definedName>
    <definedName name="_140__123Graph_ACHART_20" hidden="1">#REF!</definedName>
    <definedName name="_141______123Graph_ACHART_21" hidden="1">#REF!</definedName>
    <definedName name="_141____123Graph_ACHART_21" hidden="1">#REF!</definedName>
    <definedName name="_141__123Graph_ACHART_21" hidden="1">#REF!</definedName>
    <definedName name="_142______123Graph_ACHART_22" hidden="1">#REF!</definedName>
    <definedName name="_142____123Graph_ACHART_22" hidden="1">#REF!</definedName>
    <definedName name="_142__123Graph_ACHART_22" hidden="1">#REF!</definedName>
    <definedName name="_143______123Graph_ACHART_23" hidden="1">#REF!</definedName>
    <definedName name="_143____123Graph_ACHART_23" hidden="1">#REF!</definedName>
    <definedName name="_143__123Graph_ACHART_23" hidden="1">#REF!</definedName>
    <definedName name="_143__123Graph_CCHART_3" hidden="1">#REF!</definedName>
    <definedName name="_144______123Graph_ACHART_24" hidden="1">#REF!</definedName>
    <definedName name="_144____123Graph_ACHART_24" hidden="1">#REF!</definedName>
    <definedName name="_144__123Graph_ACHART_24" hidden="1">#REF!</definedName>
    <definedName name="_145______123Graph_ACHART_25" hidden="1">#REF!</definedName>
    <definedName name="_145____123Graph_ACHART_25" hidden="1">#REF!</definedName>
    <definedName name="_145__123Graph_ACHART_25" hidden="1">#REF!</definedName>
    <definedName name="_146______123Graph_ACHART_26" hidden="1">#REF!</definedName>
    <definedName name="_146____123Graph_ACHART_26" hidden="1">#REF!</definedName>
    <definedName name="_146__123Graph_ACHART_26" hidden="1">#REF!</definedName>
    <definedName name="_147______123Graph_ACHART_27" hidden="1">#REF!</definedName>
    <definedName name="_147____123Graph_ACHART_27" hidden="1">#REF!</definedName>
    <definedName name="_147__123Graph_ACHART_27" hidden="1">#REF!</definedName>
    <definedName name="_148______123Graph_ACHART_28" hidden="1">#REF!</definedName>
    <definedName name="_148____123Graph_ACHART_28" hidden="1">#REF!</definedName>
    <definedName name="_148__123Graph_ACHART_28" hidden="1">#REF!</definedName>
    <definedName name="_149______123Graph_ACHART_29" hidden="1">#REF!</definedName>
    <definedName name="_149____123Graph_ACHART_29" hidden="1">#REF!</definedName>
    <definedName name="_149__123Graph_ACHART_29" hidden="1">#REF!</definedName>
    <definedName name="_15_______123Graph_ACHART_22" hidden="1">#REF!</definedName>
    <definedName name="_15_____123Graph_ACHART_22" hidden="1">#REF!</definedName>
    <definedName name="_15___123Graph_ACHART_2" hidden="1">#REF!</definedName>
    <definedName name="_15___123Graph_ACHART_22" hidden="1">#REF!</definedName>
    <definedName name="_15__123Graph_ACHART_22" hidden="1">#REF!</definedName>
    <definedName name="_15__123Graph_ACHART_23" hidden="1">#REF!</definedName>
    <definedName name="_15__123Graph_CCHART_5" hidden="1">#REF!</definedName>
    <definedName name="_15__123Graph_ECHART_1" hidden="1">#REF!</definedName>
    <definedName name="_15__123Graph_ECHART_4" hidden="1">#REF!</definedName>
    <definedName name="_150______123Graph_ACHART_3" hidden="1">#REF!</definedName>
    <definedName name="_150____123Graph_ACHART_3" hidden="1">#REF!</definedName>
    <definedName name="_150__123Graph_ACHART_3" hidden="1">#REF!</definedName>
    <definedName name="_151______123Graph_ACHART_31" hidden="1">#REF!</definedName>
    <definedName name="_151____123Graph_ACHART_31" hidden="1">#REF!</definedName>
    <definedName name="_151__123Graph_ACHART_31" hidden="1">#REF!</definedName>
    <definedName name="_152______123Graph_ACHART_32" hidden="1">#REF!</definedName>
    <definedName name="_152____123Graph_ACHART_32" hidden="1">#REF!</definedName>
    <definedName name="_152__123Graph_ACHART_32" hidden="1">#REF!</definedName>
    <definedName name="_153______123Graph_ACHART_33" hidden="1">#REF!</definedName>
    <definedName name="_153____123Graph_ACHART_33" hidden="1">#REF!</definedName>
    <definedName name="_153__123Graph_ACHART_33" hidden="1">#REF!</definedName>
    <definedName name="_154______123Graph_ACHART_34" hidden="1">#REF!</definedName>
    <definedName name="_154____123Graph_ACHART_34" hidden="1">#REF!</definedName>
    <definedName name="_154__123Graph_ACHART_34" hidden="1">#REF!</definedName>
    <definedName name="_154__123Graph_CCHART_4" hidden="1">#REF!</definedName>
    <definedName name="_155______123Graph_ACHART_35" hidden="1">#REF!</definedName>
    <definedName name="_155____123Graph_ACHART_35" hidden="1">#REF!</definedName>
    <definedName name="_155__123Graph_ACHART_35" hidden="1">#REF!</definedName>
    <definedName name="_156______123Graph_ACHART_36" hidden="1">#REF!</definedName>
    <definedName name="_156____123Graph_ACHART_36" hidden="1">#REF!</definedName>
    <definedName name="_156__123Graph_ACHART_36" hidden="1">#REF!</definedName>
    <definedName name="_157______123Graph_ACHART_37" hidden="1">#REF!</definedName>
    <definedName name="_157____123Graph_ACHART_37" hidden="1">#REF!</definedName>
    <definedName name="_157__123Graph_ACHART_37" hidden="1">#REF!</definedName>
    <definedName name="_158______123Graph_ACHART_4" hidden="1">#REF!</definedName>
    <definedName name="_158____123Graph_ACHART_4" hidden="1">#REF!</definedName>
    <definedName name="_158__123Graph_ACHART_4" hidden="1">#REF!</definedName>
    <definedName name="_159______123Graph_ACHART_41" hidden="1">#REF!</definedName>
    <definedName name="_159____123Graph_ACHART_41" hidden="1">#REF!</definedName>
    <definedName name="_159__123Graph_ACHART_41" hidden="1">#REF!</definedName>
    <definedName name="_16_______123Graph_ACHART_23" hidden="1">#REF!</definedName>
    <definedName name="_16_____123Graph_ACHART_23" hidden="1">#REF!</definedName>
    <definedName name="_16___123Graph_ACHART_23" hidden="1">#REF!</definedName>
    <definedName name="_16___123Graph_BCHART_2" hidden="1">#REF!</definedName>
    <definedName name="_16__123Graph_ACHART_23" hidden="1">#REF!</definedName>
    <definedName name="_16__123Graph_ACHART_24" hidden="1">#REF!</definedName>
    <definedName name="_16__123Graph_BCHART_3" hidden="1">#REF!</definedName>
    <definedName name="_16__123Graph_DCHART_5" hidden="1">#REF!</definedName>
    <definedName name="_16__123Graph_ECHART_4" hidden="1">#REF!</definedName>
    <definedName name="_16__123Graph_ECHART_5" hidden="1">#REF!</definedName>
    <definedName name="_160______123Graph_ACHART_42" hidden="1">#REF!</definedName>
    <definedName name="_160____123Graph_ACHART_42" hidden="1">#REF!</definedName>
    <definedName name="_160__123Graph_ACHART_42" hidden="1">#REF!</definedName>
    <definedName name="_161______123Graph_ACHART_43" hidden="1">#REF!</definedName>
    <definedName name="_161____123Graph_ACHART_43" hidden="1">#REF!</definedName>
    <definedName name="_161__123Graph_ACHART_43" hidden="1">#REF!</definedName>
    <definedName name="_162______123Graph_ACHART_44" hidden="1">#REF!</definedName>
    <definedName name="_162____123Graph_ACHART_44" hidden="1">#REF!</definedName>
    <definedName name="_162__123Graph_ACHART_44" hidden="1">#REF!</definedName>
    <definedName name="_163______123Graph_ACHART_45" hidden="1">#REF!</definedName>
    <definedName name="_163____123Graph_ACHART_45" hidden="1">#REF!</definedName>
    <definedName name="_163__123Graph_ACHART_45" hidden="1">#REF!</definedName>
    <definedName name="_164______123Graph_ACHART_46" hidden="1">#REF!</definedName>
    <definedName name="_164____123Graph_ACHART_46" hidden="1">#REF!</definedName>
    <definedName name="_164__123Graph_ACHART_46" hidden="1">#REF!</definedName>
    <definedName name="_165______123Graph_ACHART_47" hidden="1">#REF!</definedName>
    <definedName name="_165____123Graph_ACHART_47" hidden="1">#REF!</definedName>
    <definedName name="_165__123Graph_ACHART_47" hidden="1">#REF!</definedName>
    <definedName name="_165__123Graph_CCHART_5" hidden="1">#REF!</definedName>
    <definedName name="_166______123Graph_ACHART_48" hidden="1">#REF!</definedName>
    <definedName name="_166____123Graph_ACHART_48" hidden="1">#REF!</definedName>
    <definedName name="_166__123Graph_ACHART_48" hidden="1">#REF!</definedName>
    <definedName name="_167______123Graph_ACHART_49" hidden="1">#REF!</definedName>
    <definedName name="_167____123Graph_ACHART_49" hidden="1">#REF!</definedName>
    <definedName name="_167__123Graph_ACHART_49" hidden="1">#REF!</definedName>
    <definedName name="_168______123Graph_ACHART_5" hidden="1">#REF!</definedName>
    <definedName name="_168____123Graph_ACHART_5" hidden="1">#REF!</definedName>
    <definedName name="_168__123Graph_ACHART_5" hidden="1">#REF!</definedName>
    <definedName name="_169______123Graph_ACHART_6" hidden="1">#REF!</definedName>
    <definedName name="_169____123Graph_ACHART_6" hidden="1">#REF!</definedName>
    <definedName name="_169__123Graph_ACHART_6" hidden="1">#REF!</definedName>
    <definedName name="_17_______123Graph_ACHART_24" hidden="1">#REF!</definedName>
    <definedName name="_17_____123Graph_ACHART_24" hidden="1">#REF!</definedName>
    <definedName name="_17___123Graph_ACHART_24" hidden="1">#REF!</definedName>
    <definedName name="_17___123Graph_CCHART_2" hidden="1">#REF!</definedName>
    <definedName name="_17__123Graph_ACHART_24" hidden="1">#REF!</definedName>
    <definedName name="_17__123Graph_ACHART_27" hidden="1">#REF!</definedName>
    <definedName name="_17__123Graph_ECHART_5" hidden="1">#REF!</definedName>
    <definedName name="_17__123Graph_FCHART_1" hidden="1">#REF!</definedName>
    <definedName name="_17__123Graph_XCHART_1" hidden="1">#REF!</definedName>
    <definedName name="_170______123Graph_ACHART_7" hidden="1">#REF!</definedName>
    <definedName name="_170____123Graph_ACHART_7" hidden="1">#REF!</definedName>
    <definedName name="_170__123Graph_ACHART_7" hidden="1">#REF!</definedName>
    <definedName name="_171______123Graph_ACHART_8" hidden="1">#REF!</definedName>
    <definedName name="_171____123Graph_ACHART_8" hidden="1">#REF!</definedName>
    <definedName name="_171__123Graph_ACHART_8" hidden="1">#REF!</definedName>
    <definedName name="_172______123Graph_ACHART_9" hidden="1">#REF!</definedName>
    <definedName name="_172____123Graph_ACHART_9" hidden="1">#REF!</definedName>
    <definedName name="_172__123Graph_ACHART_9" hidden="1">#REF!</definedName>
    <definedName name="_173______123Graph_BCHART_10" hidden="1">#REF!</definedName>
    <definedName name="_173____123Graph_BCHART_10" hidden="1">#REF!</definedName>
    <definedName name="_173__123Graph_BCHART_10" hidden="1">#REF!</definedName>
    <definedName name="_174______123Graph_BCHART_13" hidden="1">#REF!</definedName>
    <definedName name="_174____123Graph_BCHART_13" hidden="1">#REF!</definedName>
    <definedName name="_174__123Graph_BCHART_13" hidden="1">#REF!</definedName>
    <definedName name="_175______123Graph_BCHART_16" hidden="1">#REF!</definedName>
    <definedName name="_175____123Graph_BCHART_16" hidden="1">#REF!</definedName>
    <definedName name="_175__123Graph_BCHART_16" hidden="1">#REF!</definedName>
    <definedName name="_176______123Graph_BCHART_17" hidden="1">#REF!</definedName>
    <definedName name="_176____123Graph_BCHART_17" hidden="1">#REF!</definedName>
    <definedName name="_176__123Graph_BCHART_17" hidden="1">#REF!</definedName>
    <definedName name="_176__123Graph_DCHART_5" hidden="1">#REF!</definedName>
    <definedName name="_177______123Graph_BCHART_19" hidden="1">#REF!</definedName>
    <definedName name="_177____123Graph_BCHART_19" hidden="1">#REF!</definedName>
    <definedName name="_177__123Graph_BCHART_19" hidden="1">#REF!</definedName>
    <definedName name="_178______123Graph_BCHART_2" hidden="1">#REF!</definedName>
    <definedName name="_178____123Graph_BCHART_2" hidden="1">#REF!</definedName>
    <definedName name="_178__123Graph_BCHART_2" hidden="1">#REF!</definedName>
    <definedName name="_179______123Graph_BCHART_20" hidden="1">#REF!</definedName>
    <definedName name="_179____123Graph_BCHART_20" hidden="1">#REF!</definedName>
    <definedName name="_179__123Graph_BCHART_20" hidden="1">#REF!</definedName>
    <definedName name="_18_______123Graph_ACHART_25" hidden="1">#REF!</definedName>
    <definedName name="_18_____123Graph_ACHART_25" hidden="1">#REF!</definedName>
    <definedName name="_18___123Graph_ACHART_25" hidden="1">#REF!</definedName>
    <definedName name="_18___123Graph_LBL_ACHART_2" hidden="1">#REF!</definedName>
    <definedName name="_18__123Graph_ACHART_25" hidden="1">#REF!</definedName>
    <definedName name="_18__123Graph_ACHART_28" hidden="1">#REF!</definedName>
    <definedName name="_18__123Graph_ACHART_3" hidden="1">#REF!</definedName>
    <definedName name="_18__123Graph_BCHART_4" hidden="1">#REF!</definedName>
    <definedName name="_18__123Graph_FCHART_1" hidden="1">#REF!</definedName>
    <definedName name="_18__123Graph_FCHART_4" hidden="1">#REF!</definedName>
    <definedName name="_18__123Graph_XCHART_2" hidden="1">#REF!</definedName>
    <definedName name="_180______123Graph_BCHART_21" hidden="1">#REF!</definedName>
    <definedName name="_180____123Graph_BCHART_21" hidden="1">#REF!</definedName>
    <definedName name="_180__123Graph_BCHART_21" hidden="1">#REF!</definedName>
    <definedName name="_181______123Graph_BCHART_22" hidden="1">#REF!</definedName>
    <definedName name="_181____123Graph_BCHART_22" hidden="1">#REF!</definedName>
    <definedName name="_181__123Graph_BCHART_22" hidden="1">#REF!</definedName>
    <definedName name="_182______123Graph_BCHART_27" hidden="1">#REF!</definedName>
    <definedName name="_182____123Graph_BCHART_27" hidden="1">#REF!</definedName>
    <definedName name="_182__123Graph_BCHART_27" hidden="1">#REF!</definedName>
    <definedName name="_183______123Graph_BCHART_28" hidden="1">#REF!</definedName>
    <definedName name="_183____123Graph_BCHART_28" hidden="1">#REF!</definedName>
    <definedName name="_183__123Graph_BCHART_28" hidden="1">#REF!</definedName>
    <definedName name="_184______123Graph_BCHART_29" hidden="1">#REF!</definedName>
    <definedName name="_184____123Graph_BCHART_29" hidden="1">#REF!</definedName>
    <definedName name="_184__123Graph_BCHART_29" hidden="1">#REF!</definedName>
    <definedName name="_185______123Graph_BCHART_3" hidden="1">#REF!</definedName>
    <definedName name="_185____123Graph_BCHART_3" hidden="1">#REF!</definedName>
    <definedName name="_185__123Graph_BCHART_3" hidden="1">#REF!</definedName>
    <definedName name="_186______123Graph_BCHART_31" hidden="1">#REF!</definedName>
    <definedName name="_186____123Graph_BCHART_31" hidden="1">#REF!</definedName>
    <definedName name="_186__123Graph_BCHART_31" hidden="1">#REF!</definedName>
    <definedName name="_187______123Graph_BCHART_32" hidden="1">#REF!</definedName>
    <definedName name="_187____123Graph_BCHART_32" hidden="1">#REF!</definedName>
    <definedName name="_187__123Graph_BCHART_32" hidden="1">#REF!</definedName>
    <definedName name="_187__123Graph_XCHART_1" hidden="1">#REF!</definedName>
    <definedName name="_188______123Graph_BCHART_33" hidden="1">#REF!</definedName>
    <definedName name="_188____123Graph_BCHART_33" hidden="1">#REF!</definedName>
    <definedName name="_188__123Graph_BCHART_33" hidden="1">#REF!</definedName>
    <definedName name="_189______123Graph_BCHART_34" hidden="1">#REF!</definedName>
    <definedName name="_189____123Graph_BCHART_34" hidden="1">#REF!</definedName>
    <definedName name="_189__123Graph_BCHART_34" hidden="1">#REF!</definedName>
    <definedName name="_19_______123Graph_ACHART_26" hidden="1">#REF!</definedName>
    <definedName name="_19_____123Graph_ACHART_26" hidden="1">#REF!</definedName>
    <definedName name="_19___123Graph_ACHART_26" hidden="1">#REF!</definedName>
    <definedName name="_19___123Graph_LBL_BCHART_2" hidden="1">#REF!</definedName>
    <definedName name="_19__123Graph_ACHART_26" hidden="1">#REF!</definedName>
    <definedName name="_19__123Graph_ACHART_3" hidden="1">#REF!</definedName>
    <definedName name="_19__123Graph_FCHART_4" hidden="1">#REF!</definedName>
    <definedName name="_19__123Graph_FCHART_5" hidden="1">#REF!</definedName>
    <definedName name="_19__123Graph_XCHART_3" hidden="1">#REF!</definedName>
    <definedName name="_190______123Graph_BCHART_35" hidden="1">#REF!</definedName>
    <definedName name="_190____123Graph_BCHART_35" hidden="1">#REF!</definedName>
    <definedName name="_190__123Graph_BCHART_35" hidden="1">#REF!</definedName>
    <definedName name="_191______123Graph_BCHART_36" hidden="1">#REF!</definedName>
    <definedName name="_191____123Graph_BCHART_36" hidden="1">#REF!</definedName>
    <definedName name="_191__123Graph_BCHART_36" hidden="1">#REF!</definedName>
    <definedName name="_192______123Graph_BCHART_4" hidden="1">#REF!</definedName>
    <definedName name="_192____123Graph_BCHART_4" hidden="1">#REF!</definedName>
    <definedName name="_192__123Graph_BCHART_4" hidden="1">#REF!</definedName>
    <definedName name="_193______123Graph_BCHART_41" hidden="1">#REF!</definedName>
    <definedName name="_193____123Graph_BCHART_41" hidden="1">#REF!</definedName>
    <definedName name="_193__123Graph_BCHART_41" hidden="1">#REF!</definedName>
    <definedName name="_194______123Graph_BCHART_42" hidden="1">#REF!</definedName>
    <definedName name="_194____123Graph_BCHART_42" hidden="1">#REF!</definedName>
    <definedName name="_194__123Graph_BCHART_42" hidden="1">#REF!</definedName>
    <definedName name="_195______123Graph_BCHART_43" hidden="1">#REF!</definedName>
    <definedName name="_195____123Graph_BCHART_43" hidden="1">#REF!</definedName>
    <definedName name="_195__123Graph_BCHART_43" hidden="1">#REF!</definedName>
    <definedName name="_196______123Graph_BCHART_44" hidden="1">#REF!</definedName>
    <definedName name="_196____123Graph_BCHART_44" hidden="1">#REF!</definedName>
    <definedName name="_196__123Graph_BCHART_44" hidden="1">#REF!</definedName>
    <definedName name="_197______123Graph_BCHART_45" hidden="1">#REF!</definedName>
    <definedName name="_197____123Graph_BCHART_45" hidden="1">#REF!</definedName>
    <definedName name="_197__123Graph_BCHART_45" hidden="1">#REF!</definedName>
    <definedName name="_198______123Graph_BCHART_46" hidden="1">#REF!</definedName>
    <definedName name="_198____123Graph_BCHART_46" hidden="1">#REF!</definedName>
    <definedName name="_198__123Graph_BCHART_46" hidden="1">#REF!</definedName>
    <definedName name="_198__123Graph_XCHART_2" hidden="1">#REF!</definedName>
    <definedName name="_199______123Graph_BCHART_49" hidden="1">#REF!</definedName>
    <definedName name="_199____123Graph_BCHART_49" hidden="1">#REF!</definedName>
    <definedName name="_199__123Graph_BCHART_49" hidden="1">#REF!</definedName>
    <definedName name="_2_______123Graph_ACHART_10" hidden="1">#REF!</definedName>
    <definedName name="_2_____123Graph_ACHART_10" hidden="1">#REF!</definedName>
    <definedName name="_2___123Graph_ACHART_10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BCHART_2" hidden="1">#REF!</definedName>
    <definedName name="_20_______123Graph_ACHART_27" hidden="1">#REF!</definedName>
    <definedName name="_20_____123Graph_ACHART_27" hidden="1">#REF!</definedName>
    <definedName name="_20___123Graph_ACHART_27" hidden="1">#REF!</definedName>
    <definedName name="_20___123Graph_LBL_CCHART_2" hidden="1">#REF!</definedName>
    <definedName name="_20__123Graph_ACHART_27" hidden="1">#REF!</definedName>
    <definedName name="_20__123Graph_ACHART_35" hidden="1">#REF!</definedName>
    <definedName name="_20__123Graph_BCHART_5" hidden="1">#REF!</definedName>
    <definedName name="_20__123Graph_FCHART_5" hidden="1">#REF!</definedName>
    <definedName name="_20__123Graph_XCHART_4" hidden="1">#REF!</definedName>
    <definedName name="_200______123Graph_BCHART_5" hidden="1">#REF!</definedName>
    <definedName name="_200____123Graph_BCHART_5" hidden="1">#REF!</definedName>
    <definedName name="_200__123Graph_BCHART_5" hidden="1">#REF!</definedName>
    <definedName name="_201______123Graph_BCHART_6" hidden="1">#REF!</definedName>
    <definedName name="_201____123Graph_BCHART_6" hidden="1">#REF!</definedName>
    <definedName name="_201__123Graph_BCHART_6" hidden="1">#REF!</definedName>
    <definedName name="_202______123Graph_BCHART_7" hidden="1">#REF!</definedName>
    <definedName name="_202____123Graph_BCHART_7" hidden="1">#REF!</definedName>
    <definedName name="_202__123Graph_BCHART_7" hidden="1">#REF!</definedName>
    <definedName name="_203______123Graph_BCHART_8" hidden="1">#REF!</definedName>
    <definedName name="_203____123Graph_BCHART_8" hidden="1">#REF!</definedName>
    <definedName name="_203__123Graph_BCHART_8" hidden="1">#REF!</definedName>
    <definedName name="_204______123Graph_BCHART_9" hidden="1">#REF!</definedName>
    <definedName name="_204____123Graph_BCHART_9" hidden="1">#REF!</definedName>
    <definedName name="_204__123Graph_BCHART_9" hidden="1">#REF!</definedName>
    <definedName name="_205______123Graph_CCHART_16" hidden="1">#REF!</definedName>
    <definedName name="_205____123Graph_CCHART_16" hidden="1">#REF!</definedName>
    <definedName name="_205__123Graph_CCHART_16" hidden="1">#REF!</definedName>
    <definedName name="_206______123Graph_CCHART_20" hidden="1">#REF!</definedName>
    <definedName name="_206____123Graph_CCHART_20" hidden="1">#REF!</definedName>
    <definedName name="_206__123Graph_CCHART_20" hidden="1">#REF!</definedName>
    <definedName name="_207______123Graph_CCHART_21" hidden="1">#REF!</definedName>
    <definedName name="_207____123Graph_CCHART_21" hidden="1">#REF!</definedName>
    <definedName name="_207__123Graph_CCHART_21" hidden="1">#REF!</definedName>
    <definedName name="_208______123Graph_CCHART_22" hidden="1">#REF!</definedName>
    <definedName name="_208____123Graph_CCHART_22" hidden="1">#REF!</definedName>
    <definedName name="_208__123Graph_CCHART_22" hidden="1">#REF!</definedName>
    <definedName name="_209______123Graph_CCHART_27" hidden="1">#REF!</definedName>
    <definedName name="_209____123Graph_CCHART_27" hidden="1">#REF!</definedName>
    <definedName name="_209__123Graph_CCHART_27" hidden="1">#REF!</definedName>
    <definedName name="_209__123Graph_XCHART_3" hidden="1">#REF!</definedName>
    <definedName name="_21_______123Graph_ACHART_28" hidden="1">#REF!</definedName>
    <definedName name="_21_____123Graph_ACHART_28" hidden="1">#REF!</definedName>
    <definedName name="_21___123Graph_ACHART_28" hidden="1">#REF!</definedName>
    <definedName name="_21___123Graph_XCHART_2" hidden="1">#REF!</definedName>
    <definedName name="_21__123Graph_ACHART_28" hidden="1">#REF!</definedName>
    <definedName name="_21__123Graph_ACHART_4" hidden="1">#REF!</definedName>
    <definedName name="_21__123Graph_XCHART_5" hidden="1">#REF!</definedName>
    <definedName name="_210______123Graph_CCHART_31" hidden="1">#REF!</definedName>
    <definedName name="_210____123Graph_CCHART_31" hidden="1">#REF!</definedName>
    <definedName name="_210__123Graph_CCHART_31" hidden="1">#REF!</definedName>
    <definedName name="_211______123Graph_CCHART_33" hidden="1">#REF!</definedName>
    <definedName name="_211____123Graph_CCHART_33" hidden="1">#REF!</definedName>
    <definedName name="_211__123Graph_CCHART_33" hidden="1">#REF!</definedName>
    <definedName name="_212______123Graph_CCHART_35" hidden="1">#REF!</definedName>
    <definedName name="_212____123Graph_CCHART_35" hidden="1">#REF!</definedName>
    <definedName name="_212__123Graph_CCHART_35" hidden="1">#REF!</definedName>
    <definedName name="_213______123Graph_CCHART_41" hidden="1">#REF!</definedName>
    <definedName name="_213____123Graph_CCHART_41" hidden="1">#REF!</definedName>
    <definedName name="_213__123Graph_CCHART_41" hidden="1">#REF!</definedName>
    <definedName name="_214______123Graph_CCHART_42" hidden="1">#REF!</definedName>
    <definedName name="_214____123Graph_CCHART_42" hidden="1">#REF!</definedName>
    <definedName name="_214__123Graph_CCHART_42" hidden="1">#REF!</definedName>
    <definedName name="_215______123Graph_CCHART_44" hidden="1">#REF!</definedName>
    <definedName name="_215____123Graph_CCHART_44" hidden="1">#REF!</definedName>
    <definedName name="_215__123Graph_CCHART_44" hidden="1">#REF!</definedName>
    <definedName name="_216______123Graph_CCHART_46" hidden="1">#REF!</definedName>
    <definedName name="_216____123Graph_CCHART_46" hidden="1">#REF!</definedName>
    <definedName name="_216__123Graph_CCHART_46" hidden="1">#REF!</definedName>
    <definedName name="_217______123Graph_CCHART_8" hidden="1">#REF!</definedName>
    <definedName name="_217____123Graph_CCHART_8" hidden="1">#REF!</definedName>
    <definedName name="_217__123Graph_CCHART_8" hidden="1">#REF!</definedName>
    <definedName name="_218______123Graph_CCHART_9" hidden="1">#REF!</definedName>
    <definedName name="_218____123Graph_CCHART_9" hidden="1">#REF!</definedName>
    <definedName name="_218__123Graph_CCHART_9" hidden="1">#REF!</definedName>
    <definedName name="_219______123Graph_DCHART_16" hidden="1">#REF!</definedName>
    <definedName name="_219____123Graph_DCHART_16" hidden="1">#REF!</definedName>
    <definedName name="_219__123Graph_DCHART_16" hidden="1">#REF!</definedName>
    <definedName name="_22_______123Graph_ACHART_29" hidden="1">#REF!</definedName>
    <definedName name="_22_____123Graph_ACHART_29" hidden="1">#REF!</definedName>
    <definedName name="_22___123Graph_ACHART_29" hidden="1">#REF!</definedName>
    <definedName name="_22__123Graph_ACHART_2" hidden="1">#REF!</definedName>
    <definedName name="_22__123Graph_ACHART_29" hidden="1">#REF!</definedName>
    <definedName name="_22__123Graph_ACHART_41" hidden="1">#REF!</definedName>
    <definedName name="_22__123Graph_CCHART_1" hidden="1">#REF!</definedName>
    <definedName name="_220______123Graph_DCHART_22" hidden="1">#REF!</definedName>
    <definedName name="_220____123Graph_DCHART_22" hidden="1">#REF!</definedName>
    <definedName name="_220__123Graph_DCHART_22" hidden="1">#REF!</definedName>
    <definedName name="_220__123Graph_XCHART_4" hidden="1">#REF!</definedName>
    <definedName name="_221______123Graph_DCHART_44" hidden="1">#REF!</definedName>
    <definedName name="_221____123Graph_DCHART_44" hidden="1">#REF!</definedName>
    <definedName name="_221__123Graph_DCHART_44" hidden="1">#REF!</definedName>
    <definedName name="_222______123Graph_DCHART_9" hidden="1">#REF!</definedName>
    <definedName name="_222____123Graph_DCHART_9" hidden="1">#REF!</definedName>
    <definedName name="_222__123Graph_DCHART_9" hidden="1">#REF!</definedName>
    <definedName name="_223______123Graph_ECHART_16" hidden="1">#REF!</definedName>
    <definedName name="_223____123Graph_ECHART_16" hidden="1">#REF!</definedName>
    <definedName name="_223__123Graph_ECHART_16" hidden="1">#REF!</definedName>
    <definedName name="_224______123Graph_ECHART_22" hidden="1">#REF!</definedName>
    <definedName name="_224____123Graph_ECHART_22" hidden="1">#REF!</definedName>
    <definedName name="_224__123Graph_ECHART_22" hidden="1">#REF!</definedName>
    <definedName name="_225______123Graph_ECHART_9" hidden="1">#REF!</definedName>
    <definedName name="_225____123Graph_ECHART_9" hidden="1">#REF!</definedName>
    <definedName name="_225__123Graph_ECHART_9" hidden="1">#REF!</definedName>
    <definedName name="_226______123Graph_FCHART_22" hidden="1">#REF!</definedName>
    <definedName name="_226____123Graph_FCHART_22" hidden="1">#REF!</definedName>
    <definedName name="_226__123Graph_FCHART_22" hidden="1">#REF!</definedName>
    <definedName name="_227______123Graph_FCHART_9" hidden="1">#REF!</definedName>
    <definedName name="_227____123Graph_FCHART_9" hidden="1">#REF!</definedName>
    <definedName name="_227__123Graph_FCHART_9" hidden="1">#REF!</definedName>
    <definedName name="_228______123Graph_LBL_ACHART_16" hidden="1">#REF!</definedName>
    <definedName name="_228____123Graph_LBL_ACHART_16" hidden="1">#REF!</definedName>
    <definedName name="_228__123Graph_LBL_ACHART_16" hidden="1">#REF!</definedName>
    <definedName name="_229______123Graph_LBL_ACHART_47" hidden="1">#REF!</definedName>
    <definedName name="_229____123Graph_LBL_ACHART_47" hidden="1">#REF!</definedName>
    <definedName name="_229__123Graph_LBL_ACHART_47" hidden="1">#REF!</definedName>
    <definedName name="_23_______123Graph_ACHART_3" hidden="1">#REF!</definedName>
    <definedName name="_23_____123Graph_ACHART_3" hidden="1">#REF!</definedName>
    <definedName name="_23___123Graph_ACHART_3" hidden="1">#REF!</definedName>
    <definedName name="_23__123Graph_ACHART_3" hidden="1">#REF!</definedName>
    <definedName name="_23__123Graph_ACHART_44" hidden="1">#REF!</definedName>
    <definedName name="_23__123Graph_BCHART_2" hidden="1">#REF!</definedName>
    <definedName name="_230______123Graph_LBL_ACHART_48" hidden="1">#REF!</definedName>
    <definedName name="_230____123Graph_LBL_ACHART_48" hidden="1">#REF!</definedName>
    <definedName name="_230__123Graph_LBL_ACHART_48" hidden="1">#REF!</definedName>
    <definedName name="_231______123Graph_LBL_ACHART_49" hidden="1">#REF!</definedName>
    <definedName name="_231____123Graph_LBL_ACHART_49" hidden="1">#REF!</definedName>
    <definedName name="_231__123Graph_LBL_ACHART_49" hidden="1">#REF!</definedName>
    <definedName name="_231__123Graph_XCHART_5" hidden="1">#REF!</definedName>
    <definedName name="_232______123Graph_LBL_BCHART_16" hidden="1">#REF!</definedName>
    <definedName name="_232____123Graph_LBL_BCHART_16" hidden="1">#REF!</definedName>
    <definedName name="_232__123Graph_LBL_BCHART_16" hidden="1">#REF!</definedName>
    <definedName name="_233______123Graph_LBL_BCHART_49" hidden="1">#REF!</definedName>
    <definedName name="_233____123Graph_LBL_BCHART_49" hidden="1">#REF!</definedName>
    <definedName name="_233__123Graph_LBL_BCHART_49" hidden="1">#REF!</definedName>
    <definedName name="_234______123Graph_LBL_CCHART_16" hidden="1">#REF!</definedName>
    <definedName name="_234____123Graph_LBL_CCHART_16" hidden="1">#REF!</definedName>
    <definedName name="_234__123Graph_LBL_CCHART_16" hidden="1">#REF!</definedName>
    <definedName name="_235______123Graph_LBL_DCHART_16" hidden="1">#REF!</definedName>
    <definedName name="_235____123Graph_LBL_DCHART_16" hidden="1">#REF!</definedName>
    <definedName name="_235__123Graph_LBL_DCHART_16" hidden="1">#REF!</definedName>
    <definedName name="_236______123Graph_LBL_DCHART_9" hidden="1">#REF!</definedName>
    <definedName name="_236____123Graph_LBL_DCHART_9" hidden="1">#REF!</definedName>
    <definedName name="_236__123Graph_LBL_DCHART_9" hidden="1">#REF!</definedName>
    <definedName name="_237______123Graph_LBL_ECHART_16" hidden="1">#REF!</definedName>
    <definedName name="_237____123Graph_LBL_ECHART_16" hidden="1">#REF!</definedName>
    <definedName name="_237__123Graph_LBL_ECHART_16" hidden="1">#REF!</definedName>
    <definedName name="_238______123Graph_LBL_FCHART_9" hidden="1">#REF!</definedName>
    <definedName name="_238____123Graph_LBL_FCHART_9" hidden="1">#REF!</definedName>
    <definedName name="_238__123Graph_LBL_FCHART_9" hidden="1">#REF!</definedName>
    <definedName name="_239______123Graph_XCHART_13" hidden="1">#REF!</definedName>
    <definedName name="_239____123Graph_XCHART_13" hidden="1">#REF!</definedName>
    <definedName name="_239__123Graph_XCHART_13" hidden="1">#REF!</definedName>
    <definedName name="_24_______123Graph_ACHART_31" hidden="1">#REF!</definedName>
    <definedName name="_24_____123Graph_ACHART_31" hidden="1">#REF!</definedName>
    <definedName name="_24___123Graph_ACHART_31" hidden="1">#REF!</definedName>
    <definedName name="_24__123Graph_ACHART_31" hidden="1">#REF!</definedName>
    <definedName name="_24__123Graph_ACHART_4" hidden="1">#REF!</definedName>
    <definedName name="_24__123Graph_ACHART_45" hidden="1">#REF!</definedName>
    <definedName name="_24__123Graph_CCHART_2" hidden="1">#REF!</definedName>
    <definedName name="_240______123Graph_XCHART_16" hidden="1">#REF!</definedName>
    <definedName name="_240____123Graph_XCHART_16" hidden="1">#REF!</definedName>
    <definedName name="_240__123Graph_XCHART_16" hidden="1">#REF!</definedName>
    <definedName name="_241______123Graph_XCHART_18" hidden="1">#REF!</definedName>
    <definedName name="_241____123Graph_XCHART_18" hidden="1">#REF!</definedName>
    <definedName name="_241__123Graph_XCHART_18" hidden="1">#REF!</definedName>
    <definedName name="_242______123Graph_XCHART_20" hidden="1">#REF!</definedName>
    <definedName name="_242____123Graph_XCHART_20" hidden="1">#REF!</definedName>
    <definedName name="_242__123Graph_XCHART_20" hidden="1">#REF!</definedName>
    <definedName name="_243______123Graph_XCHART_24" hidden="1">#REF!</definedName>
    <definedName name="_243____123Graph_XCHART_24" hidden="1">#REF!</definedName>
    <definedName name="_243__123Graph_XCHART_24" hidden="1">#REF!</definedName>
    <definedName name="_244______123Graph_XCHART_26" hidden="1">#REF!</definedName>
    <definedName name="_244____123Graph_XCHART_26" hidden="1">#REF!</definedName>
    <definedName name="_244__123Graph_XCHART_26" hidden="1">#REF!</definedName>
    <definedName name="_245______123Graph_XCHART_3" hidden="1">#REF!</definedName>
    <definedName name="_245____123Graph_XCHART_3" hidden="1">#REF!</definedName>
    <definedName name="_245__123Graph_XCHART_3" hidden="1">#REF!</definedName>
    <definedName name="_246______123Graph_XCHART_34" hidden="1">#REF!</definedName>
    <definedName name="_246____123Graph_XCHART_34" hidden="1">#REF!</definedName>
    <definedName name="_246__123Graph_XCHART_34" hidden="1">#REF!</definedName>
    <definedName name="_247______123Graph_XCHART_37" hidden="1">#REF!</definedName>
    <definedName name="_247____123Graph_XCHART_37" hidden="1">#REF!</definedName>
    <definedName name="_247__123Graph_XCHART_37" hidden="1">#REF!</definedName>
    <definedName name="_248______123Graph_XCHART_4" hidden="1">#REF!</definedName>
    <definedName name="_248____123Graph_XCHART_4" hidden="1">#REF!</definedName>
    <definedName name="_248__123Graph_XCHART_4" hidden="1">#REF!</definedName>
    <definedName name="_249______123Graph_XCHART_43" hidden="1">#REF!</definedName>
    <definedName name="_249____123Graph_XCHART_43" hidden="1">#REF!</definedName>
    <definedName name="_249__123Graph_XCHART_43" hidden="1">#REF!</definedName>
    <definedName name="_25_______123Graph_ACHART_32" hidden="1">#REF!</definedName>
    <definedName name="_25_____123Graph_ACHART_32" hidden="1">#REF!</definedName>
    <definedName name="_25___123Graph_ACHART_32" hidden="1">#REF!</definedName>
    <definedName name="_25__123Graph_ACHART_32" hidden="1">#REF!</definedName>
    <definedName name="_25__123Graph_ACHART_46" hidden="1">#REF!</definedName>
    <definedName name="_25__123Graph_LBL_ACHART_2" hidden="1">#REF!</definedName>
    <definedName name="_250______123Graph_XCHART_45" hidden="1">#REF!</definedName>
    <definedName name="_250____123Graph_XCHART_45" hidden="1">#REF!</definedName>
    <definedName name="_250__123Graph_XCHART_45" hidden="1">#REF!</definedName>
    <definedName name="_251______123Graph_XCHART_48" hidden="1">#REF!</definedName>
    <definedName name="_251____123Graph_XCHART_48" hidden="1">#REF!</definedName>
    <definedName name="_251__123Graph_XCHART_48" hidden="1">#REF!</definedName>
    <definedName name="_252______123Graph_XCHART_5" hidden="1">#REF!</definedName>
    <definedName name="_252____123Graph_XCHART_5" hidden="1">#REF!</definedName>
    <definedName name="_252__123Graph_XCHART_5" hidden="1">#REF!</definedName>
    <definedName name="_253______123Graph_XCHART_6" hidden="1">#REF!</definedName>
    <definedName name="_253____123Graph_XCHART_6" hidden="1">#REF!</definedName>
    <definedName name="_253__123Graph_XCHART_6" hidden="1">#REF!</definedName>
    <definedName name="_254______123Graph_XCHART_7" hidden="1">#REF!</definedName>
    <definedName name="_254____123Graph_XCHART_7" hidden="1">#REF!</definedName>
    <definedName name="_254__123Graph_XCHART_7" hidden="1">#REF!</definedName>
    <definedName name="_255_____123Graph_ACHART_1" hidden="1">#REF!</definedName>
    <definedName name="_256_____123Graph_ACHART_10" hidden="1">#REF!</definedName>
    <definedName name="_257_____123Graph_ACHART_11" hidden="1">#REF!</definedName>
    <definedName name="_258_____123Graph_ACHART_12" hidden="1">#REF!</definedName>
    <definedName name="_259_____123Graph_ACHART_13" hidden="1">#REF!</definedName>
    <definedName name="_26_______123Graph_ACHART_33" hidden="1">#REF!</definedName>
    <definedName name="_26_____123Graph_ACHART_33" hidden="1">#REF!</definedName>
    <definedName name="_26___123Graph_ACHART_33" hidden="1">#REF!</definedName>
    <definedName name="_26__123Graph_ACHART_33" hidden="1">#REF!</definedName>
    <definedName name="_26__123Graph_ACHART_47" hidden="1">#REF!</definedName>
    <definedName name="_26__123Graph_CCHART_3" hidden="1">#REF!</definedName>
    <definedName name="_26__123Graph_LBL_BCHART_2" hidden="1">#REF!</definedName>
    <definedName name="_260_____123Graph_ACHART_14" hidden="1">#REF!</definedName>
    <definedName name="_261_____123Graph_ACHART_15" hidden="1">#REF!</definedName>
    <definedName name="_262_____123Graph_ACHART_16" hidden="1">#REF!</definedName>
    <definedName name="_263_____123Graph_ACHART_17" hidden="1">#REF!</definedName>
    <definedName name="_264_____123Graph_ACHART_18" hidden="1">#REF!</definedName>
    <definedName name="_265_____123Graph_ACHART_19" hidden="1">#REF!</definedName>
    <definedName name="_266_____123Graph_ACHART_2" hidden="1">#REF!</definedName>
    <definedName name="_267_____123Graph_ACHART_20" hidden="1">#REF!</definedName>
    <definedName name="_268_____123Graph_ACHART_21" hidden="1">#REF!</definedName>
    <definedName name="_269_____123Graph_ACHART_22" hidden="1">#REF!</definedName>
    <definedName name="_27_______123Graph_ACHART_34" hidden="1">#REF!</definedName>
    <definedName name="_27_____123Graph_ACHART_34" hidden="1">#REF!</definedName>
    <definedName name="_27___123Graph_ACHART_34" hidden="1">#REF!</definedName>
    <definedName name="_27__123Graph_ACHART_34" hidden="1">#REF!</definedName>
    <definedName name="_27__123Graph_ACHART_48" hidden="1">#REF!</definedName>
    <definedName name="_27__123Graph_LBL_CCHART_2" hidden="1">#REF!</definedName>
    <definedName name="_270_____123Graph_ACHART_23" hidden="1">#REF!</definedName>
    <definedName name="_271_____123Graph_ACHART_24" hidden="1">#REF!</definedName>
    <definedName name="_272_____123Graph_ACHART_25" hidden="1">#REF!</definedName>
    <definedName name="_273_____123Graph_ACHART_26" hidden="1">#REF!</definedName>
    <definedName name="_274_____123Graph_ACHART_27" hidden="1">#REF!</definedName>
    <definedName name="_275_____123Graph_ACHART_28" hidden="1">#REF!</definedName>
    <definedName name="_276_____123Graph_ACHART_29" hidden="1">#REF!</definedName>
    <definedName name="_277_____123Graph_ACHART_3" hidden="1">#REF!</definedName>
    <definedName name="_278_____123Graph_ACHART_31" hidden="1">#REF!</definedName>
    <definedName name="_279_____123Graph_ACHART_32" hidden="1">#REF!</definedName>
    <definedName name="_28_______123Graph_ACHART_35" hidden="1">#REF!</definedName>
    <definedName name="_28_____123Graph_ACHART_35" hidden="1">#REF!</definedName>
    <definedName name="_28___123Graph_ACHART_35" hidden="1">#REF!</definedName>
    <definedName name="_28__123Graph_ACHART_35" hidden="1">#REF!</definedName>
    <definedName name="_28__123Graph_ACHART_5" hidden="1">#REF!</definedName>
    <definedName name="_28__123Graph_CCHART_4" hidden="1">#REF!</definedName>
    <definedName name="_28__123Graph_XCHART_2" hidden="1">#REF!</definedName>
    <definedName name="_280_____123Graph_ACHART_33" hidden="1">#REF!</definedName>
    <definedName name="_281_____123Graph_ACHART_34" hidden="1">#REF!</definedName>
    <definedName name="_282_____123Graph_ACHART_35" hidden="1">#REF!</definedName>
    <definedName name="_283_____123Graph_ACHART_36" hidden="1">#REF!</definedName>
    <definedName name="_284_____123Graph_ACHART_37" hidden="1">#REF!</definedName>
    <definedName name="_285_____123Graph_ACHART_4" hidden="1">#REF!</definedName>
    <definedName name="_286_____123Graph_ACHART_41" hidden="1">#REF!</definedName>
    <definedName name="_287_____123Graph_ACHART_42" hidden="1">#REF!</definedName>
    <definedName name="_288_____123Graph_ACHART_43" hidden="1">#REF!</definedName>
    <definedName name="_289_____123Graph_ACHART_44" hidden="1">#REF!</definedName>
    <definedName name="_29_______123Graph_ACHART_36" hidden="1">#REF!</definedName>
    <definedName name="_29_____123Graph_ACHART_36" hidden="1">#REF!</definedName>
    <definedName name="_29___123Graph_ACHART_36" hidden="1">#REF!</definedName>
    <definedName name="_29__123Graph_ACHART_36" hidden="1">#REF!</definedName>
    <definedName name="_29__123Graph_ACHART_6" hidden="1">#REF!</definedName>
    <definedName name="_290_____123Graph_ACHART_45" hidden="1">#REF!</definedName>
    <definedName name="_291_____123Graph_ACHART_46" hidden="1">#REF!</definedName>
    <definedName name="_292_____123Graph_ACHART_47" hidden="1">#REF!</definedName>
    <definedName name="_293_____123Graph_ACHART_48" hidden="1">#REF!</definedName>
    <definedName name="_294_____123Graph_ACHART_49" hidden="1">#REF!</definedName>
    <definedName name="_295_____123Graph_ACHART_5" hidden="1">#REF!</definedName>
    <definedName name="_296_____123Graph_ACHART_6" hidden="1">#REF!</definedName>
    <definedName name="_297_____123Graph_ACHART_7" hidden="1">#REF!</definedName>
    <definedName name="_298_____123Graph_ACHART_8" hidden="1">#REF!</definedName>
    <definedName name="_299_____123Graph_ACHART_9" hidden="1">#REF!</definedName>
    <definedName name="_3_______123Graph_ACHART_11" hidden="1">#REF!</definedName>
    <definedName name="_3_____123Graph_ACHART_11" hidden="1">#REF!</definedName>
    <definedName name="_3___123Graph_ACHART_11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3" hidden="1">#REF!</definedName>
    <definedName name="_3__123Graph_ACHART_4" hidden="1">#REF!</definedName>
    <definedName name="_3__123Graph_CCHART_2" hidden="1">#REF!</definedName>
    <definedName name="_30_______123Graph_ACHART_37" hidden="1">#REF!</definedName>
    <definedName name="_30_____123Graph_ACHART_37" hidden="1">#REF!</definedName>
    <definedName name="_30___123Graph_ACHART_37" hidden="1">#REF!</definedName>
    <definedName name="_30__123Graph_ACHART_37" hidden="1">#REF!</definedName>
    <definedName name="_30__123Graph_ACHART_5" hidden="1">#REF!</definedName>
    <definedName name="_30__123Graph_ACHART_7" hidden="1">#REF!</definedName>
    <definedName name="_30__123Graph_CCHART_5" hidden="1">#REF!</definedName>
    <definedName name="_300_____123Graph_BCHART_10" hidden="1">#REF!</definedName>
    <definedName name="_301_____123Graph_BCHART_13" hidden="1">#REF!</definedName>
    <definedName name="_302_____123Graph_BCHART_16" hidden="1">#REF!</definedName>
    <definedName name="_303_____123Graph_BCHART_17" hidden="1">#REF!</definedName>
    <definedName name="_304_____123Graph_BCHART_19" hidden="1">#REF!</definedName>
    <definedName name="_305_____123Graph_BCHART_2" hidden="1">#REF!</definedName>
    <definedName name="_306_____123Graph_BCHART_20" hidden="1">#REF!</definedName>
    <definedName name="_307_____123Graph_BCHART_21" hidden="1">#REF!</definedName>
    <definedName name="_308_____123Graph_BCHART_22" hidden="1">#REF!</definedName>
    <definedName name="_309_____123Graph_BCHART_27" hidden="1">#REF!</definedName>
    <definedName name="_31_______123Graph_ACHART_4" hidden="1">#REF!</definedName>
    <definedName name="_31_____123Graph_ACHART_4" hidden="1">#REF!</definedName>
    <definedName name="_31___123Graph_ACHART_4" hidden="1">#REF!</definedName>
    <definedName name="_31__123Graph_ACHART_4" hidden="1">#REF!</definedName>
    <definedName name="_31__123Graph_ACHART_8" hidden="1">#REF!</definedName>
    <definedName name="_310_____123Graph_BCHART_28" hidden="1">#REF!</definedName>
    <definedName name="_311_____123Graph_BCHART_29" hidden="1">#REF!</definedName>
    <definedName name="_312_____123Graph_BCHART_3" hidden="1">#REF!</definedName>
    <definedName name="_313_____123Graph_BCHART_31" hidden="1">#REF!</definedName>
    <definedName name="_314_____123Graph_BCHART_32" hidden="1">#REF!</definedName>
    <definedName name="_315_____123Graph_BCHART_33" hidden="1">#REF!</definedName>
    <definedName name="_316_____123Graph_BCHART_34" hidden="1">#REF!</definedName>
    <definedName name="_317_____123Graph_BCHART_35" hidden="1">#REF!</definedName>
    <definedName name="_318_____123Graph_BCHART_36" hidden="1">#REF!</definedName>
    <definedName name="_319_____123Graph_BCHART_4" hidden="1">#REF!</definedName>
    <definedName name="_32_______123Graph_ACHART_41" hidden="1">#REF!</definedName>
    <definedName name="_32_____123Graph_ACHART_41" hidden="1">#REF!</definedName>
    <definedName name="_32___123Graph_ACHART_41" hidden="1">#REF!</definedName>
    <definedName name="_32__123Graph_ACHART_41" hidden="1">#REF!</definedName>
    <definedName name="_32__123Graph_ACHART_9" hidden="1">#REF!</definedName>
    <definedName name="_32__123Graph_DCHART_5" hidden="1">#REF!</definedName>
    <definedName name="_320_____123Graph_BCHART_41" hidden="1">#REF!</definedName>
    <definedName name="_321_____123Graph_BCHART_42" hidden="1">#REF!</definedName>
    <definedName name="_322_____123Graph_BCHART_43" hidden="1">#REF!</definedName>
    <definedName name="_323_____123Graph_BCHART_44" hidden="1">#REF!</definedName>
    <definedName name="_324_____123Graph_BCHART_45" hidden="1">#REF!</definedName>
    <definedName name="_325_____123Graph_BCHART_46" hidden="1">#REF!</definedName>
    <definedName name="_326_____123Graph_BCHART_49" hidden="1">#REF!</definedName>
    <definedName name="_327_____123Graph_BCHART_5" hidden="1">#REF!</definedName>
    <definedName name="_328_____123Graph_BCHART_6" hidden="1">#REF!</definedName>
    <definedName name="_329_____123Graph_BCHART_7" hidden="1">#REF!</definedName>
    <definedName name="_33_______123Graph_ACHART_42" hidden="1">#REF!</definedName>
    <definedName name="_33_____123Graph_ACHART_42" hidden="1">#REF!</definedName>
    <definedName name="_33___123Graph_ACHART_42" hidden="1">#REF!</definedName>
    <definedName name="_33__123Graph_ACHART_3" hidden="1">#REF!</definedName>
    <definedName name="_33__123Graph_ACHART_42" hidden="1">#REF!</definedName>
    <definedName name="_33__123Graph_BCHART_10" hidden="1">#REF!</definedName>
    <definedName name="_330_____123Graph_BCHART_8" hidden="1">#REF!</definedName>
    <definedName name="_331_____123Graph_BCHART_9" hidden="1">#REF!</definedName>
    <definedName name="_332_____123Graph_CCHART_16" hidden="1">#REF!</definedName>
    <definedName name="_333_____123Graph_CCHART_20" hidden="1">#REF!</definedName>
    <definedName name="_334_____123Graph_CCHART_21" hidden="1">#REF!</definedName>
    <definedName name="_335_____123Graph_CCHART_22" hidden="1">#REF!</definedName>
    <definedName name="_336_____123Graph_CCHART_27" hidden="1">#REF!</definedName>
    <definedName name="_337_____123Graph_CCHART_31" hidden="1">#REF!</definedName>
    <definedName name="_338_____123Graph_CCHART_33" hidden="1">#REF!</definedName>
    <definedName name="_339_____123Graph_CCHART_35" hidden="1">#REF!</definedName>
    <definedName name="_34_______123Graph_ACHART_43" hidden="1">#REF!</definedName>
    <definedName name="_34_____123Graph_ACHART_43" hidden="1">#REF!</definedName>
    <definedName name="_34___123Graph_ACHART_43" hidden="1">#REF!</definedName>
    <definedName name="_34__123Graph_ACHART_43" hidden="1">#REF!</definedName>
    <definedName name="_34__123Graph_BCHART_13" hidden="1">#REF!</definedName>
    <definedName name="_34__123Graph_XCHART_1" hidden="1">#REF!</definedName>
    <definedName name="_340_____123Graph_CCHART_41" hidden="1">#REF!</definedName>
    <definedName name="_341_____123Graph_CCHART_42" hidden="1">#REF!</definedName>
    <definedName name="_342_____123Graph_CCHART_44" hidden="1">#REF!</definedName>
    <definedName name="_343_____123Graph_CCHART_46" hidden="1">#REF!</definedName>
    <definedName name="_344_____123Graph_CCHART_8" hidden="1">#REF!</definedName>
    <definedName name="_345_____123Graph_CCHART_9" hidden="1">#REF!</definedName>
    <definedName name="_346_____123Graph_DCHART_16" hidden="1">#REF!</definedName>
    <definedName name="_347_____123Graph_DCHART_22" hidden="1">#REF!</definedName>
    <definedName name="_348_____123Graph_DCHART_44" hidden="1">#REF!</definedName>
    <definedName name="_349_____123Graph_DCHART_9" hidden="1">#REF!</definedName>
    <definedName name="_35_______123Graph_ACHART_44" hidden="1">#REF!</definedName>
    <definedName name="_35_____123Graph_ACHART_44" hidden="1">#REF!</definedName>
    <definedName name="_35___123Graph_ACHART_44" hidden="1">#REF!</definedName>
    <definedName name="_35__123Graph_ACHART_44" hidden="1">#REF!</definedName>
    <definedName name="_35__123Graph_BCHART_16" hidden="1">#REF!</definedName>
    <definedName name="_350_____123Graph_ECHART_16" hidden="1">#REF!</definedName>
    <definedName name="_351_____123Graph_ECHART_22" hidden="1">#REF!</definedName>
    <definedName name="_352_____123Graph_ECHART_9" hidden="1">#REF!</definedName>
    <definedName name="_353_____123Graph_FCHART_22" hidden="1">#REF!</definedName>
    <definedName name="_354_____123Graph_FCHART_9" hidden="1">#REF!</definedName>
    <definedName name="_355_____123Graph_LBL_ACHART_16" hidden="1">#REF!</definedName>
    <definedName name="_356_____123Graph_LBL_ACHART_47" hidden="1">#REF!</definedName>
    <definedName name="_357_____123Graph_LBL_ACHART_48" hidden="1">#REF!</definedName>
    <definedName name="_358_____123Graph_LBL_ACHART_49" hidden="1">#REF!</definedName>
    <definedName name="_359_____123Graph_LBL_BCHART_16" hidden="1">#REF!</definedName>
    <definedName name="_36_______123Graph_ACHART_45" hidden="1">#REF!</definedName>
    <definedName name="_36_____123Graph_ACHART_45" hidden="1">#REF!</definedName>
    <definedName name="_36___123Graph_ACHART_45" hidden="1">#REF!</definedName>
    <definedName name="_36__123Graph_ACHART_45" hidden="1">#REF!</definedName>
    <definedName name="_36__123Graph_BCHART_1" hidden="1">#REF!</definedName>
    <definedName name="_36__123Graph_BCHART_17" hidden="1">#REF!</definedName>
    <definedName name="_36__123Graph_XCHART_2" hidden="1">#REF!</definedName>
    <definedName name="_360_____123Graph_LBL_BCHART_49" hidden="1">#REF!</definedName>
    <definedName name="_361_____123Graph_LBL_CCHART_16" hidden="1">#REF!</definedName>
    <definedName name="_362_____123Graph_LBL_DCHART_16" hidden="1">#REF!</definedName>
    <definedName name="_363_____123Graph_LBL_DCHART_9" hidden="1">#REF!</definedName>
    <definedName name="_364_____123Graph_LBL_ECHART_16" hidden="1">#REF!</definedName>
    <definedName name="_365_____123Graph_LBL_FCHART_9" hidden="1">#REF!</definedName>
    <definedName name="_366_____123Graph_XCHART_13" hidden="1">#REF!</definedName>
    <definedName name="_367_____123Graph_XCHART_16" hidden="1">#REF!</definedName>
    <definedName name="_368_____123Graph_XCHART_18" hidden="1">#REF!</definedName>
    <definedName name="_369_____123Graph_XCHART_20" hidden="1">#REF!</definedName>
    <definedName name="_37_______123Graph_ACHART_46" hidden="1">#REF!</definedName>
    <definedName name="_37_____123Graph_ACHART_46" hidden="1">#REF!</definedName>
    <definedName name="_37___123Graph_ACHART_46" hidden="1">#REF!</definedName>
    <definedName name="_37__123Graph_ACHART_46" hidden="1">#REF!</definedName>
    <definedName name="_37__123Graph_BCHART_19" hidden="1">#REF!</definedName>
    <definedName name="_370_____123Graph_XCHART_24" hidden="1">#REF!</definedName>
    <definedName name="_371_____123Graph_XCHART_26" hidden="1">#REF!</definedName>
    <definedName name="_372_____123Graph_XCHART_3" hidden="1">#REF!</definedName>
    <definedName name="_373_____123Graph_XCHART_34" hidden="1">#REF!</definedName>
    <definedName name="_374_____123Graph_XCHART_37" hidden="1">#REF!</definedName>
    <definedName name="_375_____123Graph_XCHART_4" hidden="1">#REF!</definedName>
    <definedName name="_376_____123Graph_XCHART_43" hidden="1">#REF!</definedName>
    <definedName name="_377_____123Graph_XCHART_45" hidden="1">#REF!</definedName>
    <definedName name="_378_____123Graph_XCHART_48" hidden="1">#REF!</definedName>
    <definedName name="_379_____123Graph_XCHART_5" hidden="1">#REF!</definedName>
    <definedName name="_38_______123Graph_ACHART_47" hidden="1">#REF!</definedName>
    <definedName name="_38_____123Graph_ACHART_47" hidden="1">#REF!</definedName>
    <definedName name="_38___123Graph_ACHART_47" hidden="1">#REF!</definedName>
    <definedName name="_38__123Graph_ACHART_47" hidden="1">#REF!</definedName>
    <definedName name="_38__123Graph_BCHART_2" hidden="1">#REF!</definedName>
    <definedName name="_38__123Graph_XCHART_3" hidden="1">#REF!</definedName>
    <definedName name="_380_____123Graph_XCHART_6" hidden="1">#REF!</definedName>
    <definedName name="_381_____123Graph_XCHART_7" hidden="1">#REF!</definedName>
    <definedName name="_382____123Graph_ACHART_1" hidden="1">#REF!</definedName>
    <definedName name="_383____123Graph_ACHART_10" hidden="1">#REF!</definedName>
    <definedName name="_384____123Graph_ACHART_11" hidden="1">#REF!</definedName>
    <definedName name="_385____123Graph_ACHART_12" hidden="1">#REF!</definedName>
    <definedName name="_386____123Graph_ACHART_13" hidden="1">#REF!</definedName>
    <definedName name="_387____123Graph_ACHART_14" hidden="1">#REF!</definedName>
    <definedName name="_388____123Graph_ACHART_15" hidden="1">#REF!</definedName>
    <definedName name="_389____123Graph_ACHART_16" hidden="1">#REF!</definedName>
    <definedName name="_39_______123Graph_ACHART_48" hidden="1">#REF!</definedName>
    <definedName name="_39_____123Graph_ACHART_48" hidden="1">#REF!</definedName>
    <definedName name="_39___123Graph_ACHART_48" hidden="1">#REF!</definedName>
    <definedName name="_39__123Graph_ACHART_48" hidden="1">#REF!</definedName>
    <definedName name="_39__123Graph_BCHART_20" hidden="1">#REF!</definedName>
    <definedName name="_390____123Graph_ACHART_17" hidden="1">#REF!</definedName>
    <definedName name="_391____123Graph_ACHART_18" hidden="1">#REF!</definedName>
    <definedName name="_392____123Graph_ACHART_19" hidden="1">#REF!</definedName>
    <definedName name="_393____123Graph_ACHART_2" hidden="1">#REF!</definedName>
    <definedName name="_394____123Graph_ACHART_20" hidden="1">#REF!</definedName>
    <definedName name="_395____123Graph_ACHART_21" hidden="1">#REF!</definedName>
    <definedName name="_396____123Graph_ACHART_22" hidden="1">#REF!</definedName>
    <definedName name="_397____123Graph_ACHART_23" hidden="1">#REF!</definedName>
    <definedName name="_398____123Graph_ACHART_24" hidden="1">#REF!</definedName>
    <definedName name="_399____123Graph_ACHART_25" hidden="1">#REF!</definedName>
    <definedName name="_4_______123Graph_ACHART_12" hidden="1">#REF!</definedName>
    <definedName name="_4_____123Graph_ACHART_12" hidden="1">#REF!</definedName>
    <definedName name="_4___123Graph_ACHART_12" hidden="1">#REF!</definedName>
    <definedName name="_4__123Graph_ACHART_12" hidden="1">#REF!</definedName>
    <definedName name="_4__123Graph_ACHART_13" hidden="1">#REF!</definedName>
    <definedName name="_4__123Graph_ACHART_2" hidden="1">#REF!</definedName>
    <definedName name="_4__123Graph_ACHART_3" localSheetId="0" hidden="1">#REF!</definedName>
    <definedName name="_4__123Graph_ACHART_3" hidden="1">#REF!</definedName>
    <definedName name="_4__123Graph_ACHART_4" hidden="1">#REF!</definedName>
    <definedName name="_4__123Graph_LBL_ACHART_2" hidden="1">#REF!</definedName>
    <definedName name="_40_______123Graph_ACHART_49" hidden="1">#REF!</definedName>
    <definedName name="_40_____123Graph_ACHART_49" hidden="1">#REF!</definedName>
    <definedName name="_40___123Graph_ACHART_49" hidden="1">#REF!</definedName>
    <definedName name="_40__123Graph_ACHART_49" hidden="1">#REF!</definedName>
    <definedName name="_40__123Graph_BCHART_21" hidden="1">#REF!</definedName>
    <definedName name="_40__123Graph_XCHART_4" hidden="1">#REF!</definedName>
    <definedName name="_400____123Graph_ACHART_26" hidden="1">#REF!</definedName>
    <definedName name="_401____123Graph_ACHART_27" hidden="1">#REF!</definedName>
    <definedName name="_402____123Graph_ACHART_28" hidden="1">#REF!</definedName>
    <definedName name="_403____123Graph_ACHART_29" hidden="1">#REF!</definedName>
    <definedName name="_404____123Graph_ACHART_3" hidden="1">#REF!</definedName>
    <definedName name="_405____123Graph_ACHART_31" hidden="1">#REF!</definedName>
    <definedName name="_406____123Graph_ACHART_32" hidden="1">#REF!</definedName>
    <definedName name="_407____123Graph_ACHART_33" hidden="1">#REF!</definedName>
    <definedName name="_408____123Graph_ACHART_34" hidden="1">#REF!</definedName>
    <definedName name="_409____123Graph_ACHART_35" hidden="1">#REF!</definedName>
    <definedName name="_41_______123Graph_ACHART_5" hidden="1">#REF!</definedName>
    <definedName name="_41_____123Graph_ACHART_5" hidden="1">#REF!</definedName>
    <definedName name="_41___123Graph_ACHART_5" hidden="1">#REF!</definedName>
    <definedName name="_41__123Graph_ACHART_5" hidden="1">#REF!</definedName>
    <definedName name="_41__123Graph_BCHART_22" hidden="1">#REF!</definedName>
    <definedName name="_410____123Graph_ACHART_36" hidden="1">#REF!</definedName>
    <definedName name="_411____123Graph_ACHART_37" hidden="1">#REF!</definedName>
    <definedName name="_412____123Graph_ACHART_4" hidden="1">#REF!</definedName>
    <definedName name="_413____123Graph_ACHART_41" hidden="1">#REF!</definedName>
    <definedName name="_414____123Graph_ACHART_42" hidden="1">#REF!</definedName>
    <definedName name="_415____123Graph_ACHART_43" hidden="1">#REF!</definedName>
    <definedName name="_416____123Graph_ACHART_44" hidden="1">#REF!</definedName>
    <definedName name="_417____123Graph_ACHART_45" hidden="1">#REF!</definedName>
    <definedName name="_418____123Graph_ACHART_46" hidden="1">#REF!</definedName>
    <definedName name="_419____123Graph_ACHART_47" hidden="1">#REF!</definedName>
    <definedName name="_42_______123Graph_ACHART_6" hidden="1">#REF!</definedName>
    <definedName name="_42_____123Graph_ACHART_6" hidden="1">#REF!</definedName>
    <definedName name="_42___123Graph_ACHART_6" hidden="1">#REF!</definedName>
    <definedName name="_42__123Graph_ACHART_6" hidden="1">#REF!</definedName>
    <definedName name="_42__123Graph_BCHART_2" hidden="1">#REF!</definedName>
    <definedName name="_42__123Graph_BCHART_27" hidden="1">#REF!</definedName>
    <definedName name="_42__123Graph_XCHART_5" hidden="1">#REF!</definedName>
    <definedName name="_420____123Graph_ACHART_48" hidden="1">#REF!</definedName>
    <definedName name="_421____123Graph_ACHART_49" hidden="1">#REF!</definedName>
    <definedName name="_422____123Graph_ACHART_5" hidden="1">#REF!</definedName>
    <definedName name="_423____123Graph_ACHART_6" hidden="1">#REF!</definedName>
    <definedName name="_424____123Graph_ACHART_7" hidden="1">#REF!</definedName>
    <definedName name="_425____123Graph_ACHART_8" hidden="1">#REF!</definedName>
    <definedName name="_426____123Graph_ACHART_9" hidden="1">#REF!</definedName>
    <definedName name="_427____123Graph_BCHART_10" hidden="1">#REF!</definedName>
    <definedName name="_428____123Graph_BCHART_13" hidden="1">#REF!</definedName>
    <definedName name="_429____123Graph_BCHART_16" hidden="1">#REF!</definedName>
    <definedName name="_43_______123Graph_ACHART_7" hidden="1">#REF!</definedName>
    <definedName name="_43_____123Graph_ACHART_7" hidden="1">#REF!</definedName>
    <definedName name="_43___123Graph_ACHART_7" hidden="1">#REF!</definedName>
    <definedName name="_43__123Graph_ACHART_7" hidden="1">#REF!</definedName>
    <definedName name="_43__123Graph_BCHART_28" hidden="1">#REF!</definedName>
    <definedName name="_430____123Graph_BCHART_17" hidden="1">#REF!</definedName>
    <definedName name="_431____123Graph_BCHART_19" hidden="1">#REF!</definedName>
    <definedName name="_432____123Graph_BCHART_2" hidden="1">#REF!</definedName>
    <definedName name="_433____123Graph_BCHART_20" hidden="1">#REF!</definedName>
    <definedName name="_434____123Graph_BCHART_21" hidden="1">#REF!</definedName>
    <definedName name="_435____123Graph_BCHART_22" hidden="1">#REF!</definedName>
    <definedName name="_436____123Graph_BCHART_27" hidden="1">#REF!</definedName>
    <definedName name="_437____123Graph_BCHART_28" hidden="1">#REF!</definedName>
    <definedName name="_438____123Graph_BCHART_29" hidden="1">#REF!</definedName>
    <definedName name="_439____123Graph_BCHART_3" hidden="1">#REF!</definedName>
    <definedName name="_44_______123Graph_ACHART_8" hidden="1">#REF!</definedName>
    <definedName name="_44_____123Graph_ACHART_8" hidden="1">#REF!</definedName>
    <definedName name="_44___123Graph_ACHART_8" hidden="1">#REF!</definedName>
    <definedName name="_44__123Graph_ACHART_4" hidden="1">#REF!</definedName>
    <definedName name="_44__123Graph_ACHART_8" hidden="1">#REF!</definedName>
    <definedName name="_44__123Graph_BCHART_3" hidden="1">#REF!</definedName>
    <definedName name="_440____123Graph_BCHART_31" hidden="1">#REF!</definedName>
    <definedName name="_441____123Graph_BCHART_32" hidden="1">#REF!</definedName>
    <definedName name="_442____123Graph_BCHART_33" hidden="1">#REF!</definedName>
    <definedName name="_443____123Graph_BCHART_34" hidden="1">#REF!</definedName>
    <definedName name="_444____123Graph_BCHART_35" hidden="1">#REF!</definedName>
    <definedName name="_445____123Graph_BCHART_36" hidden="1">#REF!</definedName>
    <definedName name="_446____123Graph_BCHART_4" hidden="1">#REF!</definedName>
    <definedName name="_447____123Graph_BCHART_41" hidden="1">#REF!</definedName>
    <definedName name="_448____123Graph_BCHART_42" hidden="1">#REF!</definedName>
    <definedName name="_449____123Graph_BCHART_43" hidden="1">#REF!</definedName>
    <definedName name="_45_______123Graph_ACHART_9" hidden="1">#REF!</definedName>
    <definedName name="_45_____123Graph_ACHART_9" hidden="1">#REF!</definedName>
    <definedName name="_45___123Graph_ACHART_9" hidden="1">#REF!</definedName>
    <definedName name="_45__123Graph_ACHART_9" hidden="1">#REF!</definedName>
    <definedName name="_45__123Graph_BCHART_35" hidden="1">#REF!</definedName>
    <definedName name="_450____123Graph_BCHART_44" hidden="1">#REF!</definedName>
    <definedName name="_451____123Graph_BCHART_45" hidden="1">#REF!</definedName>
    <definedName name="_452____123Graph_BCHART_46" hidden="1">#REF!</definedName>
    <definedName name="_453____123Graph_BCHART_49" hidden="1">#REF!</definedName>
    <definedName name="_454____123Graph_BCHART_5" hidden="1">#REF!</definedName>
    <definedName name="_455____123Graph_BCHART_6" hidden="1">#REF!</definedName>
    <definedName name="_456____123Graph_BCHART_7" hidden="1">#REF!</definedName>
    <definedName name="_457____123Graph_BCHART_8" hidden="1">#REF!</definedName>
    <definedName name="_458____123Graph_BCHART_9" hidden="1">#REF!</definedName>
    <definedName name="_459____123Graph_CCHART_16" hidden="1">#REF!</definedName>
    <definedName name="_46_______123Graph_BCHART_10" hidden="1">#REF!</definedName>
    <definedName name="_46_____123Graph_BCHART_10" hidden="1">#REF!</definedName>
    <definedName name="_46___123Graph_BCHART_10" hidden="1">#REF!</definedName>
    <definedName name="_46__123Graph_BCHART_10" hidden="1">#REF!</definedName>
    <definedName name="_46__123Graph_BCHART_4" hidden="1">#REF!</definedName>
    <definedName name="_460____123Graph_CCHART_20" hidden="1">#REF!</definedName>
    <definedName name="_461____123Graph_CCHART_21" hidden="1">#REF!</definedName>
    <definedName name="_462____123Graph_CCHART_22" hidden="1">#REF!</definedName>
    <definedName name="_463____123Graph_CCHART_27" hidden="1">#REF!</definedName>
    <definedName name="_464____123Graph_CCHART_31" hidden="1">#REF!</definedName>
    <definedName name="_465____123Graph_CCHART_33" hidden="1">#REF!</definedName>
    <definedName name="_466____123Graph_CCHART_35" hidden="1">#REF!</definedName>
    <definedName name="_467____123Graph_CCHART_41" hidden="1">#REF!</definedName>
    <definedName name="_468____123Graph_CCHART_42" hidden="1">#REF!</definedName>
    <definedName name="_469____123Graph_CCHART_44" hidden="1">#REF!</definedName>
    <definedName name="_47_______123Graph_BCHART_13" hidden="1">#REF!</definedName>
    <definedName name="_47_____123Graph_BCHART_13" hidden="1">#REF!</definedName>
    <definedName name="_47___123Graph_BCHART_13" hidden="1">#REF!</definedName>
    <definedName name="_47__123Graph_BCHART_13" hidden="1">#REF!</definedName>
    <definedName name="_47__123Graph_BCHART_41" hidden="1">#REF!</definedName>
    <definedName name="_470____123Graph_CCHART_46" hidden="1">#REF!</definedName>
    <definedName name="_471____123Graph_CCHART_8" hidden="1">#REF!</definedName>
    <definedName name="_472____123Graph_CCHART_9" hidden="1">#REF!</definedName>
    <definedName name="_473____123Graph_DCHART_16" hidden="1">#REF!</definedName>
    <definedName name="_474____123Graph_DCHART_22" hidden="1">#REF!</definedName>
    <definedName name="_475____123Graph_DCHART_44" hidden="1">#REF!</definedName>
    <definedName name="_476____123Graph_DCHART_9" hidden="1">#REF!</definedName>
    <definedName name="_477____123Graph_ECHART_16" hidden="1">#REF!</definedName>
    <definedName name="_478____123Graph_ECHART_22" hidden="1">#REF!</definedName>
    <definedName name="_479____123Graph_ECHART_9" hidden="1">#REF!</definedName>
    <definedName name="_48_______123Graph_BCHART_16" hidden="1">#REF!</definedName>
    <definedName name="_48_____123Graph_BCHART_16" hidden="1">#REF!</definedName>
    <definedName name="_48___123Graph_BCHART_16" hidden="1">#REF!</definedName>
    <definedName name="_48__123Graph_BCHART_16" hidden="1">#REF!</definedName>
    <definedName name="_48__123Graph_BCHART_3" hidden="1">#REF!</definedName>
    <definedName name="_48__123Graph_BCHART_44" hidden="1">#REF!</definedName>
    <definedName name="_480____123Graph_FCHART_22" hidden="1">#REF!</definedName>
    <definedName name="_481____123Graph_FCHART_9" hidden="1">#REF!</definedName>
    <definedName name="_482____123Graph_LBL_ACHART_16" hidden="1">#REF!</definedName>
    <definedName name="_483____123Graph_LBL_ACHART_47" hidden="1">#REF!</definedName>
    <definedName name="_484____123Graph_LBL_ACHART_48" hidden="1">#REF!</definedName>
    <definedName name="_485____123Graph_LBL_ACHART_49" hidden="1">#REF!</definedName>
    <definedName name="_486____123Graph_LBL_BCHART_16" hidden="1">#REF!</definedName>
    <definedName name="_487____123Graph_LBL_BCHART_49" hidden="1">#REF!</definedName>
    <definedName name="_488____123Graph_LBL_CCHART_16" hidden="1">#REF!</definedName>
    <definedName name="_489____123Graph_LBL_DCHART_16" hidden="1">#REF!</definedName>
    <definedName name="_49_______123Graph_BCHART_17" hidden="1">#REF!</definedName>
    <definedName name="_49_____123Graph_BCHART_17" hidden="1">#REF!</definedName>
    <definedName name="_49___123Graph_BCHART_17" hidden="1">#REF!</definedName>
    <definedName name="_49__123Graph_BCHART_17" hidden="1">#REF!</definedName>
    <definedName name="_49__123Graph_BCHART_45" hidden="1">#REF!</definedName>
    <definedName name="_490____123Graph_LBL_DCHART_9" hidden="1">#REF!</definedName>
    <definedName name="_491____123Graph_LBL_ECHART_16" hidden="1">#REF!</definedName>
    <definedName name="_492____123Graph_LBL_FCHART_9" hidden="1">#REF!</definedName>
    <definedName name="_493____123Graph_XCHART_13" hidden="1">#REF!</definedName>
    <definedName name="_494____123Graph_XCHART_16" hidden="1">#REF!</definedName>
    <definedName name="_495____123Graph_XCHART_18" hidden="1">#REF!</definedName>
    <definedName name="_496____123Graph_XCHART_20" hidden="1">#REF!</definedName>
    <definedName name="_497____123Graph_XCHART_24" hidden="1">#REF!</definedName>
    <definedName name="_498____123Graph_XCHART_26" hidden="1">#REF!</definedName>
    <definedName name="_499____123Graph_XCHART_3" hidden="1">#REF!</definedName>
    <definedName name="_5_______123Graph_ACHART_13" hidden="1">#REF!</definedName>
    <definedName name="_5_____123Graph_ACHART_13" hidden="1">#REF!</definedName>
    <definedName name="_5___123Graph_ACHART_13" hidden="1">#REF!</definedName>
    <definedName name="_5__123Graph_ACHART_13" hidden="1">#REF!</definedName>
    <definedName name="_5__123Graph_ACHART_14" hidden="1">#REF!</definedName>
    <definedName name="_5__123Graph_ACHART_5" hidden="1">#REF!</definedName>
    <definedName name="_5__123Graph_BCHART_1" hidden="1">#REF!</definedName>
    <definedName name="_5__123Graph_LBL_BCHART_2" hidden="1">#REF!</definedName>
    <definedName name="_50_______123Graph_BCHART_19" hidden="1">#REF!</definedName>
    <definedName name="_50_____123Graph_BCHART_19" hidden="1">#REF!</definedName>
    <definedName name="_50___123Graph_BCHART_19" hidden="1">#REF!</definedName>
    <definedName name="_50__123Graph_BCHART_19" hidden="1">#REF!</definedName>
    <definedName name="_50__123Graph_BCHART_46" hidden="1">#REF!</definedName>
    <definedName name="_500____123Graph_XCHART_34" hidden="1">#REF!</definedName>
    <definedName name="_501____123Graph_XCHART_37" hidden="1">#REF!</definedName>
    <definedName name="_502____123Graph_XCHART_4" hidden="1">#REF!</definedName>
    <definedName name="_503____123Graph_XCHART_43" hidden="1">#REF!</definedName>
    <definedName name="_504____123Graph_XCHART_45" hidden="1">#REF!</definedName>
    <definedName name="_505____123Graph_XCHART_48" hidden="1">#REF!</definedName>
    <definedName name="_506____123Graph_XCHART_5" hidden="1">#REF!</definedName>
    <definedName name="_507____123Graph_XCHART_6" hidden="1">#REF!</definedName>
    <definedName name="_508____123Graph_XCHART_7" hidden="1">#REF!</definedName>
    <definedName name="_509___123Graph_ACHART_1" hidden="1">#REF!</definedName>
    <definedName name="_51_______123Graph_BCHART_2" hidden="1">#REF!</definedName>
    <definedName name="_51_____123Graph_BCHART_2" hidden="1">#REF!</definedName>
    <definedName name="_51___123Graph_BCHART_2" hidden="1">#REF!</definedName>
    <definedName name="_51__123Graph_BCHART_2" hidden="1">#REF!</definedName>
    <definedName name="_51__123Graph_BCHART_5" hidden="1">#REF!</definedName>
    <definedName name="_510___123Graph_ACHART_10" hidden="1">#REF!</definedName>
    <definedName name="_511___123Graph_ACHART_11" hidden="1">#REF!</definedName>
    <definedName name="_512___123Graph_ACHART_12" hidden="1">#REF!</definedName>
    <definedName name="_513___123Graph_ACHART_13" hidden="1">#REF!</definedName>
    <definedName name="_514___123Graph_ACHART_14" hidden="1">#REF!</definedName>
    <definedName name="_515___123Graph_ACHART_15" hidden="1">#REF!</definedName>
    <definedName name="_516___123Graph_ACHART_16" hidden="1">#REF!</definedName>
    <definedName name="_517___123Graph_ACHART_17" hidden="1">#REF!</definedName>
    <definedName name="_518___123Graph_ACHART_18" hidden="1">#REF!</definedName>
    <definedName name="_519___123Graph_ACHART_19" hidden="1">#REF!</definedName>
    <definedName name="_52_______123Graph_BCHART_20" hidden="1">#REF!</definedName>
    <definedName name="_52_____123Graph_BCHART_20" hidden="1">#REF!</definedName>
    <definedName name="_52___123Graph_BCHART_20" hidden="1">#REF!</definedName>
    <definedName name="_52__123Graph_BCHART_20" hidden="1">#REF!</definedName>
    <definedName name="_52__123Graph_BCHART_6" hidden="1">#REF!</definedName>
    <definedName name="_520___123Graph_ACHART_2" hidden="1">#REF!</definedName>
    <definedName name="_521___123Graph_ACHART_20" hidden="1">#REF!</definedName>
    <definedName name="_522___123Graph_ACHART_21" hidden="1">#REF!</definedName>
    <definedName name="_523___123Graph_ACHART_22" hidden="1">#REF!</definedName>
    <definedName name="_524___123Graph_ACHART_23" hidden="1">#REF!</definedName>
    <definedName name="_525___123Graph_ACHART_24" hidden="1">#REF!</definedName>
    <definedName name="_526___123Graph_ACHART_25" hidden="1">#REF!</definedName>
    <definedName name="_527___123Graph_ACHART_26" hidden="1">#REF!</definedName>
    <definedName name="_528___123Graph_ACHART_27" hidden="1">#REF!</definedName>
    <definedName name="_529___123Graph_ACHART_28" hidden="1">#REF!</definedName>
    <definedName name="_53_______123Graph_BCHART_21" hidden="1">#REF!</definedName>
    <definedName name="_53_____123Graph_BCHART_21" hidden="1">#REF!</definedName>
    <definedName name="_53___123Graph_BCHART_21" hidden="1">#REF!</definedName>
    <definedName name="_53__123Graph_BCHART_21" hidden="1">#REF!</definedName>
    <definedName name="_53__123Graph_BCHART_7" hidden="1">#REF!</definedName>
    <definedName name="_530___123Graph_ACHART_29" hidden="1">#REF!</definedName>
    <definedName name="_531___123Graph_ACHART_3" hidden="1">#REF!</definedName>
    <definedName name="_532___123Graph_ACHART_31" hidden="1">#REF!</definedName>
    <definedName name="_533___123Graph_ACHART_32" hidden="1">#REF!</definedName>
    <definedName name="_534___123Graph_ACHART_33" hidden="1">#REF!</definedName>
    <definedName name="_535___123Graph_ACHART_34" hidden="1">#REF!</definedName>
    <definedName name="_536___123Graph_ACHART_35" hidden="1">#REF!</definedName>
    <definedName name="_537___123Graph_ACHART_36" hidden="1">#REF!</definedName>
    <definedName name="_538___123Graph_ACHART_37" hidden="1">#REF!</definedName>
    <definedName name="_539___123Graph_ACHART_4" hidden="1">#REF!</definedName>
    <definedName name="_54_______123Graph_BCHART_22" hidden="1">#REF!</definedName>
    <definedName name="_54_____123Graph_BCHART_22" hidden="1">#REF!</definedName>
    <definedName name="_54___123Graph_BCHART_22" hidden="1">#REF!</definedName>
    <definedName name="_54__123Graph_BCHART_22" hidden="1">#REF!</definedName>
    <definedName name="_54__123Graph_BCHART_4" hidden="1">#REF!</definedName>
    <definedName name="_54__123Graph_BCHART_8" hidden="1">#REF!</definedName>
    <definedName name="_540___123Graph_ACHART_41" hidden="1">#REF!</definedName>
    <definedName name="_541___123Graph_ACHART_42" hidden="1">#REF!</definedName>
    <definedName name="_542___123Graph_ACHART_43" hidden="1">#REF!</definedName>
    <definedName name="_543___123Graph_ACHART_44" hidden="1">#REF!</definedName>
    <definedName name="_544___123Graph_ACHART_45" hidden="1">#REF!</definedName>
    <definedName name="_545___123Graph_ACHART_46" hidden="1">#REF!</definedName>
    <definedName name="_546___123Graph_ACHART_47" hidden="1">#REF!</definedName>
    <definedName name="_547___123Graph_ACHART_48" hidden="1">#REF!</definedName>
    <definedName name="_548___123Graph_ACHART_49" hidden="1">#REF!</definedName>
    <definedName name="_549___123Graph_ACHART_5" hidden="1">#REF!</definedName>
    <definedName name="_55_______123Graph_BCHART_27" hidden="1">#REF!</definedName>
    <definedName name="_55_____123Graph_BCHART_27" hidden="1">#REF!</definedName>
    <definedName name="_55___123Graph_BCHART_27" hidden="1">#REF!</definedName>
    <definedName name="_55__123Graph_ACHART_5" hidden="1">#REF!</definedName>
    <definedName name="_55__123Graph_BCHART_27" hidden="1">#REF!</definedName>
    <definedName name="_55__123Graph_BCHART_9" hidden="1">#REF!</definedName>
    <definedName name="_550___123Graph_ACHART_6" hidden="1">#REF!</definedName>
    <definedName name="_551___123Graph_ACHART_7" hidden="1">#REF!</definedName>
    <definedName name="_552___123Graph_ACHART_8" hidden="1">#REF!</definedName>
    <definedName name="_553___123Graph_ACHART_9" hidden="1">#REF!</definedName>
    <definedName name="_554___123Graph_BCHART_10" hidden="1">#REF!</definedName>
    <definedName name="_555___123Graph_BCHART_13" hidden="1">#REF!</definedName>
    <definedName name="_556___123Graph_BCHART_16" hidden="1">#REF!</definedName>
    <definedName name="_557___123Graph_BCHART_17" hidden="1">#REF!</definedName>
    <definedName name="_558___123Graph_BCHART_19" hidden="1">#REF!</definedName>
    <definedName name="_559___123Graph_BCHART_2" hidden="1">#REF!</definedName>
    <definedName name="_56_______123Graph_BCHART_28" hidden="1">#REF!</definedName>
    <definedName name="_56_____123Graph_BCHART_28" hidden="1">#REF!</definedName>
    <definedName name="_56___123Graph_BCHART_28" hidden="1">#REF!</definedName>
    <definedName name="_56__123Graph_BCHART_28" hidden="1">#REF!</definedName>
    <definedName name="_56__123Graph_CCHART_16" hidden="1">#REF!</definedName>
    <definedName name="_560___123Graph_BCHART_20" hidden="1">#REF!</definedName>
    <definedName name="_561___123Graph_BCHART_21" hidden="1">#REF!</definedName>
    <definedName name="_562___123Graph_BCHART_22" hidden="1">#REF!</definedName>
    <definedName name="_563___123Graph_BCHART_27" hidden="1">#REF!</definedName>
    <definedName name="_564___123Graph_BCHART_28" hidden="1">#REF!</definedName>
    <definedName name="_565___123Graph_BCHART_29" hidden="1">#REF!</definedName>
    <definedName name="_566___123Graph_BCHART_3" hidden="1">#REF!</definedName>
    <definedName name="_567___123Graph_BCHART_31" hidden="1">#REF!</definedName>
    <definedName name="_568___123Graph_BCHART_32" hidden="1">#REF!</definedName>
    <definedName name="_569___123Graph_BCHART_33" hidden="1">#REF!</definedName>
    <definedName name="_57_______123Graph_BCHART_29" hidden="1">#REF!</definedName>
    <definedName name="_57_____123Graph_BCHART_29" hidden="1">#REF!</definedName>
    <definedName name="_57___123Graph_BCHART_29" hidden="1">#REF!</definedName>
    <definedName name="_57__123Graph_BCHART_29" hidden="1">#REF!</definedName>
    <definedName name="_57__123Graph_CCHART_20" hidden="1">#REF!</definedName>
    <definedName name="_570___123Graph_BCHART_34" hidden="1">#REF!</definedName>
    <definedName name="_571___123Graph_BCHART_35" hidden="1">#REF!</definedName>
    <definedName name="_572___123Graph_BCHART_36" hidden="1">#REF!</definedName>
    <definedName name="_573___123Graph_BCHART_4" hidden="1">#REF!</definedName>
    <definedName name="_574___123Graph_BCHART_41" hidden="1">#REF!</definedName>
    <definedName name="_575___123Graph_BCHART_42" hidden="1">#REF!</definedName>
    <definedName name="_576___123Graph_BCHART_43" hidden="1">#REF!</definedName>
    <definedName name="_577___123Graph_BCHART_44" hidden="1">#REF!</definedName>
    <definedName name="_578___123Graph_BCHART_45" hidden="1">#REF!</definedName>
    <definedName name="_579___123Graph_BCHART_46" hidden="1">#REF!</definedName>
    <definedName name="_58_______123Graph_BCHART_3" hidden="1">#REF!</definedName>
    <definedName name="_58_____123Graph_BCHART_3" hidden="1">#REF!</definedName>
    <definedName name="_58___123Graph_BCHART_3" hidden="1">#REF!</definedName>
    <definedName name="_58__123Graph_BCHART_3" hidden="1">#REF!</definedName>
    <definedName name="_58__123Graph_CCHART_21" hidden="1">#REF!</definedName>
    <definedName name="_580___123Graph_BCHART_49" hidden="1">#REF!</definedName>
    <definedName name="_581___123Graph_BCHART_5" hidden="1">#REF!</definedName>
    <definedName name="_582___123Graph_BCHART_6" hidden="1">#REF!</definedName>
    <definedName name="_583___123Graph_BCHART_7" hidden="1">#REF!</definedName>
    <definedName name="_584___123Graph_BCHART_8" hidden="1">#REF!</definedName>
    <definedName name="_585___123Graph_BCHART_9" hidden="1">#REF!</definedName>
    <definedName name="_586___123Graph_CCHART_16" hidden="1">#REF!</definedName>
    <definedName name="_587___123Graph_CCHART_20" hidden="1">#REF!</definedName>
    <definedName name="_588___123Graph_CCHART_21" hidden="1">#REF!</definedName>
    <definedName name="_589___123Graph_CCHART_22" hidden="1">#REF!</definedName>
    <definedName name="_59_______123Graph_BCHART_31" hidden="1">#REF!</definedName>
    <definedName name="_59_____123Graph_BCHART_31" hidden="1">#REF!</definedName>
    <definedName name="_59___123Graph_BCHART_31" hidden="1">#REF!</definedName>
    <definedName name="_59__123Graph_BCHART_31" hidden="1">#REF!</definedName>
    <definedName name="_59__123Graph_CCHART_22" hidden="1">#REF!</definedName>
    <definedName name="_590___123Graph_CCHART_27" hidden="1">#REF!</definedName>
    <definedName name="_591___123Graph_CCHART_31" hidden="1">#REF!</definedName>
    <definedName name="_592___123Graph_CCHART_33" hidden="1">#REF!</definedName>
    <definedName name="_593___123Graph_CCHART_35" hidden="1">#REF!</definedName>
    <definedName name="_594___123Graph_CCHART_41" hidden="1">#REF!</definedName>
    <definedName name="_595___123Graph_CCHART_42" hidden="1">#REF!</definedName>
    <definedName name="_596___123Graph_CCHART_44" hidden="1">#REF!</definedName>
    <definedName name="_597___123Graph_CCHART_46" hidden="1">#REF!</definedName>
    <definedName name="_598___123Graph_CCHART_8" hidden="1">#REF!</definedName>
    <definedName name="_599___123Graph_CCHART_9" hidden="1">#REF!</definedName>
    <definedName name="_6_______123Graph_ACHART_14" hidden="1">#REF!</definedName>
    <definedName name="_6_____123Graph_ACHART_14" hidden="1">#REF!</definedName>
    <definedName name="_6___123Graph_ACHART_14" hidden="1">#REF!</definedName>
    <definedName name="_6__123Graph_ACHART_1" hidden="1">#REF!</definedName>
    <definedName name="_6__123Graph_ACHART_14" hidden="1">#REF!</definedName>
    <definedName name="_6__123Graph_ACHART_15" hidden="1">#REF!</definedName>
    <definedName name="_6__123Graph_ACHART_3" hidden="1">#REF!</definedName>
    <definedName name="_6__123Graph_BCHART_1" hidden="1">#REF!</definedName>
    <definedName name="_6__123Graph_BCHART_4" hidden="1">#REF!</definedName>
    <definedName name="_6__123Graph_LBL_CCHART_2" hidden="1">#REF!</definedName>
    <definedName name="_6__123Graph_XCHART_1" hidden="1">#REF!</definedName>
    <definedName name="_60_______123Graph_BCHART_32" hidden="1">#REF!</definedName>
    <definedName name="_60_____123Graph_BCHART_32" hidden="1">#REF!</definedName>
    <definedName name="_60___123Graph_BCHART_32" hidden="1">#REF!</definedName>
    <definedName name="_60__123Graph_BCHART_32" hidden="1">#REF!</definedName>
    <definedName name="_60__123Graph_BCHART_5" hidden="1">#REF!</definedName>
    <definedName name="_60__123Graph_CCHART_27" hidden="1">#REF!</definedName>
    <definedName name="_600___123Graph_DCHART_16" hidden="1">#REF!</definedName>
    <definedName name="_601___123Graph_DCHART_22" hidden="1">#REF!</definedName>
    <definedName name="_602___123Graph_DCHART_44" hidden="1">#REF!</definedName>
    <definedName name="_603___123Graph_DCHART_9" hidden="1">#REF!</definedName>
    <definedName name="_604___123Graph_ECHART_16" hidden="1">#REF!</definedName>
    <definedName name="_605___123Graph_ECHART_22" hidden="1">#REF!</definedName>
    <definedName name="_606___123Graph_ECHART_9" hidden="1">#REF!</definedName>
    <definedName name="_607___123Graph_FCHART_22" hidden="1">#REF!</definedName>
    <definedName name="_608___123Graph_FCHART_9" hidden="1">#REF!</definedName>
    <definedName name="_609___123Graph_LBL_ACHART_16" hidden="1">#REF!</definedName>
    <definedName name="_61_______123Graph_BCHART_33" hidden="1">#REF!</definedName>
    <definedName name="_61_____123Graph_BCHART_33" hidden="1">#REF!</definedName>
    <definedName name="_61___123Graph_BCHART_33" hidden="1">#REF!</definedName>
    <definedName name="_61__123Graph_BCHART_33" hidden="1">#REF!</definedName>
    <definedName name="_61__123Graph_CCHART_35" hidden="1">#REF!</definedName>
    <definedName name="_610___123Graph_LBL_ACHART_47" hidden="1">#REF!</definedName>
    <definedName name="_611___123Graph_LBL_ACHART_48" hidden="1">#REF!</definedName>
    <definedName name="_612___123Graph_LBL_ACHART_49" hidden="1">#REF!</definedName>
    <definedName name="_613___123Graph_LBL_BCHART_16" hidden="1">#REF!</definedName>
    <definedName name="_614___123Graph_LBL_BCHART_49" hidden="1">#REF!</definedName>
    <definedName name="_615___123Graph_LBL_CCHART_16" hidden="1">#REF!</definedName>
    <definedName name="_616___123Graph_LBL_DCHART_16" hidden="1">#REF!</definedName>
    <definedName name="_617___123Graph_LBL_DCHART_9" hidden="1">#REF!</definedName>
    <definedName name="_618___123Graph_LBL_ECHART_16" hidden="1">#REF!</definedName>
    <definedName name="_619___123Graph_LBL_FCHART_9" hidden="1">#REF!</definedName>
    <definedName name="_62_______123Graph_BCHART_34" hidden="1">#REF!</definedName>
    <definedName name="_62_____123Graph_BCHART_34" hidden="1">#REF!</definedName>
    <definedName name="_62___123Graph_BCHART_34" hidden="1">#REF!</definedName>
    <definedName name="_62__123Graph_BCHART_34" hidden="1">#REF!</definedName>
    <definedName name="_62__123Graph_CCHART_41" hidden="1">#REF!</definedName>
    <definedName name="_620___123Graph_XCHART_13" hidden="1">#REF!</definedName>
    <definedName name="_621___123Graph_XCHART_16" hidden="1">#REF!</definedName>
    <definedName name="_622___123Graph_XCHART_18" hidden="1">#REF!</definedName>
    <definedName name="_623___123Graph_XCHART_20" hidden="1">#REF!</definedName>
    <definedName name="_624___123Graph_XCHART_24" hidden="1">#REF!</definedName>
    <definedName name="_625___123Graph_XCHART_26" hidden="1">#REF!</definedName>
    <definedName name="_626___123Graph_XCHART_3" hidden="1">#REF!</definedName>
    <definedName name="_627___123Graph_XCHART_34" hidden="1">#REF!</definedName>
    <definedName name="_628___123Graph_XCHART_37" hidden="1">#REF!</definedName>
    <definedName name="_629___123Graph_XCHART_4" hidden="1">#REF!</definedName>
    <definedName name="_63_______123Graph_BCHART_35" hidden="1">#REF!</definedName>
    <definedName name="_63_____123Graph_BCHART_35" hidden="1">#REF!</definedName>
    <definedName name="_63___123Graph_BCHART_35" hidden="1">#REF!</definedName>
    <definedName name="_63__123Graph_BCHART_35" hidden="1">#REF!</definedName>
    <definedName name="_63__123Graph_CCHART_44" hidden="1">#REF!</definedName>
    <definedName name="_630___123Graph_XCHART_43" hidden="1">#REF!</definedName>
    <definedName name="_631___123Graph_XCHART_45" hidden="1">#REF!</definedName>
    <definedName name="_632___123Graph_XCHART_48" hidden="1">#REF!</definedName>
    <definedName name="_633___123Graph_XCHART_5" hidden="1">#REF!</definedName>
    <definedName name="_634___123Graph_XCHART_6" hidden="1">#REF!</definedName>
    <definedName name="_635___123Graph_XCHART_7" hidden="1">#REF!</definedName>
    <definedName name="_636__123Graph_ACHART_1" hidden="1">#REF!</definedName>
    <definedName name="_637__123Graph_ACHART_10" hidden="1">#REF!</definedName>
    <definedName name="_638__123Graph_ACHART_11" hidden="1">#REF!</definedName>
    <definedName name="_639__123Graph_ACHART_12" hidden="1">#REF!</definedName>
    <definedName name="_64_______123Graph_BCHART_36" hidden="1">#REF!</definedName>
    <definedName name="_64_____123Graph_BCHART_36" hidden="1">#REF!</definedName>
    <definedName name="_64___123Graph_BCHART_36" hidden="1">#REF!</definedName>
    <definedName name="_64__123Graph_BCHART_36" hidden="1">#REF!</definedName>
    <definedName name="_64__123Graph_CCHART_46" hidden="1">#REF!</definedName>
    <definedName name="_640__123Graph_ACHART_13" hidden="1">#REF!</definedName>
    <definedName name="_641__123Graph_ACHART_14" hidden="1">#REF!</definedName>
    <definedName name="_642__123Graph_ACHART_15" hidden="1">#REF!</definedName>
    <definedName name="_643__123Graph_ACHART_16" hidden="1">#REF!</definedName>
    <definedName name="_644__123Graph_ACHART_17" hidden="1">#REF!</definedName>
    <definedName name="_645__123Graph_ACHART_18" hidden="1">#REF!</definedName>
    <definedName name="_646__123Graph_ACHART_19" hidden="1">#REF!</definedName>
    <definedName name="_647__123Graph_ACHART_2" hidden="1">#REF!</definedName>
    <definedName name="_648__123Graph_ACHART_20" hidden="1">#REF!</definedName>
    <definedName name="_649__123Graph_ACHART_21" hidden="1">#REF!</definedName>
    <definedName name="_65_______123Graph_BCHART_4" hidden="1">#REF!</definedName>
    <definedName name="_65_____123Graph_BCHART_4" hidden="1">#REF!</definedName>
    <definedName name="_65___123Graph_BCHART_4" hidden="1">#REF!</definedName>
    <definedName name="_65__123Graph_BCHART_4" hidden="1">#REF!</definedName>
    <definedName name="_65__123Graph_CCHART_8" hidden="1">#REF!</definedName>
    <definedName name="_650__123Graph_ACHART_22" hidden="1">#REF!</definedName>
    <definedName name="_651__123Graph_ACHART_23" hidden="1">#REF!</definedName>
    <definedName name="_652__123Graph_ACHART_24" hidden="1">#REF!</definedName>
    <definedName name="_653__123Graph_ACHART_25" hidden="1">#REF!</definedName>
    <definedName name="_654__123Graph_ACHART_26" hidden="1">#REF!</definedName>
    <definedName name="_655__123Graph_ACHART_27" hidden="1">#REF!</definedName>
    <definedName name="_656__123Graph_ACHART_28" hidden="1">#REF!</definedName>
    <definedName name="_657__123Graph_ACHART_29" hidden="1">#REF!</definedName>
    <definedName name="_658__123Graph_ACHART_3" hidden="1">#REF!</definedName>
    <definedName name="_659__123Graph_ACHART_31" hidden="1">#REF!</definedName>
    <definedName name="_66_______123Graph_BCHART_41" hidden="1">#REF!</definedName>
    <definedName name="_66_____123Graph_BCHART_41" hidden="1">#REF!</definedName>
    <definedName name="_66___123Graph_BCHART_41" hidden="1">#REF!</definedName>
    <definedName name="_66__123Graph_BCHART_1" hidden="1">#REF!</definedName>
    <definedName name="_66__123Graph_BCHART_41" hidden="1">#REF!</definedName>
    <definedName name="_66__123Graph_CCHART_1" hidden="1">#REF!</definedName>
    <definedName name="_66__123Graph_CCHART_9" hidden="1">#REF!</definedName>
    <definedName name="_660__123Graph_ACHART_32" hidden="1">#REF!</definedName>
    <definedName name="_661__123Graph_ACHART_33" hidden="1">#REF!</definedName>
    <definedName name="_662__123Graph_ACHART_34" hidden="1">#REF!</definedName>
    <definedName name="_663__123Graph_ACHART_35" hidden="1">#REF!</definedName>
    <definedName name="_664__123Graph_ACHART_36" hidden="1">#REF!</definedName>
    <definedName name="_665__123Graph_ACHART_37" hidden="1">#REF!</definedName>
    <definedName name="_666__123Graph_ACHART_4" hidden="1">#REF!</definedName>
    <definedName name="_667__123Graph_ACHART_41" hidden="1">#REF!</definedName>
    <definedName name="_668__123Graph_ACHART_42" hidden="1">#REF!</definedName>
    <definedName name="_669__123Graph_ACHART_43" hidden="1">#REF!</definedName>
    <definedName name="_67_______123Graph_BCHART_42" hidden="1">#REF!</definedName>
    <definedName name="_67_____123Graph_BCHART_42" hidden="1">#REF!</definedName>
    <definedName name="_67___123Graph_BCHART_42" hidden="1">#REF!</definedName>
    <definedName name="_67__123Graph_BCHART_42" hidden="1">#REF!</definedName>
    <definedName name="_67__123Graph_DCHART_16" hidden="1">#REF!</definedName>
    <definedName name="_670__123Graph_ACHART_44" hidden="1">#REF!</definedName>
    <definedName name="_671__123Graph_ACHART_45" hidden="1">#REF!</definedName>
    <definedName name="_672__123Graph_ACHART_46" hidden="1">#REF!</definedName>
    <definedName name="_673__123Graph_ACHART_47" hidden="1">#REF!</definedName>
    <definedName name="_674__123Graph_ACHART_48" hidden="1">#REF!</definedName>
    <definedName name="_675__123Graph_ACHART_49" hidden="1">#REF!</definedName>
    <definedName name="_676__123Graph_ACHART_5" hidden="1">#REF!</definedName>
    <definedName name="_677__123Graph_ACHART_6" hidden="1">#REF!</definedName>
    <definedName name="_678__123Graph_ACHART_7" hidden="1">#REF!</definedName>
    <definedName name="_679__123Graph_ACHART_8" hidden="1">#REF!</definedName>
    <definedName name="_68_______123Graph_BCHART_43" hidden="1">#REF!</definedName>
    <definedName name="_68_____123Graph_BCHART_43" hidden="1">#REF!</definedName>
    <definedName name="_68___123Graph_BCHART_43" hidden="1">#REF!</definedName>
    <definedName name="_68__123Graph_BCHART_43" hidden="1">#REF!</definedName>
    <definedName name="_68__123Graph_DCHART_22" hidden="1">#REF!</definedName>
    <definedName name="_680__123Graph_ACHART_9" hidden="1">#REF!</definedName>
    <definedName name="_681__123Graph_BCHART_10" hidden="1">#REF!</definedName>
    <definedName name="_682__123Graph_BCHART_13" hidden="1">#REF!</definedName>
    <definedName name="_683__123Graph_BCHART_16" hidden="1">#REF!</definedName>
    <definedName name="_684__123Graph_BCHART_17" hidden="1">#REF!</definedName>
    <definedName name="_685__123Graph_BCHART_19" hidden="1">#REF!</definedName>
    <definedName name="_686__123Graph_BCHART_2" hidden="1">#REF!</definedName>
    <definedName name="_687__123Graph_BCHART_20" hidden="1">#REF!</definedName>
    <definedName name="_688__123Graph_BCHART_21" hidden="1">#REF!</definedName>
    <definedName name="_689__123Graph_BCHART_22" hidden="1">#REF!</definedName>
    <definedName name="_69_______123Graph_BCHART_44" hidden="1">#REF!</definedName>
    <definedName name="_69_____123Graph_BCHART_44" hidden="1">#REF!</definedName>
    <definedName name="_69___123Graph_BCHART_44" hidden="1">#REF!</definedName>
    <definedName name="_69__123Graph_BCHART_44" hidden="1">#REF!</definedName>
    <definedName name="_69__123Graph_DCHART_44" hidden="1">#REF!</definedName>
    <definedName name="_690__123Graph_BCHART_27" hidden="1">#REF!</definedName>
    <definedName name="_691__123Graph_BCHART_28" hidden="1">#REF!</definedName>
    <definedName name="_692__123Graph_BCHART_29" hidden="1">#REF!</definedName>
    <definedName name="_693__123Graph_BCHART_3" hidden="1">#REF!</definedName>
    <definedName name="_694__123Graph_BCHART_31" hidden="1">#REF!</definedName>
    <definedName name="_695__123Graph_BCHART_32" hidden="1">#REF!</definedName>
    <definedName name="_696__123Graph_BCHART_33" hidden="1">#REF!</definedName>
    <definedName name="_697__123Graph_BCHART_34" hidden="1">#REF!</definedName>
    <definedName name="_698__123Graph_BCHART_35" hidden="1">#REF!</definedName>
    <definedName name="_699__123Graph_BCHART_36" hidden="1">#REF!</definedName>
    <definedName name="_7_______123Graph_ACHART_15" hidden="1">#REF!</definedName>
    <definedName name="_7_____123Graph_ACHART_15" hidden="1">#REF!</definedName>
    <definedName name="_7___123Graph_ACHART_15" hidden="1">#REF!</definedName>
    <definedName name="_7__123Graph_ACHART_15" hidden="1">#REF!</definedName>
    <definedName name="_7__123Graph_ACHART_16" hidden="1">#REF!</definedName>
    <definedName name="_7__123Graph_BCHART_2" hidden="1">#REF!</definedName>
    <definedName name="_7__123Graph_BCHART_4" hidden="1">#REF!</definedName>
    <definedName name="_7__123Graph_BCHART_5" hidden="1">#REF!</definedName>
    <definedName name="_7__123Graph_XCHART_2" hidden="1">#REF!</definedName>
    <definedName name="_70_______123Graph_BCHART_45" hidden="1">#REF!</definedName>
    <definedName name="_70_____123Graph_BCHART_45" hidden="1">#REF!</definedName>
    <definedName name="_70___123Graph_BCHART_45" hidden="1">#REF!</definedName>
    <definedName name="_70__123Graph_BCHART_45" hidden="1">#REF!</definedName>
    <definedName name="_70__123Graph_DCHART_9" hidden="1">#REF!</definedName>
    <definedName name="_700__123Graph_BCHART_4" hidden="1">#REF!</definedName>
    <definedName name="_701__123Graph_BCHART_41" hidden="1">#REF!</definedName>
    <definedName name="_702__123Graph_BCHART_42" hidden="1">#REF!</definedName>
    <definedName name="_703__123Graph_BCHART_43" hidden="1">#REF!</definedName>
    <definedName name="_704__123Graph_BCHART_44" hidden="1">#REF!</definedName>
    <definedName name="_705__123Graph_BCHART_45" hidden="1">#REF!</definedName>
    <definedName name="_706__123Graph_BCHART_46" hidden="1">#REF!</definedName>
    <definedName name="_707__123Graph_BCHART_49" hidden="1">#REF!</definedName>
    <definedName name="_708__123Graph_BCHART_5" hidden="1">#REF!</definedName>
    <definedName name="_709__123Graph_BCHART_6" hidden="1">#REF!</definedName>
    <definedName name="_71_______123Graph_BCHART_46" hidden="1">#REF!</definedName>
    <definedName name="_71_____123Graph_BCHART_46" hidden="1">#REF!</definedName>
    <definedName name="_71___123Graph_BCHART_46" hidden="1">#REF!</definedName>
    <definedName name="_71__123Graph_BCHART_46" hidden="1">#REF!</definedName>
    <definedName name="_71__123Graph_ECHART_16" hidden="1">#REF!</definedName>
    <definedName name="_710__123Graph_BCHART_7" hidden="1">#REF!</definedName>
    <definedName name="_711__123Graph_BCHART_8" hidden="1">#REF!</definedName>
    <definedName name="_712__123Graph_BCHART_9" hidden="1">#REF!</definedName>
    <definedName name="_713__123Graph_CCHART_16" hidden="1">#REF!</definedName>
    <definedName name="_714__123Graph_CCHART_20" hidden="1">#REF!</definedName>
    <definedName name="_715__123Graph_CCHART_21" hidden="1">#REF!</definedName>
    <definedName name="_716__123Graph_CCHART_22" hidden="1">#REF!</definedName>
    <definedName name="_717__123Graph_CCHART_27" hidden="1">#REF!</definedName>
    <definedName name="_718__123Graph_CCHART_31" hidden="1">#REF!</definedName>
    <definedName name="_719__123Graph_CCHART_33" hidden="1">#REF!</definedName>
    <definedName name="_72_______123Graph_BCHART_49" hidden="1">#REF!</definedName>
    <definedName name="_72_____123Graph_BCHART_49" hidden="1">#REF!</definedName>
    <definedName name="_72___123Graph_BCHART_49" hidden="1">#REF!</definedName>
    <definedName name="_72__123Graph_BCHART_49" hidden="1">#REF!</definedName>
    <definedName name="_72__123Graph_CCHART_2" hidden="1">#REF!</definedName>
    <definedName name="_72__123Graph_ECHART_22" hidden="1">#REF!</definedName>
    <definedName name="_720__123Graph_CCHART_35" hidden="1">#REF!</definedName>
    <definedName name="_721__123Graph_CCHART_41" hidden="1">#REF!</definedName>
    <definedName name="_722__123Graph_CCHART_42" hidden="1">#REF!</definedName>
    <definedName name="_723__123Graph_CCHART_44" hidden="1">#REF!</definedName>
    <definedName name="_724__123Graph_CCHART_46" hidden="1">#REF!</definedName>
    <definedName name="_725__123Graph_CCHART_8" hidden="1">#REF!</definedName>
    <definedName name="_726__123Graph_CCHART_9" hidden="1">#REF!</definedName>
    <definedName name="_727__123Graph_DCHART_16" hidden="1">#REF!</definedName>
    <definedName name="_728__123Graph_DCHART_22" hidden="1">#REF!</definedName>
    <definedName name="_729__123Graph_DCHART_44" hidden="1">#REF!</definedName>
    <definedName name="_73_______123Graph_BCHART_5" hidden="1">#REF!</definedName>
    <definedName name="_73_____123Graph_BCHART_5" hidden="1">#REF!</definedName>
    <definedName name="_73___123Graph_BCHART_5" hidden="1">#REF!</definedName>
    <definedName name="_73__123Graph_BCHART_5" hidden="1">#REF!</definedName>
    <definedName name="_73__123Graph_ECHART_9" hidden="1">#REF!</definedName>
    <definedName name="_730__123Graph_DCHART_9" hidden="1">#REF!</definedName>
    <definedName name="_731__123Graph_ECHART_16" hidden="1">#REF!</definedName>
    <definedName name="_732__123Graph_ECHART_22" hidden="1">#REF!</definedName>
    <definedName name="_733__123Graph_ECHART_9" hidden="1">#REF!</definedName>
    <definedName name="_734__123Graph_FCHART_22" hidden="1">#REF!</definedName>
    <definedName name="_735__123Graph_FCHART_9" hidden="1">#REF!</definedName>
    <definedName name="_736__123Graph_LBL_ACHART_16" hidden="1">#REF!</definedName>
    <definedName name="_737__123Graph_LBL_ACHART_47" hidden="1">#REF!</definedName>
    <definedName name="_738__123Graph_LBL_ACHART_48" hidden="1">#REF!</definedName>
    <definedName name="_739__123Graph_LBL_ACHART_49" hidden="1">#REF!</definedName>
    <definedName name="_74_______123Graph_BCHART_6" hidden="1">#REF!</definedName>
    <definedName name="_74_____123Graph_BCHART_6" hidden="1">#REF!</definedName>
    <definedName name="_74___123Graph_BCHART_6" hidden="1">#REF!</definedName>
    <definedName name="_74__123Graph_BCHART_6" hidden="1">#REF!</definedName>
    <definedName name="_74__123Graph_FCHART_22" hidden="1">#REF!</definedName>
    <definedName name="_740__123Graph_LBL_BCHART_16" hidden="1">#REF!</definedName>
    <definedName name="_741__123Graph_LBL_BCHART_49" hidden="1">#REF!</definedName>
    <definedName name="_742__123Graph_LBL_CCHART_16" hidden="1">#REF!</definedName>
    <definedName name="_743__123Graph_LBL_DCHART_16" hidden="1">#REF!</definedName>
    <definedName name="_744__123Graph_LBL_DCHART_9" hidden="1">#REF!</definedName>
    <definedName name="_745__123Graph_LBL_ECHART_16" hidden="1">#REF!</definedName>
    <definedName name="_746__123Graph_LBL_FCHART_9" hidden="1">#REF!</definedName>
    <definedName name="_747__123Graph_XCHART_13" hidden="1">#REF!</definedName>
    <definedName name="_748__123Graph_XCHART_16" hidden="1">#REF!</definedName>
    <definedName name="_749__123Graph_XCHART_18" hidden="1">#REF!</definedName>
    <definedName name="_75_______123Graph_BCHART_7" hidden="1">#REF!</definedName>
    <definedName name="_75_____123Graph_BCHART_7" hidden="1">#REF!</definedName>
    <definedName name="_75___123Graph_BCHART_7" hidden="1">#REF!</definedName>
    <definedName name="_75__123Graph_BCHART_7" hidden="1">#REF!</definedName>
    <definedName name="_75__123Graph_FCHART_9" hidden="1">#REF!</definedName>
    <definedName name="_750__123Graph_XCHART_20" hidden="1">#REF!</definedName>
    <definedName name="_751__123Graph_XCHART_24" hidden="1">#REF!</definedName>
    <definedName name="_752__123Graph_XCHART_26" hidden="1">#REF!</definedName>
    <definedName name="_753__123Graph_XCHART_3" hidden="1">#REF!</definedName>
    <definedName name="_754__123Graph_XCHART_34" hidden="1">#REF!</definedName>
    <definedName name="_755__123Graph_XCHART_37" hidden="1">#REF!</definedName>
    <definedName name="_756__123Graph_XCHART_4" hidden="1">#REF!</definedName>
    <definedName name="_757__123Graph_XCHART_43" hidden="1">#REF!</definedName>
    <definedName name="_758__123Graph_XCHART_45" hidden="1">#REF!</definedName>
    <definedName name="_759__123Graph_XCHART_48" hidden="1">#REF!</definedName>
    <definedName name="_76_______123Graph_BCHART_8" hidden="1">#REF!</definedName>
    <definedName name="_76_____123Graph_BCHART_8" hidden="1">#REF!</definedName>
    <definedName name="_76___123Graph_BCHART_8" hidden="1">#REF!</definedName>
    <definedName name="_76__123Graph_BCHART_8" hidden="1">#REF!</definedName>
    <definedName name="_76__123Graph_LBL_ACHART_16" hidden="1">#REF!</definedName>
    <definedName name="_760__123Graph_XCHART_5" hidden="1">#REF!</definedName>
    <definedName name="_761__123Graph_XCHART_6" hidden="1">#REF!</definedName>
    <definedName name="_762__123Graph_XCHART_7" hidden="1">#REF!</definedName>
    <definedName name="_77_______123Graph_BCHART_9" hidden="1">#REF!</definedName>
    <definedName name="_77_____123Graph_BCHART_9" hidden="1">#REF!</definedName>
    <definedName name="_77___123Graph_BCHART_9" hidden="1">#REF!</definedName>
    <definedName name="_77__123Graph_BCHART_2" hidden="1">#REF!</definedName>
    <definedName name="_77__123Graph_BCHART_9" hidden="1">#REF!</definedName>
    <definedName name="_77__123Graph_LBL_ACHART_47" hidden="1">#REF!</definedName>
    <definedName name="_78_______123Graph_CCHART_16" hidden="1">#REF!</definedName>
    <definedName name="_78_____123Graph_CCHART_16" hidden="1">#REF!</definedName>
    <definedName name="_78___123Graph_CCHART_16" hidden="1">#REF!</definedName>
    <definedName name="_78__123Graph_CCHART_16" hidden="1">#REF!</definedName>
    <definedName name="_78__123Graph_CCHART_3" hidden="1">#REF!</definedName>
    <definedName name="_78__123Graph_LBL_ACHART_48" hidden="1">#REF!</definedName>
    <definedName name="_79_______123Graph_CCHART_20" hidden="1">#REF!</definedName>
    <definedName name="_79_____123Graph_CCHART_20" hidden="1">#REF!</definedName>
    <definedName name="_79___123Graph_CCHART_20" hidden="1">#REF!</definedName>
    <definedName name="_79__123Graph_CCHART_20" hidden="1">#REF!</definedName>
    <definedName name="_79__123Graph_LBL_BCHART_16" hidden="1">#REF!</definedName>
    <definedName name="_8_______123Graph_ACHART_16" hidden="1">#REF!</definedName>
    <definedName name="_8_____123Graph_ACHART_16" hidden="1">#REF!</definedName>
    <definedName name="_8___123Graph_ACHART_16" hidden="1">#REF!</definedName>
    <definedName name="_8__123Graph_ACHART_16" hidden="1">#REF!</definedName>
    <definedName name="_8__123Graph_ACHART_17" hidden="1">#REF!</definedName>
    <definedName name="_8__123Graph_ACHART_4" hidden="1">#REF!</definedName>
    <definedName name="_8__123Graph_BCHART_3" hidden="1">#REF!</definedName>
    <definedName name="_8__123Graph_BCHART_5" hidden="1">#REF!</definedName>
    <definedName name="_8__123Graph_CCHART_1" hidden="1">#REF!</definedName>
    <definedName name="_80_______123Graph_CCHART_21" hidden="1">#REF!</definedName>
    <definedName name="_80_____123Graph_CCHART_21" hidden="1">#REF!</definedName>
    <definedName name="_80___123Graph_CCHART_21" hidden="1">#REF!</definedName>
    <definedName name="_80__123Graph_CCHART_21" hidden="1">#REF!</definedName>
    <definedName name="_80__123Graph_LBL_CCHART_16" hidden="1">#REF!</definedName>
    <definedName name="_81_______123Graph_CCHART_22" hidden="1">#REF!</definedName>
    <definedName name="_81_____123Graph_CCHART_22" hidden="1">#REF!</definedName>
    <definedName name="_81___123Graph_CCHART_22" hidden="1">#REF!</definedName>
    <definedName name="_81__123Graph_CCHART_22" hidden="1">#REF!</definedName>
    <definedName name="_81__123Graph_LBL_DCHART_16" hidden="1">#REF!</definedName>
    <definedName name="_82_______123Graph_CCHART_27" hidden="1">#REF!</definedName>
    <definedName name="_82_____123Graph_CCHART_27" hidden="1">#REF!</definedName>
    <definedName name="_82___123Graph_CCHART_27" hidden="1">#REF!</definedName>
    <definedName name="_82__123Graph_CCHART_27" hidden="1">#REF!</definedName>
    <definedName name="_82__123Graph_LBL_DCHART_9" hidden="1">#REF!</definedName>
    <definedName name="_83_______123Graph_CCHART_31" hidden="1">#REF!</definedName>
    <definedName name="_83_____123Graph_CCHART_31" hidden="1">#REF!</definedName>
    <definedName name="_83___123Graph_CCHART_31" hidden="1">#REF!</definedName>
    <definedName name="_83__123Graph_CCHART_31" hidden="1">#REF!</definedName>
    <definedName name="_83__123Graph_LBL_ECHART_16" hidden="1">#REF!</definedName>
    <definedName name="_84_______123Graph_CCHART_33" hidden="1">#REF!</definedName>
    <definedName name="_84_____123Graph_CCHART_33" hidden="1">#REF!</definedName>
    <definedName name="_84___123Graph_CCHART_33" hidden="1">#REF!</definedName>
    <definedName name="_84__123Graph_CCHART_33" hidden="1">#REF!</definedName>
    <definedName name="_84__123Graph_CCHART_4" hidden="1">#REF!</definedName>
    <definedName name="_84__123Graph_LBL_FCHART_9" hidden="1">#REF!</definedName>
    <definedName name="_85_______123Graph_CCHART_35" hidden="1">#REF!</definedName>
    <definedName name="_85_____123Graph_CCHART_35" hidden="1">#REF!</definedName>
    <definedName name="_85___123Graph_CCHART_35" hidden="1">#REF!</definedName>
    <definedName name="_85__123Graph_CCHART_35" hidden="1">#REF!</definedName>
    <definedName name="_85__123Graph_XCHART_13" hidden="1">#REF!</definedName>
    <definedName name="_86_______123Graph_CCHART_41" hidden="1">#REF!</definedName>
    <definedName name="_86_____123Graph_CCHART_41" hidden="1">#REF!</definedName>
    <definedName name="_86___123Graph_CCHART_41" hidden="1">#REF!</definedName>
    <definedName name="_86__123Graph_CCHART_41" hidden="1">#REF!</definedName>
    <definedName name="_86__123Graph_XCHART_16" hidden="1">#REF!</definedName>
    <definedName name="_87_______123Graph_CCHART_42" hidden="1">#REF!</definedName>
    <definedName name="_87_____123Graph_CCHART_42" hidden="1">#REF!</definedName>
    <definedName name="_87___123Graph_CCHART_42" hidden="1">#REF!</definedName>
    <definedName name="_87__123Graph_CCHART_42" hidden="1">#REF!</definedName>
    <definedName name="_87__123Graph_XCHART_18" hidden="1">#REF!</definedName>
    <definedName name="_88_______123Graph_CCHART_44" hidden="1">#REF!</definedName>
    <definedName name="_88_____123Graph_CCHART_44" hidden="1">#REF!</definedName>
    <definedName name="_88___123Graph_CCHART_44" hidden="1">#REF!</definedName>
    <definedName name="_88__123Graph_BCHART_3" hidden="1">#REF!</definedName>
    <definedName name="_88__123Graph_CCHART_44" hidden="1">#REF!</definedName>
    <definedName name="_88__123Graph_XCHART_20" hidden="1">#REF!</definedName>
    <definedName name="_89_______123Graph_CCHART_46" hidden="1">#REF!</definedName>
    <definedName name="_89_____123Graph_CCHART_46" hidden="1">#REF!</definedName>
    <definedName name="_89___123Graph_CCHART_46" hidden="1">#REF!</definedName>
    <definedName name="_89__123Graph_CCHART_46" hidden="1">#REF!</definedName>
    <definedName name="_89__123Graph_XCHART_24" hidden="1">#REF!</definedName>
    <definedName name="_9_______123Graph_ACHART_17" hidden="1">#REF!</definedName>
    <definedName name="_9_____123Graph_ACHART_17" hidden="1">#REF!</definedName>
    <definedName name="_9___123Graph_ACHART_17" hidden="1">#REF!</definedName>
    <definedName name="_9__123Graph_ACHART_17" hidden="1">#REF!</definedName>
    <definedName name="_9__123Graph_ACHART_18" hidden="1">#REF!</definedName>
    <definedName name="_9__123Graph_BCHART_4" hidden="1">#REF!</definedName>
    <definedName name="_9__123Graph_CCHART_1" hidden="1">#REF!</definedName>
    <definedName name="_9__123Graph_CCHART_4" hidden="1">#REF!</definedName>
    <definedName name="_90_______123Graph_CCHART_8" hidden="1">#REF!</definedName>
    <definedName name="_90_____123Graph_CCHART_8" hidden="1">#REF!</definedName>
    <definedName name="_90___123Graph_CCHART_8" hidden="1">#REF!</definedName>
    <definedName name="_90__123Graph_CCHART_5" hidden="1">#REF!</definedName>
    <definedName name="_90__123Graph_CCHART_8" hidden="1">#REF!</definedName>
    <definedName name="_90__123Graph_XCHART_3" hidden="1">#REF!</definedName>
    <definedName name="_91_______123Graph_CCHART_9" hidden="1">#REF!</definedName>
    <definedName name="_91_____123Graph_CCHART_9" hidden="1">#REF!</definedName>
    <definedName name="_91___123Graph_CCHART_9" hidden="1">#REF!</definedName>
    <definedName name="_91__123Graph_CCHART_9" hidden="1">#REF!</definedName>
    <definedName name="_91__123Graph_XCHART_4" hidden="1">#REF!</definedName>
    <definedName name="_92_______123Graph_DCHART_16" hidden="1">#REF!</definedName>
    <definedName name="_92_____123Graph_DCHART_16" hidden="1">#REF!</definedName>
    <definedName name="_92___123Graph_DCHART_16" hidden="1">#REF!</definedName>
    <definedName name="_92__123Graph_DCHART_16" hidden="1">#REF!</definedName>
    <definedName name="_92__123Graph_XCHART_45" hidden="1">#REF!</definedName>
    <definedName name="_93_______123Graph_DCHART_22" hidden="1">#REF!</definedName>
    <definedName name="_93_____123Graph_DCHART_22" hidden="1">#REF!</definedName>
    <definedName name="_93___123Graph_DCHART_22" hidden="1">#REF!</definedName>
    <definedName name="_93__123Graph_DCHART_22" hidden="1">#REF!</definedName>
    <definedName name="_93__123Graph_XCHART_48" hidden="1">#REF!</definedName>
    <definedName name="_94_______123Graph_DCHART_44" hidden="1">#REF!</definedName>
    <definedName name="_94_____123Graph_DCHART_44" hidden="1">#REF!</definedName>
    <definedName name="_94___123Graph_DCHART_44" hidden="1">#REF!</definedName>
    <definedName name="_94__123Graph_DCHART_44" hidden="1">#REF!</definedName>
    <definedName name="_94__123Graph_XCHART_5" hidden="1">#REF!</definedName>
    <definedName name="_95_______123Graph_DCHART_9" hidden="1">#REF!</definedName>
    <definedName name="_95_____123Graph_DCHART_9" hidden="1">#REF!</definedName>
    <definedName name="_95___123Graph_DCHART_9" hidden="1">#REF!</definedName>
    <definedName name="_95__123Graph_DCHART_9" hidden="1">#REF!</definedName>
    <definedName name="_95__123Graph_XCHART_6" hidden="1">#REF!</definedName>
    <definedName name="_96_______123Graph_ECHART_16" hidden="1">#REF!</definedName>
    <definedName name="_96_____123Graph_ECHART_16" hidden="1">#REF!</definedName>
    <definedName name="_96___123Graph_ECHART_16" hidden="1">#REF!</definedName>
    <definedName name="_96__123Graph_DCHART_5" hidden="1">#REF!</definedName>
    <definedName name="_96__123Graph_ECHART_16" hidden="1">#REF!</definedName>
    <definedName name="_96__123Graph_XCHART_7" hidden="1">#REF!</definedName>
    <definedName name="_97_______123Graph_ECHART_22" hidden="1">#REF!</definedName>
    <definedName name="_97_____123Graph_ECHART_22" hidden="1">#REF!</definedName>
    <definedName name="_97___123Graph_ECHART_22" hidden="1">#REF!</definedName>
    <definedName name="_97__123Graph_ECHART_22" hidden="1">#REF!</definedName>
    <definedName name="_98_______123Graph_ECHART_9" hidden="1">#REF!</definedName>
    <definedName name="_98_____123Graph_ECHART_9" hidden="1">#REF!</definedName>
    <definedName name="_98___123Graph_ECHART_9" hidden="1">#REF!</definedName>
    <definedName name="_98__123Graph_ECHART_9" hidden="1">#REF!</definedName>
    <definedName name="_99_______123Graph_FCHART_22" hidden="1">#REF!</definedName>
    <definedName name="_99_____123Graph_FCHART_22" hidden="1">#REF!</definedName>
    <definedName name="_99___123Graph_FCHART_22" hidden="1">#REF!</definedName>
    <definedName name="_99__123Graph_BCHART_4" hidden="1">#REF!</definedName>
    <definedName name="_99__123Graph_FCHART_22" hidden="1">#REF!</definedName>
    <definedName name="_a11" hidden="1">{#N/A,#N/A,FALSE,"M.41"}</definedName>
    <definedName name="_a12" hidden="1">{#N/A,#N/A,FALSE,"M.42"}</definedName>
    <definedName name="_a14" hidden="1">{#N/A,#N/A,FALSE,"M.02"}</definedName>
    <definedName name="_a15" hidden="1">{#N/A,#N/A,FALSE,"M.02"}</definedName>
    <definedName name="_a2" hidden="1">{#N/A,#N/A,FALSE,"Aging Summary";#N/A,#N/A,FALSE,"Ratio Analysis";#N/A,#N/A,FALSE,"Test 120 Day Accts";#N/A,#N/A,FALSE,"Tickmarks"}</definedName>
    <definedName name="_a21" hidden="1">{#N/A,#N/A,FALSE,"M.31"}</definedName>
    <definedName name="_a22" hidden="1">{#N/A,#N/A,FALSE,"M.34"}</definedName>
    <definedName name="_a23" hidden="1">{#N/A,#N/A,FALSE,"M.01";#N/A,#N/A,FALSE,"M.01"}</definedName>
    <definedName name="_a3" hidden="1">{#N/A,#N/A,FALSE,"M.42"}</definedName>
    <definedName name="_a4" hidden="1">{#N/A,#N/A,FALSE,"M.41"}</definedName>
    <definedName name="_a5" hidden="1">{#N/A,#N/A,FALSE,"M.43"}</definedName>
    <definedName name="_A6" hidden="1">{#N/A,#N/A,FALSE,"Aging Summary";#N/A,#N/A,FALSE,"Ratio Analysis";#N/A,#N/A,FALSE,"Test 120 Day Accts";#N/A,#N/A,FALSE,"Tickmarks"}</definedName>
    <definedName name="_a7" hidden="1">{#N/A,#N/A,FALSE,"M.31"}</definedName>
    <definedName name="_a9" hidden="1">{#N/A,#N/A,FALSE,"M.01"}</definedName>
    <definedName name="_adc11" hidden="1">{#N/A,#N/A,FALSE,"M.33"}</definedName>
    <definedName name="_arr1" hidden="1">{#N/A,#N/A,FALSE,"M.42"}</definedName>
    <definedName name="_AS1" hidden="1">{#N/A,#N/A,FALSE,"Aging Summary";#N/A,#N/A,FALSE,"Ratio Analysis";#N/A,#N/A,FALSE,"Test 120 Day Accts";#N/A,#N/A,FALSE,"Tickmarks"}</definedName>
    <definedName name="_aya108" hidden="1">#REF!</definedName>
    <definedName name="_BBM3" hidden="1">{#N/A,#N/A,FALSE,"M.32"}</definedName>
    <definedName name="_BGR1" hidden="1">{#N/A,#N/A,FALSE,"M.01"}</definedName>
    <definedName name="_btn1" hidden="1">{#N/A,#N/A,FALSE,"M.41"}</definedName>
    <definedName name="_cvf345" hidden="1">{#N/A,#N/A,FALSE,"M.41"}</definedName>
    <definedName name="_cwp2" hidden="1">{#N/A,#N/A,FALSE,"M.01";#N/A,#N/A,FALSE,"M.01"}</definedName>
    <definedName name="_cwp4" hidden="1">{#N/A,#N/A,FALSE,"M.31"}</definedName>
    <definedName name="_def123" hidden="1">{#N/A,#N/A,FALSE,"M.01";#N/A,#N/A,FALSE,"M.01"}</definedName>
    <definedName name="_Dist_Bin" hidden="1">#REF!</definedName>
    <definedName name="_Dist_Values" hidden="1">#REF!</definedName>
    <definedName name="_eli2" hidden="1">#REF!</definedName>
    <definedName name="_ERR1" hidden="1">{#N/A,#N/A,FALSE,"M.42"}</definedName>
    <definedName name="_ERR1_1" hidden="1">{#N/A,#N/A,FALSE,"M.42"}</definedName>
    <definedName name="_ERR2" hidden="1">{#N/A,#N/A,FALSE,"M.42"}</definedName>
    <definedName name="_ERR3" hidden="1">{#N/A,#N/A,FALSE,"M.42"}</definedName>
    <definedName name="_ERR4" hidden="1">{#N/A,#N/A,FALSE,"M.42"}</definedName>
    <definedName name="_FIL" hidden="1">#REF!</definedName>
    <definedName name="_Fill" hidden="1">#REF!</definedName>
    <definedName name="_Fill1" hidden="1">#REF!</definedName>
    <definedName name="_xlnm._FilterDatabase" hidden="1">#REF!</definedName>
    <definedName name="_gfr234" hidden="1">{#N/A,#N/A,FALSE,"M.01";#N/A,#N/A,FALSE,"M.01"}</definedName>
    <definedName name="_ghn987" hidden="1">{#N/A,#N/A,FALSE,"M.32"}</definedName>
    <definedName name="_gk2" hidden="1">#REF!</definedName>
    <definedName name="_HEP1" hidden="1">{#N/A,#N/A,FALSE,"M.42"}</definedName>
    <definedName name="_hgg23" hidden="1">{#N/A,#N/A,FALSE,"M.43"}</definedName>
    <definedName name="_i76" hidden="1">{#N/A,#N/A,FALSE,"M.31"}</definedName>
    <definedName name="_ID3" hidden="1">{#N/A,#N/A,FALSE,"M.33"}</definedName>
    <definedName name="_ID4" hidden="1">{#N/A,#N/A,FALSE,"M.43"}</definedName>
    <definedName name="_INSPEKSI" hidden="1">#REF!</definedName>
    <definedName name="_JBN1" hidden="1">{#N/A,#N/A,FALSE,"M.41"}</definedName>
    <definedName name="_JBN3" hidden="1">{#N/A,#N/A,FALSE,"M.32"}</definedName>
    <definedName name="_JBN31" hidden="1">{#N/A,#N/A,FALSE,"M.32"}</definedName>
    <definedName name="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KBN2" hidden="1">{#N/A,#N/A,FALSE,"M.31"}</definedName>
    <definedName name="_Key1" hidden="1">#REF!</definedName>
    <definedName name="_Key2" hidden="1">#REF!</definedName>
    <definedName name="_kin3" hidden="1">{#N/A,#N/A,FALSE,"M.31"}</definedName>
    <definedName name="_kit2" hidden="1">{#N/A,#N/A,FALSE,"M.43"}</definedName>
    <definedName name="_kjn456" hidden="1">{#N/A,#N/A,FALSE,"M.42"}</definedName>
    <definedName name="_kl09" hidden="1">{#N/A,#N/A,FALSE,"M.01"}</definedName>
    <definedName name="_kl2" hidden="1">{#N/A,#N/A,FALSE,"M.31"}</definedName>
    <definedName name="_kl4" hidden="1">{#N/A,#N/A,FALSE,"M.31"}</definedName>
    <definedName name="_LKO1" hidden="1">{#N/A,#N/A,FALSE,"M.41"}</definedName>
    <definedName name="_M2" hidden="1">{#N/A,#N/A,FALSE,"M.42"}</definedName>
    <definedName name="_mp3" hidden="1">{#N/A,#N/A,FALSE,"M.42"}</definedName>
    <definedName name="_Order1" hidden="1">0</definedName>
    <definedName name="_Order2" hidden="1">255</definedName>
    <definedName name="_Parse_Out" hidden="1">#REF!</definedName>
    <definedName name="_pdp1" hidden="1">{#N/A,#N/A,FALSE,"M.42"}</definedName>
    <definedName name="_Pel1" hidden="1">{#N/A,#N/A,FALSE,"M.01"}</definedName>
    <definedName name="_Pel2" hidden="1">{#N/A,#N/A,FALSE,"M.41"}</definedName>
    <definedName name="_Pel3" hidden="1">{#N/A,#N/A,FALSE,"M.34"}</definedName>
    <definedName name="_PI3" hidden="1">{#N/A,#N/A,FALSE,"M.42"}</definedName>
    <definedName name="_po456" hidden="1">{#N/A,#N/A,FALSE,"M.31"}</definedName>
    <definedName name="_Pres" hidden="1">#REF!</definedName>
    <definedName name="_re12" hidden="1">{#N/A,#N/A,FALSE,"M.01"}</definedName>
    <definedName name="_Regression_Out" hidden="1">#REF!</definedName>
    <definedName name="_Regression_X" hidden="1">#REF!</definedName>
    <definedName name="_Regression_Y" hidden="1">#REF!</definedName>
    <definedName name="_RIP2" hidden="1">{#N/A,#N/A,FALSE,"M.01"}</definedName>
    <definedName name="_RIP3" hidden="1">{#N/A,#N/A,FALSE,"M.41"}</definedName>
    <definedName name="_scd12" hidden="1">{#N/A,#N/A,FALSE,"M.02"}</definedName>
    <definedName name="_SE002" hidden="1">{#N/A,#N/A,FALSE,"M.43"}</definedName>
    <definedName name="_SKI2" hidden="1">{#N/A,#N/A,FALSE,"M.02"}</definedName>
    <definedName name="_SLA2009" hidden="1">{#N/A,#N/A,FALSE,"M.32"}</definedName>
    <definedName name="_Sort" hidden="1">#REF!</definedName>
    <definedName name="_Sorty" hidden="1">#REF!</definedName>
    <definedName name="_t1" hidden="1">{"Offgrid",#N/A,FALSE,"OFFGRID";"Region",#N/A,FALSE,"REGION";"Offgrid -2",#N/A,FALSE,"OFFGRID";"WTP",#N/A,FALSE,"WTP";"WTP -2",#N/A,FALSE,"WTP";"Project",#N/A,FALSE,"PROJECT";"Summary -2",#N/A,FALSE,"SUMMARY"}</definedName>
    <definedName name="_t2" hidden="1">{"Offgrid",#N/A,FALSE,"OFFGRID";"Region",#N/A,FALSE,"REGION";"Offgrid -2",#N/A,FALSE,"OFFGRID";"WTP",#N/A,FALSE,"WTP";"WTP -2",#N/A,FALSE,"WTP";"Project",#N/A,FALSE,"PROJECT";"Summary -2",#N/A,FALSE,"SUMMARY"}</definedName>
    <definedName name="_t3" hidden="1">{"Offgrid",#N/A,FALSE,"OFFGRID";"Region",#N/A,FALSE,"REGION";"Offgrid -2",#N/A,FALSE,"OFFGRID";"WTP",#N/A,FALSE,"WTP";"WTP -2",#N/A,FALSE,"WTP";"Project",#N/A,FALSE,"PROJECT";"Summary -2",#N/A,FALSE,"SUMMARY"}</definedName>
    <definedName name="_Table2_In1" hidden="1">#REF!</definedName>
    <definedName name="_Table2_In2" hidden="1">#REF!</definedName>
    <definedName name="_Table2_Out" hidden="1">#REF!</definedName>
    <definedName name="_tgr2" hidden="1">{#N/A,#N/A,FALSE,"M.33"}</definedName>
    <definedName name="_TH1" hidden="1">{#N/A,#N/A,FALSE,"M.34"}</definedName>
    <definedName name="_TH1A" hidden="1">{#N/A,#N/A,FALSE,"M.34"}</definedName>
    <definedName name="_th2" hidden="1">{#N/A,#N/A,FALSE,"M.42"}</definedName>
    <definedName name="_ujy654" hidden="1">{#N/A,#N/A,FALSE,"M.42"}</definedName>
    <definedName name="_uu5" hidden="1">{#N/A,#N/A,FALSE,"M.41"}</definedName>
    <definedName name="_uyh123" hidden="1">{#N/A,#N/A,FALSE,"M.42"}</definedName>
    <definedName name="_we12" hidden="1">{#N/A,#N/A,FALSE,"M.33"}</definedName>
    <definedName name="_wer12" hidden="1">{#N/A,#N/A,FALSE,"M.43"}</definedName>
    <definedName name="_WRN33" hidden="1">{#N/A,#N/A,FALSE,"M.33"}</definedName>
    <definedName name="_x213" hidden="1">{#N/A,#N/A,FALSE,"M.02"}</definedName>
    <definedName name="_x456" hidden="1">{#N/A,#N/A,FALSE,"M.42"}</definedName>
    <definedName name="_xd234" hidden="1">{#N/A,#N/A,FALSE,"M.02"}</definedName>
    <definedName name="_xx23" hidden="1">{#N/A,#N/A,FALSE,"M.34"}</definedName>
    <definedName name="a" hidden="1">{#N/A,#N/A,FALSE,"M.41"}</definedName>
    <definedName name="A3warna" hidden="1">#REF!</definedName>
    <definedName name="aaaa" hidden="1">{#N/A,#N/A,FALSE,"M.32"}</definedName>
    <definedName name="AAAAAA" hidden="1">{#N/A,#N/A,FALSE,"M.42"}</definedName>
    <definedName name="AAAAAAA" hidden="1">{#N/A,#N/A,FALSE,"M.02"}</definedName>
    <definedName name="aaaaaaaa" hidden="1">{#N/A,#N/A,FALSE,"M.01"}</definedName>
    <definedName name="aaaaaaaaaaaaaaaa" hidden="1">{#N/A,#N/A,FALSE,"M.01";#N/A,#N/A,FALSE,"M.01"}</definedName>
    <definedName name="AAAADD" hidden="1">{#N/A,#N/A,FALSE,"M.01"}</definedName>
    <definedName name="AAAM.02" hidden="1">{#N/A,#N/A,FALSE,"M.02"}</definedName>
    <definedName name="aab" hidden="1">{#N/A,#N/A,FALSE,"M.43"}</definedName>
    <definedName name="AAS" hidden="1">{#N/A,#N/A,FALSE,"M.32"}</definedName>
    <definedName name="ab" hidden="1">{#N/A,#N/A,FALSE,"M.01"}</definedName>
    <definedName name="ababa" hidden="1">{#N/A,#N/A,FALSE,"M.43"}</definedName>
    <definedName name="AccessDatabase" hidden="1">"C:\My Documents\MAUI MALL1.mdb"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{#N/A,#N/A,FALSE,"M.34"}</definedName>
    <definedName name="ADAD" hidden="1">{#N/A,#N/A,FALSE,"M.01";#N/A,#N/A,FALSE,"M.01"}</definedName>
    <definedName name="ADADA" hidden="1">{#N/A,#N/A,FALSE,"M.02"}</definedName>
    <definedName name="adadad" hidden="1">{#N/A,#N/A,FALSE,"M.31"}</definedName>
    <definedName name="ADADADA" hidden="1">{#N/A,#N/A,FALSE,"M.02"}</definedName>
    <definedName name="adasdasdda" hidden="1">{#N/A,#N/A,FALSE,"M.01"}</definedName>
    <definedName name="ADB" hidden="1">{#N/A,#N/A,FALSE,"M.01";#N/A,#N/A,FALSE,"M.01"}</definedName>
    <definedName name="ADDDAD" hidden="1">{#N/A,#N/A,FALSE,"M.31"}</definedName>
    <definedName name="ADDKLJ" hidden="1">#REF!</definedName>
    <definedName name="adil" hidden="1">{#N/A,#N/A,FALSE,"M.02"}</definedName>
    <definedName name="ADSAD" hidden="1">#REF!</definedName>
    <definedName name="ADSFDS" hidden="1">#REF!</definedName>
    <definedName name="AEERETE" hidden="1">{#N/A,#N/A,FALSE,"M.31"}</definedName>
    <definedName name="aep" hidden="1">{#N/A,#N/A,FALSE,"M.41"}</definedName>
    <definedName name="AGDSA" hidden="1">{#N/A,#N/A,FALSE,"M.43"}</definedName>
    <definedName name="agt" hidden="1">{#N/A,#N/A,FALSE,"M.01";#N/A,#N/A,FALSE,"M.01"}</definedName>
    <definedName name="AGUS" hidden="1">#REF!</definedName>
    <definedName name="aida" hidden="1">{#N/A,#N/A,FALSE,"M.34"}</definedName>
    <definedName name="aku" hidden="1">{#N/A,#N/A,FALSE,"M.43"}</definedName>
    <definedName name="alp" hidden="1">{#N/A,#N/A,FALSE,"M.32"}</definedName>
    <definedName name="AMIN" hidden="1">{#N/A,#N/A,FALSE,"M.42"}</definedName>
    <definedName name="AMPE" hidden="1">{#N/A,#N/A,FALSE,"M.31"}</definedName>
    <definedName name="anal" hidden="1">{#N/A,#N/A,FALSE,"M.31"}</definedName>
    <definedName name="ANGKE" hidden="1">{"Offgrid",#N/A,FALSE,"OFFGRID";"Region",#N/A,FALSE,"REGION";"Offgrid -2",#N/A,FALSE,"OFFGRID";"WTP",#N/A,FALSE,"WTP";"WTP -2",#N/A,FALSE,"WTP";"Project",#N/A,FALSE,"PROJECT";"Summary -2",#N/A,FALSE,"SUMMARY"}</definedName>
    <definedName name="ANM" hidden="1">{#N/A,#N/A,FALSE,"M.01"}</definedName>
    <definedName name="anscount" hidden="1">8</definedName>
    <definedName name="ANYA" hidden="1">{#N/A,#N/A,FALSE,"M.43"}</definedName>
    <definedName name="APA" hidden="1">{#N/A,#N/A,FALSE,"M.01";#N/A,#N/A,FALSE,"M.01"}</definedName>
    <definedName name="ar" hidden="1">{#N/A,#N/A,FALSE,"Aging Summary";#N/A,#N/A,FALSE,"Ratio Analysis";#N/A,#N/A,FALSE,"Test 120 Day Accts";#N/A,#N/A,FALSE,"Tickmarks"}</definedName>
    <definedName name="as.w.1" hidden="1">{#N/A,#N/A,FALSE,"M.42"}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l" hidden="1">{#N/A,#N/A,FALSE,"M.31"}</definedName>
    <definedName name="asasA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ASASASA" hidden="1">{#N/A,#N/A,FALSE,"M.01";#N/A,#N/A,FALSE,"M.01"}</definedName>
    <definedName name="asasdasd" hidden="1">{#N/A,#N/A,FALSE,"M.42"}</definedName>
    <definedName name="ASASEERSF" hidden="1">{#N/A,#N/A,FALSE,"M.31"}</definedName>
    <definedName name="asd" hidden="1">{#N/A,#N/A,FALSE,"M.43"}</definedName>
    <definedName name="asdasda" hidden="1">#REF!</definedName>
    <definedName name="asdasdasd" hidden="1">#REF!</definedName>
    <definedName name="asDddd" hidden="1">{#N/A,#N/A,FALSE,"M.33"}</definedName>
    <definedName name="asddfgh" hidden="1">{#N/A,#N/A,FALSE,"M.31"}</definedName>
    <definedName name="asdfa" hidden="1">{#N/A,#N/A,FALSE,"M.31"}</definedName>
    <definedName name="asdfsaf" hidden="1">{#N/A,#N/A,FALSE,"M.01"}</definedName>
    <definedName name="asdhfla" hidden="1">{#N/A,#N/A,FALSE,"M.02"}</definedName>
    <definedName name="ASDSD" hidden="1">{#N/A,#N/A,FALSE,"M.33"}</definedName>
    <definedName name="ASGSD" hidden="1">{#N/A,#N/A,FALSE,"M.42"}</definedName>
    <definedName name="asr" hidden="1">{#N/A,#N/A,FALSE,"Aging Summary";#N/A,#N/A,FALSE,"Ratio Analysis";#N/A,#N/A,FALSE,"Test 120 Day Accts";#N/A,#N/A,FALSE,"Tickmarks"}</definedName>
    <definedName name="ASSDWAFFSEF" hidden="1">#REF!</definedName>
    <definedName name="ASSS" hidden="1">{"Offgrid",#N/A,FALSE,"OFFGRID";"Region",#N/A,FALSE,"REGION";"Offgrid -2",#N/A,FALSE,"OFFGRID";"WTP",#N/A,FALSE,"WTP";"WTP -2",#N/A,FALSE,"WTP";"Project",#N/A,FALSE,"PROJECT";"Summary -2",#N/A,FALSE,"SUMMARY"}</definedName>
    <definedName name="atp" hidden="1">{#N/A,#N/A,FALSE,"M.31"}</definedName>
    <definedName name="atpd124" hidden="1">{#N/A,#N/A,FALSE,"M.33"}</definedName>
    <definedName name="atpdp" hidden="1">{#N/A,#N/A,FALSE,"M.33"}</definedName>
    <definedName name="atpe123" hidden="1">{#N/A,#N/A,FALSE,"M.43"}</definedName>
    <definedName name="aw" hidden="1">{#N/A,#N/A,FALSE,"M.42"}</definedName>
    <definedName name="awsl" hidden="1">{#N/A,#N/A,FALSE,"M.42"}</definedName>
    <definedName name="aXFA" hidden="1">{#N/A,#N/A,FALSE,"M.42"}</definedName>
    <definedName name="B" hidden="1">{#N/A,#N/A,FALSE,"M.31"}</definedName>
    <definedName name="B.146" hidden="1">{#N/A,#N/A,FALSE,"M.43"}</definedName>
    <definedName name="BACKUP1" hidden="1">{#N/A,#N/A,FALSE,"M.32"}</definedName>
    <definedName name="BACKUP2" hidden="1">{#N/A,#N/A,FALSE,"M.34"}</definedName>
    <definedName name="BALU" hidden="1">{#N/A,#N/A,FALSE,"M.31"}</definedName>
    <definedName name="banyu" hidden="1">{#N/A,#N/A,FALSE,"M.01"}</definedName>
    <definedName name="BARU" hidden="1">{#N/A,#N/A,FALSE,"M.33"}</definedName>
    <definedName name="batangtoru" hidden="1">#REF!</definedName>
    <definedName name="BBB" hidden="1">{#N/A,#N/A,FALSE,"M.32"}</definedName>
    <definedName name="BBBBBBBBBBBBB" hidden="1">{#N/A,#N/A,FALSE,"M.34"}</definedName>
    <definedName name="BBBBBBBBBBBBBB" hidden="1">{#N/A,#N/A,FALSE,"M.42"}</definedName>
    <definedName name="bbbbbbbbbbbbbbbbbbbbb" hidden="1">{#N/A,#N/A,FALSE,"M.42"}</definedName>
    <definedName name="bbmok" hidden="1">#REF!</definedName>
    <definedName name="BDR" hidden="1">{#N/A,#N/A,FALSE,"M.01";#N/A,#N/A,FALSE,"M.01"}</definedName>
    <definedName name="BDR_PLB" hidden="1">{#N/A,#N/A,FALSE,"M.32"}</definedName>
    <definedName name="bf" hidden="1">{#N/A,#N/A,FALSE,"M.01";#N/A,#N/A,FALSE,"M.01"}</definedName>
    <definedName name="BFGF" hidden="1">{#N/A,#N/A,FALSE,"M.41"}</definedName>
    <definedName name="bg" hidden="1">{#N/A,#N/A,FALSE,"M.01";#N/A,#N/A,FALSE,"M.01"}</definedName>
    <definedName name="BG_Del" hidden="1">15</definedName>
    <definedName name="BG_Ins" hidden="1">4</definedName>
    <definedName name="BG_Mod" hidden="1">6</definedName>
    <definedName name="bgkjhljlj" hidden="1">{#N/A,#N/A,FALSE,"M.01";#N/A,#N/A,FALSE,"M.01"}</definedName>
    <definedName name="Biak" hidden="1">{#N/A,#N/A,FALSE,"M.31"}</definedName>
    <definedName name="bih" hidden="1">{#N/A,#N/A,FALSE,"M.02"}</definedName>
    <definedName name="bima3" hidden="1">{#N/A,#N/A,FALSE,"M.02"}</definedName>
    <definedName name="BJKMKM" hidden="1">{#N/A,#N/A,FALSE,"M.01";#N/A,#N/A,FALSE,"M.01"}</definedName>
    <definedName name="bjm" hidden="1">{#N/A,#N/A,FALSE,"M.02"}</definedName>
    <definedName name="bk" hidden="1">{#N/A,#N/A,FALSE,"M.32"}</definedName>
    <definedName name="blm" hidden="1">{#N/A,#N/A,FALSE,"M.41"}</definedName>
    <definedName name="bln" hidden="1">{#N/A,#N/A,FALSE,"M.31"}</definedName>
    <definedName name="bnhkg" hidden="1">#REF!</definedName>
    <definedName name="bnuyi" hidden="1">#REF!</definedName>
    <definedName name="bo" hidden="1">{#N/A,#N/A,FALSE,"M.02"}</definedName>
    <definedName name="bobo" hidden="1">{#N/A,#N/A,FALSE,"M.31"}</definedName>
    <definedName name="Book1" hidden="1">{#N/A,#N/A,FALSE,"M.33"}</definedName>
    <definedName name="book2" hidden="1">{#N/A,#N/A,FALSE,"M.33"}</definedName>
    <definedName name="bpbr" hidden="1">{#N/A,#N/A,FALSE,"M.43"}</definedName>
    <definedName name="BTJHV" hidden="1">{#N/A,#N/A,FALSE,"M.43"}</definedName>
    <definedName name="BTLG" hidden="1">#REF!</definedName>
    <definedName name="BUANG" hidden="1">{#N/A,#N/A,FALSE,"M.01";#N/A,#N/A,FALSE,"M.01"}</definedName>
    <definedName name="BUANG1" hidden="1">{#N/A,#N/A,FALSE,"M.01";#N/A,#N/A,FALSE,"M.01"}</definedName>
    <definedName name="bursa" hidden="1">#REF!</definedName>
    <definedName name="bus" hidden="1">{#N/A,#N/A,FALSE,"M.42"}</definedName>
    <definedName name="by" hidden="1">{#N/A,#N/A,FALSE,"M.01";#N/A,#N/A,FALSE,"M.01"}</definedName>
    <definedName name="bypro" hidden="1">{#N/A,#N/A,FALSE,"M.33"}</definedName>
    <definedName name="Cab_APJ_3" hidden="1">{#N/A,#N/A,FALSE,"M.41"}</definedName>
    <definedName name="Cab_APJ4" hidden="1">{#N/A,#N/A,FALSE,"M.41"}</definedName>
    <definedName name="Cab_Bau2" hidden="1">{#N/A,#N/A,FALSE,"M.01";#N/A,#N/A,FALSE,"M.01"}</definedName>
    <definedName name="CAB_BRB1" hidden="1">{#N/A,#N/A,FALSE,"M.41"}</definedName>
    <definedName name="Cab_Bulukumba" hidden="1">{#N/A,#N/A,FALSE,"M.31"}</definedName>
    <definedName name="Cab_Pare" hidden="1">{#N/A,#N/A,FALSE,"M.34"}</definedName>
    <definedName name="Cab_PR" hidden="1">{#N/A,#N/A,FALSE,"M.32"}</definedName>
    <definedName name="cabbjainew" hidden="1">{#N/A,#N/A,FALSE,"M.42"}</definedName>
    <definedName name="cahya0987" hidden="1">#REF!</definedName>
    <definedName name="cancel" hidden="1">{#N/A,#N/A,FALSE,"M.01"}</definedName>
    <definedName name="cantik" hidden="1">#REF!</definedName>
    <definedName name="CAPEX" hidden="1">#REF!</definedName>
    <definedName name="capi" hidden="1">{#N/A,#N/A,FALSE,"M.41"}</definedName>
    <definedName name="cas" hidden="1">{#N/A,#N/A,FALSE,"M.43"}</definedName>
    <definedName name="Casfl01" hidden="1">{#N/A,#N/A,FALSE,"Aging Summary";#N/A,#N/A,FALSE,"Ratio Analysis";#N/A,#N/A,FALSE,"Test 120 Day Accts";#N/A,#N/A,FALSE,"Tickmarks"}</definedName>
    <definedName name="cash" hidden="1">{#N/A,#N/A,FALSE,"M.43"}</definedName>
    <definedName name="CBJM" hidden="1">{#N/A,#N/A,FALSE,"M.01";#N/A,#N/A,FALSE,"M.01"}</definedName>
    <definedName name="CBRB" hidden="1">{#N/A,#N/A,FALSE,"M.02"}</definedName>
    <definedName name="CCC" hidden="1">#REF!</definedName>
    <definedName name="cd" hidden="1">{#N/A,#N/A,FALSE,"M.34"}</definedName>
    <definedName name="CIPHSJ" hidden="1">#REF!</definedName>
    <definedName name="citra" hidden="1">{#N/A,#N/A,FALSE,"M.34"}</definedName>
    <definedName name="ckhj" hidden="1">{#N/A,#N/A,FALSE,"M.42"}</definedName>
    <definedName name="ckhkk" hidden="1">{#N/A,#N/A,FALSE,"M.43"}</definedName>
    <definedName name="CKTB" hidden="1">{#N/A,#N/A,FALSE,"M.31"}</definedName>
    <definedName name="co" hidden="1">{#N/A,#N/A,FALSE,"M.42"}</definedName>
    <definedName name="coba" hidden="1">{#N/A,#N/A,FALSE,"M.01"}</definedName>
    <definedName name="Code" hidden="1">#REF!</definedName>
    <definedName name="COP_UNIT" hidden="1">{#N/A,#N/A,FALSE,"M.42"}</definedName>
    <definedName name="cover1" hidden="1">#REF!</definedName>
    <definedName name="COVER2010" hidden="1">{#N/A,#N/A,FALSE,"M.34"}</definedName>
    <definedName name="crp" hidden="1">{#N/A,#N/A,FALSE,"M.32"}</definedName>
    <definedName name="CSDTFVHV" hidden="1">{#N/A,#N/A,FALSE,"M.42"}</definedName>
    <definedName name="CWP" hidden="1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 hidden="1">{#N/A,#N/A,FALSE,"M.33"}</definedName>
    <definedName name="DADAD" hidden="1">{#N/A,#N/A,FALSE,"M.42"}</definedName>
    <definedName name="DADSAF" hidden="1">#REF!</definedName>
    <definedName name="DAFT.SIB" hidden="1">{#N/A,#N/A,FALSE,"M.42"}</definedName>
    <definedName name="DaftarBP" hidden="1">{#N/A,#N/A,FALSE,"M.42"}</definedName>
    <definedName name="DASFSDF" hidden="1">#REF!</definedName>
    <definedName name="data3" hidden="1">#REF!</definedName>
    <definedName name="date" hidden="1">{#N/A,#N/A,FALSE,"M.34"}</definedName>
    <definedName name="dave" hidden="1">{#N/A,#N/A,FALSE,"M.41"}</definedName>
    <definedName name="dbp" hidden="1">{#N/A,#N/A,FALSE,"M.42"}</definedName>
    <definedName name="dc" hidden="1">{#N/A,#N/A,FALSE,"M.01"}</definedName>
    <definedName name="DD" hidden="1">{#N/A,#N/A,FALSE,"M.34"}</definedName>
    <definedName name="ddd" hidden="1">{#N/A,#N/A,FALSE,"M.01";#N/A,#N/A,FALSE,"M.01"}</definedName>
    <definedName name="dddd" hidden="1">#REF!</definedName>
    <definedName name="DDDDDD" hidden="1">{#N/A,#N/A,FALSE,"M.02"}</definedName>
    <definedName name="DDF" hidden="1">{#N/A,#N/A,FALSE,"M.02"}</definedName>
    <definedName name="DDGSDGSDGSDG" hidden="1">#REF!</definedName>
    <definedName name="DERM" hidden="1">#REF!</definedName>
    <definedName name="DETDGTYT" hidden="1">{#N/A,#N/A,FALSE,"M.33"}</definedName>
    <definedName name="DFG" hidden="1">{#N/A,#N/A,FALSE,"M.34"}</definedName>
    <definedName name="DFGHJ" hidden="1">{#N/A,#N/A,FALSE,"M.01";#N/A,#N/A,FALSE,"M.01"}</definedName>
    <definedName name="DFRGFFDDDD" hidden="1">#REF!</definedName>
    <definedName name="dfsafas" hidden="1">{#N/A,#N/A,FALSE,"M.32"}</definedName>
    <definedName name="dfsegs" hidden="1">#REF!</definedName>
    <definedName name="dfssfdhn" hidden="1">{#N/A,#N/A,FALSE,"M.42"}</definedName>
    <definedName name="DFVAFAEF" hidden="1">#REF!</definedName>
    <definedName name="DFWSA" hidden="1">{#N/A,#N/A,FALSE,"M.33"}</definedName>
    <definedName name="dgfvgffv" hidden="1">{#N/A,#N/A,FALSE,"M.01";#N/A,#N/A,FALSE,"M.01"}</definedName>
    <definedName name="DGRYTHGHH" hidden="1">{#N/A,#N/A,FALSE,"M.34"}</definedName>
    <definedName name="DGTYTJYJ" hidden="1">{#N/A,#N/A,FALSE,"M.41"}</definedName>
    <definedName name="dgx" hidden="1">{#N/A,#N/A,FALSE,"M.41"}</definedName>
    <definedName name="dina" hidden="1">{#N/A,#N/A,FALSE,"Aging Summary";#N/A,#N/A,FALSE,"Ratio Analysis";#N/A,#N/A,FALSE,"Test 120 Day Accts";#N/A,#N/A,FALSE,"Tickmarks"}</definedName>
    <definedName name="display_area_2" hidden="1">#REF!</definedName>
    <definedName name="dodi" hidden="1">{#N/A,#N/A,FALSE,"M.34"}</definedName>
    <definedName name="dodi.........." hidden="1">{#N/A,#N/A,FALSE,"M.32"}</definedName>
    <definedName name="dpt" hidden="1">{#N/A,#N/A,FALSE,"M.42"}</definedName>
    <definedName name="drtydrtydrtyrtydr" hidden="1">{#N/A,#N/A,FALSE,"M.31"}</definedName>
    <definedName name="ds" hidden="1">{#N/A,#N/A,FALSE,"M.02"}</definedName>
    <definedName name="DSD" hidden="1">{#N/A,#N/A,FALSE,"M.31"}</definedName>
    <definedName name="DSM" hidden="1">{#N/A,#N/A,FALSE,"M.33"}</definedName>
    <definedName name="DSR" hidden="1">#REF!</definedName>
    <definedName name="dsrth" hidden="1">#REF!</definedName>
    <definedName name="dssas" hidden="1">#REF!</definedName>
    <definedName name="dsvsd" hidden="1">{#N/A,#N/A,FALSE,"M.32"}</definedName>
    <definedName name="dtim" hidden="1">{#N/A,#N/A,FALSE,"M.32"}</definedName>
    <definedName name="dtstgrwt" hidden="1">#REF!</definedName>
    <definedName name="DUIT" hidden="1">{#N/A,#N/A,FALSE,"M.34"}</definedName>
    <definedName name="DVFD" hidden="1">#REF!</definedName>
    <definedName name="DVFFVFE" hidden="1">#REF!</definedName>
    <definedName name="dw" hidden="1">{#N/A,#N/A,FALSE,"M.31"}</definedName>
    <definedName name="dxwasf" hidden="1">{#N/A,#N/A,FALSE,"M.31"}</definedName>
    <definedName name="dyah" hidden="1">{#N/A,#N/A,FALSE,"M.31"}</definedName>
    <definedName name="E" hidden="1">{#N/A,#N/A,FALSE,"M.34"}</definedName>
    <definedName name="ed2.87" hidden="1">{#N/A,#N/A,FALSE,"M.32"}</definedName>
    <definedName name="EDFSADG" hidden="1">{#N/A,#N/A,FALSE,"M.02"}</definedName>
    <definedName name="EDIT" hidden="1">{#N/A,#N/A,FALSE,"M.32"}</definedName>
    <definedName name="EDP" hidden="1">{#N/A,#N/A,FALSE,"M.33"}</definedName>
    <definedName name="EFAEFAEFEF" hidden="1">#REF!</definedName>
    <definedName name="EFERFER" hidden="1">{#N/A,#N/A,FALSE,"M.43"}</definedName>
    <definedName name="egfegrg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hs" hidden="1">{#N/A,#N/A,FALSE,"M.41"}</definedName>
    <definedName name="ERR1_1" hidden="1">{#N/A,#N/A,FALSE,"M.42"}</definedName>
    <definedName name="erri" hidden="1">{#N/A,#N/A,FALSE,"M.42"}</definedName>
    <definedName name="ERWER" hidden="1">{#N/A,#N/A,FALSE,"M.42"}</definedName>
    <definedName name="ESTIMASIKINERJA2004" hidden="1">{#N/A,#N/A,FALSE,"M.31"}</definedName>
    <definedName name="ew" hidden="1">{#N/A,#N/A,FALSE,"M.34"}</definedName>
    <definedName name="EWE" hidden="1">#REF!</definedName>
    <definedName name="EWR" hidden="1">{#N/A,#N/A,FALSE,"M.32"}</definedName>
    <definedName name="ewrt" hidden="1">{#N/A,#N/A,FALSE,"M.33"}</definedName>
    <definedName name="ewrwef" hidden="1">{#N/A,#N/A,FALSE,"M.43"}</definedName>
    <definedName name="EXCEL" hidden="1">{#N/A,#N/A,FALSE,"M.42"}</definedName>
    <definedName name="EXIM" hidden="1">#REF!</definedName>
    <definedName name="exis" hidden="1">{#N/A,#N/A,FALSE,"M.43"}</definedName>
    <definedName name="EXRTG" hidden="1">{#N/A,#N/A,FALSE,"M.01"}</definedName>
    <definedName name="F" hidden="1">{#N/A,#N/A,FALSE,"M.41"}</definedName>
    <definedName name="FCode" hidden="1">#REF!</definedName>
    <definedName name="fde2.6" hidden="1">{#N/A,#N/A,FALSE,"M.42"}</definedName>
    <definedName name="fdf" hidden="1">{#N/A,#N/A,FALSE,"M.31"}</definedName>
    <definedName name="FDH" hidden="1">{#N/A,#N/A,FALSE,"M.02"}</definedName>
    <definedName name="febru" hidden="1">{#N/A,#N/A,FALSE,"M.01"}</definedName>
    <definedName name="ff" hidden="1">{#N/A,#N/A,FALSE,"M.01"}</definedName>
    <definedName name="FFF" hidden="1">{#N/A,#N/A,FALSE,"M.31"}</definedName>
    <definedName name="ffffgg" hidden="1">{#N/A,#N/A,FALSE,"M.42"}</definedName>
    <definedName name="ffffsgdhqa35y" hidden="1">{#N/A,#N/A,FALSE,"M.01";#N/A,#N/A,FALSE,"M.01"}</definedName>
    <definedName name="FFFGGG" hidden="1">{#N/A,#N/A,FALSE,"M.43"}</definedName>
    <definedName name="FGDGDGDGF" hidden="1">#REF!</definedName>
    <definedName name="FGFDGHFDG" hidden="1">{#N/A,#N/A,FALSE,"M.41"}</definedName>
    <definedName name="FGFGF" hidden="1">{#N/A,#N/A,FALSE,"M.43"}</definedName>
    <definedName name="fgfvxghvdvh" hidden="1">{#N/A,#N/A,FALSE,"M.01"}</definedName>
    <definedName name="fghd" hidden="1">{#N/A,#N/A,FALSE,"M.43"}</definedName>
    <definedName name="fghfghf" hidden="1">#REF!</definedName>
    <definedName name="FILKJH" hidden="1">{#N/A,#N/A,FALSE,"M.41"}</definedName>
    <definedName name="FILL" hidden="1">#REF!</definedName>
    <definedName name="FILL1" hidden="1">#REF!</definedName>
    <definedName name="fill2" hidden="1">#REF!</definedName>
    <definedName name="fill9" hidden="1">#REF!</definedName>
    <definedName name="FITTING2" hidden="1">#REF!</definedName>
    <definedName name="FOF" hidden="1">{#N/A,#N/A,FALSE,"M.42"}</definedName>
    <definedName name="foll" hidden="1">#REF!</definedName>
    <definedName name="fr" hidden="1">{#N/A,#N/A,FALSE,"M.31"}</definedName>
    <definedName name="FRD" hidden="1">{#N/A,#N/A,FALSE,"M.32"}</definedName>
    <definedName name="FRHTUYTYJYJJY" hidden="1">{#N/A,#N/A,FALSE,"M.43"}</definedName>
    <definedName name="frk" hidden="1">{#N/A,#N/A,FALSE,"M.43"}</definedName>
    <definedName name="fsadf" hidden="1">{#N/A,#N/A,FALSE,"M.42"}</definedName>
    <definedName name="fsdfsf" hidden="1">{#N/A,#N/A,FALSE,"M.42"}</definedName>
    <definedName name="fwrwr" hidden="1">{#N/A,#N/A,FALSE,"M.34"}</definedName>
    <definedName name="fxhfdjygu" hidden="1">#REF!</definedName>
    <definedName name="Fxz" hidden="1">{#N/A,#N/A,FALSE,"M.43"}</definedName>
    <definedName name="fytytye" hidden="1">{#N/A,#N/A,FALSE,"M.34"}</definedName>
    <definedName name="g" hidden="1">{#N/A,#N/A,FALSE,"M.42"}</definedName>
    <definedName name="Gambar_2" hidden="1">{#N/A,#N/A,FALSE,"M.02"}</definedName>
    <definedName name="gard" hidden="1">#REF!</definedName>
    <definedName name="gdt" hidden="1">{#N/A,#N/A,FALSE,"M.34"}</definedName>
    <definedName name="gedung" hidden="1">#REF!</definedName>
    <definedName name="GFAFGFD" hidden="1">{#N/A,#N/A,FALSE,"M.34"}</definedName>
    <definedName name="gfgvzhvsdhfh" hidden="1">{#N/A,#N/A,FALSE,"M.34"}</definedName>
    <definedName name="gg" hidden="1">{#N/A,#N/A,FALSE,"M.31"}</definedName>
    <definedName name="GGGG" hidden="1">{#N/A,#N/A,FALSE,"M.41"}</definedName>
    <definedName name="GGNSUTTTRAFO" hidden="1">{#N/A,#N/A,FALSE,"M.01";#N/A,#N/A,FALSE,"M.01"}</definedName>
    <definedName name="ghgf" hidden="1">{#N/A,#N/A,FALSE,"M.32"}</definedName>
    <definedName name="GHJK" hidden="1">{#N/A,#N/A,FALSE,"M.01"}</definedName>
    <definedName name="GI" hidden="1">{"Offgrid",#N/A,FALSE,"OFFGRID";"Region",#N/A,FALSE,"REGION";"Offgrid -2",#N/A,FALSE,"OFFGRID";"WTP",#N/A,FALSE,"WTP";"WTP -2",#N/A,FALSE,"WTP";"Project",#N/A,FALSE,"PROJECT";"Summary -2",#N/A,FALSE,"SUMMARY"}</definedName>
    <definedName name="gkcghn" hidden="1">{#N/A,#N/A,FALSE,"M.31"}</definedName>
    <definedName name="gkkjl" hidden="1">#REF!</definedName>
    <definedName name="goblok" hidden="1">#REF!</definedName>
    <definedName name="grafik" hidden="1">{#N/A,#N/A,FALSE,"M.41"}</definedName>
    <definedName name="GRD" hidden="1">#REF!</definedName>
    <definedName name="gt.124" hidden="1">{#N/A,#N/A,FALSE,"M.32"}</definedName>
    <definedName name="gth" hidden="1">{#N/A,#N/A,FALSE,"M.42"}</definedName>
    <definedName name="gtr" hidden="1">{#N/A,#N/A,FALSE,"M.33"}</definedName>
    <definedName name="h" hidden="1">{#N/A,#N/A,FALSE,"M.43"}</definedName>
    <definedName name="HARIUSA" hidden="1">{#N/A,#N/A,FALSE,"M.42"}</definedName>
    <definedName name="hep" hidden="1">{#N/A,#N/A,FALSE,"M.32"}</definedName>
    <definedName name="HERI" hidden="1">{#N/A,#N/A,FALSE,"M.42"}</definedName>
    <definedName name="HFGKG" hidden="1">{#N/A,#N/A,FALSE,"M.31"}</definedName>
    <definedName name="hg" hidden="1">{#N/A,#N/A,FALSE,"M.42"}</definedName>
    <definedName name="hgfhgf" hidden="1">{#N/A,#N/A,FALSE,"M.02"}</definedName>
    <definedName name="HGH" hidden="1">{#N/A,#N/A,FALSE,"M.01"}</definedName>
    <definedName name="HGHJ" hidden="1">#REF!</definedName>
    <definedName name="hgjgjgl.m.fgg" hidden="1">{#N/A,#N/A,FALSE,"M.41"}</definedName>
    <definedName name="hgsvvbb" hidden="1">{#N/A,#N/A,FALSE,"M.02"}</definedName>
    <definedName name="hh" hidden="1">{#N/A,#N/A,FALSE,"M.32"}</definedName>
    <definedName name="HHHH" hidden="1">{#N/A,#N/A,FALSE,"M.43"}</definedName>
    <definedName name="hhhhhhh" hidden="1">{#N/A,#N/A,FALSE,"M.43"}</definedName>
    <definedName name="HHJJ" hidden="1">{#N/A,#N/A,FALSE,"M.01"}</definedName>
    <definedName name="HiddenRows" hidden="1">#REF!</definedName>
    <definedName name="hire" hidden="1">{#N/A,#N/A,FALSE,"Aging Summary";#N/A,#N/A,FALSE,"Ratio Analysis";#N/A,#N/A,FALSE,"Test 120 Day Accts";#N/A,#N/A,FALSE,"Tickmarks"}</definedName>
    <definedName name="hist" hidden="1">{#N/A,#N/A,FALSE,"M.42"}</definedName>
    <definedName name="hjdkufiltj" hidden="1">#REF!</definedName>
    <definedName name="hjk" hidden="1">{#N/A,#N/A,FALSE,"M.01"}</definedName>
    <definedName name="hjmnbfgvcf" hidden="1">{#N/A,#N/A,FALSE,"M.34"}</definedName>
    <definedName name="hkhjk" hidden="1">{#N/A,#N/A,FALSE,"M.31"}</definedName>
    <definedName name="hlihgoiyhnpoi" hidden="1">{#N/A,#N/A,FALSE,"M.01"}</definedName>
    <definedName name="hn" hidden="1">{#N/A,#N/A,FALSE,"M.42"}</definedName>
    <definedName name="HOE" hidden="1">{#N/A,#N/A,FALSE,"M.31"}</definedName>
    <definedName name="HP" hidden="1">{#N/A,#N/A,FALSE,"Aging Summary";#N/A,#N/A,FALSE,"Ratio Analysis";#N/A,#N/A,FALSE,"Test 120 Day Accts";#N/A,#N/A,FALSE,"Tickmarks"}</definedName>
    <definedName name="HSHSHS" hidden="1">{#N/A,#N/A,FALSE,"M.02"}</definedName>
    <definedName name="htf" hidden="1">{#N/A,#N/A,FALSE,"M.32"}</definedName>
    <definedName name="htg" hidden="1">{#N/A,#N/A,FALSE,"M.34"}</definedName>
    <definedName name="HTML_CodePage" hidden="1">1252</definedName>
    <definedName name="HTML_Control" hidden="1">{"'Juli'!$A$1:$J$57","'Juli'!$A$24:$J$57"}</definedName>
    <definedName name="HTML_Description" hidden="1">""</definedName>
    <definedName name="HTML_Email" hidden="1">""</definedName>
    <definedName name="HTML_Header" hidden="1">"Juli"</definedName>
    <definedName name="HTML_LastUpdate" hidden="1">"8/4/99"</definedName>
    <definedName name="HTML_LineAfter" hidden="1">FALSE</definedName>
    <definedName name="HTML_LineBefore" hidden="1">FALSE</definedName>
    <definedName name="HTML_Name" hidden="1">"tritamto"</definedName>
    <definedName name="HTML_OBDlg2" hidden="1">TRUE</definedName>
    <definedName name="HTML_OBDlg4" hidden="1">TRUE</definedName>
    <definedName name="HTML_OS" hidden="1">0</definedName>
    <definedName name="HTML_PathFile" hidden="1">"C:\My Documents\cob.htm"</definedName>
    <definedName name="HTML_Title" hidden="1">"cob"</definedName>
    <definedName name="HutangUsaha1" hidden="1">{#N/A,#N/A,FALSE,"M.01"}</definedName>
    <definedName name="hutlainpd2" hidden="1">{#N/A,#N/A,FALSE,"M.01";#N/A,#N/A,FALSE,"M.01"}</definedName>
    <definedName name="HYTUJYJJKJ" hidden="1">{#N/A,#N/A,FALSE,"M.41"}</definedName>
    <definedName name="Iamm" hidden="1">#REF!</definedName>
    <definedName name="IKHSAN" hidden="1">{#N/A,#N/A,FALSE,"M.41"}</definedName>
    <definedName name="IKSAN" hidden="1">{#N/A,#N/A,FALSE,"M.32"}</definedName>
    <definedName name="iktisarBiop" hidden="1">{#N/A,#N/A,FALSE,"M.02"}</definedName>
    <definedName name="indi" hidden="1">{#N/A,#N/A,FALSE,"M.02"}</definedName>
    <definedName name="indikatorlurruptl" hidden="1">{#N/A,#N/A,FALSE,"M.31"}</definedName>
    <definedName name="inves" hidden="1">#REF!</definedName>
    <definedName name="Investasi" hidden="1">{#N/A,#N/A,FALSE,"M.01"}</definedName>
    <definedName name="iopl" hidden="1">{#N/A,#N/A,FALSE,"M.34"}</definedName>
    <definedName name="Ipo" hidden="1">{#N/A,#N/A,FALSE,"M.02"}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41086.4344212963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O" hidden="1">{#N/A,#N/A,FALSE,"M.32"}</definedName>
    <definedName name="IUNJYHBGF" hidden="1">{#N/A,#N/A,FALSE,"M.42"}</definedName>
    <definedName name="IUYHI" hidden="1">{#N/A,#N/A,FALSE,"M.02"}</definedName>
    <definedName name="j" hidden="1">{#N/A,#N/A,FALSE,"M.42"}</definedName>
    <definedName name="jawa" hidden="1">{#N/A,#N/A,FALSE,"M.41"}</definedName>
    <definedName name="jawabali" hidden="1">{#N/A,#N/A,FALSE,"M.31"}</definedName>
    <definedName name="jbnrev2" hidden="1">{#N/A,#N/A,FALSE,"M.32"}</definedName>
    <definedName name="JBRpst" hidden="1">{#N/A,#N/A,FALSE,"M.31"}</definedName>
    <definedName name="jbrpst2" hidden="1">{#N/A,#N/A,FALSE,"M.31"}</definedName>
    <definedName name="JEMB" hidden="1">#REF!</definedName>
    <definedName name="JFHG" hidden="1">#REF!</definedName>
    <definedName name="JFKJHG" hidden="1">{#N/A,#N/A,FALSE,"M.43"}</definedName>
    <definedName name="jg" hidden="1">{#N/A,#N/A,FALSE,"M.33"}</definedName>
    <definedName name="jh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ON" hidden="1">{#N/A,#N/A,FALSE,"M.01";#N/A,#N/A,FALSE,"M.01"}</definedName>
    <definedName name="jj" hidden="1">{#N/A,#N/A,FALSE,"M.01"}</definedName>
    <definedName name="JJJJ" hidden="1">{#N/A,#N/A,FALSE,"M.41"}</definedName>
    <definedName name="jkkljl" hidden="1">{#N/A,#N/A,FALSE,"M.41"}</definedName>
    <definedName name="jkokjjkjlng" hidden="1">{#N/A,#N/A,FALSE,"M.32"}</definedName>
    <definedName name="jmlh2" hidden="1">{#N/A,#N/A,FALSE,"M.01"}</definedName>
    <definedName name="joe" hidden="1">{#N/A,#N/A,FALSE,"M.41"}</definedName>
    <definedName name="JOKO" hidden="1">#REF!</definedName>
    <definedName name="JTG" hidden="1">{#N/A,#N/A,FALSE,"M.31"}</definedName>
    <definedName name="JTR" hidden="1">#REF!</definedName>
    <definedName name="JUJ" hidden="1">{#N/A,#N/A,FALSE,"M.31"}</definedName>
    <definedName name="JUJUJUJU" hidden="1">#REF!</definedName>
    <definedName name="jus" hidden="1">{#N/A,#N/A,FALSE,"M.41"}</definedName>
    <definedName name="Justy2" hidden="1">{#N/A,#N/A,FALSE,"M.02"}</definedName>
    <definedName name="jy" hidden="1">{#N/A,#N/A,FALSE,"M.32"}</definedName>
    <definedName name="k" hidden="1">{#N/A,#N/A,FALSE,"M.34"}</definedName>
    <definedName name="KAKI" hidden="1">{#N/A,#N/A,FALSE,"M.34"}</definedName>
    <definedName name="KDI" hidden="1">{#N/A,#N/A,FALSE,"M.41"}</definedName>
    <definedName name="KDJH" hidden="1">{#N/A,#N/A,FALSE,"M.01";#N/A,#N/A,FALSE,"M.01"}</definedName>
    <definedName name="KDRpst" hidden="1">{#N/A,#N/A,FALSE,"M.31"}</definedName>
    <definedName name="KDY" hidden="1">{#N/A,#N/A,FALSE,"M.31"}</definedName>
    <definedName name="KEG" hidden="1">{#N/A,#N/A,FALSE,"M.34"}</definedName>
    <definedName name="kertas" hidden="1">{#N/A,#N/A,FALSE,"M.32"}</definedName>
    <definedName name="KESUGIHAN" hidden="1">{"Offgrid",#N/A,FALSE,"OFFGRID";"Region",#N/A,FALSE,"REGION";"Offgrid -2",#N/A,FALSE,"OFFGRID";"WTP",#N/A,FALSE,"WTP";"WTP -2",#N/A,FALSE,"WTP";"Project",#N/A,FALSE,"PROJECT";"Summary -2",#N/A,FALSE,"SUMMARY"}</definedName>
    <definedName name="KGJH" hidden="1">{#N/A,#N/A,FALSE,"M.33"}</definedName>
    <definedName name="khjkhj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KHU" hidden="1">#REF!</definedName>
    <definedName name="ki" hidden="1">{#N/A,#N/A,FALSE,"M.42"}</definedName>
    <definedName name="kiijiji" hidden="1">{#N/A,#N/A,FALSE,"M.32"}</definedName>
    <definedName name="kikl" hidden="1">{#N/A,#N/A,FALSE,"M.01";#N/A,#N/A,FALSE,"M.01"}</definedName>
    <definedName name="kinerja_1" hidden="1">{#N/A,#N/A,FALSE,"M.42"}</definedName>
    <definedName name="KINERJA2004ESTIMASI" hidden="1">{#N/A,#N/A,FALSE,"M.02"}</definedName>
    <definedName name="kinnn" hidden="1">{#N/A,#N/A,FALSE,"M.42"}</definedName>
    <definedName name="kirana" hidden="1">{#N/A,#N/A,FALSE,"M.32"}</definedName>
    <definedName name="KIS" hidden="1">{#N/A,#N/A,FALSE,"M.01"}</definedName>
    <definedName name="KISTIARI" hidden="1">{#N/A,#N/A,FALSE,"M.43"}</definedName>
    <definedName name="kit_1" hidden="1">{#N/A,#N/A,FALSE,"M.31"}</definedName>
    <definedName name="kitlur" hidden="1">{#N/A,#N/A,FALSE,"M.43"}</definedName>
    <definedName name="kitlur1" hidden="1">{#N/A,#N/A,FALSE,"M.01";#N/A,#N/A,FALSE,"M.01"}</definedName>
    <definedName name="kj" hidden="1">#REF!</definedName>
    <definedName name="kjljlj" hidden="1">{#N/A,#N/A,FALSE,"M.34"}</definedName>
    <definedName name="kkk" hidden="1">{#N/A,#N/A,FALSE,"M.32"}</definedName>
    <definedName name="kkkkk" hidden="1">{#N/A,#N/A,FALSE,"M.33"}</definedName>
    <definedName name="kl" hidden="1">{#N/A,#N/A,FALSE,"M.43"}</definedName>
    <definedName name="kliek" hidden="1">{#N/A,#N/A,FALSE,"M.01"}</definedName>
    <definedName name="kll" hidden="1">{#N/A,#N/A,FALSE,"M.34"}</definedName>
    <definedName name="KMJN" hidden="1">{#N/A,#N/A,FALSE,"M.31"}</definedName>
    <definedName name="kmtrn" hidden="1">{#N/A,#N/A,FALSE,"M.32"}</definedName>
    <definedName name="ko" hidden="1">{#N/A,#N/A,FALSE,"M.01";#N/A,#N/A,FALSE,"M.01"}</definedName>
    <definedName name="kon" hidden="1">#REF!</definedName>
    <definedName name="KONBA" hidden="1">{#N/A,#N/A,FALSE,"M.32"}</definedName>
    <definedName name="KRP" hidden="1">{#N/A,#N/A,FALSE,"M.32"}</definedName>
    <definedName name="krt" hidden="1">{#N/A,#N/A,FALSE,"M.34"}</definedName>
    <definedName name="kuh" hidden="1">{#N/A,#N/A,FALSE,"M.33"}</definedName>
    <definedName name="kurva" hidden="1">{#N/A,#N/A,FALSE,"M.31"}</definedName>
    <definedName name="kyuiyuk" hidden="1">{#N/A,#N/A,FALSE,"M.34"}</definedName>
    <definedName name="l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LBS" hidden="1">{#N/A,#N/A,FALSE,"M.01"}</definedName>
    <definedName name="limcount" hidden="1">7</definedName>
    <definedName name="lingk" hidden="1">{#N/A,#N/A,FALSE,"M.32"}</definedName>
    <definedName name="LJ" hidden="1">{#N/A,#N/A,FALSE,"M.32"}</definedName>
    <definedName name="ljhklj" hidden="1">{"Offgrid",#N/A,FALSE,"OFFGRID";"Region",#N/A,FALSE,"REGION";"Offgrid -2",#N/A,FALSE,"OFFGRID";"WTP",#N/A,FALSE,"WTP";"WTP -2",#N/A,FALSE,"WTP";"Project",#N/A,FALSE,"PROJECT";"Summary -2",#N/A,FALSE,"SUMMARY"}</definedName>
    <definedName name="LKAO_2013" hidden="1">{#N/A,#N/A,FALSE,"M.01"}</definedName>
    <definedName name="LKAOSMDN" hidden="1">{#N/A,#N/A,FALSE,"M.32"}</definedName>
    <definedName name="LKH" hidden="1">{#N/A,#N/A,FALSE,"M.41"}</definedName>
    <definedName name="LKI" hidden="1">{#N/A,#N/A,FALSE,"M.42"}</definedName>
    <definedName name="LKPL" hidden="1">{#N/A,#N/A,FALSE,"M.34"}</definedName>
    <definedName name="LKR" hidden="1">{#N/A,#N/A,FALSE,"M.31"}</definedName>
    <definedName name="LLHLJH" hidden="1">{#N/A,#N/A,FALSE,"M.41"}</definedName>
    <definedName name="lll" hidden="1">{#N/A,#N/A,FALSE,"M.42"}</definedName>
    <definedName name="lllll" hidden="1">{#N/A,#N/A,FALSE,"M.42"}</definedName>
    <definedName name="lmpp" hidden="1">#REF!</definedName>
    <definedName name="lof" hidden="1">{#N/A,#N/A,FALSE,"M.01"}</definedName>
    <definedName name="LOOS_GAB" hidden="1">{#N/A,#N/A,FALSE,"M.01";#N/A,#N/A,FALSE,"M.01"}</definedName>
    <definedName name="LOSS_GAB" hidden="1">{#N/A,#N/A,FALSE,"M.01";#N/A,#N/A,FALSE,"M.01"}</definedName>
    <definedName name="LOSS_UNIT" hidden="1">{#N/A,#N/A,FALSE,"M.43"}</definedName>
    <definedName name="LOSSES" hidden="1">{#N/A,#N/A,FALSE,"M.02"}</definedName>
    <definedName name="LOSSES_UNIT" hidden="1">{#N/A,#N/A,FALSE,"M.32"}</definedName>
    <definedName name="lpo" hidden="1">{#N/A,#N/A,FALSE,"M.02"}</definedName>
    <definedName name="M" hidden="1">{#N/A,#N/A,FALSE,"M.42"}</definedName>
    <definedName name="M.02" hidden="1">{#N/A,#N/A,FALSE,"M.02"}</definedName>
    <definedName name="m.33" hidden="1">{#N/A,#N/A,FALSE,"M.33"}</definedName>
    <definedName name="M.D2" hidden="1">{#N/A,#N/A,FALSE,"M.34"}</definedName>
    <definedName name="manfaat" hidden="1">{#N/A,#N/A,FALSE,"M.41"}</definedName>
    <definedName name="marwan" hidden="1">{#N/A,#N/A,FALSE,"M.02"}</definedName>
    <definedName name="marwin" hidden="1">{#N/A,#N/A,FALSE,"M.02"}</definedName>
    <definedName name="MATE" hidden="1">{#N/A,#N/A,FALSE,"M.31"}</definedName>
    <definedName name="mathar3" hidden="1">{#N/A,#N/A,FALSE,"M.31"}</definedName>
    <definedName name="mau" hidden="1">{#N/A,#N/A,FALSE,"M.31"}</definedName>
    <definedName name="MBL" hidden="1">{#N/A,#N/A,FALSE,"M.32"}</definedName>
    <definedName name="mbo" hidden="1">{#N/A,#N/A,FALSE,"M.34"}</definedName>
    <definedName name="MDN" hidden="1">{#N/A,#N/A,FALSE,"M.43"}</definedName>
    <definedName name="MDNpst" hidden="1">{#N/A,#N/A,FALSE,"M.33"}</definedName>
    <definedName name="MDUA" hidden="1">{#N/A,#N/A,FALSE,"M.02"}</definedName>
    <definedName name="MFKJ" hidden="1">{#N/A,#N/A,FALSE,"M.34"}</definedName>
    <definedName name="MIMI" hidden="1">{#N/A,#N/A,FALSE,"M.32"}</definedName>
    <definedName name="MJA" hidden="1">{#N/A,#N/A,FALSE,"M.42"}</definedName>
    <definedName name="MJKpst" hidden="1">{#N/A,#N/A,FALSE,"M.34"}</definedName>
    <definedName name="mmc" hidden="1">{#N/A,#N/A,FALSE,"M.42"}</definedName>
    <definedName name="mmd" hidden="1">{#N/A,#N/A,FALSE,"M.32"}</definedName>
    <definedName name="mmghm" hidden="1">{#N/A,#N/A,FALSE,"M.43"}</definedName>
    <definedName name="mmmmmmmmmmmmmmm" hidden="1">{#N/A,#N/A,FALSE,"M.32"}</definedName>
    <definedName name="mmmmmmmmmmmmmmmmnm" hidden="1">{#N/A,#N/A,FALSE,"M.33"}</definedName>
    <definedName name="mmnnm" hidden="1">{#N/A,#N/A,FALSE,"M.34"}</definedName>
    <definedName name="mnbcgfd" hidden="1">#REF!</definedName>
    <definedName name="mnjk.l" hidden="1">{#N/A,#N/A,FALSE,"M.33"}</definedName>
    <definedName name="mnmnm" hidden="1">{#N/A,#N/A,FALSE,"M.43"}</definedName>
    <definedName name="mnmnmn" hidden="1">{#N/A,#N/A,FALSE,"M.42"}</definedName>
    <definedName name="mnmnmnm" hidden="1">{#N/A,#N/A,FALSE,"M.34"}</definedName>
    <definedName name="mnmnmnmnm" hidden="1">{#N/A,#N/A,FALSE,"M.43"}</definedName>
    <definedName name="mnmnnmn" hidden="1">{#N/A,#N/A,FALSE,"M.41"}</definedName>
    <definedName name="monitor" hidden="1">{#N/A,#N/A,FALSE,"M.31"}</definedName>
    <definedName name="moodys" hidden="1">{#N/A,#N/A,FALSE,"M.01"}</definedName>
    <definedName name="mr" hidden="1">{#N/A,#N/A,FALSE,"M.43"}</definedName>
    <definedName name="Msk" hidden="1">#REF!</definedName>
    <definedName name="MWM" hidden="1">{#N/A,#N/A,FALSE,"M.43"}</definedName>
    <definedName name="nad" hidden="1">{#N/A,#N/A,FALSE,"M.41"}</definedName>
    <definedName name="ne" hidden="1">{"Offgrid",#N/A,FALSE,"OFFGRID";"Region",#N/A,FALSE,"REGION";"Offgrid -2",#N/A,FALSE,"OFFGRID";"WTP",#N/A,FALSE,"WTP";"WTP -2",#N/A,FALSE,"WTP";"Project",#N/A,FALSE,"PROJECT";"Summary -2",#N/A,FALSE,"SUMMARY"}</definedName>
    <definedName name="NEKO" hidden="1">{#N/A,#N/A,FALSE,"M.32"}</definedName>
    <definedName name="nene" hidden="1">{#N/A,#N/A,FALSE,"M.33"}</definedName>
    <definedName name="neraca_kertakerja" hidden="1">{#N/A,#N/A,FALSE,"M.01";#N/A,#N/A,FALSE,"M.01"}</definedName>
    <definedName name="neraca_kk" hidden="1">{#N/A,#N/A,FALSE,"M.31"}</definedName>
    <definedName name="neraca2" hidden="1">{#N/A,#N/A,FALSE,"M.01";#N/A,#N/A,FALSE,"M.01"}</definedName>
    <definedName name="nerc" hidden="1">{#N/A,#N/A,FALSE,"M.31"}</definedName>
    <definedName name="ng" hidden="1">{#N/A,#N/A,FALSE,"M.01";#N/A,#N/A,FALSE,"M.01"}</definedName>
    <definedName name="ni" hidden="1">{#N/A,#N/A,FALSE,"M.42"}</definedName>
    <definedName name="Nilai" hidden="1">{#N/A,#N/A,FALSE,"M.33"}</definedName>
    <definedName name="NILAI_UNIT_1" hidden="1">{#N/A,#N/A,FALSE,"M.32"}</definedName>
    <definedName name="NilaiKinerja07" hidden="1">{#N/A,#N/A,FALSE,"M.33"}</definedName>
    <definedName name="nilty" hidden="1">{#N/A,#N/A,FALSE,"M.32"}</definedName>
    <definedName name="njjk" hidden="1">{#N/A,#N/A,FALSE,"M.42"}</definedName>
    <definedName name="NK" hidden="1">{#N/A,#N/A,FALSE,"M.33"}</definedName>
    <definedName name="nk.12" hidden="1">{#N/A,#N/A,FALSE,"M.33"}</definedName>
    <definedName name="nm" hidden="1">{#N/A,#N/A,FALSE,"M.41"}</definedName>
    <definedName name="nmnm" hidden="1">{#N/A,#N/A,FALSE,"M.34"}</definedName>
    <definedName name="nmnmnmnmmn" hidden="1">{#N/A,#N/A,FALSE,"M.42"}</definedName>
    <definedName name="nmnmnnm" hidden="1">{#N/A,#N/A,FALSE,"M.42"}</definedName>
    <definedName name="nnm" hidden="1">{#N/A,#N/A,FALSE,"M.43"}</definedName>
    <definedName name="nnnm" hidden="1">{#N/A,#N/A,FALSE,"M.42"}</definedName>
    <definedName name="nnnn" hidden="1">{#N/A,#N/A,FALSE,"M.01"}</definedName>
    <definedName name="nnnnnnn" hidden="1">{#N/A,#N/A,FALSE,"M.34"}</definedName>
    <definedName name="nnnnnnnnnnnn" hidden="1">{#N/A,#N/A,FALSE,"M.01"}</definedName>
    <definedName name="nnnnnnnnnnnnnnnnnn" hidden="1">{#N/A,#N/A,FALSE,"M.01";#N/A,#N/A,FALSE,"M.01"}</definedName>
    <definedName name="nnnnnnnnnnnnnnnnnnnnnnnnnnnnnnnnnn" hidden="1">{#N/A,#N/A,FALSE,"M.01";#N/A,#N/A,FALSE,"M.01"}</definedName>
    <definedName name="nonpdp" hidden="1">{#N/A,#N/A,FALSE,"M.43"}</definedName>
    <definedName name="NRCGABSTLH" hidden="1">{#N/A,#N/A,FALSE,"M.01";#N/A,#N/A,FALSE,"M.01"}</definedName>
    <definedName name="nrec" hidden="1">{#N/A,#N/A,FALSE,"M.01"}</definedName>
    <definedName name="NVHGF" hidden="1">{#N/A,#N/A,FALSE,"M.02"}</definedName>
    <definedName name="Nyata" hidden="1">#REF!</definedName>
    <definedName name="OKEE" hidden="1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" hidden="1">#REF!</definedName>
    <definedName name="oooooo" hidden="1">{#N/A,#N/A,FALSE,"M.42"}</definedName>
    <definedName name="opjk" hidden="1">{#N/A,#N/A,FALSE,"M.42"}</definedName>
    <definedName name="opkl" hidden="1">{#N/A,#N/A,FALSE,"M.41"}</definedName>
    <definedName name="opo" hidden="1">#REF!</definedName>
    <definedName name="ORA" hidden="1">{#N/A,#N/A,FALSE,"M.32"}</definedName>
    <definedName name="OrderTable" hidden="1">#REF!</definedName>
    <definedName name="organ" hidden="1">#REF!</definedName>
    <definedName name="PAKTA" hidden="1">{#N/A,#N/A,FALSE,"M.42"}</definedName>
    <definedName name="PasPst" hidden="1">{#N/A,#N/A,FALSE,"M.33"}</definedName>
    <definedName name="pdi" hidden="1">#REF!</definedName>
    <definedName name="pdp" hidden="1">{#N/A,#N/A,FALSE,"M.31"}</definedName>
    <definedName name="pdp_1" hidden="1">{#N/A,#N/A,FALSE,"M.31"}</definedName>
    <definedName name="PDPT" hidden="1">{#N/A,#N/A,FALSE,"M.31"}</definedName>
    <definedName name="peg" hidden="1">{#N/A,#N/A,FALSE,"M.01";#N/A,#N/A,FALSE,"M.01"}</definedName>
    <definedName name="PEND2" hidden="1">{#N/A,#N/A,FALSE,"M.32"}</definedName>
    <definedName name="PENDAOP" hidden="1">{#N/A,#N/A,FALSE,"M.32"}</definedName>
    <definedName name="PENDTL2" hidden="1">{#N/A,#N/A,FALSE,"M.43"}</definedName>
    <definedName name="Pendukung" hidden="1">{#N/A,#N/A,FALSE,"M.41"}</definedName>
    <definedName name="persiapan" hidden="1">#REF!</definedName>
    <definedName name="pgg" hidden="1">{#N/A,#N/A,FALSE,"M.41"}</definedName>
    <definedName name="PH" hidden="1">{#N/A,#N/A,FALSE,"M.42"}</definedName>
    <definedName name="PHH" hidden="1">{#N/A,#N/A,FALSE,"M.42"}</definedName>
    <definedName name="PHHHHH" hidden="1">{#N/A,#N/A,FALSE,"M.43"}</definedName>
    <definedName name="piutang5b" hidden="1">{#N/A,#N/A,FALSE,"M.34"}</definedName>
    <definedName name="Plgg" hidden="1">{#N/A,#N/A,FALSE,"M.41"}</definedName>
    <definedName name="plnsgu" hidden="1">{#N/A,#N/A,FALSE,"M.42"}</definedName>
    <definedName name="PLTD_1" hidden="1">{#N/A,#N/A,FALSE,"M.33"}</definedName>
    <definedName name="poldo" hidden="1">{#N/A,#N/A,FALSE,"M.31"}</definedName>
    <definedName name="predagt" hidden="1">{#N/A,#N/A,FALSE,"M.31"}</definedName>
    <definedName name="Prediksi" hidden="1">{#N/A,#N/A,FALSE,"M.41"}</definedName>
    <definedName name="prediksi_th03" hidden="1">{#N/A,#N/A,FALSE,"M.01";#N/A,#N/A,FALSE,"M.01"}</definedName>
    <definedName name="prelim" hidden="1">#REF!</definedName>
    <definedName name="Presentes" hidden="1">#REF!</definedName>
    <definedName name="Prod" hidden="1">{#N/A,#N/A,FALSE,"M.31"}</definedName>
    <definedName name="ProdForm" hidden="1">#REF!</definedName>
    <definedName name="Product" hidden="1">#REF!</definedName>
    <definedName name="PROKK" hidden="1">{#N/A,#N/A,FALSE,"M.42"}</definedName>
    <definedName name="Psl.7.a_b" hidden="1">{#N/A,#N/A,FALSE,"M.01"}</definedName>
    <definedName name="PSO" hidden="1">{#N/A,#N/A,FALSE,"M.33"}</definedName>
    <definedName name="PSRpst" hidden="1">{#N/A,#N/A,FALSE,"M.31"}</definedName>
    <definedName name="ptk" hidden="1">{#N/A,#N/A,FALSE,"M.01"}</definedName>
    <definedName name="Pukk06" hidden="1">{#N/A,#N/A,FALSE,"M.41"}</definedName>
    <definedName name="PUMPKPR2" hidden="1">{#N/A,#N/A,FALSE,"M.42"}</definedName>
    <definedName name="pur" hidden="1">{#N/A,#N/A,FALSE,"M.34"}</definedName>
    <definedName name="puti" hidden="1">{#N/A,#N/A,FALSE,"M.32"}</definedName>
    <definedName name="q" hidden="1">{#N/A,#N/A,FALSE,"M.01"}</definedName>
    <definedName name="QEQEQ" hidden="1">{#N/A,#N/A,FALSE,"M.32"}</definedName>
    <definedName name="qqq" hidden="1">{#N/A,#N/A,FALSE,"M.42"}</definedName>
    <definedName name="qqqqqq" hidden="1">{#N/A,#N/A,FALSE,"M.31"}</definedName>
    <definedName name="qqqw" hidden="1">{#N/A,#N/A,FALSE,"M.01";#N/A,#N/A,FALSE,"M.01"}</definedName>
    <definedName name="qqwwe" hidden="1">{#N/A,#N/A,FALSE,"M.32"}</definedName>
    <definedName name="QSQQE" hidden="1">{#N/A,#N/A,FALSE,"M.01";#N/A,#N/A,FALSE,"M.01"}</definedName>
    <definedName name="qu" hidden="1">{"Offgrid",#N/A,FALSE,"OFFGRID";"Region",#N/A,FALSE,"REGION";"Offgrid -2",#N/A,FALSE,"OFFGRID";"WTP",#N/A,FALSE,"WTP";"WTP -2",#N/A,FALSE,"WTP";"Project",#N/A,FALSE,"PROJECT";"Summary -2",#N/A,FALSE,"SUMMARY"}</definedName>
    <definedName name="qwee" hidden="1">#REF!</definedName>
    <definedName name="qweqe" hidden="1">{#N/A,#N/A,FALSE,"M.32"}</definedName>
    <definedName name="qweqeq" hidden="1">{#N/A,#N/A,FALSE,"M.42"}</definedName>
    <definedName name="QWEQWE" hidden="1">{#N/A,#N/A,FALSE,"M.41"}</definedName>
    <definedName name="qwer" hidden="1">{#N/A,#N/A,FALSE,"M.41"}</definedName>
    <definedName name="QWQEQ" hidden="1">{#N/A,#N/A,FALSE,"M.31"}</definedName>
    <definedName name="qwqw" hidden="1">{#N/A,#N/A,FALSE,"M.01";#N/A,#N/A,FALSE,"M.01"}</definedName>
    <definedName name="RAB_BASARANG" hidden="1">{#N/A,#N/A,FALSE,"M.33"}</definedName>
    <definedName name="rahman" hidden="1">{#N/A,#N/A,FALSE,"M.02"}</definedName>
    <definedName name="RCArea" hidden="1">#REF!</definedName>
    <definedName name="RDT" hidden="1">{#N/A,#N/A,FALSE,"M.31"}</definedName>
    <definedName name="re" hidden="1">{#N/A,#N/A,FALSE,"M.42"}</definedName>
    <definedName name="ref" hidden="1">{#N/A,#N/A,FALSE,"M.33"}</definedName>
    <definedName name="REFERENSI" hidden="1">{#N/A,#N/A,FALSE,"M.33"}</definedName>
    <definedName name="REGREGREGRGREGREG" hidden="1">#REF!</definedName>
    <definedName name="REH" hidden="1">{#N/A,#N/A,FALSE,"M.01";#N/A,#N/A,FALSE,"M.01"}</definedName>
    <definedName name="reinkit2" hidden="1">{#N/A,#N/A,FALSE,"M.42"}</definedName>
    <definedName name="ReinTUL2" hidden="1">{#N/A,#N/A,FALSE,"M.42"}</definedName>
    <definedName name="REKAP_PRR" hidden="1">{#N/A,#N/A,FALSE,"M.42"}</definedName>
    <definedName name="rekap000" hidden="1">{#N/A,#N/A,FALSE,"M.02"}</definedName>
    <definedName name="Rekap1" hidden="1">{#N/A,#N/A,FALSE,"M.01"}</definedName>
    <definedName name="REKAPHU" hidden="1">{#N/A,#N/A,FALSE,"M.02"}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on" hidden="1">{#N/A,#N/A,FALSE,"M.34"}</definedName>
    <definedName name="rempem" hidden="1">#REF!</definedName>
    <definedName name="renhar" hidden="1">{#N/A,#N/A,FALSE,"M.42"}</definedName>
    <definedName name="rensis" hidden="1">{#N/A,#N/A,FALSE,"M.33"}</definedName>
    <definedName name="RES" hidden="1">{#N/A,#N/A,FALSE,"M.32"}</definedName>
    <definedName name="REVISI" hidden="1">{#N/A,#N/A,FALSE,"M.43"}</definedName>
    <definedName name="rfg" hidden="1">{#N/A,#N/A,FALSE,"M.41"}</definedName>
    <definedName name="rh\" hidden="1">{#N/A,#N/A,FALSE,"M.01"}</definedName>
    <definedName name="rhs" hidden="1">{#N/A,#N/A,FALSE,"M.31"}</definedName>
    <definedName name="rhss" hidden="1">{#N/A,#N/A,FALSE,"M.32"}</definedName>
    <definedName name="rinci" hidden="1">{"Offgrid",#N/A,FALSE,"OFFGRID";"Region",#N/A,FALSE,"REGION";"Offgrid -2",#N/A,FALSE,"OFFGRID";"WTP",#N/A,FALSE,"WTP";"WTP -2",#N/A,FALSE,"WTP";"Project",#N/A,FALSE,"PROJECT";"Summary -2",#N/A,FALSE,"SUMMARY"}</definedName>
    <definedName name="RKP.32" hidden="1">{#N/A,#N/A,FALSE,"M.32"}</definedName>
    <definedName name="RMS" hidden="1">{#N/A,#N/A,FALSE,"M.42"}</definedName>
    <definedName name="ROK" hidden="1">{#N/A,#N/A,FALSE,"M.31"}</definedName>
    <definedName name="ropa" hidden="1">{#N/A,#N/A,FALSE,"M.34"}</definedName>
    <definedName name="rrr" hidden="1">#REF!</definedName>
    <definedName name="RRT" hidden="1">{#N/A,#N/A,FALSE,"M.32"}</definedName>
    <definedName name="RS" hidden="1">{#N/A,#N/A,FALSE,"M.42"}</definedName>
    <definedName name="rt" hidden="1">{#N/A,#N/A,FALSE,"M.43"}</definedName>
    <definedName name="RTEYTRY" hidden="1">{#N/A,#N/A,FALSE,"M.32"}</definedName>
    <definedName name="rth" hidden="1">{#N/A,#N/A,FALSE,"M.02"}</definedName>
    <definedName name="rup" hidden="1">{#N/A,#N/A,FALSE,"Aging Summary";#N/A,#N/A,FALSE,"Ratio Analysis";#N/A,#N/A,FALSE,"Test 120 Day Accts";#N/A,#N/A,FALSE,"Tickmarks"}</definedName>
    <definedName name="rwerwr" hidden="1">{#N/A,#N/A,FALSE,"M.33"}</definedName>
    <definedName name="RWL" hidden="1">{"Offgrid",#N/A,FALSE,"OFFGRID";"Region",#N/A,FALSE,"REGION";"Offgrid -2",#N/A,FALSE,"OFFGRID";"WTP",#N/A,FALSE,"WTP";"WTP -2",#N/A,FALSE,"WTP";"Project",#N/A,FALSE,"PROJECT";"Summary -2",#N/A,FALSE,"SUMMARY"}</definedName>
    <definedName name="Rwvu.CapersView." hidden="1">#REF!</definedName>
    <definedName name="Rwvu.Japan_Capers_Ed_Pub." hidden="1">#REF!</definedName>
    <definedName name="Rwvu.KJP_CC." hidden="1">#REF!</definedName>
    <definedName name="sad" hidden="1">{#N/A,#N/A,FALSE,"M.34"}</definedName>
    <definedName name="saddfasgsdf" hidden="1">{#N/A,#N/A,FALSE,"M.42"}</definedName>
    <definedName name="safsdggjyfkf" hidden="1">{#N/A,#N/A,FALSE,"M.02"}</definedName>
    <definedName name="SALAH" hidden="1">{#N/A,#N/A,FALSE,"M.01";#N/A,#N/A,FALSE,"M.01"}</definedName>
    <definedName name="Salas" hidden="1">#REF!</definedName>
    <definedName name="sammsaa" hidden="1">{#N/A,#N/A,FALSE,"M.32"}</definedName>
    <definedName name="sampul" hidden="1">{#N/A,#N/A,FALSE,"Aging Summary";#N/A,#N/A,FALSE,"Ratio Analysis";#N/A,#N/A,FALSE,"Test 120 Day Accts";#N/A,#N/A,FALSE,"Tickmarks"}</definedName>
    <definedName name="sampul2" hidden="1">{#N/A,#N/A,FALSE,"Aging Summary";#N/A,#N/A,FALSE,"Ratio Analysis";#N/A,#N/A,FALSE,"Test 120 Day Accts";#N/A,#N/A,FALSE,"Tickmarks"}</definedName>
    <definedName name="SAPBEXrevision" hidden="1">1</definedName>
    <definedName name="SAPBEXsysID" hidden="1">"PB1"</definedName>
    <definedName name="SAPBEXwbID" hidden="1">"41NCAAE5PJZ8D7N0HEXL0B90R"</definedName>
    <definedName name="saro" hidden="1">{#N/A,#N/A,FALSE,"M.31"}</definedName>
    <definedName name="SARPOKPLG" hidden="1">{#N/A,#N/A,FALSE,"M.01";#N/A,#N/A,FALSE,"M.01"}</definedName>
    <definedName name="SASA" hidden="1">{#N/A,#N/A,FALSE,"M.32"}</definedName>
    <definedName name="SASAS" hidden="1">{#N/A,#N/A,FALSE,"M.02"}</definedName>
    <definedName name="SASASA" hidden="1">{#N/A,#N/A,FALSE,"M.02"}</definedName>
    <definedName name="SASASAS" hidden="1">{#N/A,#N/A,FALSE,"M.31"}</definedName>
    <definedName name="saul" hidden="1">{#N/A,#N/A,FALSE,"M.34"}</definedName>
    <definedName name="SBBpst" hidden="1">{#N/A,#N/A,FALSE,"M.34"}</definedName>
    <definedName name="sblw" hidden="1">{#N/A,#N/A,FALSE,"M.02"}</definedName>
    <definedName name="scac" hidden="1">{#N/A,#N/A,FALSE,"M.42"}</definedName>
    <definedName name="scacascc" hidden="1">{#N/A,#N/A,FALSE,"M.33"}</definedName>
    <definedName name="scacwxc" hidden="1">{#N/A,#N/A,FALSE,"M.01";#N/A,#N/A,FALSE,"M.01"}</definedName>
    <definedName name="scascac" hidden="1">{#N/A,#N/A,FALSE,"M.31"}</definedName>
    <definedName name="scascasca" hidden="1">{#N/A,#N/A,FALSE,"M.02"}</definedName>
    <definedName name="scascsac" hidden="1">{#N/A,#N/A,FALSE,"M.43"}</definedName>
    <definedName name="scascxc" hidden="1">{#N/A,#N/A,FALSE,"M.42"}</definedName>
    <definedName name="scxasxcxc" hidden="1">{#N/A,#N/A,FALSE,"M.01"}</definedName>
    <definedName name="sda" hidden="1">#REF!</definedName>
    <definedName name="SDAD" hidden="1">{#N/A,#N/A,FALSE,"M.42"}</definedName>
    <definedName name="sdas" hidden="1">{#N/A,#N/A,FALSE,"M.01";#N/A,#N/A,FALSE,"M.01"}</definedName>
    <definedName name="SDAsdg" hidden="1">{#N/A,#N/A,FALSE,"M.01";#N/A,#N/A,FALSE,"M.01"}</definedName>
    <definedName name="SDD" hidden="1">#REF!</definedName>
    <definedName name="sddwsds" hidden="1">{#N/A,#N/A,FALSE,"M.01";#N/A,#N/A,FALSE,"M.01"}</definedName>
    <definedName name="sdfasdf" hidden="1">#REF!</definedName>
    <definedName name="SDFGHJ" hidden="1">#REF!</definedName>
    <definedName name="sdfgshsvjbbjjd" hidden="1">{#N/A,#N/A,FALSE,"M.32"}</definedName>
    <definedName name="SDFSADFSADF" hidden="1">#REF!</definedName>
    <definedName name="sdfsafs" hidden="1">{#N/A,#N/A,FALSE,"M.33"}</definedName>
    <definedName name="SDFSDFASFGDSFG" hidden="1">#REF!</definedName>
    <definedName name="sdg" hidden="1">{#N/A,#N/A,FALSE,"M.31"}</definedName>
    <definedName name="SDMFNS" hidden="1">{#N/A,#N/A,FALSE,"M.42"}</definedName>
    <definedName name="SDR" hidden="1">{#N/A,#N/A,FALSE,"M.42"}</definedName>
    <definedName name="sdvds" hidden="1">{#N/A,#N/A,FALSE,"M.33"}</definedName>
    <definedName name="SEGER" hidden="1">{#N/A,#N/A,FALSE,"M.34"}</definedName>
    <definedName name="sencount" hidden="1">8</definedName>
    <definedName name="sertifikasi" hidden="1">{#N/A,#N/A,FALSE,"M.42"}</definedName>
    <definedName name="SET" hidden="1">{#N/A,#N/A,FALSE,"M.42"}</definedName>
    <definedName name="SFS" hidden="1">{#N/A,#N/A,FALSE,"M.31"}</definedName>
    <definedName name="sFXA" hidden="1">{#N/A,#N/A,FALSE,"M.31"}</definedName>
    <definedName name="SGFASFGA" hidden="1">#REF!</definedName>
    <definedName name="sghdfht" hidden="1">#REF!</definedName>
    <definedName name="sgi" hidden="1">{#N/A,#N/A,FALSE,"M.01"}</definedName>
    <definedName name="Single" hidden="1">{#N/A,#N/A,FALSE,"M.42"}</definedName>
    <definedName name="sip" hidden="1">{#N/A,#N/A,FALSE,"M.34"}</definedName>
    <definedName name="sjd" hidden="1">{"Offgrid",#N/A,FALSE,"OFFGRID";"Region",#N/A,FALSE,"REGION";"Offgrid -2",#N/A,FALSE,"OFFGRID";"WTP",#N/A,FALSE,"WTP";"WTP -2",#N/A,FALSE,"WTP";"Project",#N/A,FALSE,"PROJECT";"Summary -2",#N/A,FALSE,"SUMMARY"}</definedName>
    <definedName name="SKICBG" hidden="1">{#N/A,#N/A,FALSE,"M.43"}</definedName>
    <definedName name="SKKI" hidden="1">{#N/A,#N/A,FALSE,"M.01";#N/A,#N/A,FALSE,"M.01"}</definedName>
    <definedName name="skp" hidden="1">{#N/A,#N/A,FALSE,"M.01";#N/A,#N/A,FALSE,"M.01"}</definedName>
    <definedName name="SMD" hidden="1">{#N/A,#N/A,FALSE,"M.42"}</definedName>
    <definedName name="solikin" hidden="1">{#N/A,#N/A,FALSE,"M.33"}</definedName>
    <definedName name="SORT" hidden="1">#REF!</definedName>
    <definedName name="SORT2" hidden="1">#REF!</definedName>
    <definedName name="SpecialPrice" hidden="1">#REF!</definedName>
    <definedName name="SPKK" hidden="1">#REF!</definedName>
    <definedName name="SPKK1" hidden="1">#REF!</definedName>
    <definedName name="SPKL" hidden="1">{#N/A,#N/A,FALSE,"M.34"}</definedName>
    <definedName name="SR" hidden="1">#REF!</definedName>
    <definedName name="SRTVRF" hidden="1">{#N/A,#N/A,FALSE,"M.01";#N/A,#N/A,FALSE,"M.01"}</definedName>
    <definedName name="SS" hidden="1">#REF!</definedName>
    <definedName name="SSA" hidden="1">{#N/A,#N/A,FALSE,"M.43"}</definedName>
    <definedName name="SSASA" hidden="1">{#N/A,#N/A,FALSE,"M.32"}</definedName>
    <definedName name="ssdadx" hidden="1">{#N/A,#N/A,FALSE,"M.01";#N/A,#N/A,FALSE,"M.01"}</definedName>
    <definedName name="SSDG" hidden="1">{#N/A,#N/A,FALSE,"M.32"}</definedName>
    <definedName name="sses" hidden="1">{#N/A,#N/A,FALSE,"M.02"}</definedName>
    <definedName name="sss" hidden="1">{#N/A,#N/A,FALSE,"M.41"}</definedName>
    <definedName name="SSSSSASAS" hidden="1">{#N/A,#N/A,FALSE,"M.01"}</definedName>
    <definedName name="sssssssssssss" hidden="1">{#N/A,#N/A,FALSE,"M.34"}</definedName>
    <definedName name="ssssssssssssssssssssss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u" hidden="1">{#N/A,#N/A,FALSE,"M.31"}</definedName>
    <definedName name="SUHARTA" hidden="1">{#N/A,#N/A,FALSE,"M.43"}</definedName>
    <definedName name="SUSUT" hidden="1">{#N/A,#N/A,FALSE,"M.41"}</definedName>
    <definedName name="SUTM" hidden="1">{#N/A,#N/A,FALSE,"M.32"}</definedName>
    <definedName name="sw" hidden="1">{#N/A,#N/A,FALSE,"M.01"}</definedName>
    <definedName name="swap" hidden="1">{#N/A,#N/A,FALSE,"M.01"}</definedName>
    <definedName name="SWD" hidden="1">#REF!</definedName>
    <definedName name="Swvu.CapersView." hidden="1">#REF!</definedName>
    <definedName name="Swvu.Japan_Capers_Ed_Pub." hidden="1">#REF!</definedName>
    <definedName name="Swvu.KJP_CC." hidden="1">#REF!</definedName>
    <definedName name="sx" hidden="1">{#N/A,#N/A,FALSE,"M.34"}</definedName>
    <definedName name="tama" hidden="1">{#N/A,#N/A,FALSE,"M.42"}</definedName>
    <definedName name="tambahan" hidden="1">{#N/A,#N/A,FALSE,"M.41"}</definedName>
    <definedName name="TANGAN" hidden="1">{#N/A,#N/A,FALSE,"M.34"}</definedName>
    <definedName name="TANPASELISIH" hidden="1">{#N/A,#N/A,FALSE,"M.42"}</definedName>
    <definedName name="TARGETUPB" hidden="1">{#N/A,#N/A,FALSE,"M.01"}</definedName>
    <definedName name="tbl_ProdInfo" hidden="1">#REF!</definedName>
    <definedName name="TEGI" hidden="1">{#N/A,#N/A,FALSE,"M.32"}</definedName>
    <definedName name="TELKOM_BUNGO" hidden="1">#REF!</definedName>
    <definedName name="TENGAH" hidden="1">{#N/A,#N/A,FALSE,"M.31"}</definedName>
    <definedName name="TERJELEK" hidden="1">{#N/A,#N/A,FALSE,"M.32"}</definedName>
    <definedName name="TERJELEK_10" hidden="1">{#N/A,#N/A,FALSE,"M.01";#N/A,#N/A,FALSE,"M.01"}</definedName>
    <definedName name="tesssssss" hidden="1">{#N/A,#N/A,FALSE,"M.34"}</definedName>
    <definedName name="testing" hidden="1">{#N/A,#N/A,FALSE,"M.02"}</definedName>
    <definedName name="testwrn" hidden="1">{#N/A,#N/A,FALSE,"M.01"}</definedName>
    <definedName name="testwrnb" hidden="1">{#N/A,#N/A,FALSE,"M.01";#N/A,#N/A,FALSE,"M.01"}</definedName>
    <definedName name="TextRefCopyRangeCount" hidden="1">1</definedName>
    <definedName name="TGT" hidden="1">{#N/A,#N/A,FALSE,"M.31"}</definedName>
    <definedName name="thom" hidden="1">{"Offgrid",#N/A,FALSE,"OFFGRID";"Region",#N/A,FALSE,"REGION";"Offgrid -2",#N/A,FALSE,"OFFGRID";"WTP",#N/A,FALSE,"WTP";"WTP -2",#N/A,FALSE,"WTP";"Project",#N/A,FALSE,"PROJECT";"Summary -2",#N/A,FALSE,"SUMMARY"}</definedName>
    <definedName name="thomson" hidden="1">{"Offgrid",#N/A,FALSE,"OFFGRID";"Region",#N/A,FALSE,"REGION";"Offgrid -2",#N/A,FALSE,"OFFGRID";"WTP",#N/A,FALSE,"WTP";"WTP -2",#N/A,FALSE,"WTP";"Project",#N/A,FALSE,"PROJECT";"Summary -2",#N/A,FALSE,"SUMMARY"}</definedName>
    <definedName name="tht" hidden="1">{#N/A,#N/A,FALSE,"M.02"}</definedName>
    <definedName name="TIMUR" hidden="1">{#N/A,#N/A,FALSE,"M.31"}</definedName>
    <definedName name="TJHYTJYJKJY" hidden="1">{#N/A,#N/A,FALSE,"M.42"}</definedName>
    <definedName name="TJVHFG" hidden="1">{#N/A,#N/A,FALSE,"M.42"}</definedName>
    <definedName name="tor" hidden="1">{#N/A,#N/A,FALSE,"M.01"}</definedName>
    <definedName name="TRAFO" hidden="1">#REF!</definedName>
    <definedName name="Tren" hidden="1">{#N/A,#N/A,FALSE,"M.42"}</definedName>
    <definedName name="trg" hidden="1">{#N/A,#N/A,FALSE,"M.43"}</definedName>
    <definedName name="trhytr" hidden="1">{#N/A,#N/A,FALSE,"M.42"}</definedName>
    <definedName name="TRS" hidden="1">#REF!</definedName>
    <definedName name="TT" hidden="1">#REF!</definedName>
    <definedName name="TTD" hidden="1">{#N/A,#N/A,FALSE,"M.43"}</definedName>
    <definedName name="TVCRCT" hidden="1">{#N/A,#N/A,FALSE,"M.41"}</definedName>
    <definedName name="u" hidden="1">{#N/A,#N/A,FALSE,"M.42"}</definedName>
    <definedName name="ujkmhhgvfcdx" hidden="1">{#N/A,#N/A,FALSE,"M.41"}</definedName>
    <definedName name="UKA" hidden="1">{#N/A,#N/A,FALSE,"M.43"}</definedName>
    <definedName name="ukl" hidden="1">#REF!</definedName>
    <definedName name="uky" hidden="1">{#N/A,#N/A,FALSE,"M.01"}</definedName>
    <definedName name="uluiolio" hidden="1">{#N/A,#N/A,FALSE,"M.42"}</definedName>
    <definedName name="UNIT_OPR" hidden="1">{#N/A,#N/A,FALSE,"M.33"}</definedName>
    <definedName name="unit1" hidden="1">{#N/A,#N/A,FALSE,"M.01"}</definedName>
    <definedName name="UPB" hidden="1">{#N/A,#N/A,FALSE,"M.01";#N/A,#N/A,FALSE,"M.01"}</definedName>
    <definedName name="UPT" hidden="1">{#N/A,#N/A,FALSE,"M.43"}</definedName>
    <definedName name="uuu" hidden="1">{#N/A,#N/A,FALSE,"M.31"}</definedName>
    <definedName name="UUUU" hidden="1">{#N/A,#N/A,FALSE,"M.01"}</definedName>
    <definedName name="uyk" hidden="1">{#N/A,#N/A,FALSE,"M.31"}</definedName>
    <definedName name="VA" hidden="1">{#N/A,#N/A,FALSE,"M.33"}</definedName>
    <definedName name="vdr" hidden="1">{#N/A,#N/A,FALSE,"M.33"}</definedName>
    <definedName name="vg" hidden="1">{#N/A,#N/A,FALSE,"M.33"}</definedName>
    <definedName name="VGA" hidden="1">{#N/A,#N/A,FALSE,"M.02"}</definedName>
    <definedName name="WAG" hidden="1">{#N/A,#N/A,FALSE,"M.33"}</definedName>
    <definedName name="wbn.M.41" hidden="1">{#N/A,#N/A,FALSE,"M.42"}</definedName>
    <definedName name="WD" hidden="1">{#N/A,#N/A,FALSE,"M.34"}</definedName>
    <definedName name="wdr" hidden="1">{#N/A,#N/A,FALSE,"M.43"}</definedName>
    <definedName name="wdr.M.33" hidden="1">{#N/A,#N/A,FALSE,"M.33"}</definedName>
    <definedName name="WDW" hidden="1">{#N/A,#N/A,FALSE,"M.01";#N/A,#N/A,FALSE,"M.01"}</definedName>
    <definedName name="WDWEDFF" hidden="1">#REF!</definedName>
    <definedName name="WE.EXE" hidden="1">{#N/A,#N/A,FALSE,"M.43"}</definedName>
    <definedName name="we2.8" hidden="1">{#N/A,#N/A,FALSE,"M.02"}</definedName>
    <definedName name="wedus" hidden="1">#REF!</definedName>
    <definedName name="wee" hidden="1">{#N/A,#N/A,FALSE,"M.41"}</definedName>
    <definedName name="WEFDF" hidden="1">{#N/A,#N/A,FALSE,"M.32"}</definedName>
    <definedName name="wella" hidden="1">{#N/A,#N/A,FALSE,"M.32"}</definedName>
    <definedName name="werwerwr" hidden="1">#REF!</definedName>
    <definedName name="wes" hidden="1">{#N/A,#N/A,FALSE,"M.43"}</definedName>
    <definedName name="wewsrsddfdf" hidden="1">#REF!</definedName>
    <definedName name="WFASFSF" hidden="1">#REF!</definedName>
    <definedName name="WFSGSA" hidden="1">{#N/A,#N/A,FALSE,"M.41"}</definedName>
    <definedName name="wgewG" hidden="1">{#N/A,#N/A,FALSE,"M.41"}</definedName>
    <definedName name="WHY" hidden="1">#REF!</definedName>
    <definedName name="WIL" hidden="1">{#N/A,#N/A,FALSE,"M.01";#N/A,#N/A,FALSE,"M.01"}</definedName>
    <definedName name="wnn" hidden="1">{#N/A,#N/A,FALSE,"M.02"}</definedName>
    <definedName name="WNS.m.23" hidden="1">{#N/A,#N/A,FALSE,"M.43"}</definedName>
    <definedName name="wq" hidden="1">{#N/A,#N/A,FALSE,"M.33"}</definedName>
    <definedName name="wqwqw" hidden="1">{#N/A,#N/A,FALSE,"M.02"}</definedName>
    <definedName name="WR" hidden="1">{#N/A,#N/A,FALSE,"M.42"}</definedName>
    <definedName name="WR.33" hidden="1">{#N/A,#N/A,FALSE,"M.33"}</definedName>
    <definedName name="wre" hidden="1">{#N/A,#N/A,FALSE,"M.42"}</definedName>
    <definedName name="WRM" hidden="1">{#N/A,#N/A,FALSE,"M.01"}</definedName>
    <definedName name="wrm.M.02" hidden="1">{#N/A,#N/A,FALSE,"M.01"}</definedName>
    <definedName name="wrn.10" hidden="1">{#N/A,#N/A,FALSE,"M.01"}</definedName>
    <definedName name="WRN.3" hidden="1">{#N/A,#N/A,FALSE,"M.41"}</definedName>
    <definedName name="wrn.43" hidden="1">{#N/A,#N/A,FALSE,"M.42"}</definedName>
    <definedName name="WRN.9" hidden="1">{#N/A,#N/A,FALSE,"M.43"}</definedName>
    <definedName name="wrn.98" hidden="1">{#N/A,#N/A,FALSE,"M.31"}</definedName>
    <definedName name="wrn.Aging._.and._.Trend._.Analysis." hidden="1">{#N/A,#N/A,FALSE,"Aging Summary";#N/A,#N/A,FALSE,"Ratio Analysis";#N/A,#N/A,FALSE,"Test 120 Day Accts";#N/A,#N/A,FALSE,"Tickmarks"}</definedName>
    <definedName name="wrn.CapersPlotter." hidden="1">{#N/A,#N/A,FALSE,"DI 2 YEAR MASTER SCHEDULE"}</definedName>
    <definedName name="wrn.chi._.tiÆt." hidden="1">{#N/A,#N/A,FALSE,"Chi tiÆt"}</definedName>
    <definedName name="wrn.Edutainment._.Priority._.List." hidden="1">{#N/A,#N/A,FALSE,"DI 2 YEAR MASTER SCHEDULE"}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Japan_Capers_Ed._.Pub." hidden="1">{"Japan_Capers_Ed_Pub",#N/A,FALSE,"DI 2 YEAR MASTER SCHEDULE"}</definedName>
    <definedName name="WRN.M" hidden="1">{#N/A,#N/A,FALSE,"M.33"}</definedName>
    <definedName name="wrn.M.01" hidden="1">{#N/A,#N/A,FALSE,"M.01"}</definedName>
    <definedName name="wrn.M.01." hidden="1">{#N/A,#N/A,FALSE,"M.01"}</definedName>
    <definedName name="wrn.M.01._1" hidden="1">{#N/A,#N/A,FALSE,"M.01"}</definedName>
    <definedName name="wrn.M.01D" hidden="1">{#N/A,#N/A,FALSE,"M.01";#N/A,#N/A,FALSE,"M.01"}</definedName>
    <definedName name="wrn.M.01D." hidden="1">{#N/A,#N/A,FALSE,"M.01";#N/A,#N/A,FALSE,"M.01"}</definedName>
    <definedName name="wrn.M.01D._1" hidden="1">{#N/A,#N/A,FALSE,"M.01";#N/A,#N/A,FALSE,"M.01"}</definedName>
    <definedName name="wrn.m.01D.1" hidden="1">{#N/A,#N/A,FALSE,"M.01";#N/A,#N/A,FALSE,"M.01"}</definedName>
    <definedName name="wrn.M.01e" hidden="1">{#N/A,#N/A,FALSE,"M.01";#N/A,#N/A,FALSE,"M.01"}</definedName>
    <definedName name="wrn.M.02" hidden="1">{#N/A,#N/A,FALSE,"M.01"}</definedName>
    <definedName name="wrn.M.02." hidden="1">{#N/A,#N/A,FALSE,"M.02"}</definedName>
    <definedName name="wrn.M.02._1" hidden="1">{#N/A,#N/A,FALSE,"M.02"}</definedName>
    <definedName name="wrn.M.03" hidden="1">{#N/A,#N/A,FALSE,"M.01"}</definedName>
    <definedName name="wrn.M.03." hidden="1">{#N/A,#N/A,FALSE,"M.02"}</definedName>
    <definedName name="wrn.M.07." hidden="1">{#N/A,#N/A,FALSE,"M.01"}</definedName>
    <definedName name="wrn.M.08." hidden="1">{#N/A,#N/A,FALSE,"M.01"}</definedName>
    <definedName name="WRN.M.1000" hidden="1">{#N/A,#N/A,FALSE,"M.41"}</definedName>
    <definedName name="wrn.m.3" hidden="1">{#N/A,#N/A,FALSE,"M.34"}</definedName>
    <definedName name="wrn.m.31" hidden="1">{#N/A,#N/A,FALSE,"M.31"}</definedName>
    <definedName name="wrn.M.31." hidden="1">{#N/A,#N/A,FALSE,"M.31"}</definedName>
    <definedName name="wrn.M.31._1" hidden="1">{#N/A,#N/A,FALSE,"M.31"}</definedName>
    <definedName name="wrn.M.32" hidden="1">{#N/A,#N/A,FALSE,"M.31"}</definedName>
    <definedName name="wrn.M.32." hidden="1">{#N/A,#N/A,FALSE,"M.32"}</definedName>
    <definedName name="wrn.M.32._1" hidden="1">{#N/A,#N/A,FALSE,"M.32"}</definedName>
    <definedName name="wrn.M.32.1" hidden="1">{#N/A,#N/A,FALSE,"M.32"}</definedName>
    <definedName name="wrn.m.32.2" hidden="1">{#N/A,#N/A,FALSE,"M.31"}</definedName>
    <definedName name="wrn.M.33" hidden="1">{#N/A,#N/A,FALSE,"M.33"}</definedName>
    <definedName name="wrn.M.33." hidden="1">{#N/A,#N/A,FALSE,"M.33"}</definedName>
    <definedName name="wrn.M.33._1" hidden="1">{#N/A,#N/A,FALSE,"M.33"}</definedName>
    <definedName name="wrn.M.333" hidden="1">{#N/A,#N/A,FALSE,"M.32"}</definedName>
    <definedName name="wrn.M.34" hidden="1">{#N/A,#N/A,FALSE,"M.34"}</definedName>
    <definedName name="wrn.M.34." hidden="1">{#N/A,#N/A,FALSE,"M.34"}</definedName>
    <definedName name="wrn.M.34._1" hidden="1">{#N/A,#N/A,FALSE,"M.34"}</definedName>
    <definedName name="wrn.M.34.1" hidden="1">{#N/A,#N/A,FALSE,"M.34"}</definedName>
    <definedName name="wrn.m.35." hidden="1">{#N/A,#N/A,FALSE,"M.34"}</definedName>
    <definedName name="wrn.M.4." hidden="1">{#N/A,#N/A,FALSE,"M.42"}</definedName>
    <definedName name="wrn.M.41" hidden="1">{#N/A,#N/A,FALSE,"M.41"}</definedName>
    <definedName name="wrn.M.41." hidden="1">{#N/A,#N/A,FALSE,"M.41"}</definedName>
    <definedName name="wrn.M.41._1" hidden="1">{#N/A,#N/A,FALSE,"M.41"}</definedName>
    <definedName name="wrn.M.41.a" hidden="1">{#N/A,#N/A,FALSE,"M.41"}</definedName>
    <definedName name="wrn.M.41_1" hidden="1">{#N/A,#N/A,FALSE,"M.41"}</definedName>
    <definedName name="wrn.M.42" hidden="1">{#N/A,#N/A,FALSE,"M.41"}</definedName>
    <definedName name="wrn.M.42." hidden="1">{#N/A,#N/A,FALSE,"M.42"}</definedName>
    <definedName name="wrn.M.42._1" hidden="1">{#N/A,#N/A,FALSE,"M.42"}</definedName>
    <definedName name="wrn.m.421" hidden="1">{#N/A,#N/A,FALSE,"M.41"}</definedName>
    <definedName name="wrn.M.43" hidden="1">{#N/A,#N/A,FALSE,"M.43"}</definedName>
    <definedName name="wrn.M.43." hidden="1">{#N/A,#N/A,FALSE,"M.43"}</definedName>
    <definedName name="wrn.M.43._1" hidden="1">{#N/A,#N/A,FALSE,"M.43"}</definedName>
    <definedName name="wrn.M.63" hidden="1">{#N/A,#N/A,FALSE,"M.43"}</definedName>
    <definedName name="wrn.M.67" hidden="1">{#N/A,#N/A,FALSE,"M.01"}</definedName>
    <definedName name="wrn.M.68" hidden="1">{#N/A,#N/A,FALSE,"M.32"}</definedName>
    <definedName name="wrn.M.87F." hidden="1">{#N/A,#N/A,FALSE,"M.01";#N/A,#N/A,FALSE,"M.01"}</definedName>
    <definedName name="wrn.M.90" hidden="1">{#N/A,#N/A,FALSE,"M.33"}</definedName>
    <definedName name="Wrn.M32." hidden="1">{#N/A,#N/A,FALSE,"M.31"}</definedName>
    <definedName name="WRN.M41." hidden="1">{#N/A,#N/A,FALSE,"M.41"}</definedName>
    <definedName name="WRN.M42" hidden="1">{#N/A,#N/A,FALSE,"M.41"}</definedName>
    <definedName name="wrn.N.33" hidden="1">{#N/A,#N/A,FALSE,"M.33"}</definedName>
    <definedName name="wrn.n.99" hidden="1">{#N/A,#N/A,FALSE,"M.43"}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ep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a.m.01" hidden="1">{#N/A,#N/A,FALSE,"M.01"}</definedName>
    <definedName name="WRNM" hidden="1">{#N/A,#N/A,FALSE,"M.02"}</definedName>
    <definedName name="WRV" hidden="1">{#N/A,#N/A,FALSE,"M.01"}</definedName>
    <definedName name="WRV.M" hidden="1">{#N/A,#N/A,FALSE,"M.34"}</definedName>
    <definedName name="wrwr" hidden="1">{#N/A,#N/A,FALSE,"M.01"}</definedName>
    <definedName name="WSDWD" hidden="1">#REF!</definedName>
    <definedName name="wsdwsd" hidden="1">{#N/A,#N/A,FALSE,"M.43"}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.HN" hidden="1">{#N/A,#N/A,FALSE,"M.43"}</definedName>
    <definedName name="WWM" hidden="1">{#N/A,#N/A,FALSE,"M.01";#N/A,#N/A,FALSE,"M.01"}</definedName>
    <definedName name="x" hidden="1">{#N/A,#N/A,FALSE,"M.42"}</definedName>
    <definedName name="x_1" hidden="1">{#N/A,#N/A,FALSE,"M.42"}</definedName>
    <definedName name="xcascac" hidden="1">{#N/A,#N/A,FALSE,"M.41"}</definedName>
    <definedName name="xcscac" hidden="1">{#N/A,#N/A,FALSE,"M.32"}</definedName>
    <definedName name="xcscsac" hidden="1">{#N/A,#N/A,FALSE,"M.34"}</definedName>
    <definedName name="xdasdd" hidden="1">{#N/A,#N/A,FALSE,"M.01"}</definedName>
    <definedName name="XFf" hidden="1">{#N/A,#N/A,FALSE,"M.01";#N/A,#N/A,FALSE,"M.01"}</definedName>
    <definedName name="XFFFA" hidden="1">{#N/A,#N/A,FALSE,"M.01"}</definedName>
    <definedName name="XGDGSGRG" hidden="1">#REF!</definedName>
    <definedName name="XREF_COLUMN_2" hidden="1">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5Row" hidden="1">#REF!</definedName>
    <definedName name="XRefCopy6Row" hidden="1">#REF!</definedName>
    <definedName name="XRefCopy8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RangeCount" hidden="1">2</definedName>
    <definedName name="XRVTG" hidden="1">{#N/A,#N/A,FALSE,"M.34"}</definedName>
    <definedName name="XSXXXXXXXXXXXX" hidden="1">#REF!</definedName>
    <definedName name="XXXXXXXXXXX" hidden="1">#REF!</definedName>
    <definedName name="XYZ" hidden="1">#REF!</definedName>
    <definedName name="XZSXZX" hidden="1">{#N/A,#N/A,FALSE,"M.42"}</definedName>
    <definedName name="XZZ" hidden="1">#REF!</definedName>
    <definedName name="y" hidden="1">{#N/A,#N/A,FALSE,"M.42"}</definedName>
    <definedName name="yan_gan" hidden="1">{#N/A,#N/A,FALSE,"M.43"}</definedName>
    <definedName name="yangan" hidden="1">{#N/A,#N/A,FALSE,"M.41"}</definedName>
    <definedName name="YES" hidden="1">{#N/A,#N/A,FALSE,"M.43"}</definedName>
    <definedName name="ytg" hidden="1">{#N/A,#N/A,FALSE,"M.41"}</definedName>
    <definedName name="YY" hidden="1">{#N/A,#N/A,FALSE,"M.33"}</definedName>
    <definedName name="Z_4900D912_D400_4A61_8DD9_12CD5711EDE2_.wvu.FilterData" hidden="1">#REF!</definedName>
    <definedName name="Z_5107985B_0AF1_481E_8B01_41E5AE471770_.wvu.FilterData" hidden="1">#REF!</definedName>
    <definedName name="Z_60C09D59_E1B8_4DE0_84A5_C4D52EC877AC_.wvu.PrintArea" hidden="1">#REF!</definedName>
    <definedName name="Z_60C09D59_E1B8_4DE0_84A5_C4D52EC877AC_.wvu.Rows" hidden="1">#REF!,#REF!,#REF!,#REF!,#REF!,#REF!,#REF!,#REF!,#REF!</definedName>
    <definedName name="Z_63611525_C24F_4FB3_9298_8967B272C2AD_.wvu.Cols" hidden="1">#REF!</definedName>
    <definedName name="Z_63611525_C24F_4FB3_9298_8967B272C2AD_.wvu.Rows" localSheetId="0" hidden="1">#REF!,#REF!,#REF!,#REF!</definedName>
    <definedName name="Z_63611525_C24F_4FB3_9298_8967B272C2AD_.wvu.Rows" hidden="1">#REF!,#REF!,#REF!,#REF!</definedName>
    <definedName name="Z_905CC869_795C_4E5E_B879_52BB42470404_.wvu.FilterData" hidden="1">#REF!</definedName>
    <definedName name="Z_951381D6_C6D1_4C6C_A572_59CAF1F656FA_.wvu.Cols" hidden="1">#REF!</definedName>
    <definedName name="Z_951381D6_C6D1_4C6C_A572_59CAF1F656FA_.wvu.Row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AEFAA9BC_77A3_4DB7_9FE7_A7F47A5E0AF8_.wvu.Rows" hidden="1">#REF!,#REF!</definedName>
    <definedName name="Z_C8D3CFF8_AFBE_4838_9E27_B7F44DF03C29_.wvu.PrintArea" hidden="1">#REF!</definedName>
    <definedName name="Z_D8DC1CE1_47A9_11DA_B604_00C04F803305_.wvu.PrintArea" hidden="1">#REF!</definedName>
    <definedName name="zCADSAFChg" hidden="1">{#N/A,#N/A,FALSE,"M.43"}</definedName>
    <definedName name="zsdgxgdg" hidden="1">{#N/A,#N/A,FALSE,"M.01";#N/A,#N/A,FALSE,"M.01"}</definedName>
    <definedName name="ZXCZ" hidden="1">{#N/A,#N/A,FALSE,"M.31"}</definedName>
    <definedName name="zxxz" hidden="1">{#N/A,#N/A,FALSE,"M.33"}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39" l="1"/>
  <c r="K16" i="39"/>
  <c r="L16" i="39"/>
  <c r="L17" i="39"/>
  <c r="N1076" i="42"/>
  <c r="M1076" i="42"/>
  <c r="L1076" i="42"/>
  <c r="N1076" i="41"/>
  <c r="M1076" i="41"/>
  <c r="L1076" i="41"/>
  <c r="K1045" i="42"/>
  <c r="K1053" i="42"/>
  <c r="M1053" i="42" s="1"/>
  <c r="N1053" i="42" s="1"/>
  <c r="K1052" i="42"/>
  <c r="K1051" i="42"/>
  <c r="K1050" i="42"/>
  <c r="K1049" i="42"/>
  <c r="K1048" i="42"/>
  <c r="G1052" i="7"/>
  <c r="H1051" i="7"/>
  <c r="F1050" i="7"/>
  <c r="K1046" i="42"/>
  <c r="K1044" i="42"/>
  <c r="K1033" i="42"/>
  <c r="K1032" i="42"/>
  <c r="K1031" i="42"/>
  <c r="K1030" i="42"/>
  <c r="K1029" i="42"/>
  <c r="K1028" i="42"/>
  <c r="K1027" i="42"/>
  <c r="K1026" i="42"/>
  <c r="K1025" i="42"/>
  <c r="K1024" i="42"/>
  <c r="K1023" i="42"/>
  <c r="K1022" i="42"/>
  <c r="K1021" i="42"/>
  <c r="K1020" i="42"/>
  <c r="K1019" i="42"/>
  <c r="K1018" i="42"/>
  <c r="K1017" i="42"/>
  <c r="K1016" i="42"/>
  <c r="K1015" i="42"/>
  <c r="K1014" i="42"/>
  <c r="K1013" i="42"/>
  <c r="K1012" i="42"/>
  <c r="K1011" i="42"/>
  <c r="K1010" i="42"/>
  <c r="K1009" i="42"/>
  <c r="K1008" i="42"/>
  <c r="K1004" i="42"/>
  <c r="K1003" i="42"/>
  <c r="K1002" i="42"/>
  <c r="K1001" i="42"/>
  <c r="K1000" i="42"/>
  <c r="K999" i="42"/>
  <c r="K998" i="42"/>
  <c r="K997" i="42"/>
  <c r="K996" i="42"/>
  <c r="K995" i="42"/>
  <c r="K994" i="42"/>
  <c r="K993" i="42"/>
  <c r="K992" i="42"/>
  <c r="K991" i="42"/>
  <c r="K990" i="42"/>
  <c r="K989" i="42"/>
  <c r="K988" i="42"/>
  <c r="K987" i="42"/>
  <c r="K986" i="42"/>
  <c r="K982" i="42"/>
  <c r="M982" i="42" s="1"/>
  <c r="M983" i="42" s="1"/>
  <c r="M1073" i="42" s="1"/>
  <c r="K981" i="42"/>
  <c r="K980" i="42"/>
  <c r="K979" i="42"/>
  <c r="K978" i="42"/>
  <c r="K977" i="42"/>
  <c r="K976" i="42"/>
  <c r="K975" i="42"/>
  <c r="K974" i="42"/>
  <c r="K973" i="42"/>
  <c r="K972" i="42"/>
  <c r="K971" i="42"/>
  <c r="K970" i="42"/>
  <c r="K969" i="42"/>
  <c r="K968" i="42"/>
  <c r="K967" i="42"/>
  <c r="K966" i="42"/>
  <c r="K965" i="42"/>
  <c r="K964" i="42"/>
  <c r="K963" i="42"/>
  <c r="K962" i="42"/>
  <c r="K961" i="42"/>
  <c r="K960" i="42"/>
  <c r="K959" i="42"/>
  <c r="K958" i="42"/>
  <c r="K957" i="42"/>
  <c r="K956" i="42"/>
  <c r="K955" i="42"/>
  <c r="K954" i="42"/>
  <c r="K953" i="42"/>
  <c r="K952" i="42"/>
  <c r="K951" i="42"/>
  <c r="K950" i="42"/>
  <c r="K949" i="42"/>
  <c r="K948" i="42"/>
  <c r="K947" i="42"/>
  <c r="K946" i="42"/>
  <c r="K945" i="42"/>
  <c r="K944" i="42"/>
  <c r="K943" i="42"/>
  <c r="K942" i="42"/>
  <c r="K941" i="42"/>
  <c r="K940" i="42"/>
  <c r="K939" i="42"/>
  <c r="K938" i="42"/>
  <c r="K937" i="42"/>
  <c r="K936" i="42"/>
  <c r="K935" i="42"/>
  <c r="K931" i="42"/>
  <c r="K930" i="42"/>
  <c r="K929" i="42"/>
  <c r="K928" i="42"/>
  <c r="K927" i="42"/>
  <c r="K926" i="42"/>
  <c r="K925" i="42"/>
  <c r="K924" i="42"/>
  <c r="K923" i="42"/>
  <c r="K922" i="42"/>
  <c r="K921" i="42"/>
  <c r="K920" i="42"/>
  <c r="K919" i="42"/>
  <c r="K918" i="42"/>
  <c r="K917" i="42"/>
  <c r="K916" i="42"/>
  <c r="K915" i="42"/>
  <c r="K914" i="42"/>
  <c r="K913" i="42"/>
  <c r="K912" i="42"/>
  <c r="K908" i="42"/>
  <c r="M908" i="42" s="1"/>
  <c r="K907" i="42"/>
  <c r="K906" i="42"/>
  <c r="K905" i="42"/>
  <c r="K904" i="42"/>
  <c r="K903" i="42"/>
  <c r="K902" i="42"/>
  <c r="K901" i="42"/>
  <c r="K900" i="42"/>
  <c r="K899" i="42"/>
  <c r="K898" i="42"/>
  <c r="K897" i="42"/>
  <c r="K893" i="42"/>
  <c r="K892" i="42"/>
  <c r="K891" i="42"/>
  <c r="K890" i="42"/>
  <c r="K889" i="42"/>
  <c r="K888" i="42"/>
  <c r="K887" i="42"/>
  <c r="K886" i="42"/>
  <c r="K885" i="42"/>
  <c r="K881" i="42"/>
  <c r="M881" i="42" s="1"/>
  <c r="K880" i="42"/>
  <c r="K879" i="42"/>
  <c r="K878" i="42"/>
  <c r="K877" i="42"/>
  <c r="K876" i="42"/>
  <c r="K875" i="42"/>
  <c r="K874" i="42"/>
  <c r="K873" i="42"/>
  <c r="K872" i="42"/>
  <c r="K871" i="42"/>
  <c r="K870" i="42"/>
  <c r="K869" i="42"/>
  <c r="K868" i="42"/>
  <c r="K867" i="42"/>
  <c r="K866" i="42"/>
  <c r="K865" i="42"/>
  <c r="K864" i="42"/>
  <c r="K863" i="42"/>
  <c r="K862" i="42"/>
  <c r="K861" i="42"/>
  <c r="K860" i="42"/>
  <c r="K859" i="42"/>
  <c r="K858" i="42"/>
  <c r="K857" i="42"/>
  <c r="K856" i="42"/>
  <c r="K855" i="42"/>
  <c r="K854" i="42"/>
  <c r="K853" i="42"/>
  <c r="K852" i="42"/>
  <c r="K851" i="42"/>
  <c r="K850" i="42"/>
  <c r="K849" i="42"/>
  <c r="K848" i="42"/>
  <c r="K847" i="42"/>
  <c r="K846" i="42"/>
  <c r="K845" i="42"/>
  <c r="K844" i="42"/>
  <c r="K843" i="42"/>
  <c r="K842" i="42"/>
  <c r="K841" i="42"/>
  <c r="K840" i="42"/>
  <c r="K839" i="42"/>
  <c r="K838" i="42"/>
  <c r="K837" i="42"/>
  <c r="K836" i="42"/>
  <c r="K835" i="42"/>
  <c r="K834" i="42"/>
  <c r="K833" i="42"/>
  <c r="K832" i="42"/>
  <c r="K831" i="42"/>
  <c r="K830" i="42"/>
  <c r="K829" i="42"/>
  <c r="K828" i="42"/>
  <c r="K827" i="42"/>
  <c r="K826" i="42"/>
  <c r="K825" i="42"/>
  <c r="K824" i="42"/>
  <c r="K823" i="42"/>
  <c r="K822" i="42"/>
  <c r="K821" i="42"/>
  <c r="K820" i="42"/>
  <c r="K819" i="42"/>
  <c r="K818" i="42"/>
  <c r="K817" i="42"/>
  <c r="K816" i="42"/>
  <c r="K815" i="42"/>
  <c r="K814" i="42"/>
  <c r="K813" i="42"/>
  <c r="K812" i="42"/>
  <c r="K811" i="42"/>
  <c r="K810" i="42"/>
  <c r="K809" i="42"/>
  <c r="K808" i="42"/>
  <c r="K807" i="42"/>
  <c r="K806" i="42"/>
  <c r="K805" i="42"/>
  <c r="K804" i="42"/>
  <c r="K803" i="42"/>
  <c r="K802" i="42"/>
  <c r="K801" i="42"/>
  <c r="K800" i="42"/>
  <c r="K799" i="42"/>
  <c r="K798" i="42"/>
  <c r="K797" i="42"/>
  <c r="K796" i="42"/>
  <c r="K795" i="42"/>
  <c r="K794" i="42"/>
  <c r="K793" i="42"/>
  <c r="K792" i="42"/>
  <c r="K791" i="42"/>
  <c r="K790" i="42"/>
  <c r="K789" i="42"/>
  <c r="K788" i="42"/>
  <c r="K787" i="42"/>
  <c r="K786" i="42"/>
  <c r="K785" i="42"/>
  <c r="K784" i="42"/>
  <c r="K783" i="42"/>
  <c r="K782" i="42"/>
  <c r="K781" i="42"/>
  <c r="K780" i="42"/>
  <c r="K779" i="42"/>
  <c r="K778" i="42"/>
  <c r="K777" i="42"/>
  <c r="K776" i="42"/>
  <c r="K775" i="42"/>
  <c r="K774" i="42"/>
  <c r="K773" i="42"/>
  <c r="K769" i="42"/>
  <c r="M769" i="42" s="1"/>
  <c r="K768" i="42"/>
  <c r="K767" i="42"/>
  <c r="K766" i="42"/>
  <c r="K765" i="42"/>
  <c r="K764" i="42"/>
  <c r="K763" i="42"/>
  <c r="K762" i="42"/>
  <c r="K761" i="42"/>
  <c r="K760" i="42"/>
  <c r="K759" i="42"/>
  <c r="K758" i="42"/>
  <c r="K757" i="42"/>
  <c r="K756" i="42"/>
  <c r="K755" i="42"/>
  <c r="K754" i="42"/>
  <c r="K753" i="42"/>
  <c r="K752" i="42"/>
  <c r="K751" i="42"/>
  <c r="K750" i="42"/>
  <c r="K749" i="42"/>
  <c r="K748" i="42"/>
  <c r="K747" i="42"/>
  <c r="K746" i="42"/>
  <c r="K742" i="42"/>
  <c r="M742" i="42" s="1"/>
  <c r="N742" i="42" s="1"/>
  <c r="K741" i="42"/>
  <c r="M741" i="42" s="1"/>
  <c r="N741" i="42" s="1"/>
  <c r="K740" i="42"/>
  <c r="K739" i="42"/>
  <c r="K738" i="42"/>
  <c r="K737" i="42"/>
  <c r="K736" i="42"/>
  <c r="K735" i="42"/>
  <c r="K734" i="42"/>
  <c r="K733" i="42"/>
  <c r="K732" i="42"/>
  <c r="K731" i="42"/>
  <c r="K730" i="42"/>
  <c r="K729" i="42"/>
  <c r="K728" i="42"/>
  <c r="K727" i="42"/>
  <c r="K726" i="42"/>
  <c r="K725" i="42"/>
  <c r="K724" i="42"/>
  <c r="K723" i="42"/>
  <c r="K722" i="42"/>
  <c r="K721" i="42"/>
  <c r="K720" i="42"/>
  <c r="K719" i="42"/>
  <c r="K718" i="42"/>
  <c r="K717" i="42"/>
  <c r="K716" i="42"/>
  <c r="K715" i="42"/>
  <c r="K714" i="42"/>
  <c r="K713" i="42"/>
  <c r="K712" i="42"/>
  <c r="K711" i="42"/>
  <c r="K710" i="42"/>
  <c r="K709" i="42"/>
  <c r="K708" i="42"/>
  <c r="K707" i="42"/>
  <c r="K706" i="42"/>
  <c r="K705" i="42"/>
  <c r="K704" i="42"/>
  <c r="K703" i="42"/>
  <c r="K702" i="42"/>
  <c r="K701" i="42"/>
  <c r="K700" i="42"/>
  <c r="K699" i="42"/>
  <c r="K698" i="42"/>
  <c r="K697" i="42"/>
  <c r="K696" i="42"/>
  <c r="K695" i="42"/>
  <c r="K694" i="42"/>
  <c r="K693" i="42"/>
  <c r="K692" i="42"/>
  <c r="K691" i="42"/>
  <c r="K690" i="42"/>
  <c r="K689" i="42"/>
  <c r="K688" i="42"/>
  <c r="K687" i="42"/>
  <c r="K686" i="42"/>
  <c r="K685" i="42"/>
  <c r="K684" i="42"/>
  <c r="K683" i="42"/>
  <c r="K682" i="42"/>
  <c r="K681" i="42"/>
  <c r="K680" i="42"/>
  <c r="K679" i="42"/>
  <c r="K678" i="42"/>
  <c r="K677" i="42"/>
  <c r="K676" i="42"/>
  <c r="K675" i="42"/>
  <c r="K674" i="42"/>
  <c r="K673" i="42"/>
  <c r="K672" i="42"/>
  <c r="K671" i="42"/>
  <c r="K670" i="42"/>
  <c r="K669" i="42"/>
  <c r="K668" i="42"/>
  <c r="K667" i="42"/>
  <c r="K666" i="42"/>
  <c r="K665" i="42"/>
  <c r="K664" i="42"/>
  <c r="K663" i="42"/>
  <c r="K662" i="42"/>
  <c r="K661" i="42"/>
  <c r="K660" i="42"/>
  <c r="K659" i="42"/>
  <c r="K658" i="42"/>
  <c r="K654" i="42"/>
  <c r="K653" i="42"/>
  <c r="K652" i="42"/>
  <c r="K651" i="42"/>
  <c r="K650" i="42"/>
  <c r="K649" i="42"/>
  <c r="K648" i="42"/>
  <c r="K647" i="42"/>
  <c r="K646" i="42"/>
  <c r="K645" i="42"/>
  <c r="K644" i="42"/>
  <c r="K643" i="42"/>
  <c r="K642" i="42"/>
  <c r="K641" i="42"/>
  <c r="K640" i="42"/>
  <c r="K639" i="42"/>
  <c r="K638" i="42"/>
  <c r="K637" i="42"/>
  <c r="K636" i="42"/>
  <c r="K635" i="42"/>
  <c r="K634" i="42"/>
  <c r="K633" i="42"/>
  <c r="K632" i="42"/>
  <c r="K631" i="42"/>
  <c r="K630" i="42"/>
  <c r="K629" i="42"/>
  <c r="K628" i="42"/>
  <c r="K627" i="42"/>
  <c r="K626" i="42"/>
  <c r="K625" i="42"/>
  <c r="M625" i="42" s="1"/>
  <c r="M655" i="42" s="1"/>
  <c r="M1066" i="42" s="1"/>
  <c r="K621" i="42"/>
  <c r="M621" i="42" s="1"/>
  <c r="N621" i="42" s="1"/>
  <c r="K620" i="42"/>
  <c r="M620" i="42" s="1"/>
  <c r="N620" i="42" s="1"/>
  <c r="K619" i="42"/>
  <c r="M619" i="42" s="1"/>
  <c r="N619" i="42" s="1"/>
  <c r="K618" i="42"/>
  <c r="M618" i="42" s="1"/>
  <c r="N618" i="42" s="1"/>
  <c r="K617" i="42"/>
  <c r="M617" i="42" s="1"/>
  <c r="N617" i="42" s="1"/>
  <c r="K616" i="42"/>
  <c r="M616" i="42" s="1"/>
  <c r="N616" i="42" s="1"/>
  <c r="K615" i="42"/>
  <c r="M615" i="42" s="1"/>
  <c r="N615" i="42" s="1"/>
  <c r="K614" i="42"/>
  <c r="M614" i="42" s="1"/>
  <c r="N614" i="42" s="1"/>
  <c r="K613" i="42"/>
  <c r="M613" i="42" s="1"/>
  <c r="N613" i="42" s="1"/>
  <c r="K612" i="42"/>
  <c r="M612" i="42" s="1"/>
  <c r="N612" i="42" s="1"/>
  <c r="K611" i="42"/>
  <c r="M611" i="42" s="1"/>
  <c r="N611" i="42" s="1"/>
  <c r="K610" i="42"/>
  <c r="M610" i="42" s="1"/>
  <c r="N610" i="42" s="1"/>
  <c r="K609" i="42"/>
  <c r="M609" i="42" s="1"/>
  <c r="N609" i="42" s="1"/>
  <c r="K608" i="42"/>
  <c r="M608" i="42" s="1"/>
  <c r="N608" i="42" s="1"/>
  <c r="K607" i="42"/>
  <c r="M607" i="42" s="1"/>
  <c r="N607" i="42" s="1"/>
  <c r="K606" i="42"/>
  <c r="M606" i="42" s="1"/>
  <c r="N606" i="42" s="1"/>
  <c r="K605" i="42"/>
  <c r="M605" i="42" s="1"/>
  <c r="N605" i="42" s="1"/>
  <c r="K604" i="42"/>
  <c r="M604" i="42" s="1"/>
  <c r="N604" i="42" s="1"/>
  <c r="K603" i="42"/>
  <c r="M603" i="42" s="1"/>
  <c r="N603" i="42" s="1"/>
  <c r="K602" i="42"/>
  <c r="M602" i="42" s="1"/>
  <c r="N602" i="42" s="1"/>
  <c r="K601" i="42"/>
  <c r="M601" i="42" s="1"/>
  <c r="N601" i="42" s="1"/>
  <c r="K600" i="42"/>
  <c r="M600" i="42" s="1"/>
  <c r="N600" i="42" s="1"/>
  <c r="K599" i="42"/>
  <c r="M599" i="42" s="1"/>
  <c r="N599" i="42" s="1"/>
  <c r="K598" i="42"/>
  <c r="M598" i="42" s="1"/>
  <c r="N598" i="42" s="1"/>
  <c r="K597" i="42"/>
  <c r="M597" i="42" s="1"/>
  <c r="N597" i="42" s="1"/>
  <c r="K596" i="42"/>
  <c r="M596" i="42" s="1"/>
  <c r="N596" i="42" s="1"/>
  <c r="K595" i="42"/>
  <c r="M595" i="42" s="1"/>
  <c r="N595" i="42" s="1"/>
  <c r="K594" i="42"/>
  <c r="M594" i="42" s="1"/>
  <c r="N594" i="42" s="1"/>
  <c r="K593" i="42"/>
  <c r="M593" i="42" s="1"/>
  <c r="N593" i="42" s="1"/>
  <c r="K592" i="42"/>
  <c r="M592" i="42" s="1"/>
  <c r="N592" i="42" s="1"/>
  <c r="K591" i="42"/>
  <c r="M591" i="42" s="1"/>
  <c r="N591" i="42" s="1"/>
  <c r="K590" i="42"/>
  <c r="M590" i="42" s="1"/>
  <c r="N590" i="42" s="1"/>
  <c r="K589" i="42"/>
  <c r="M589" i="42" s="1"/>
  <c r="N589" i="42" s="1"/>
  <c r="K588" i="42"/>
  <c r="M588" i="42" s="1"/>
  <c r="N588" i="42" s="1"/>
  <c r="K587" i="42"/>
  <c r="M587" i="42" s="1"/>
  <c r="N587" i="42" s="1"/>
  <c r="K586" i="42"/>
  <c r="M586" i="42" s="1"/>
  <c r="N586" i="42" s="1"/>
  <c r="K585" i="42"/>
  <c r="M585" i="42" s="1"/>
  <c r="N585" i="42" s="1"/>
  <c r="K584" i="42"/>
  <c r="M584" i="42" s="1"/>
  <c r="N584" i="42" s="1"/>
  <c r="K583" i="42"/>
  <c r="M583" i="42" s="1"/>
  <c r="N583" i="42" s="1"/>
  <c r="K582" i="42"/>
  <c r="M582" i="42" s="1"/>
  <c r="N582" i="42" s="1"/>
  <c r="K581" i="42"/>
  <c r="M581" i="42" s="1"/>
  <c r="N581" i="42" s="1"/>
  <c r="K580" i="42"/>
  <c r="M580" i="42" s="1"/>
  <c r="N580" i="42" s="1"/>
  <c r="K579" i="42"/>
  <c r="M579" i="42" s="1"/>
  <c r="N579" i="42" s="1"/>
  <c r="K578" i="42"/>
  <c r="M578" i="42" s="1"/>
  <c r="N578" i="42" s="1"/>
  <c r="K577" i="42"/>
  <c r="M577" i="42" s="1"/>
  <c r="N577" i="42" s="1"/>
  <c r="K576" i="42"/>
  <c r="M576" i="42" s="1"/>
  <c r="N576" i="42" s="1"/>
  <c r="K575" i="42"/>
  <c r="M575" i="42" s="1"/>
  <c r="N575" i="42" s="1"/>
  <c r="K574" i="42"/>
  <c r="M574" i="42" s="1"/>
  <c r="N574" i="42" s="1"/>
  <c r="K573" i="42"/>
  <c r="M573" i="42" s="1"/>
  <c r="N573" i="42" s="1"/>
  <c r="K572" i="42"/>
  <c r="M572" i="42" s="1"/>
  <c r="K571" i="42"/>
  <c r="M571" i="42" s="1"/>
  <c r="N571" i="42" s="1"/>
  <c r="K570" i="42"/>
  <c r="M570" i="42" s="1"/>
  <c r="N570" i="42" s="1"/>
  <c r="K569" i="42"/>
  <c r="M569" i="42" s="1"/>
  <c r="N569" i="42" s="1"/>
  <c r="K568" i="42"/>
  <c r="M568" i="42" s="1"/>
  <c r="N568" i="42" s="1"/>
  <c r="K567" i="42"/>
  <c r="M567" i="42" s="1"/>
  <c r="N567" i="42" s="1"/>
  <c r="K566" i="42"/>
  <c r="M566" i="42" s="1"/>
  <c r="N566" i="42" s="1"/>
  <c r="K565" i="42"/>
  <c r="M565" i="42" s="1"/>
  <c r="N565" i="42" s="1"/>
  <c r="K564" i="42"/>
  <c r="M564" i="42" s="1"/>
  <c r="N564" i="42" s="1"/>
  <c r="K563" i="42"/>
  <c r="M563" i="42" s="1"/>
  <c r="N563" i="42" s="1"/>
  <c r="K562" i="42"/>
  <c r="M562" i="42" s="1"/>
  <c r="N562" i="42" s="1"/>
  <c r="K561" i="42"/>
  <c r="M561" i="42" s="1"/>
  <c r="N561" i="42" s="1"/>
  <c r="K560" i="42"/>
  <c r="M560" i="42" s="1"/>
  <c r="N560" i="42" s="1"/>
  <c r="K559" i="42"/>
  <c r="M559" i="42" s="1"/>
  <c r="N559" i="42" s="1"/>
  <c r="K558" i="42"/>
  <c r="M558" i="42" s="1"/>
  <c r="K557" i="42"/>
  <c r="M557" i="42" s="1"/>
  <c r="N557" i="42" s="1"/>
  <c r="K556" i="42"/>
  <c r="M556" i="42" s="1"/>
  <c r="N556" i="42" s="1"/>
  <c r="K555" i="42"/>
  <c r="M555" i="42" s="1"/>
  <c r="N555" i="42" s="1"/>
  <c r="K554" i="42"/>
  <c r="M554" i="42" s="1"/>
  <c r="N554" i="42" s="1"/>
  <c r="K553" i="42"/>
  <c r="M553" i="42" s="1"/>
  <c r="N553" i="42" s="1"/>
  <c r="K552" i="42"/>
  <c r="M552" i="42" s="1"/>
  <c r="N552" i="42" s="1"/>
  <c r="K551" i="42"/>
  <c r="M551" i="42" s="1"/>
  <c r="N551" i="42" s="1"/>
  <c r="K550" i="42"/>
  <c r="M550" i="42" s="1"/>
  <c r="N550" i="42" s="1"/>
  <c r="K549" i="42"/>
  <c r="M549" i="42" s="1"/>
  <c r="N549" i="42" s="1"/>
  <c r="K548" i="42"/>
  <c r="M548" i="42" s="1"/>
  <c r="N548" i="42" s="1"/>
  <c r="K547" i="42"/>
  <c r="M547" i="42" s="1"/>
  <c r="N547" i="42" s="1"/>
  <c r="K546" i="42"/>
  <c r="M546" i="42" s="1"/>
  <c r="N546" i="42" s="1"/>
  <c r="K545" i="42"/>
  <c r="M545" i="42" s="1"/>
  <c r="N545" i="42" s="1"/>
  <c r="K544" i="42"/>
  <c r="M544" i="42" s="1"/>
  <c r="N544" i="42" s="1"/>
  <c r="K543" i="42"/>
  <c r="M543" i="42" s="1"/>
  <c r="M622" i="42" s="1"/>
  <c r="M1065" i="42" s="1"/>
  <c r="K263" i="42"/>
  <c r="M263" i="42" s="1"/>
  <c r="N263" i="42" s="1"/>
  <c r="K262" i="42"/>
  <c r="M262" i="42" s="1"/>
  <c r="N262" i="42" s="1"/>
  <c r="K261" i="42"/>
  <c r="M261" i="42" s="1"/>
  <c r="N261" i="42" s="1"/>
  <c r="K260" i="42"/>
  <c r="M260" i="42" s="1"/>
  <c r="N260" i="42" s="1"/>
  <c r="K259" i="42"/>
  <c r="M259" i="42" s="1"/>
  <c r="N259" i="42" s="1"/>
  <c r="K258" i="42"/>
  <c r="M258" i="42" s="1"/>
  <c r="N258" i="42" s="1"/>
  <c r="K257" i="42"/>
  <c r="M257" i="42" s="1"/>
  <c r="N257" i="42" s="1"/>
  <c r="K256" i="42"/>
  <c r="M256" i="42" s="1"/>
  <c r="K255" i="42"/>
  <c r="M255" i="42" s="1"/>
  <c r="N255" i="42" s="1"/>
  <c r="K254" i="42"/>
  <c r="M254" i="42" s="1"/>
  <c r="N254" i="42" s="1"/>
  <c r="K253" i="42"/>
  <c r="M253" i="42" s="1"/>
  <c r="N253" i="42" s="1"/>
  <c r="K252" i="42"/>
  <c r="M252" i="42" s="1"/>
  <c r="N252" i="42" s="1"/>
  <c r="K251" i="42"/>
  <c r="M251" i="42" s="1"/>
  <c r="N251" i="42" s="1"/>
  <c r="K250" i="42"/>
  <c r="M250" i="42" s="1"/>
  <c r="N250" i="42" s="1"/>
  <c r="K249" i="42"/>
  <c r="M249" i="42" s="1"/>
  <c r="K248" i="42"/>
  <c r="M248" i="42" s="1"/>
  <c r="N248" i="42" s="1"/>
  <c r="K247" i="42"/>
  <c r="M247" i="42" s="1"/>
  <c r="N247" i="42" s="1"/>
  <c r="K246" i="42"/>
  <c r="M246" i="42" s="1"/>
  <c r="N246" i="42" s="1"/>
  <c r="K245" i="42"/>
  <c r="M245" i="42" s="1"/>
  <c r="N245" i="42" s="1"/>
  <c r="K244" i="42"/>
  <c r="M244" i="42" s="1"/>
  <c r="K243" i="42"/>
  <c r="M243" i="42" s="1"/>
  <c r="N243" i="42" s="1"/>
  <c r="K242" i="42"/>
  <c r="M242" i="42" s="1"/>
  <c r="N242" i="42" s="1"/>
  <c r="K241" i="42"/>
  <c r="M241" i="42" s="1"/>
  <c r="K240" i="42"/>
  <c r="M240" i="42" s="1"/>
  <c r="K239" i="42"/>
  <c r="M239" i="42" s="1"/>
  <c r="N239" i="42" s="1"/>
  <c r="K238" i="42"/>
  <c r="M238" i="42" s="1"/>
  <c r="K237" i="42"/>
  <c r="M237" i="42" s="1"/>
  <c r="K236" i="42"/>
  <c r="M236" i="42" s="1"/>
  <c r="K235" i="42"/>
  <c r="M235" i="42" s="1"/>
  <c r="K234" i="42"/>
  <c r="M234" i="42" s="1"/>
  <c r="K233" i="42"/>
  <c r="M233" i="42" s="1"/>
  <c r="K232" i="42"/>
  <c r="M232" i="42" s="1"/>
  <c r="K231" i="42"/>
  <c r="M231" i="42" s="1"/>
  <c r="K230" i="42"/>
  <c r="M230" i="42" s="1"/>
  <c r="K229" i="42"/>
  <c r="M229" i="42" s="1"/>
  <c r="N229" i="42" s="1"/>
  <c r="K228" i="42"/>
  <c r="M228" i="42" s="1"/>
  <c r="K227" i="42"/>
  <c r="M227" i="42" s="1"/>
  <c r="K226" i="42"/>
  <c r="M226" i="42" s="1"/>
  <c r="N226" i="42" s="1"/>
  <c r="K225" i="42"/>
  <c r="M225" i="42" s="1"/>
  <c r="K224" i="42"/>
  <c r="M224" i="42" s="1"/>
  <c r="K223" i="42"/>
  <c r="M223" i="42" s="1"/>
  <c r="K222" i="42"/>
  <c r="M222" i="42" s="1"/>
  <c r="N222" i="42" s="1"/>
  <c r="K221" i="42"/>
  <c r="M221" i="42" s="1"/>
  <c r="K220" i="42"/>
  <c r="M220" i="42" s="1"/>
  <c r="N220" i="42" s="1"/>
  <c r="K219" i="42"/>
  <c r="M219" i="42" s="1"/>
  <c r="K218" i="42"/>
  <c r="M218" i="42" s="1"/>
  <c r="N218" i="42" s="1"/>
  <c r="K217" i="42"/>
  <c r="M217" i="42" s="1"/>
  <c r="N217" i="42" s="1"/>
  <c r="K216" i="42"/>
  <c r="M216" i="42" s="1"/>
  <c r="K215" i="42"/>
  <c r="M215" i="42" s="1"/>
  <c r="K214" i="42"/>
  <c r="M214" i="42" s="1"/>
  <c r="K213" i="42"/>
  <c r="M213" i="42" s="1"/>
  <c r="N213" i="42" s="1"/>
  <c r="K212" i="42"/>
  <c r="M212" i="42" s="1"/>
  <c r="N212" i="42" s="1"/>
  <c r="K211" i="42"/>
  <c r="M211" i="42" s="1"/>
  <c r="N211" i="42" s="1"/>
  <c r="K210" i="42"/>
  <c r="M210" i="42" s="1"/>
  <c r="N210" i="42" s="1"/>
  <c r="K209" i="42"/>
  <c r="M209" i="42" s="1"/>
  <c r="N209" i="42" s="1"/>
  <c r="K208" i="42"/>
  <c r="M208" i="42" s="1"/>
  <c r="K207" i="42"/>
  <c r="M207" i="42" s="1"/>
  <c r="N207" i="42" s="1"/>
  <c r="K206" i="42"/>
  <c r="M206" i="42" s="1"/>
  <c r="N206" i="42" s="1"/>
  <c r="K205" i="42"/>
  <c r="M205" i="42" s="1"/>
  <c r="N205" i="42" s="1"/>
  <c r="K204" i="42"/>
  <c r="M204" i="42" s="1"/>
  <c r="K203" i="42"/>
  <c r="M203" i="42" s="1"/>
  <c r="N203" i="42" s="1"/>
  <c r="K202" i="42"/>
  <c r="M202" i="42" s="1"/>
  <c r="N202" i="42" s="1"/>
  <c r="K201" i="42"/>
  <c r="M201" i="42" s="1"/>
  <c r="N201" i="42" s="1"/>
  <c r="K200" i="42"/>
  <c r="M200" i="42" s="1"/>
  <c r="N200" i="42" s="1"/>
  <c r="K199" i="42"/>
  <c r="M199" i="42" s="1"/>
  <c r="K198" i="42"/>
  <c r="M198" i="42" s="1"/>
  <c r="K197" i="42"/>
  <c r="M197" i="42" s="1"/>
  <c r="N197" i="42" s="1"/>
  <c r="K196" i="42"/>
  <c r="M196" i="42" s="1"/>
  <c r="N196" i="42" s="1"/>
  <c r="K195" i="42"/>
  <c r="M195" i="42" s="1"/>
  <c r="N195" i="42" s="1"/>
  <c r="K194" i="42"/>
  <c r="M194" i="42" s="1"/>
  <c r="N194" i="42" s="1"/>
  <c r="K193" i="42"/>
  <c r="M193" i="42" s="1"/>
  <c r="N193" i="42" s="1"/>
  <c r="K192" i="42"/>
  <c r="M192" i="42" s="1"/>
  <c r="N192" i="42" s="1"/>
  <c r="K191" i="42"/>
  <c r="M191" i="42" s="1"/>
  <c r="K190" i="42"/>
  <c r="M190" i="42" s="1"/>
  <c r="N190" i="42" s="1"/>
  <c r="K189" i="42"/>
  <c r="M189" i="42" s="1"/>
  <c r="N189" i="42" s="1"/>
  <c r="K188" i="42"/>
  <c r="M188" i="42" s="1"/>
  <c r="N188" i="42" s="1"/>
  <c r="K187" i="42"/>
  <c r="M187" i="42" s="1"/>
  <c r="K186" i="42"/>
  <c r="M186" i="42" s="1"/>
  <c r="N186" i="42" s="1"/>
  <c r="K185" i="42"/>
  <c r="M185" i="42" s="1"/>
  <c r="K184" i="42"/>
  <c r="M184" i="42" s="1"/>
  <c r="N184" i="42" s="1"/>
  <c r="K183" i="42"/>
  <c r="M183" i="42" s="1"/>
  <c r="N183" i="42" s="1"/>
  <c r="K182" i="42"/>
  <c r="M182" i="42" s="1"/>
  <c r="N182" i="42" s="1"/>
  <c r="K181" i="42"/>
  <c r="M181" i="42" s="1"/>
  <c r="N181" i="42" s="1"/>
  <c r="K180" i="42"/>
  <c r="M180" i="42" s="1"/>
  <c r="K179" i="42"/>
  <c r="M179" i="42" s="1"/>
  <c r="N179" i="42" s="1"/>
  <c r="K178" i="42"/>
  <c r="M178" i="42" s="1"/>
  <c r="N178" i="42" s="1"/>
  <c r="K177" i="42"/>
  <c r="M177" i="42" s="1"/>
  <c r="N177" i="42" s="1"/>
  <c r="K176" i="42"/>
  <c r="M176" i="42" s="1"/>
  <c r="N176" i="42" s="1"/>
  <c r="K175" i="42"/>
  <c r="M175" i="42" s="1"/>
  <c r="K174" i="42"/>
  <c r="M174" i="42" s="1"/>
  <c r="K173" i="42"/>
  <c r="M173" i="42" s="1"/>
  <c r="N173" i="42" s="1"/>
  <c r="K172" i="42"/>
  <c r="M172" i="42" s="1"/>
  <c r="N172" i="42" s="1"/>
  <c r="K171" i="42"/>
  <c r="M171" i="42" s="1"/>
  <c r="N171" i="42" s="1"/>
  <c r="K170" i="42"/>
  <c r="M170" i="42" s="1"/>
  <c r="K169" i="42"/>
  <c r="M169" i="42" s="1"/>
  <c r="K168" i="42"/>
  <c r="M168" i="42" s="1"/>
  <c r="K167" i="42"/>
  <c r="M167" i="42" s="1"/>
  <c r="K166" i="42"/>
  <c r="M166" i="42" s="1"/>
  <c r="N166" i="42" s="1"/>
  <c r="K165" i="42"/>
  <c r="M165" i="42" s="1"/>
  <c r="K164" i="42"/>
  <c r="M164" i="42" s="1"/>
  <c r="K163" i="42"/>
  <c r="M163" i="42" s="1"/>
  <c r="N163" i="42" s="1"/>
  <c r="K162" i="42"/>
  <c r="M162" i="42" s="1"/>
  <c r="N162" i="42" s="1"/>
  <c r="K161" i="42"/>
  <c r="M161" i="42" s="1"/>
  <c r="N161" i="42" s="1"/>
  <c r="K160" i="42"/>
  <c r="M160" i="42" s="1"/>
  <c r="N160" i="42" s="1"/>
  <c r="K159" i="42"/>
  <c r="M159" i="42" s="1"/>
  <c r="N159" i="42" s="1"/>
  <c r="K158" i="42"/>
  <c r="M158" i="42" s="1"/>
  <c r="N158" i="42" s="1"/>
  <c r="K157" i="42"/>
  <c r="M157" i="42" s="1"/>
  <c r="K156" i="42"/>
  <c r="M156" i="42" s="1"/>
  <c r="K155" i="42"/>
  <c r="M155" i="42" s="1"/>
  <c r="K154" i="42"/>
  <c r="M154" i="42" s="1"/>
  <c r="K153" i="42"/>
  <c r="M153" i="42" s="1"/>
  <c r="K152" i="42"/>
  <c r="M152" i="42" s="1"/>
  <c r="K151" i="42"/>
  <c r="M151" i="42" s="1"/>
  <c r="N151" i="42" s="1"/>
  <c r="K150" i="42"/>
  <c r="M150" i="42" s="1"/>
  <c r="K149" i="42"/>
  <c r="M149" i="42" s="1"/>
  <c r="N149" i="42" s="1"/>
  <c r="K148" i="42"/>
  <c r="M148" i="42" s="1"/>
  <c r="N148" i="42" s="1"/>
  <c r="K147" i="42"/>
  <c r="M147" i="42" s="1"/>
  <c r="K146" i="42"/>
  <c r="M146" i="42" s="1"/>
  <c r="N146" i="42" s="1"/>
  <c r="K145" i="42"/>
  <c r="M145" i="42" s="1"/>
  <c r="N145" i="42" s="1"/>
  <c r="K144" i="42"/>
  <c r="M144" i="42" s="1"/>
  <c r="N144" i="42" s="1"/>
  <c r="K143" i="42"/>
  <c r="M143" i="42" s="1"/>
  <c r="N143" i="42" s="1"/>
  <c r="K142" i="42"/>
  <c r="M142" i="42" s="1"/>
  <c r="K141" i="42"/>
  <c r="M141" i="42" s="1"/>
  <c r="K140" i="42"/>
  <c r="M140" i="42" s="1"/>
  <c r="N140" i="42" s="1"/>
  <c r="K139" i="42"/>
  <c r="M139" i="42" s="1"/>
  <c r="N139" i="42" s="1"/>
  <c r="K138" i="42"/>
  <c r="M138" i="42" s="1"/>
  <c r="N138" i="42" s="1"/>
  <c r="K137" i="42"/>
  <c r="M137" i="42" s="1"/>
  <c r="N137" i="42" s="1"/>
  <c r="K136" i="42"/>
  <c r="M136" i="42" s="1"/>
  <c r="N136" i="42" s="1"/>
  <c r="K135" i="42"/>
  <c r="M135" i="42" s="1"/>
  <c r="N135" i="42" s="1"/>
  <c r="K134" i="42"/>
  <c r="M134" i="42" s="1"/>
  <c r="N134" i="42" s="1"/>
  <c r="K133" i="42"/>
  <c r="M133" i="42" s="1"/>
  <c r="N133" i="42" s="1"/>
  <c r="K132" i="42"/>
  <c r="M132" i="42" s="1"/>
  <c r="K131" i="42"/>
  <c r="M131" i="42" s="1"/>
  <c r="N131" i="42" s="1"/>
  <c r="K130" i="42"/>
  <c r="M130" i="42" s="1"/>
  <c r="K129" i="42"/>
  <c r="M129" i="42" s="1"/>
  <c r="N129" i="42" s="1"/>
  <c r="K128" i="42"/>
  <c r="M128" i="42" s="1"/>
  <c r="K124" i="42"/>
  <c r="M124" i="42" s="1"/>
  <c r="K123" i="42"/>
  <c r="M123" i="42" s="1"/>
  <c r="N123" i="42" s="1"/>
  <c r="K122" i="42"/>
  <c r="M122" i="42" s="1"/>
  <c r="N122" i="42" s="1"/>
  <c r="K121" i="42"/>
  <c r="M121" i="42" s="1"/>
  <c r="N121" i="42" s="1"/>
  <c r="K120" i="42"/>
  <c r="M120" i="42" s="1"/>
  <c r="N120" i="42" s="1"/>
  <c r="K119" i="42"/>
  <c r="M119" i="42" s="1"/>
  <c r="N119" i="42" s="1"/>
  <c r="K118" i="42"/>
  <c r="M118" i="42" s="1"/>
  <c r="N118" i="42" s="1"/>
  <c r="K117" i="42"/>
  <c r="M117" i="42" s="1"/>
  <c r="N117" i="42" s="1"/>
  <c r="K116" i="42"/>
  <c r="M116" i="42" s="1"/>
  <c r="N116" i="42" s="1"/>
  <c r="K115" i="42"/>
  <c r="M115" i="42" s="1"/>
  <c r="N115" i="42" s="1"/>
  <c r="K114" i="42"/>
  <c r="M114" i="42" s="1"/>
  <c r="N114" i="42" s="1"/>
  <c r="K113" i="42"/>
  <c r="M113" i="42" s="1"/>
  <c r="N113" i="42" s="1"/>
  <c r="K112" i="42"/>
  <c r="M112" i="42" s="1"/>
  <c r="N112" i="42" s="1"/>
  <c r="K111" i="42"/>
  <c r="M111" i="42" s="1"/>
  <c r="N111" i="42" s="1"/>
  <c r="K110" i="42"/>
  <c r="M110" i="42" s="1"/>
  <c r="N110" i="42" s="1"/>
  <c r="K109" i="42"/>
  <c r="M109" i="42" s="1"/>
  <c r="N109" i="42" s="1"/>
  <c r="K108" i="42"/>
  <c r="M108" i="42" s="1"/>
  <c r="N108" i="42" s="1"/>
  <c r="K107" i="42"/>
  <c r="M107" i="42" s="1"/>
  <c r="N107" i="42" s="1"/>
  <c r="K106" i="42"/>
  <c r="M106" i="42" s="1"/>
  <c r="N106" i="42" s="1"/>
  <c r="K105" i="42"/>
  <c r="M105" i="42" s="1"/>
  <c r="N105" i="42" s="1"/>
  <c r="K104" i="42"/>
  <c r="M104" i="42" s="1"/>
  <c r="N104" i="42" s="1"/>
  <c r="K103" i="42"/>
  <c r="M103" i="42" s="1"/>
  <c r="N103" i="42" s="1"/>
  <c r="K102" i="42"/>
  <c r="M102" i="42" s="1"/>
  <c r="N102" i="42" s="1"/>
  <c r="K101" i="42"/>
  <c r="M101" i="42" s="1"/>
  <c r="N101" i="42" s="1"/>
  <c r="K100" i="42"/>
  <c r="M100" i="42" s="1"/>
  <c r="N100" i="42" s="1"/>
  <c r="K99" i="42"/>
  <c r="M99" i="42" s="1"/>
  <c r="N99" i="42" s="1"/>
  <c r="K98" i="42"/>
  <c r="M98" i="42" s="1"/>
  <c r="N98" i="42" s="1"/>
  <c r="K97" i="42"/>
  <c r="M97" i="42" s="1"/>
  <c r="N97" i="42" s="1"/>
  <c r="K96" i="42"/>
  <c r="M96" i="42" s="1"/>
  <c r="N96" i="42" s="1"/>
  <c r="K95" i="42"/>
  <c r="M95" i="42" s="1"/>
  <c r="N95" i="42" s="1"/>
  <c r="K94" i="42"/>
  <c r="M94" i="42" s="1"/>
  <c r="N94" i="42" s="1"/>
  <c r="K93" i="42"/>
  <c r="M93" i="42" s="1"/>
  <c r="N93" i="42" s="1"/>
  <c r="K92" i="42"/>
  <c r="M92" i="42" s="1"/>
  <c r="N92" i="42" s="1"/>
  <c r="K91" i="42"/>
  <c r="M91" i="42" s="1"/>
  <c r="N91" i="42" s="1"/>
  <c r="K90" i="42"/>
  <c r="M90" i="42" s="1"/>
  <c r="N90" i="42" s="1"/>
  <c r="K89" i="42"/>
  <c r="M89" i="42" s="1"/>
  <c r="N89" i="42" s="1"/>
  <c r="K88" i="42"/>
  <c r="M88" i="42" s="1"/>
  <c r="N88" i="42" s="1"/>
  <c r="K87" i="42"/>
  <c r="M87" i="42" s="1"/>
  <c r="N87" i="42" s="1"/>
  <c r="K86" i="42"/>
  <c r="M86" i="42" s="1"/>
  <c r="N86" i="42" s="1"/>
  <c r="K85" i="42"/>
  <c r="M85" i="42" s="1"/>
  <c r="N85" i="42" s="1"/>
  <c r="K84" i="42"/>
  <c r="M84" i="42" s="1"/>
  <c r="N84" i="42" s="1"/>
  <c r="K83" i="42"/>
  <c r="M83" i="42" s="1"/>
  <c r="N83" i="42" s="1"/>
  <c r="K82" i="42"/>
  <c r="M82" i="42" s="1"/>
  <c r="N82" i="42" s="1"/>
  <c r="K81" i="42"/>
  <c r="M81" i="42" s="1"/>
  <c r="K80" i="42"/>
  <c r="M80" i="42" s="1"/>
  <c r="K79" i="42"/>
  <c r="M79" i="42" s="1"/>
  <c r="N79" i="42" s="1"/>
  <c r="K78" i="42"/>
  <c r="M78" i="42" s="1"/>
  <c r="N78" i="42" s="1"/>
  <c r="K77" i="42"/>
  <c r="M77" i="42" s="1"/>
  <c r="N77" i="42" s="1"/>
  <c r="K76" i="42"/>
  <c r="M76" i="42" s="1"/>
  <c r="N76" i="42" s="1"/>
  <c r="K75" i="42"/>
  <c r="M75" i="42" s="1"/>
  <c r="N75" i="42" s="1"/>
  <c r="K74" i="42"/>
  <c r="M74" i="42" s="1"/>
  <c r="N74" i="42" s="1"/>
  <c r="K73" i="42"/>
  <c r="M73" i="42" s="1"/>
  <c r="N73" i="42" s="1"/>
  <c r="K72" i="42"/>
  <c r="M72" i="42" s="1"/>
  <c r="N72" i="42" s="1"/>
  <c r="K71" i="42"/>
  <c r="M71" i="42" s="1"/>
  <c r="N71" i="42" s="1"/>
  <c r="K70" i="42"/>
  <c r="M70" i="42" s="1"/>
  <c r="N70" i="42" s="1"/>
  <c r="K69" i="42"/>
  <c r="M69" i="42" s="1"/>
  <c r="N69" i="42" s="1"/>
  <c r="K68" i="42"/>
  <c r="M68" i="42" s="1"/>
  <c r="N68" i="42" s="1"/>
  <c r="K67" i="42"/>
  <c r="M67" i="42" s="1"/>
  <c r="N67" i="42" s="1"/>
  <c r="K66" i="42"/>
  <c r="M66" i="42" s="1"/>
  <c r="N66" i="42" s="1"/>
  <c r="K65" i="42"/>
  <c r="M65" i="42" s="1"/>
  <c r="N65" i="42" s="1"/>
  <c r="K64" i="42"/>
  <c r="M64" i="42" s="1"/>
  <c r="N64" i="42" s="1"/>
  <c r="K63" i="42"/>
  <c r="M63" i="42" s="1"/>
  <c r="N63" i="42" s="1"/>
  <c r="K62" i="42"/>
  <c r="M62" i="42" s="1"/>
  <c r="N62" i="42" s="1"/>
  <c r="K61" i="42"/>
  <c r="M61" i="42" s="1"/>
  <c r="N61" i="42" s="1"/>
  <c r="K60" i="42"/>
  <c r="M60" i="42" s="1"/>
  <c r="N60" i="42" s="1"/>
  <c r="K59" i="42"/>
  <c r="M59" i="42" s="1"/>
  <c r="N59" i="42" s="1"/>
  <c r="K58" i="42"/>
  <c r="M58" i="42" s="1"/>
  <c r="N58" i="42" s="1"/>
  <c r="K57" i="42"/>
  <c r="M57" i="42" s="1"/>
  <c r="N57" i="42" s="1"/>
  <c r="K56" i="42"/>
  <c r="M56" i="42" s="1"/>
  <c r="N56" i="42" s="1"/>
  <c r="K55" i="42"/>
  <c r="M55" i="42" s="1"/>
  <c r="N55" i="42" s="1"/>
  <c r="K54" i="42"/>
  <c r="M54" i="42" s="1"/>
  <c r="N54" i="42" s="1"/>
  <c r="K53" i="42"/>
  <c r="M53" i="42" s="1"/>
  <c r="N53" i="42" s="1"/>
  <c r="K52" i="42"/>
  <c r="M52" i="42" s="1"/>
  <c r="N52" i="42" s="1"/>
  <c r="K51" i="42"/>
  <c r="M51" i="42" s="1"/>
  <c r="N51" i="42" s="1"/>
  <c r="K50" i="42"/>
  <c r="M50" i="42" s="1"/>
  <c r="N50" i="42" s="1"/>
  <c r="K49" i="42"/>
  <c r="M49" i="42" s="1"/>
  <c r="N49" i="42" s="1"/>
  <c r="K48" i="42"/>
  <c r="M48" i="42" s="1"/>
  <c r="N48" i="42" s="1"/>
  <c r="K47" i="42"/>
  <c r="M47" i="42" s="1"/>
  <c r="N47" i="42" s="1"/>
  <c r="K46" i="42"/>
  <c r="M46" i="42" s="1"/>
  <c r="N46" i="42" s="1"/>
  <c r="K45" i="42"/>
  <c r="M45" i="42" s="1"/>
  <c r="N45" i="42" s="1"/>
  <c r="K44" i="42"/>
  <c r="M44" i="42" s="1"/>
  <c r="N44" i="42" s="1"/>
  <c r="K43" i="42"/>
  <c r="M43" i="42" s="1"/>
  <c r="N43" i="42" s="1"/>
  <c r="K42" i="42"/>
  <c r="M42" i="42" s="1"/>
  <c r="N42" i="42" s="1"/>
  <c r="K41" i="42"/>
  <c r="M41" i="42" s="1"/>
  <c r="N41" i="42" s="1"/>
  <c r="K40" i="42"/>
  <c r="M40" i="42" s="1"/>
  <c r="N40" i="42" s="1"/>
  <c r="K39" i="42"/>
  <c r="M39" i="42" s="1"/>
  <c r="N39" i="42" s="1"/>
  <c r="K38" i="42"/>
  <c r="M38" i="42" s="1"/>
  <c r="N38" i="42" s="1"/>
  <c r="K37" i="42"/>
  <c r="M37" i="42" s="1"/>
  <c r="N37" i="42" s="1"/>
  <c r="K36" i="42"/>
  <c r="M36" i="42" s="1"/>
  <c r="K35" i="42"/>
  <c r="M35" i="42" s="1"/>
  <c r="K34" i="42"/>
  <c r="M34" i="42" s="1"/>
  <c r="N34" i="42" s="1"/>
  <c r="K33" i="42"/>
  <c r="M33" i="42" s="1"/>
  <c r="K32" i="42"/>
  <c r="M32" i="42" s="1"/>
  <c r="K31" i="42"/>
  <c r="M31" i="42" s="1"/>
  <c r="K30" i="42"/>
  <c r="M30" i="42" s="1"/>
  <c r="K29" i="42"/>
  <c r="M29" i="42" s="1"/>
  <c r="K28" i="42"/>
  <c r="M28" i="42" s="1"/>
  <c r="K27" i="42"/>
  <c r="M27" i="42" s="1"/>
  <c r="N27" i="42" s="1"/>
  <c r="K26" i="42"/>
  <c r="M26" i="42" s="1"/>
  <c r="N26" i="42" s="1"/>
  <c r="K25" i="42"/>
  <c r="M25" i="42" s="1"/>
  <c r="K24" i="42"/>
  <c r="M24" i="42" s="1"/>
  <c r="K23" i="42"/>
  <c r="M23" i="42" s="1"/>
  <c r="N23" i="42" s="1"/>
  <c r="K22" i="42"/>
  <c r="M22" i="42" s="1"/>
  <c r="N22" i="42" s="1"/>
  <c r="K21" i="42"/>
  <c r="M21" i="42" s="1"/>
  <c r="N21" i="42" s="1"/>
  <c r="K20" i="42"/>
  <c r="M20" i="42" s="1"/>
  <c r="N20" i="42" s="1"/>
  <c r="K19" i="42"/>
  <c r="K537" i="41"/>
  <c r="K536" i="41"/>
  <c r="K535" i="41"/>
  <c r="K534" i="41"/>
  <c r="K533" i="41"/>
  <c r="K532" i="41"/>
  <c r="K531" i="41"/>
  <c r="K530" i="41"/>
  <c r="K529" i="41"/>
  <c r="K528" i="41"/>
  <c r="K526" i="41"/>
  <c r="K525" i="41"/>
  <c r="K524" i="41"/>
  <c r="K523" i="41"/>
  <c r="K522" i="41"/>
  <c r="K521" i="41"/>
  <c r="K520" i="41"/>
  <c r="K519" i="41"/>
  <c r="K518" i="41"/>
  <c r="K517" i="41"/>
  <c r="K515" i="41"/>
  <c r="K514" i="41"/>
  <c r="K513" i="41"/>
  <c r="K512" i="41"/>
  <c r="K511" i="41"/>
  <c r="K510" i="41"/>
  <c r="K509" i="41"/>
  <c r="K508" i="41"/>
  <c r="K507" i="41"/>
  <c r="K506" i="41"/>
  <c r="K504" i="41"/>
  <c r="K503" i="41"/>
  <c r="K502" i="41"/>
  <c r="K501" i="41"/>
  <c r="K500" i="41"/>
  <c r="K499" i="41"/>
  <c r="K498" i="41"/>
  <c r="K497" i="41"/>
  <c r="K496" i="41"/>
  <c r="K495" i="41"/>
  <c r="K493" i="41"/>
  <c r="K492" i="41"/>
  <c r="K491" i="41"/>
  <c r="K490" i="41"/>
  <c r="K489" i="41"/>
  <c r="K488" i="41"/>
  <c r="K487" i="41"/>
  <c r="K486" i="41"/>
  <c r="K485" i="41"/>
  <c r="K484" i="41"/>
  <c r="K482" i="41"/>
  <c r="K481" i="41"/>
  <c r="K480" i="41"/>
  <c r="K479" i="41"/>
  <c r="K478" i="41"/>
  <c r="K477" i="41"/>
  <c r="K476" i="41"/>
  <c r="K475" i="41"/>
  <c r="K474" i="41"/>
  <c r="K473" i="41"/>
  <c r="K472" i="41"/>
  <c r="K471" i="41"/>
  <c r="K470" i="41"/>
  <c r="K469" i="41"/>
  <c r="K468" i="41"/>
  <c r="K467" i="41"/>
  <c r="K466" i="41"/>
  <c r="K465" i="41"/>
  <c r="K464" i="41"/>
  <c r="K463" i="41"/>
  <c r="K462" i="41"/>
  <c r="K461" i="41"/>
  <c r="K460" i="41"/>
  <c r="K458" i="41"/>
  <c r="K457" i="41"/>
  <c r="K456" i="41"/>
  <c r="K455" i="41"/>
  <c r="K454" i="41"/>
  <c r="K453" i="41"/>
  <c r="K452" i="41"/>
  <c r="K451" i="41"/>
  <c r="K450" i="41"/>
  <c r="K449" i="41"/>
  <c r="K448" i="41"/>
  <c r="K447" i="41"/>
  <c r="K446" i="41"/>
  <c r="K445" i="41"/>
  <c r="K444" i="41"/>
  <c r="K443" i="41"/>
  <c r="K442" i="41"/>
  <c r="K441" i="41"/>
  <c r="K440" i="41"/>
  <c r="K439" i="41"/>
  <c r="K438" i="41"/>
  <c r="K437" i="41"/>
  <c r="K436" i="41"/>
  <c r="K434" i="41"/>
  <c r="K433" i="41"/>
  <c r="K432" i="41"/>
  <c r="K431" i="41"/>
  <c r="K430" i="41"/>
  <c r="K429" i="41"/>
  <c r="K428" i="41"/>
  <c r="K427" i="41"/>
  <c r="K426" i="41"/>
  <c r="K425" i="41"/>
  <c r="K424" i="41"/>
  <c r="K423" i="41"/>
  <c r="K422" i="41"/>
  <c r="K421" i="41"/>
  <c r="K420" i="41"/>
  <c r="K419" i="41"/>
  <c r="K418" i="41"/>
  <c r="K417" i="41"/>
  <c r="K416" i="41"/>
  <c r="K415" i="41"/>
  <c r="K414" i="41"/>
  <c r="K413" i="41"/>
  <c r="K412" i="41"/>
  <c r="K410" i="41"/>
  <c r="K409" i="41"/>
  <c r="K408" i="41"/>
  <c r="K407" i="41"/>
  <c r="K406" i="41"/>
  <c r="K405" i="41"/>
  <c r="K404" i="41"/>
  <c r="K403" i="41"/>
  <c r="K402" i="41"/>
  <c r="K401" i="41"/>
  <c r="K400" i="41"/>
  <c r="K399" i="41"/>
  <c r="K398" i="41"/>
  <c r="K397" i="41"/>
  <c r="K396" i="41"/>
  <c r="K395" i="41"/>
  <c r="K394" i="41"/>
  <c r="K393" i="41"/>
  <c r="K392" i="41"/>
  <c r="K391" i="41"/>
  <c r="K390" i="41"/>
  <c r="K389" i="41"/>
  <c r="K388" i="41"/>
  <c r="K362" i="41"/>
  <c r="K361" i="41"/>
  <c r="K360" i="41"/>
  <c r="K359" i="41"/>
  <c r="K358" i="41"/>
  <c r="K357" i="41"/>
  <c r="K356" i="41"/>
  <c r="K355" i="41"/>
  <c r="K354" i="41"/>
  <c r="K353" i="41"/>
  <c r="K352" i="41"/>
  <c r="K351" i="41"/>
  <c r="K350" i="41"/>
  <c r="K349" i="41"/>
  <c r="K348" i="41"/>
  <c r="K347" i="41"/>
  <c r="K346" i="41"/>
  <c r="K345" i="41"/>
  <c r="K344" i="41"/>
  <c r="K343" i="41"/>
  <c r="K342" i="41"/>
  <c r="K341" i="41"/>
  <c r="K340" i="41"/>
  <c r="K338" i="41"/>
  <c r="K337" i="41"/>
  <c r="K336" i="41"/>
  <c r="K335" i="41"/>
  <c r="K334" i="41"/>
  <c r="K333" i="41"/>
  <c r="K332" i="41"/>
  <c r="K331" i="41"/>
  <c r="K330" i="41"/>
  <c r="K329" i="41"/>
  <c r="K328" i="41"/>
  <c r="K327" i="41"/>
  <c r="K326" i="41"/>
  <c r="K325" i="41"/>
  <c r="K324" i="41"/>
  <c r="K323" i="41"/>
  <c r="K322" i="41"/>
  <c r="K321" i="41"/>
  <c r="K320" i="41"/>
  <c r="K319" i="41"/>
  <c r="K318" i="41"/>
  <c r="K317" i="41"/>
  <c r="K316" i="41"/>
  <c r="K314" i="41"/>
  <c r="K313" i="41"/>
  <c r="K312" i="41"/>
  <c r="K311" i="41"/>
  <c r="K310" i="41"/>
  <c r="K309" i="41"/>
  <c r="K308" i="41"/>
  <c r="K307" i="41"/>
  <c r="K306" i="41"/>
  <c r="K305" i="41"/>
  <c r="K304" i="41"/>
  <c r="K303" i="41"/>
  <c r="K302" i="41"/>
  <c r="K301" i="41"/>
  <c r="K300" i="41"/>
  <c r="K299" i="41"/>
  <c r="K298" i="41"/>
  <c r="K297" i="41"/>
  <c r="K296" i="41"/>
  <c r="K295" i="41"/>
  <c r="K294" i="41"/>
  <c r="K293" i="41"/>
  <c r="K292" i="41"/>
  <c r="K290" i="41"/>
  <c r="M290" i="41" s="1"/>
  <c r="N290" i="41" s="1"/>
  <c r="K289" i="41"/>
  <c r="M289" i="41" s="1"/>
  <c r="K288" i="41"/>
  <c r="M288" i="41" s="1"/>
  <c r="K287" i="41"/>
  <c r="M287" i="41" s="1"/>
  <c r="K286" i="41"/>
  <c r="M286" i="41" s="1"/>
  <c r="N286" i="41" s="1"/>
  <c r="K285" i="41"/>
  <c r="M285" i="41" s="1"/>
  <c r="K284" i="41"/>
  <c r="M284" i="41" s="1"/>
  <c r="K283" i="41"/>
  <c r="M283" i="41" s="1"/>
  <c r="N283" i="41" s="1"/>
  <c r="K282" i="41"/>
  <c r="M282" i="41" s="1"/>
  <c r="N282" i="41" s="1"/>
  <c r="K281" i="41"/>
  <c r="K280" i="41"/>
  <c r="K279" i="41"/>
  <c r="K278" i="41"/>
  <c r="K277" i="41"/>
  <c r="K276" i="41"/>
  <c r="K275" i="41"/>
  <c r="K274" i="41"/>
  <c r="K273" i="41"/>
  <c r="K272" i="41"/>
  <c r="K271" i="41"/>
  <c r="K270" i="41"/>
  <c r="K269" i="41"/>
  <c r="K268" i="41"/>
  <c r="B1075" i="42"/>
  <c r="B1074" i="42"/>
  <c r="B1073" i="42"/>
  <c r="B1072" i="42"/>
  <c r="B1071" i="42"/>
  <c r="B1070" i="42"/>
  <c r="B1069" i="42"/>
  <c r="B1068" i="42"/>
  <c r="B1067" i="42"/>
  <c r="B1066" i="42"/>
  <c r="B1065" i="42"/>
  <c r="B1064" i="42"/>
  <c r="B1063" i="42"/>
  <c r="B1062" i="42"/>
  <c r="I1055" i="42"/>
  <c r="I1054" i="42"/>
  <c r="I1053" i="42"/>
  <c r="L1053" i="42" s="1"/>
  <c r="I1052" i="42"/>
  <c r="I1051" i="42"/>
  <c r="I1050" i="42"/>
  <c r="I1049" i="42"/>
  <c r="I1048" i="42"/>
  <c r="I1047" i="42"/>
  <c r="M1046" i="42"/>
  <c r="I1046" i="42"/>
  <c r="L1046" i="42" s="1"/>
  <c r="N1046" i="42" s="1"/>
  <c r="I1045" i="42"/>
  <c r="I1044" i="42"/>
  <c r="I1043" i="42"/>
  <c r="I1042" i="42"/>
  <c r="I1041" i="42"/>
  <c r="I1040" i="42"/>
  <c r="I1039" i="42"/>
  <c r="I1038" i="42"/>
  <c r="I1037" i="42"/>
  <c r="I1036" i="42"/>
  <c r="I1035" i="42"/>
  <c r="I1034" i="42"/>
  <c r="M1033" i="42"/>
  <c r="I1033" i="42"/>
  <c r="L1033" i="42" s="1"/>
  <c r="N1033" i="42" s="1"/>
  <c r="M1032" i="42"/>
  <c r="I1032" i="42"/>
  <c r="L1032" i="42" s="1"/>
  <c r="N1032" i="42" s="1"/>
  <c r="M1031" i="42"/>
  <c r="I1031" i="42"/>
  <c r="L1031" i="42" s="1"/>
  <c r="N1031" i="42" s="1"/>
  <c r="M1030" i="42"/>
  <c r="I1030" i="42"/>
  <c r="L1030" i="42" s="1"/>
  <c r="N1030" i="42" s="1"/>
  <c r="M1029" i="42"/>
  <c r="I1029" i="42"/>
  <c r="L1029" i="42" s="1"/>
  <c r="N1029" i="42" s="1"/>
  <c r="M1028" i="42"/>
  <c r="I1028" i="42"/>
  <c r="L1028" i="42" s="1"/>
  <c r="N1028" i="42" s="1"/>
  <c r="M1027" i="42"/>
  <c r="I1027" i="42"/>
  <c r="L1027" i="42" s="1"/>
  <c r="N1027" i="42" s="1"/>
  <c r="M1026" i="42"/>
  <c r="I1026" i="42"/>
  <c r="L1026" i="42" s="1"/>
  <c r="N1026" i="42" s="1"/>
  <c r="M1025" i="42"/>
  <c r="I1025" i="42"/>
  <c r="L1025" i="42" s="1"/>
  <c r="M1024" i="42"/>
  <c r="I1024" i="42"/>
  <c r="L1024" i="42" s="1"/>
  <c r="N1024" i="42" s="1"/>
  <c r="M1023" i="42"/>
  <c r="I1023" i="42"/>
  <c r="L1023" i="42" s="1"/>
  <c r="N1023" i="42" s="1"/>
  <c r="M1022" i="42"/>
  <c r="I1022" i="42"/>
  <c r="L1022" i="42" s="1"/>
  <c r="N1022" i="42" s="1"/>
  <c r="M1021" i="42"/>
  <c r="I1021" i="42"/>
  <c r="L1021" i="42" s="1"/>
  <c r="M1020" i="42"/>
  <c r="I1020" i="42"/>
  <c r="L1020" i="42" s="1"/>
  <c r="N1020" i="42" s="1"/>
  <c r="M1019" i="42"/>
  <c r="I1019" i="42"/>
  <c r="L1019" i="42" s="1"/>
  <c r="M1018" i="42"/>
  <c r="I1018" i="42"/>
  <c r="L1018" i="42" s="1"/>
  <c r="M1017" i="42"/>
  <c r="I1017" i="42"/>
  <c r="L1017" i="42" s="1"/>
  <c r="N1017" i="42" s="1"/>
  <c r="M1016" i="42"/>
  <c r="I1016" i="42"/>
  <c r="L1016" i="42" s="1"/>
  <c r="N1016" i="42" s="1"/>
  <c r="M1015" i="42"/>
  <c r="I1015" i="42"/>
  <c r="L1015" i="42" s="1"/>
  <c r="N1015" i="42" s="1"/>
  <c r="M1014" i="42"/>
  <c r="I1014" i="42"/>
  <c r="L1014" i="42" s="1"/>
  <c r="N1014" i="42" s="1"/>
  <c r="M1013" i="42"/>
  <c r="I1013" i="42"/>
  <c r="L1013" i="42" s="1"/>
  <c r="N1013" i="42" s="1"/>
  <c r="M1012" i="42"/>
  <c r="I1012" i="42"/>
  <c r="L1012" i="42" s="1"/>
  <c r="M1011" i="42"/>
  <c r="I1011" i="42"/>
  <c r="L1011" i="42" s="1"/>
  <c r="N1011" i="42" s="1"/>
  <c r="M1010" i="42"/>
  <c r="I1010" i="42"/>
  <c r="L1010" i="42" s="1"/>
  <c r="N1010" i="42" s="1"/>
  <c r="M1009" i="42"/>
  <c r="I1009" i="42"/>
  <c r="L1009" i="42" s="1"/>
  <c r="A1009" i="42"/>
  <c r="A1010" i="42" s="1"/>
  <c r="A1011" i="42" s="1"/>
  <c r="A1012" i="42" s="1"/>
  <c r="A1013" i="42" s="1"/>
  <c r="A1014" i="42" s="1"/>
  <c r="A1015" i="42" s="1"/>
  <c r="A1016" i="42" s="1"/>
  <c r="A1017" i="42" s="1"/>
  <c r="A1018" i="42" s="1"/>
  <c r="A1019" i="42" s="1"/>
  <c r="A1020" i="42" s="1"/>
  <c r="A1021" i="42" s="1"/>
  <c r="A1022" i="42" s="1"/>
  <c r="A1023" i="42" s="1"/>
  <c r="A1024" i="42" s="1"/>
  <c r="A1025" i="42" s="1"/>
  <c r="A1026" i="42" s="1"/>
  <c r="A1027" i="42" s="1"/>
  <c r="A1028" i="42" s="1"/>
  <c r="A1029" i="42" s="1"/>
  <c r="A1030" i="42" s="1"/>
  <c r="A1031" i="42" s="1"/>
  <c r="A1032" i="42" s="1"/>
  <c r="A1033" i="42" s="1"/>
  <c r="A1034" i="42" s="1"/>
  <c r="A1035" i="42" s="1"/>
  <c r="A1036" i="42" s="1"/>
  <c r="A1037" i="42" s="1"/>
  <c r="A1038" i="42" s="1"/>
  <c r="A1039" i="42" s="1"/>
  <c r="A1040" i="42" s="1"/>
  <c r="A1041" i="42" s="1"/>
  <c r="A1042" i="42" s="1"/>
  <c r="A1043" i="42" s="1"/>
  <c r="A1044" i="42" s="1"/>
  <c r="A1045" i="42" s="1"/>
  <c r="A1046" i="42" s="1"/>
  <c r="A1047" i="42" s="1"/>
  <c r="A1048" i="42" s="1"/>
  <c r="A1049" i="42" s="1"/>
  <c r="A1050" i="42" s="1"/>
  <c r="A1051" i="42" s="1"/>
  <c r="A1052" i="42" s="1"/>
  <c r="A1053" i="42" s="1"/>
  <c r="A1054" i="42" s="1"/>
  <c r="A1055" i="42" s="1"/>
  <c r="M1008" i="42"/>
  <c r="I1008" i="42"/>
  <c r="L1008" i="42" s="1"/>
  <c r="M1004" i="42"/>
  <c r="I1004" i="42"/>
  <c r="L1004" i="42" s="1"/>
  <c r="N1004" i="42" s="1"/>
  <c r="M1003" i="42"/>
  <c r="I1003" i="42"/>
  <c r="L1003" i="42" s="1"/>
  <c r="N1003" i="42" s="1"/>
  <c r="M1002" i="42"/>
  <c r="I1002" i="42"/>
  <c r="L1002" i="42" s="1"/>
  <c r="N1002" i="42" s="1"/>
  <c r="M1001" i="42"/>
  <c r="I1001" i="42"/>
  <c r="L1001" i="42" s="1"/>
  <c r="N1001" i="42" s="1"/>
  <c r="M1000" i="42"/>
  <c r="I1000" i="42"/>
  <c r="L1000" i="42" s="1"/>
  <c r="N1000" i="42" s="1"/>
  <c r="M999" i="42"/>
  <c r="I999" i="42"/>
  <c r="L999" i="42" s="1"/>
  <c r="M998" i="42"/>
  <c r="I998" i="42"/>
  <c r="L998" i="42" s="1"/>
  <c r="N998" i="42" s="1"/>
  <c r="M997" i="42"/>
  <c r="I997" i="42"/>
  <c r="L997" i="42" s="1"/>
  <c r="M996" i="42"/>
  <c r="I996" i="42"/>
  <c r="L996" i="42" s="1"/>
  <c r="N996" i="42" s="1"/>
  <c r="M995" i="42"/>
  <c r="I995" i="42"/>
  <c r="L995" i="42" s="1"/>
  <c r="N995" i="42" s="1"/>
  <c r="M994" i="42"/>
  <c r="I994" i="42"/>
  <c r="L994" i="42" s="1"/>
  <c r="N994" i="42" s="1"/>
  <c r="M993" i="42"/>
  <c r="I993" i="42"/>
  <c r="L993" i="42" s="1"/>
  <c r="M992" i="42"/>
  <c r="I992" i="42"/>
  <c r="L992" i="42" s="1"/>
  <c r="M991" i="42"/>
  <c r="I991" i="42"/>
  <c r="L991" i="42" s="1"/>
  <c r="M990" i="42"/>
  <c r="I990" i="42"/>
  <c r="L990" i="42" s="1"/>
  <c r="M989" i="42"/>
  <c r="I989" i="42"/>
  <c r="L989" i="42" s="1"/>
  <c r="M988" i="42"/>
  <c r="I988" i="42"/>
  <c r="L988" i="42" s="1"/>
  <c r="M987" i="42"/>
  <c r="I987" i="42"/>
  <c r="L987" i="42" s="1"/>
  <c r="N987" i="42" s="1"/>
  <c r="A987" i="42"/>
  <c r="A988" i="42" s="1"/>
  <c r="A989" i="42" s="1"/>
  <c r="A990" i="42" s="1"/>
  <c r="A991" i="42" s="1"/>
  <c r="A992" i="42" s="1"/>
  <c r="A993" i="42" s="1"/>
  <c r="A994" i="42" s="1"/>
  <c r="A995" i="42" s="1"/>
  <c r="A996" i="42" s="1"/>
  <c r="A997" i="42" s="1"/>
  <c r="A998" i="42" s="1"/>
  <c r="A999" i="42" s="1"/>
  <c r="A1000" i="42" s="1"/>
  <c r="A1001" i="42" s="1"/>
  <c r="A1002" i="42" s="1"/>
  <c r="A1003" i="42" s="1"/>
  <c r="A1004" i="42" s="1"/>
  <c r="M986" i="42"/>
  <c r="M1005" i="42" s="1"/>
  <c r="M1074" i="42" s="1"/>
  <c r="I986" i="42"/>
  <c r="L986" i="42" s="1"/>
  <c r="I982" i="42"/>
  <c r="L982" i="42" s="1"/>
  <c r="M981" i="42"/>
  <c r="I981" i="42"/>
  <c r="L981" i="42" s="1"/>
  <c r="N981" i="42" s="1"/>
  <c r="M980" i="42"/>
  <c r="I980" i="42"/>
  <c r="L980" i="42" s="1"/>
  <c r="N980" i="42" s="1"/>
  <c r="M979" i="42"/>
  <c r="I979" i="42"/>
  <c r="L979" i="42" s="1"/>
  <c r="N979" i="42" s="1"/>
  <c r="M978" i="42"/>
  <c r="I978" i="42"/>
  <c r="L978" i="42" s="1"/>
  <c r="M977" i="42"/>
  <c r="I977" i="42"/>
  <c r="L977" i="42" s="1"/>
  <c r="M976" i="42"/>
  <c r="I976" i="42"/>
  <c r="L976" i="42" s="1"/>
  <c r="N976" i="42" s="1"/>
  <c r="M975" i="42"/>
  <c r="I975" i="42"/>
  <c r="L975" i="42" s="1"/>
  <c r="N975" i="42" s="1"/>
  <c r="M974" i="42"/>
  <c r="I974" i="42"/>
  <c r="L974" i="42" s="1"/>
  <c r="M973" i="42"/>
  <c r="I973" i="42"/>
  <c r="L973" i="42" s="1"/>
  <c r="N973" i="42" s="1"/>
  <c r="M972" i="42"/>
  <c r="I972" i="42"/>
  <c r="L972" i="42" s="1"/>
  <c r="N972" i="42" s="1"/>
  <c r="M971" i="42"/>
  <c r="I971" i="42"/>
  <c r="L971" i="42" s="1"/>
  <c r="M970" i="42"/>
  <c r="I970" i="42"/>
  <c r="L970" i="42" s="1"/>
  <c r="M969" i="42"/>
  <c r="I969" i="42"/>
  <c r="L969" i="42" s="1"/>
  <c r="N969" i="42" s="1"/>
  <c r="M968" i="42"/>
  <c r="I968" i="42"/>
  <c r="L968" i="42" s="1"/>
  <c r="N968" i="42" s="1"/>
  <c r="M967" i="42"/>
  <c r="I967" i="42"/>
  <c r="L967" i="42" s="1"/>
  <c r="N967" i="42" s="1"/>
  <c r="M966" i="42"/>
  <c r="I966" i="42"/>
  <c r="L966" i="42" s="1"/>
  <c r="N966" i="42" s="1"/>
  <c r="M965" i="42"/>
  <c r="I965" i="42"/>
  <c r="L965" i="42" s="1"/>
  <c r="M964" i="42"/>
  <c r="I964" i="42"/>
  <c r="L964" i="42" s="1"/>
  <c r="M963" i="42"/>
  <c r="I963" i="42"/>
  <c r="L963" i="42" s="1"/>
  <c r="N963" i="42" s="1"/>
  <c r="M962" i="42"/>
  <c r="I962" i="42"/>
  <c r="L962" i="42" s="1"/>
  <c r="M961" i="42"/>
  <c r="I961" i="42"/>
  <c r="L961" i="42" s="1"/>
  <c r="M960" i="42"/>
  <c r="I960" i="42"/>
  <c r="L960" i="42" s="1"/>
  <c r="M959" i="42"/>
  <c r="I959" i="42"/>
  <c r="L959" i="42" s="1"/>
  <c r="M958" i="42"/>
  <c r="I958" i="42"/>
  <c r="L958" i="42" s="1"/>
  <c r="M957" i="42"/>
  <c r="I957" i="42"/>
  <c r="L957" i="42" s="1"/>
  <c r="M956" i="42"/>
  <c r="I956" i="42"/>
  <c r="L956" i="42" s="1"/>
  <c r="M955" i="42"/>
  <c r="I955" i="42"/>
  <c r="L955" i="42" s="1"/>
  <c r="M954" i="42"/>
  <c r="I954" i="42"/>
  <c r="L954" i="42" s="1"/>
  <c r="M953" i="42"/>
  <c r="I953" i="42"/>
  <c r="L953" i="42" s="1"/>
  <c r="M952" i="42"/>
  <c r="I952" i="42"/>
  <c r="L952" i="42" s="1"/>
  <c r="N952" i="42" s="1"/>
  <c r="M951" i="42"/>
  <c r="I951" i="42"/>
  <c r="L951" i="42" s="1"/>
  <c r="M950" i="42"/>
  <c r="I950" i="42"/>
  <c r="L950" i="42" s="1"/>
  <c r="M949" i="42"/>
  <c r="I949" i="42"/>
  <c r="L949" i="42" s="1"/>
  <c r="N949" i="42" s="1"/>
  <c r="M948" i="42"/>
  <c r="I948" i="42"/>
  <c r="L948" i="42" s="1"/>
  <c r="N948" i="42" s="1"/>
  <c r="M947" i="42"/>
  <c r="I947" i="42"/>
  <c r="L947" i="42" s="1"/>
  <c r="M946" i="42"/>
  <c r="I946" i="42"/>
  <c r="L946" i="42" s="1"/>
  <c r="M945" i="42"/>
  <c r="I945" i="42"/>
  <c r="L945" i="42" s="1"/>
  <c r="M944" i="42"/>
  <c r="I944" i="42"/>
  <c r="L944" i="42" s="1"/>
  <c r="M943" i="42"/>
  <c r="I943" i="42"/>
  <c r="L943" i="42" s="1"/>
  <c r="M942" i="42"/>
  <c r="I942" i="42"/>
  <c r="L942" i="42" s="1"/>
  <c r="N942" i="42" s="1"/>
  <c r="M941" i="42"/>
  <c r="I941" i="42"/>
  <c r="L941" i="42" s="1"/>
  <c r="N941" i="42" s="1"/>
  <c r="M940" i="42"/>
  <c r="I940" i="42"/>
  <c r="L940" i="42" s="1"/>
  <c r="M939" i="42"/>
  <c r="I939" i="42"/>
  <c r="L939" i="42" s="1"/>
  <c r="L938" i="42"/>
  <c r="M938" i="42"/>
  <c r="I938" i="42"/>
  <c r="M937" i="42"/>
  <c r="I937" i="42"/>
  <c r="L937" i="42" s="1"/>
  <c r="N937" i="42" s="1"/>
  <c r="M936" i="42"/>
  <c r="I936" i="42"/>
  <c r="L936" i="42" s="1"/>
  <c r="A936" i="42"/>
  <c r="A937" i="42" s="1"/>
  <c r="A938" i="42" s="1"/>
  <c r="A939" i="42" s="1"/>
  <c r="A940" i="42" s="1"/>
  <c r="A941" i="42" s="1"/>
  <c r="A942" i="42" s="1"/>
  <c r="A943" i="42" s="1"/>
  <c r="A944" i="42" s="1"/>
  <c r="A945" i="42" s="1"/>
  <c r="A946" i="42" s="1"/>
  <c r="A947" i="42" s="1"/>
  <c r="A948" i="42" s="1"/>
  <c r="A949" i="42" s="1"/>
  <c r="A950" i="42" s="1"/>
  <c r="A951" i="42" s="1"/>
  <c r="A952" i="42" s="1"/>
  <c r="A953" i="42" s="1"/>
  <c r="A954" i="42" s="1"/>
  <c r="A955" i="42" s="1"/>
  <c r="A956" i="42" s="1"/>
  <c r="A957" i="42" s="1"/>
  <c r="A958" i="42" s="1"/>
  <c r="A959" i="42" s="1"/>
  <c r="A960" i="42" s="1"/>
  <c r="A961" i="42" s="1"/>
  <c r="A962" i="42" s="1"/>
  <c r="A963" i="42" s="1"/>
  <c r="A964" i="42" s="1"/>
  <c r="A965" i="42" s="1"/>
  <c r="A966" i="42" s="1"/>
  <c r="A967" i="42" s="1"/>
  <c r="A968" i="42" s="1"/>
  <c r="A969" i="42" s="1"/>
  <c r="A970" i="42" s="1"/>
  <c r="A971" i="42" s="1"/>
  <c r="A972" i="42" s="1"/>
  <c r="A973" i="42" s="1"/>
  <c r="A974" i="42" s="1"/>
  <c r="A975" i="42" s="1"/>
  <c r="A976" i="42" s="1"/>
  <c r="A977" i="42" s="1"/>
  <c r="A978" i="42" s="1"/>
  <c r="A979" i="42" s="1"/>
  <c r="A980" i="42" s="1"/>
  <c r="A981" i="42" s="1"/>
  <c r="A982" i="42" s="1"/>
  <c r="M935" i="42"/>
  <c r="I935" i="42"/>
  <c r="L935" i="42" s="1"/>
  <c r="M931" i="42"/>
  <c r="I931" i="42"/>
  <c r="L931" i="42" s="1"/>
  <c r="M930" i="42"/>
  <c r="I930" i="42"/>
  <c r="L930" i="42" s="1"/>
  <c r="M929" i="42"/>
  <c r="I929" i="42"/>
  <c r="L929" i="42" s="1"/>
  <c r="N929" i="42" s="1"/>
  <c r="M928" i="42"/>
  <c r="I928" i="42"/>
  <c r="L928" i="42" s="1"/>
  <c r="N928" i="42" s="1"/>
  <c r="M927" i="42"/>
  <c r="I927" i="42"/>
  <c r="L927" i="42" s="1"/>
  <c r="M926" i="42"/>
  <c r="I926" i="42"/>
  <c r="L926" i="42" s="1"/>
  <c r="M925" i="42"/>
  <c r="I925" i="42"/>
  <c r="L925" i="42" s="1"/>
  <c r="M924" i="42"/>
  <c r="I924" i="42"/>
  <c r="L924" i="42" s="1"/>
  <c r="N924" i="42" s="1"/>
  <c r="M923" i="42"/>
  <c r="I923" i="42"/>
  <c r="L923" i="42" s="1"/>
  <c r="M922" i="42"/>
  <c r="I922" i="42"/>
  <c r="L922" i="42" s="1"/>
  <c r="N922" i="42" s="1"/>
  <c r="M921" i="42"/>
  <c r="I921" i="42"/>
  <c r="L921" i="42" s="1"/>
  <c r="M920" i="42"/>
  <c r="I920" i="42"/>
  <c r="L920" i="42" s="1"/>
  <c r="M919" i="42"/>
  <c r="I919" i="42"/>
  <c r="L919" i="42" s="1"/>
  <c r="M918" i="42"/>
  <c r="I918" i="42"/>
  <c r="L918" i="42" s="1"/>
  <c r="M917" i="42"/>
  <c r="I917" i="42"/>
  <c r="L917" i="42" s="1"/>
  <c r="M916" i="42"/>
  <c r="I916" i="42"/>
  <c r="L916" i="42" s="1"/>
  <c r="M915" i="42"/>
  <c r="I915" i="42"/>
  <c r="L915" i="42" s="1"/>
  <c r="N915" i="42" s="1"/>
  <c r="M914" i="42"/>
  <c r="I914" i="42"/>
  <c r="L914" i="42" s="1"/>
  <c r="N914" i="42" s="1"/>
  <c r="M913" i="42"/>
  <c r="I913" i="42"/>
  <c r="L913" i="42" s="1"/>
  <c r="A913" i="42"/>
  <c r="A914" i="42" s="1"/>
  <c r="A915" i="42" s="1"/>
  <c r="A916" i="42" s="1"/>
  <c r="A917" i="42" s="1"/>
  <c r="A918" i="42" s="1"/>
  <c r="A919" i="42" s="1"/>
  <c r="A920" i="42" s="1"/>
  <c r="A921" i="42" s="1"/>
  <c r="A922" i="42" s="1"/>
  <c r="A923" i="42" s="1"/>
  <c r="A924" i="42" s="1"/>
  <c r="A925" i="42" s="1"/>
  <c r="A926" i="42" s="1"/>
  <c r="A927" i="42" s="1"/>
  <c r="A928" i="42" s="1"/>
  <c r="A929" i="42" s="1"/>
  <c r="A930" i="42" s="1"/>
  <c r="A931" i="42" s="1"/>
  <c r="M912" i="42"/>
  <c r="M932" i="42" s="1"/>
  <c r="M1072" i="42" s="1"/>
  <c r="I912" i="42"/>
  <c r="L912" i="42" s="1"/>
  <c r="I908" i="42"/>
  <c r="L908" i="42" s="1"/>
  <c r="M907" i="42"/>
  <c r="I907" i="42"/>
  <c r="L907" i="42" s="1"/>
  <c r="N907" i="42" s="1"/>
  <c r="M906" i="42"/>
  <c r="I906" i="42"/>
  <c r="L906" i="42" s="1"/>
  <c r="N906" i="42" s="1"/>
  <c r="M905" i="42"/>
  <c r="I905" i="42"/>
  <c r="L905" i="42" s="1"/>
  <c r="N905" i="42" s="1"/>
  <c r="M904" i="42"/>
  <c r="I904" i="42"/>
  <c r="L904" i="42" s="1"/>
  <c r="N904" i="42" s="1"/>
  <c r="M903" i="42"/>
  <c r="I903" i="42"/>
  <c r="L903" i="42" s="1"/>
  <c r="N903" i="42" s="1"/>
  <c r="M902" i="42"/>
  <c r="I902" i="42"/>
  <c r="L902" i="42" s="1"/>
  <c r="N902" i="42" s="1"/>
  <c r="M901" i="42"/>
  <c r="I901" i="42"/>
  <c r="L901" i="42" s="1"/>
  <c r="N901" i="42" s="1"/>
  <c r="M900" i="42"/>
  <c r="I900" i="42"/>
  <c r="L900" i="42" s="1"/>
  <c r="N900" i="42" s="1"/>
  <c r="M899" i="42"/>
  <c r="I899" i="42"/>
  <c r="L899" i="42" s="1"/>
  <c r="N899" i="42" s="1"/>
  <c r="A899" i="42"/>
  <c r="A900" i="42" s="1"/>
  <c r="A901" i="42" s="1"/>
  <c r="A902" i="42" s="1"/>
  <c r="A903" i="42" s="1"/>
  <c r="A904" i="42" s="1"/>
  <c r="A905" i="42" s="1"/>
  <c r="A906" i="42" s="1"/>
  <c r="A907" i="42" s="1"/>
  <c r="A908" i="42" s="1"/>
  <c r="M898" i="42"/>
  <c r="I898" i="42"/>
  <c r="L898" i="42" s="1"/>
  <c r="N898" i="42" s="1"/>
  <c r="A898" i="42"/>
  <c r="M897" i="42"/>
  <c r="I897" i="42"/>
  <c r="L897" i="42" s="1"/>
  <c r="M893" i="42"/>
  <c r="I893" i="42"/>
  <c r="L893" i="42" s="1"/>
  <c r="N893" i="42" s="1"/>
  <c r="M892" i="42"/>
  <c r="I892" i="42"/>
  <c r="L892" i="42" s="1"/>
  <c r="N892" i="42" s="1"/>
  <c r="M891" i="42"/>
  <c r="I891" i="42"/>
  <c r="L891" i="42" s="1"/>
  <c r="N891" i="42" s="1"/>
  <c r="M890" i="42"/>
  <c r="I890" i="42"/>
  <c r="L890" i="42" s="1"/>
  <c r="N890" i="42" s="1"/>
  <c r="M889" i="42"/>
  <c r="I889" i="42"/>
  <c r="L889" i="42" s="1"/>
  <c r="N889" i="42" s="1"/>
  <c r="M888" i="42"/>
  <c r="I888" i="42"/>
  <c r="L888" i="42" s="1"/>
  <c r="N888" i="42" s="1"/>
  <c r="M887" i="42"/>
  <c r="I887" i="42"/>
  <c r="L887" i="42" s="1"/>
  <c r="N887" i="42" s="1"/>
  <c r="M886" i="42"/>
  <c r="I886" i="42"/>
  <c r="L886" i="42" s="1"/>
  <c r="A886" i="42"/>
  <c r="A887" i="42" s="1"/>
  <c r="A888" i="42" s="1"/>
  <c r="A889" i="42" s="1"/>
  <c r="A890" i="42" s="1"/>
  <c r="A891" i="42" s="1"/>
  <c r="A892" i="42" s="1"/>
  <c r="A893" i="42" s="1"/>
  <c r="M885" i="42"/>
  <c r="M894" i="42" s="1"/>
  <c r="M1070" i="42" s="1"/>
  <c r="I885" i="42"/>
  <c r="L885" i="42" s="1"/>
  <c r="I881" i="42"/>
  <c r="L881" i="42" s="1"/>
  <c r="M880" i="42"/>
  <c r="I880" i="42"/>
  <c r="L880" i="42" s="1"/>
  <c r="N880" i="42" s="1"/>
  <c r="M879" i="42"/>
  <c r="I879" i="42"/>
  <c r="L879" i="42" s="1"/>
  <c r="M878" i="42"/>
  <c r="I878" i="42"/>
  <c r="L878" i="42" s="1"/>
  <c r="N878" i="42" s="1"/>
  <c r="M877" i="42"/>
  <c r="I877" i="42"/>
  <c r="L877" i="42" s="1"/>
  <c r="N877" i="42" s="1"/>
  <c r="M876" i="42"/>
  <c r="I876" i="42"/>
  <c r="L876" i="42" s="1"/>
  <c r="N876" i="42" s="1"/>
  <c r="M875" i="42"/>
  <c r="I875" i="42"/>
  <c r="L875" i="42" s="1"/>
  <c r="N875" i="42" s="1"/>
  <c r="M874" i="42"/>
  <c r="I874" i="42"/>
  <c r="L874" i="42" s="1"/>
  <c r="N874" i="42" s="1"/>
  <c r="M873" i="42"/>
  <c r="I873" i="42"/>
  <c r="L873" i="42" s="1"/>
  <c r="N873" i="42" s="1"/>
  <c r="M872" i="42"/>
  <c r="I872" i="42"/>
  <c r="L872" i="42" s="1"/>
  <c r="M871" i="42"/>
  <c r="I871" i="42"/>
  <c r="L871" i="42" s="1"/>
  <c r="N871" i="42" s="1"/>
  <c r="M870" i="42"/>
  <c r="I870" i="42"/>
  <c r="L870" i="42" s="1"/>
  <c r="N870" i="42" s="1"/>
  <c r="M869" i="42"/>
  <c r="I869" i="42"/>
  <c r="L869" i="42" s="1"/>
  <c r="N869" i="42" s="1"/>
  <c r="M868" i="42"/>
  <c r="I868" i="42"/>
  <c r="L868" i="42" s="1"/>
  <c r="M867" i="42"/>
  <c r="I867" i="42"/>
  <c r="L867" i="42" s="1"/>
  <c r="M866" i="42"/>
  <c r="I866" i="42"/>
  <c r="L866" i="42" s="1"/>
  <c r="N866" i="42" s="1"/>
  <c r="M865" i="42"/>
  <c r="I865" i="42"/>
  <c r="L865" i="42" s="1"/>
  <c r="M864" i="42"/>
  <c r="I864" i="42"/>
  <c r="L864" i="42" s="1"/>
  <c r="M863" i="42"/>
  <c r="I863" i="42"/>
  <c r="L863" i="42" s="1"/>
  <c r="M862" i="42"/>
  <c r="I862" i="42"/>
  <c r="L862" i="42" s="1"/>
  <c r="N862" i="42" s="1"/>
  <c r="M861" i="42"/>
  <c r="I861" i="42"/>
  <c r="L861" i="42" s="1"/>
  <c r="N861" i="42" s="1"/>
  <c r="M860" i="42"/>
  <c r="I860" i="42"/>
  <c r="L860" i="42" s="1"/>
  <c r="N860" i="42" s="1"/>
  <c r="M859" i="42"/>
  <c r="I859" i="42"/>
  <c r="L859" i="42" s="1"/>
  <c r="N859" i="42" s="1"/>
  <c r="M858" i="42"/>
  <c r="I858" i="42"/>
  <c r="L858" i="42" s="1"/>
  <c r="N858" i="42" s="1"/>
  <c r="M857" i="42"/>
  <c r="I857" i="42"/>
  <c r="L857" i="42" s="1"/>
  <c r="N857" i="42" s="1"/>
  <c r="M856" i="42"/>
  <c r="I856" i="42"/>
  <c r="L856" i="42" s="1"/>
  <c r="N856" i="42" s="1"/>
  <c r="M855" i="42"/>
  <c r="I855" i="42"/>
  <c r="L855" i="42" s="1"/>
  <c r="N855" i="42" s="1"/>
  <c r="M854" i="42"/>
  <c r="I854" i="42"/>
  <c r="L854" i="42" s="1"/>
  <c r="N854" i="42" s="1"/>
  <c r="M853" i="42"/>
  <c r="I853" i="42"/>
  <c r="L853" i="42" s="1"/>
  <c r="M852" i="42"/>
  <c r="I852" i="42"/>
  <c r="L852" i="42" s="1"/>
  <c r="M851" i="42"/>
  <c r="I851" i="42"/>
  <c r="L851" i="42" s="1"/>
  <c r="M850" i="42"/>
  <c r="I850" i="42"/>
  <c r="L850" i="42" s="1"/>
  <c r="N850" i="42" s="1"/>
  <c r="M849" i="42"/>
  <c r="I849" i="42"/>
  <c r="L849" i="42" s="1"/>
  <c r="N849" i="42" s="1"/>
  <c r="M848" i="42"/>
  <c r="I848" i="42"/>
  <c r="L848" i="42" s="1"/>
  <c r="M847" i="42"/>
  <c r="I847" i="42"/>
  <c r="L847" i="42" s="1"/>
  <c r="N847" i="42" s="1"/>
  <c r="M846" i="42"/>
  <c r="I846" i="42"/>
  <c r="L846" i="42" s="1"/>
  <c r="M845" i="42"/>
  <c r="I845" i="42"/>
  <c r="L845" i="42" s="1"/>
  <c r="M844" i="42"/>
  <c r="I844" i="42"/>
  <c r="L844" i="42" s="1"/>
  <c r="N844" i="42" s="1"/>
  <c r="M843" i="42"/>
  <c r="I843" i="42"/>
  <c r="L843" i="42" s="1"/>
  <c r="M842" i="42"/>
  <c r="I842" i="42"/>
  <c r="L842" i="42" s="1"/>
  <c r="M841" i="42"/>
  <c r="I841" i="42"/>
  <c r="L841" i="42" s="1"/>
  <c r="M840" i="42"/>
  <c r="I840" i="42"/>
  <c r="L840" i="42" s="1"/>
  <c r="M839" i="42"/>
  <c r="I839" i="42"/>
  <c r="L839" i="42" s="1"/>
  <c r="N839" i="42" s="1"/>
  <c r="M838" i="42"/>
  <c r="I838" i="42"/>
  <c r="L838" i="42" s="1"/>
  <c r="N838" i="42" s="1"/>
  <c r="M837" i="42"/>
  <c r="I837" i="42"/>
  <c r="L837" i="42" s="1"/>
  <c r="N837" i="42" s="1"/>
  <c r="M836" i="42"/>
  <c r="I836" i="42"/>
  <c r="L836" i="42" s="1"/>
  <c r="N836" i="42" s="1"/>
  <c r="M835" i="42"/>
  <c r="I835" i="42"/>
  <c r="L835" i="42" s="1"/>
  <c r="M834" i="42"/>
  <c r="I834" i="42"/>
  <c r="L834" i="42" s="1"/>
  <c r="N834" i="42" s="1"/>
  <c r="M833" i="42"/>
  <c r="I833" i="42"/>
  <c r="L833" i="42" s="1"/>
  <c r="M832" i="42"/>
  <c r="I832" i="42"/>
  <c r="L832" i="42" s="1"/>
  <c r="M831" i="42"/>
  <c r="I831" i="42"/>
  <c r="L831" i="42" s="1"/>
  <c r="M830" i="42"/>
  <c r="I830" i="42"/>
  <c r="L830" i="42" s="1"/>
  <c r="N830" i="42" s="1"/>
  <c r="M829" i="42"/>
  <c r="I829" i="42"/>
  <c r="L829" i="42" s="1"/>
  <c r="N829" i="42" s="1"/>
  <c r="M828" i="42"/>
  <c r="I828" i="42"/>
  <c r="L828" i="42" s="1"/>
  <c r="M827" i="42"/>
  <c r="I827" i="42"/>
  <c r="L827" i="42" s="1"/>
  <c r="N827" i="42" s="1"/>
  <c r="M826" i="42"/>
  <c r="I826" i="42"/>
  <c r="L826" i="42" s="1"/>
  <c r="N826" i="42" s="1"/>
  <c r="M825" i="42"/>
  <c r="I825" i="42"/>
  <c r="L825" i="42" s="1"/>
  <c r="N825" i="42" s="1"/>
  <c r="M824" i="42"/>
  <c r="I824" i="42"/>
  <c r="L824" i="42" s="1"/>
  <c r="N824" i="42" s="1"/>
  <c r="M823" i="42"/>
  <c r="I823" i="42"/>
  <c r="L823" i="42" s="1"/>
  <c r="N823" i="42" s="1"/>
  <c r="M822" i="42"/>
  <c r="I822" i="42"/>
  <c r="L822" i="42" s="1"/>
  <c r="M821" i="42"/>
  <c r="I821" i="42"/>
  <c r="L821" i="42" s="1"/>
  <c r="N821" i="42" s="1"/>
  <c r="M820" i="42"/>
  <c r="I820" i="42"/>
  <c r="L820" i="42" s="1"/>
  <c r="N820" i="42" s="1"/>
  <c r="M819" i="42"/>
  <c r="I819" i="42"/>
  <c r="L819" i="42" s="1"/>
  <c r="N819" i="42" s="1"/>
  <c r="M818" i="42"/>
  <c r="I818" i="42"/>
  <c r="L818" i="42" s="1"/>
  <c r="N818" i="42" s="1"/>
  <c r="M817" i="42"/>
  <c r="I817" i="42"/>
  <c r="L817" i="42" s="1"/>
  <c r="N817" i="42" s="1"/>
  <c r="M816" i="42"/>
  <c r="I816" i="42"/>
  <c r="L816" i="42" s="1"/>
  <c r="M815" i="42"/>
  <c r="I815" i="42"/>
  <c r="L815" i="42" s="1"/>
  <c r="N815" i="42" s="1"/>
  <c r="M814" i="42"/>
  <c r="I814" i="42"/>
  <c r="L814" i="42" s="1"/>
  <c r="N814" i="42" s="1"/>
  <c r="M813" i="42"/>
  <c r="I813" i="42"/>
  <c r="L813" i="42" s="1"/>
  <c r="N813" i="42" s="1"/>
  <c r="M812" i="42"/>
  <c r="I812" i="42"/>
  <c r="L812" i="42" s="1"/>
  <c r="N812" i="42" s="1"/>
  <c r="M811" i="42"/>
  <c r="I811" i="42"/>
  <c r="L811" i="42" s="1"/>
  <c r="N811" i="42" s="1"/>
  <c r="M810" i="42"/>
  <c r="I810" i="42"/>
  <c r="L810" i="42" s="1"/>
  <c r="N810" i="42" s="1"/>
  <c r="M809" i="42"/>
  <c r="I809" i="42"/>
  <c r="L809" i="42" s="1"/>
  <c r="N809" i="42" s="1"/>
  <c r="M808" i="42"/>
  <c r="I808" i="42"/>
  <c r="L808" i="42" s="1"/>
  <c r="N808" i="42" s="1"/>
  <c r="M807" i="42"/>
  <c r="I807" i="42"/>
  <c r="L807" i="42" s="1"/>
  <c r="N807" i="42" s="1"/>
  <c r="M806" i="42"/>
  <c r="I806" i="42"/>
  <c r="L806" i="42" s="1"/>
  <c r="N806" i="42" s="1"/>
  <c r="M805" i="42"/>
  <c r="I805" i="42"/>
  <c r="L805" i="42" s="1"/>
  <c r="N805" i="42" s="1"/>
  <c r="M804" i="42"/>
  <c r="I804" i="42"/>
  <c r="L804" i="42" s="1"/>
  <c r="N804" i="42" s="1"/>
  <c r="M803" i="42"/>
  <c r="I803" i="42"/>
  <c r="L803" i="42" s="1"/>
  <c r="N803" i="42" s="1"/>
  <c r="M802" i="42"/>
  <c r="I802" i="42"/>
  <c r="L802" i="42" s="1"/>
  <c r="N802" i="42" s="1"/>
  <c r="M801" i="42"/>
  <c r="I801" i="42"/>
  <c r="L801" i="42" s="1"/>
  <c r="N801" i="42" s="1"/>
  <c r="M800" i="42"/>
  <c r="I800" i="42"/>
  <c r="L800" i="42" s="1"/>
  <c r="M799" i="42"/>
  <c r="I799" i="42"/>
  <c r="L799" i="42" s="1"/>
  <c r="M798" i="42"/>
  <c r="I798" i="42"/>
  <c r="L798" i="42" s="1"/>
  <c r="M797" i="42"/>
  <c r="I797" i="42"/>
  <c r="L797" i="42" s="1"/>
  <c r="N797" i="42" s="1"/>
  <c r="M796" i="42"/>
  <c r="I796" i="42"/>
  <c r="L796" i="42" s="1"/>
  <c r="N796" i="42" s="1"/>
  <c r="M795" i="42"/>
  <c r="I795" i="42"/>
  <c r="L795" i="42" s="1"/>
  <c r="N795" i="42" s="1"/>
  <c r="M794" i="42"/>
  <c r="I794" i="42"/>
  <c r="L794" i="42" s="1"/>
  <c r="N794" i="42" s="1"/>
  <c r="M793" i="42"/>
  <c r="I793" i="42"/>
  <c r="L793" i="42" s="1"/>
  <c r="M792" i="42"/>
  <c r="I792" i="42"/>
  <c r="L792" i="42" s="1"/>
  <c r="M791" i="42"/>
  <c r="I791" i="42"/>
  <c r="L791" i="42" s="1"/>
  <c r="N791" i="42" s="1"/>
  <c r="M790" i="42"/>
  <c r="I790" i="42"/>
  <c r="L790" i="42" s="1"/>
  <c r="M789" i="42"/>
  <c r="I789" i="42"/>
  <c r="L789" i="42" s="1"/>
  <c r="M788" i="42"/>
  <c r="I788" i="42"/>
  <c r="L788" i="42" s="1"/>
  <c r="M787" i="42"/>
  <c r="I787" i="42"/>
  <c r="L787" i="42" s="1"/>
  <c r="N787" i="42" s="1"/>
  <c r="M786" i="42"/>
  <c r="I786" i="42"/>
  <c r="L786" i="42" s="1"/>
  <c r="M785" i="42"/>
  <c r="I785" i="42"/>
  <c r="L785" i="42" s="1"/>
  <c r="N785" i="42" s="1"/>
  <c r="M784" i="42"/>
  <c r="I784" i="42"/>
  <c r="L784" i="42" s="1"/>
  <c r="N784" i="42" s="1"/>
  <c r="M783" i="42"/>
  <c r="I783" i="42"/>
  <c r="L783" i="42" s="1"/>
  <c r="N783" i="42" s="1"/>
  <c r="M782" i="42"/>
  <c r="I782" i="42"/>
  <c r="L782" i="42" s="1"/>
  <c r="M781" i="42"/>
  <c r="I781" i="42"/>
  <c r="L781" i="42" s="1"/>
  <c r="M780" i="42"/>
  <c r="I780" i="42"/>
  <c r="L780" i="42" s="1"/>
  <c r="M779" i="42"/>
  <c r="I779" i="42"/>
  <c r="L779" i="42" s="1"/>
  <c r="N779" i="42" s="1"/>
  <c r="M778" i="42"/>
  <c r="I778" i="42"/>
  <c r="L778" i="42" s="1"/>
  <c r="N778" i="42" s="1"/>
  <c r="M777" i="42"/>
  <c r="I777" i="42"/>
  <c r="L777" i="42" s="1"/>
  <c r="M776" i="42"/>
  <c r="I776" i="42"/>
  <c r="L776" i="42" s="1"/>
  <c r="N776" i="42" s="1"/>
  <c r="M775" i="42"/>
  <c r="I775" i="42"/>
  <c r="L775" i="42" s="1"/>
  <c r="M774" i="42"/>
  <c r="I774" i="42"/>
  <c r="L774" i="42" s="1"/>
  <c r="A774" i="42"/>
  <c r="A775" i="42" s="1"/>
  <c r="A776" i="42" s="1"/>
  <c r="A777" i="42" s="1"/>
  <c r="A778" i="42" s="1"/>
  <c r="A779" i="42" s="1"/>
  <c r="A780" i="42" s="1"/>
  <c r="A781" i="42" s="1"/>
  <c r="A782" i="42" s="1"/>
  <c r="A783" i="42" s="1"/>
  <c r="A784" i="42" s="1"/>
  <c r="A785" i="42" s="1"/>
  <c r="A786" i="42" s="1"/>
  <c r="A787" i="42" s="1"/>
  <c r="A788" i="42" s="1"/>
  <c r="A789" i="42" s="1"/>
  <c r="A790" i="42" s="1"/>
  <c r="A791" i="42" s="1"/>
  <c r="A792" i="42" s="1"/>
  <c r="A793" i="42" s="1"/>
  <c r="A794" i="42" s="1"/>
  <c r="A795" i="42" s="1"/>
  <c r="A796" i="42" s="1"/>
  <c r="A797" i="42" s="1"/>
  <c r="A798" i="42" s="1"/>
  <c r="A799" i="42" s="1"/>
  <c r="A800" i="42" s="1"/>
  <c r="A801" i="42" s="1"/>
  <c r="A802" i="42" s="1"/>
  <c r="A803" i="42" s="1"/>
  <c r="A804" i="42" s="1"/>
  <c r="A805" i="42" s="1"/>
  <c r="A806" i="42" s="1"/>
  <c r="A807" i="42" s="1"/>
  <c r="A808" i="42" s="1"/>
  <c r="A809" i="42" s="1"/>
  <c r="A810" i="42" s="1"/>
  <c r="A811" i="42" s="1"/>
  <c r="A812" i="42" s="1"/>
  <c r="A813" i="42" s="1"/>
  <c r="A814" i="42" s="1"/>
  <c r="A815" i="42" s="1"/>
  <c r="A816" i="42" s="1"/>
  <c r="A817" i="42" s="1"/>
  <c r="A818" i="42" s="1"/>
  <c r="A819" i="42" s="1"/>
  <c r="A820" i="42" s="1"/>
  <c r="A821" i="42" s="1"/>
  <c r="A822" i="42" s="1"/>
  <c r="A823" i="42" s="1"/>
  <c r="A824" i="42" s="1"/>
  <c r="A825" i="42" s="1"/>
  <c r="A826" i="42" s="1"/>
  <c r="A827" i="42" s="1"/>
  <c r="A828" i="42" s="1"/>
  <c r="A829" i="42" s="1"/>
  <c r="A830" i="42" s="1"/>
  <c r="A831" i="42" s="1"/>
  <c r="A832" i="42" s="1"/>
  <c r="A833" i="42" s="1"/>
  <c r="A834" i="42" s="1"/>
  <c r="A835" i="42" s="1"/>
  <c r="A836" i="42" s="1"/>
  <c r="A837" i="42" s="1"/>
  <c r="A838" i="42" s="1"/>
  <c r="A839" i="42" s="1"/>
  <c r="A840" i="42" s="1"/>
  <c r="A841" i="42" s="1"/>
  <c r="A842" i="42" s="1"/>
  <c r="A843" i="42" s="1"/>
  <c r="A844" i="42" s="1"/>
  <c r="A845" i="42" s="1"/>
  <c r="A846" i="42" s="1"/>
  <c r="A847" i="42" s="1"/>
  <c r="A848" i="42" s="1"/>
  <c r="A849" i="42" s="1"/>
  <c r="A850" i="42" s="1"/>
  <c r="A851" i="42" s="1"/>
  <c r="A852" i="42" s="1"/>
  <c r="A853" i="42" s="1"/>
  <c r="A854" i="42" s="1"/>
  <c r="A855" i="42" s="1"/>
  <c r="A856" i="42" s="1"/>
  <c r="A857" i="42" s="1"/>
  <c r="A858" i="42" s="1"/>
  <c r="A859" i="42" s="1"/>
  <c r="A860" i="42" s="1"/>
  <c r="A861" i="42" s="1"/>
  <c r="A862" i="42" s="1"/>
  <c r="A863" i="42" s="1"/>
  <c r="A864" i="42" s="1"/>
  <c r="A865" i="42" s="1"/>
  <c r="A866" i="42" s="1"/>
  <c r="A867" i="42" s="1"/>
  <c r="A868" i="42" s="1"/>
  <c r="A869" i="42" s="1"/>
  <c r="A870" i="42" s="1"/>
  <c r="A871" i="42" s="1"/>
  <c r="A872" i="42" s="1"/>
  <c r="A873" i="42" s="1"/>
  <c r="A874" i="42" s="1"/>
  <c r="A875" i="42" s="1"/>
  <c r="A876" i="42" s="1"/>
  <c r="A877" i="42" s="1"/>
  <c r="A878" i="42" s="1"/>
  <c r="A879" i="42" s="1"/>
  <c r="A880" i="42" s="1"/>
  <c r="A881" i="42" s="1"/>
  <c r="M773" i="42"/>
  <c r="I773" i="42"/>
  <c r="L773" i="42" s="1"/>
  <c r="I769" i="42"/>
  <c r="L769" i="42" s="1"/>
  <c r="M768" i="42"/>
  <c r="I768" i="42"/>
  <c r="L768" i="42" s="1"/>
  <c r="N768" i="42" s="1"/>
  <c r="M767" i="42"/>
  <c r="I767" i="42"/>
  <c r="L767" i="42" s="1"/>
  <c r="N767" i="42" s="1"/>
  <c r="M766" i="42"/>
  <c r="I766" i="42"/>
  <c r="L766" i="42" s="1"/>
  <c r="N766" i="42" s="1"/>
  <c r="M765" i="42"/>
  <c r="I765" i="42"/>
  <c r="L765" i="42" s="1"/>
  <c r="N765" i="42" s="1"/>
  <c r="M764" i="42"/>
  <c r="I764" i="42"/>
  <c r="L764" i="42" s="1"/>
  <c r="N764" i="42" s="1"/>
  <c r="M763" i="42"/>
  <c r="I763" i="42"/>
  <c r="L763" i="42" s="1"/>
  <c r="N763" i="42" s="1"/>
  <c r="M762" i="42"/>
  <c r="I762" i="42"/>
  <c r="L762" i="42" s="1"/>
  <c r="N762" i="42" s="1"/>
  <c r="M761" i="42"/>
  <c r="I761" i="42"/>
  <c r="L761" i="42" s="1"/>
  <c r="N761" i="42" s="1"/>
  <c r="M760" i="42"/>
  <c r="I760" i="42"/>
  <c r="L760" i="42" s="1"/>
  <c r="N760" i="42" s="1"/>
  <c r="M759" i="42"/>
  <c r="I759" i="42"/>
  <c r="L759" i="42" s="1"/>
  <c r="N759" i="42" s="1"/>
  <c r="M758" i="42"/>
  <c r="I758" i="42"/>
  <c r="L758" i="42" s="1"/>
  <c r="N758" i="42" s="1"/>
  <c r="M757" i="42"/>
  <c r="I757" i="42"/>
  <c r="L757" i="42" s="1"/>
  <c r="N757" i="42" s="1"/>
  <c r="M756" i="42"/>
  <c r="I756" i="42"/>
  <c r="L756" i="42" s="1"/>
  <c r="N756" i="42" s="1"/>
  <c r="M755" i="42"/>
  <c r="I755" i="42"/>
  <c r="L755" i="42" s="1"/>
  <c r="N755" i="42" s="1"/>
  <c r="M754" i="42"/>
  <c r="I754" i="42"/>
  <c r="L754" i="42" s="1"/>
  <c r="N754" i="42" s="1"/>
  <c r="M753" i="42"/>
  <c r="I753" i="42"/>
  <c r="L753" i="42" s="1"/>
  <c r="N753" i="42" s="1"/>
  <c r="M752" i="42"/>
  <c r="I752" i="42"/>
  <c r="L752" i="42" s="1"/>
  <c r="N752" i="42" s="1"/>
  <c r="M751" i="42"/>
  <c r="I751" i="42"/>
  <c r="L751" i="42" s="1"/>
  <c r="N751" i="42" s="1"/>
  <c r="M750" i="42"/>
  <c r="I750" i="42"/>
  <c r="L750" i="42" s="1"/>
  <c r="N750" i="42" s="1"/>
  <c r="M749" i="42"/>
  <c r="I749" i="42"/>
  <c r="L749" i="42" s="1"/>
  <c r="N749" i="42" s="1"/>
  <c r="M748" i="42"/>
  <c r="I748" i="42"/>
  <c r="L748" i="42" s="1"/>
  <c r="N748" i="42" s="1"/>
  <c r="M747" i="42"/>
  <c r="I747" i="42"/>
  <c r="L747" i="42" s="1"/>
  <c r="N747" i="42" s="1"/>
  <c r="A747" i="42"/>
  <c r="A748" i="42" s="1"/>
  <c r="A749" i="42" s="1"/>
  <c r="A750" i="42" s="1"/>
  <c r="A751" i="42" s="1"/>
  <c r="A752" i="42" s="1"/>
  <c r="A753" i="42" s="1"/>
  <c r="A754" i="42" s="1"/>
  <c r="A755" i="42" s="1"/>
  <c r="A756" i="42" s="1"/>
  <c r="A757" i="42" s="1"/>
  <c r="A758" i="42" s="1"/>
  <c r="A759" i="42" s="1"/>
  <c r="A760" i="42" s="1"/>
  <c r="A761" i="42" s="1"/>
  <c r="A762" i="42" s="1"/>
  <c r="A763" i="42" s="1"/>
  <c r="A764" i="42" s="1"/>
  <c r="A765" i="42" s="1"/>
  <c r="A766" i="42" s="1"/>
  <c r="A767" i="42" s="1"/>
  <c r="A768" i="42" s="1"/>
  <c r="A769" i="42" s="1"/>
  <c r="M746" i="42"/>
  <c r="I746" i="42"/>
  <c r="L746" i="42" s="1"/>
  <c r="I742" i="42"/>
  <c r="L742" i="42" s="1"/>
  <c r="I741" i="42"/>
  <c r="L741" i="42" s="1"/>
  <c r="M740" i="42"/>
  <c r="I740" i="42"/>
  <c r="L740" i="42" s="1"/>
  <c r="N740" i="42" s="1"/>
  <c r="M739" i="42"/>
  <c r="I739" i="42"/>
  <c r="L739" i="42" s="1"/>
  <c r="N739" i="42" s="1"/>
  <c r="M738" i="42"/>
  <c r="I738" i="42"/>
  <c r="L738" i="42" s="1"/>
  <c r="N738" i="42" s="1"/>
  <c r="M737" i="42"/>
  <c r="I737" i="42"/>
  <c r="L737" i="42" s="1"/>
  <c r="N737" i="42" s="1"/>
  <c r="M736" i="42"/>
  <c r="I736" i="42"/>
  <c r="L736" i="42" s="1"/>
  <c r="N736" i="42" s="1"/>
  <c r="M735" i="42"/>
  <c r="I735" i="42"/>
  <c r="L735" i="42" s="1"/>
  <c r="M734" i="42"/>
  <c r="I734" i="42"/>
  <c r="L734" i="42" s="1"/>
  <c r="N734" i="42" s="1"/>
  <c r="M733" i="42"/>
  <c r="I733" i="42"/>
  <c r="L733" i="42" s="1"/>
  <c r="M732" i="42"/>
  <c r="I732" i="42"/>
  <c r="L732" i="42" s="1"/>
  <c r="N732" i="42" s="1"/>
  <c r="M731" i="42"/>
  <c r="I731" i="42"/>
  <c r="L731" i="42" s="1"/>
  <c r="N731" i="42" s="1"/>
  <c r="M730" i="42"/>
  <c r="I730" i="42"/>
  <c r="L730" i="42" s="1"/>
  <c r="N730" i="42" s="1"/>
  <c r="M729" i="42"/>
  <c r="I729" i="42"/>
  <c r="L729" i="42" s="1"/>
  <c r="N729" i="42" s="1"/>
  <c r="M728" i="42"/>
  <c r="I728" i="42"/>
  <c r="L728" i="42" s="1"/>
  <c r="N728" i="42" s="1"/>
  <c r="M727" i="42"/>
  <c r="I727" i="42"/>
  <c r="L727" i="42" s="1"/>
  <c r="M726" i="42"/>
  <c r="I726" i="42"/>
  <c r="L726" i="42" s="1"/>
  <c r="M725" i="42"/>
  <c r="I725" i="42"/>
  <c r="L725" i="42" s="1"/>
  <c r="M724" i="42"/>
  <c r="I724" i="42"/>
  <c r="L724" i="42" s="1"/>
  <c r="N724" i="42" s="1"/>
  <c r="M723" i="42"/>
  <c r="I723" i="42"/>
  <c r="L723" i="42" s="1"/>
  <c r="N723" i="42" s="1"/>
  <c r="M722" i="42"/>
  <c r="I722" i="42"/>
  <c r="L722" i="42" s="1"/>
  <c r="N722" i="42" s="1"/>
  <c r="M721" i="42"/>
  <c r="I721" i="42"/>
  <c r="L721" i="42" s="1"/>
  <c r="N721" i="42" s="1"/>
  <c r="M720" i="42"/>
  <c r="I720" i="42"/>
  <c r="L720" i="42" s="1"/>
  <c r="M719" i="42"/>
  <c r="I719" i="42"/>
  <c r="L719" i="42" s="1"/>
  <c r="N719" i="42" s="1"/>
  <c r="M718" i="42"/>
  <c r="I718" i="42"/>
  <c r="L718" i="42" s="1"/>
  <c r="M717" i="42"/>
  <c r="I717" i="42"/>
  <c r="L717" i="42" s="1"/>
  <c r="N717" i="42" s="1"/>
  <c r="M716" i="42"/>
  <c r="I716" i="42"/>
  <c r="L716" i="42" s="1"/>
  <c r="N716" i="42" s="1"/>
  <c r="M715" i="42"/>
  <c r="I715" i="42"/>
  <c r="L715" i="42" s="1"/>
  <c r="N715" i="42" s="1"/>
  <c r="M714" i="42"/>
  <c r="I714" i="42"/>
  <c r="L714" i="42" s="1"/>
  <c r="N714" i="42" s="1"/>
  <c r="M713" i="42"/>
  <c r="I713" i="42"/>
  <c r="L713" i="42" s="1"/>
  <c r="N713" i="42" s="1"/>
  <c r="M712" i="42"/>
  <c r="I712" i="42"/>
  <c r="L712" i="42" s="1"/>
  <c r="N712" i="42" s="1"/>
  <c r="M711" i="42"/>
  <c r="I711" i="42"/>
  <c r="L711" i="42" s="1"/>
  <c r="N711" i="42" s="1"/>
  <c r="M710" i="42"/>
  <c r="I710" i="42"/>
  <c r="L710" i="42" s="1"/>
  <c r="N710" i="42" s="1"/>
  <c r="M709" i="42"/>
  <c r="I709" i="42"/>
  <c r="L709" i="42" s="1"/>
  <c r="M708" i="42"/>
  <c r="I708" i="42"/>
  <c r="L708" i="42" s="1"/>
  <c r="M707" i="42"/>
  <c r="I707" i="42"/>
  <c r="L707" i="42" s="1"/>
  <c r="M706" i="42"/>
  <c r="I706" i="42"/>
  <c r="L706" i="42" s="1"/>
  <c r="N706" i="42" s="1"/>
  <c r="M705" i="42"/>
  <c r="I705" i="42"/>
  <c r="L705" i="42" s="1"/>
  <c r="M704" i="42"/>
  <c r="I704" i="42"/>
  <c r="L704" i="42" s="1"/>
  <c r="N704" i="42" s="1"/>
  <c r="M703" i="42"/>
  <c r="I703" i="42"/>
  <c r="L703" i="42" s="1"/>
  <c r="N703" i="42" s="1"/>
  <c r="M702" i="42"/>
  <c r="I702" i="42"/>
  <c r="L702" i="42" s="1"/>
  <c r="M701" i="42"/>
  <c r="I701" i="42"/>
  <c r="L701" i="42" s="1"/>
  <c r="M700" i="42"/>
  <c r="I700" i="42"/>
  <c r="L700" i="42" s="1"/>
  <c r="M699" i="42"/>
  <c r="I699" i="42"/>
  <c r="L699" i="42" s="1"/>
  <c r="M698" i="42"/>
  <c r="I698" i="42"/>
  <c r="L698" i="42" s="1"/>
  <c r="M697" i="42"/>
  <c r="I697" i="42"/>
  <c r="L697" i="42" s="1"/>
  <c r="N697" i="42" s="1"/>
  <c r="M696" i="42"/>
  <c r="I696" i="42"/>
  <c r="L696" i="42" s="1"/>
  <c r="N696" i="42" s="1"/>
  <c r="M695" i="42"/>
  <c r="I695" i="42"/>
  <c r="L695" i="42" s="1"/>
  <c r="M694" i="42"/>
  <c r="I694" i="42"/>
  <c r="L694" i="42" s="1"/>
  <c r="M693" i="42"/>
  <c r="I693" i="42"/>
  <c r="L693" i="42" s="1"/>
  <c r="M692" i="42"/>
  <c r="I692" i="42"/>
  <c r="L692" i="42" s="1"/>
  <c r="M691" i="42"/>
  <c r="I691" i="42"/>
  <c r="L691" i="42" s="1"/>
  <c r="N691" i="42" s="1"/>
  <c r="M690" i="42"/>
  <c r="I690" i="42"/>
  <c r="L690" i="42" s="1"/>
  <c r="M689" i="42"/>
  <c r="I689" i="42"/>
  <c r="L689" i="42" s="1"/>
  <c r="N689" i="42" s="1"/>
  <c r="M688" i="42"/>
  <c r="I688" i="42"/>
  <c r="L688" i="42" s="1"/>
  <c r="M687" i="42"/>
  <c r="I687" i="42"/>
  <c r="L687" i="42" s="1"/>
  <c r="N687" i="42" s="1"/>
  <c r="M686" i="42"/>
  <c r="I686" i="42"/>
  <c r="L686" i="42" s="1"/>
  <c r="N686" i="42" s="1"/>
  <c r="M685" i="42"/>
  <c r="I685" i="42"/>
  <c r="L685" i="42" s="1"/>
  <c r="M684" i="42"/>
  <c r="I684" i="42"/>
  <c r="L684" i="42" s="1"/>
  <c r="N684" i="42" s="1"/>
  <c r="M683" i="42"/>
  <c r="I683" i="42"/>
  <c r="L683" i="42" s="1"/>
  <c r="M682" i="42"/>
  <c r="I682" i="42"/>
  <c r="L682" i="42" s="1"/>
  <c r="N682" i="42" s="1"/>
  <c r="M681" i="42"/>
  <c r="I681" i="42"/>
  <c r="L681" i="42" s="1"/>
  <c r="M680" i="42"/>
  <c r="I680" i="42"/>
  <c r="L680" i="42" s="1"/>
  <c r="N680" i="42" s="1"/>
  <c r="M679" i="42"/>
  <c r="I679" i="42"/>
  <c r="L679" i="42" s="1"/>
  <c r="M678" i="42"/>
  <c r="I678" i="42"/>
  <c r="L678" i="42" s="1"/>
  <c r="M677" i="42"/>
  <c r="I677" i="42"/>
  <c r="L677" i="42" s="1"/>
  <c r="N677" i="42" s="1"/>
  <c r="M676" i="42"/>
  <c r="I676" i="42"/>
  <c r="L676" i="42" s="1"/>
  <c r="M675" i="42"/>
  <c r="I675" i="42"/>
  <c r="L675" i="42" s="1"/>
  <c r="M674" i="42"/>
  <c r="I674" i="42"/>
  <c r="L674" i="42" s="1"/>
  <c r="N674" i="42" s="1"/>
  <c r="M673" i="42"/>
  <c r="I673" i="42"/>
  <c r="L673" i="42" s="1"/>
  <c r="M672" i="42"/>
  <c r="I672" i="42"/>
  <c r="L672" i="42" s="1"/>
  <c r="N672" i="42" s="1"/>
  <c r="M671" i="42"/>
  <c r="I671" i="42"/>
  <c r="L671" i="42" s="1"/>
  <c r="M670" i="42"/>
  <c r="I670" i="42"/>
  <c r="L670" i="42" s="1"/>
  <c r="M669" i="42"/>
  <c r="I669" i="42"/>
  <c r="L669" i="42" s="1"/>
  <c r="N669" i="42" s="1"/>
  <c r="M668" i="42"/>
  <c r="I668" i="42"/>
  <c r="L668" i="42" s="1"/>
  <c r="M667" i="42"/>
  <c r="I667" i="42"/>
  <c r="L667" i="42" s="1"/>
  <c r="M666" i="42"/>
  <c r="I666" i="42"/>
  <c r="L666" i="42" s="1"/>
  <c r="M665" i="42"/>
  <c r="I665" i="42"/>
  <c r="L665" i="42" s="1"/>
  <c r="N665" i="42" s="1"/>
  <c r="M664" i="42"/>
  <c r="I664" i="42"/>
  <c r="L664" i="42" s="1"/>
  <c r="M663" i="42"/>
  <c r="I663" i="42"/>
  <c r="L663" i="42" s="1"/>
  <c r="M662" i="42"/>
  <c r="I662" i="42"/>
  <c r="L662" i="42" s="1"/>
  <c r="N662" i="42" s="1"/>
  <c r="M661" i="42"/>
  <c r="I661" i="42"/>
  <c r="L661" i="42" s="1"/>
  <c r="M660" i="42"/>
  <c r="I660" i="42"/>
  <c r="L660" i="42" s="1"/>
  <c r="N660" i="42" s="1"/>
  <c r="M659" i="42"/>
  <c r="I659" i="42"/>
  <c r="L659" i="42" s="1"/>
  <c r="A659" i="42"/>
  <c r="A660" i="42" s="1"/>
  <c r="A661" i="42" s="1"/>
  <c r="A662" i="42" s="1"/>
  <c r="A663" i="42" s="1"/>
  <c r="A664" i="42" s="1"/>
  <c r="A665" i="42" s="1"/>
  <c r="A666" i="42" s="1"/>
  <c r="A667" i="42" s="1"/>
  <c r="A668" i="42" s="1"/>
  <c r="A669" i="42" s="1"/>
  <c r="A670" i="42" s="1"/>
  <c r="A671" i="42" s="1"/>
  <c r="A672" i="42" s="1"/>
  <c r="A673" i="42" s="1"/>
  <c r="A674" i="42" s="1"/>
  <c r="A675" i="42" s="1"/>
  <c r="A676" i="42" s="1"/>
  <c r="A677" i="42" s="1"/>
  <c r="A678" i="42" s="1"/>
  <c r="A679" i="42" s="1"/>
  <c r="A680" i="42" s="1"/>
  <c r="A681" i="42" s="1"/>
  <c r="A682" i="42" s="1"/>
  <c r="A683" i="42" s="1"/>
  <c r="A684" i="42" s="1"/>
  <c r="A685" i="42" s="1"/>
  <c r="A686" i="42" s="1"/>
  <c r="A687" i="42" s="1"/>
  <c r="A688" i="42" s="1"/>
  <c r="A689" i="42" s="1"/>
  <c r="A690" i="42" s="1"/>
  <c r="A691" i="42" s="1"/>
  <c r="A692" i="42" s="1"/>
  <c r="A693" i="42" s="1"/>
  <c r="A694" i="42" s="1"/>
  <c r="A695" i="42" s="1"/>
  <c r="A696" i="42" s="1"/>
  <c r="A697" i="42" s="1"/>
  <c r="A698" i="42" s="1"/>
  <c r="A699" i="42" s="1"/>
  <c r="A700" i="42" s="1"/>
  <c r="A701" i="42" s="1"/>
  <c r="A702" i="42" s="1"/>
  <c r="A703" i="42" s="1"/>
  <c r="A704" i="42" s="1"/>
  <c r="A705" i="42" s="1"/>
  <c r="A706" i="42" s="1"/>
  <c r="A707" i="42" s="1"/>
  <c r="A708" i="42" s="1"/>
  <c r="A709" i="42" s="1"/>
  <c r="A710" i="42" s="1"/>
  <c r="A711" i="42" s="1"/>
  <c r="A712" i="42" s="1"/>
  <c r="A713" i="42" s="1"/>
  <c r="A714" i="42" s="1"/>
  <c r="A715" i="42" s="1"/>
  <c r="A716" i="42" s="1"/>
  <c r="A717" i="42" s="1"/>
  <c r="A718" i="42" s="1"/>
  <c r="A719" i="42" s="1"/>
  <c r="A720" i="42" s="1"/>
  <c r="A721" i="42" s="1"/>
  <c r="A722" i="42" s="1"/>
  <c r="A723" i="42" s="1"/>
  <c r="A724" i="42" s="1"/>
  <c r="A725" i="42" s="1"/>
  <c r="A726" i="42" s="1"/>
  <c r="A727" i="42" s="1"/>
  <c r="A728" i="42" s="1"/>
  <c r="A729" i="42" s="1"/>
  <c r="A730" i="42" s="1"/>
  <c r="A731" i="42" s="1"/>
  <c r="A732" i="42" s="1"/>
  <c r="A733" i="42" s="1"/>
  <c r="A734" i="42" s="1"/>
  <c r="A735" i="42" s="1"/>
  <c r="A736" i="42" s="1"/>
  <c r="A737" i="42" s="1"/>
  <c r="A738" i="42" s="1"/>
  <c r="A739" i="42" s="1"/>
  <c r="A740" i="42" s="1"/>
  <c r="A741" i="42" s="1"/>
  <c r="A742" i="42" s="1"/>
  <c r="M658" i="42"/>
  <c r="I658" i="42"/>
  <c r="L658" i="42" s="1"/>
  <c r="M654" i="42"/>
  <c r="I654" i="42"/>
  <c r="L654" i="42" s="1"/>
  <c r="N654" i="42" s="1"/>
  <c r="M653" i="42"/>
  <c r="I653" i="42"/>
  <c r="L653" i="42" s="1"/>
  <c r="N653" i="42" s="1"/>
  <c r="M652" i="42"/>
  <c r="I652" i="42"/>
  <c r="L652" i="42" s="1"/>
  <c r="N652" i="42" s="1"/>
  <c r="M651" i="42"/>
  <c r="I651" i="42"/>
  <c r="L651" i="42" s="1"/>
  <c r="N651" i="42" s="1"/>
  <c r="M650" i="42"/>
  <c r="I650" i="42"/>
  <c r="L650" i="42" s="1"/>
  <c r="N650" i="42" s="1"/>
  <c r="M649" i="42"/>
  <c r="I649" i="42"/>
  <c r="L649" i="42" s="1"/>
  <c r="N649" i="42" s="1"/>
  <c r="M648" i="42"/>
  <c r="I648" i="42"/>
  <c r="L648" i="42" s="1"/>
  <c r="N648" i="42" s="1"/>
  <c r="M647" i="42"/>
  <c r="I647" i="42"/>
  <c r="L647" i="42" s="1"/>
  <c r="N647" i="42" s="1"/>
  <c r="M646" i="42"/>
  <c r="I646" i="42"/>
  <c r="L646" i="42" s="1"/>
  <c r="N646" i="42" s="1"/>
  <c r="M645" i="42"/>
  <c r="I645" i="42"/>
  <c r="L645" i="42" s="1"/>
  <c r="N645" i="42" s="1"/>
  <c r="M644" i="42"/>
  <c r="I644" i="42"/>
  <c r="L644" i="42" s="1"/>
  <c r="N644" i="42" s="1"/>
  <c r="M643" i="42"/>
  <c r="I643" i="42"/>
  <c r="L643" i="42" s="1"/>
  <c r="N643" i="42" s="1"/>
  <c r="M642" i="42"/>
  <c r="I642" i="42"/>
  <c r="L642" i="42" s="1"/>
  <c r="N642" i="42" s="1"/>
  <c r="M641" i="42"/>
  <c r="I641" i="42"/>
  <c r="L641" i="42" s="1"/>
  <c r="M640" i="42"/>
  <c r="I640" i="42"/>
  <c r="L640" i="42" s="1"/>
  <c r="M639" i="42"/>
  <c r="I639" i="42"/>
  <c r="L639" i="42" s="1"/>
  <c r="N639" i="42" s="1"/>
  <c r="M638" i="42"/>
  <c r="I638" i="42"/>
  <c r="L638" i="42" s="1"/>
  <c r="N638" i="42" s="1"/>
  <c r="M637" i="42"/>
  <c r="I637" i="42"/>
  <c r="L637" i="42" s="1"/>
  <c r="N637" i="42" s="1"/>
  <c r="M636" i="42"/>
  <c r="I636" i="42"/>
  <c r="L636" i="42" s="1"/>
  <c r="N636" i="42" s="1"/>
  <c r="M635" i="42"/>
  <c r="I635" i="42"/>
  <c r="L635" i="42" s="1"/>
  <c r="N635" i="42" s="1"/>
  <c r="M634" i="42"/>
  <c r="I634" i="42"/>
  <c r="L634" i="42" s="1"/>
  <c r="N634" i="42" s="1"/>
  <c r="M633" i="42"/>
  <c r="I633" i="42"/>
  <c r="L633" i="42" s="1"/>
  <c r="M632" i="42"/>
  <c r="I632" i="42"/>
  <c r="L632" i="42" s="1"/>
  <c r="N632" i="42" s="1"/>
  <c r="M631" i="42"/>
  <c r="I631" i="42"/>
  <c r="L631" i="42" s="1"/>
  <c r="M630" i="42"/>
  <c r="I630" i="42"/>
  <c r="L630" i="42" s="1"/>
  <c r="N630" i="42" s="1"/>
  <c r="M629" i="42"/>
  <c r="I629" i="42"/>
  <c r="L629" i="42" s="1"/>
  <c r="N629" i="42" s="1"/>
  <c r="M628" i="42"/>
  <c r="I628" i="42"/>
  <c r="L628" i="42" s="1"/>
  <c r="N628" i="42" s="1"/>
  <c r="M627" i="42"/>
  <c r="I627" i="42"/>
  <c r="L627" i="42" s="1"/>
  <c r="N627" i="42" s="1"/>
  <c r="M626" i="42"/>
  <c r="I626" i="42"/>
  <c r="L626" i="42" s="1"/>
  <c r="A626" i="42"/>
  <c r="A627" i="42" s="1"/>
  <c r="A628" i="42" s="1"/>
  <c r="A629" i="42" s="1"/>
  <c r="A630" i="42" s="1"/>
  <c r="A631" i="42" s="1"/>
  <c r="A632" i="42" s="1"/>
  <c r="A633" i="42" s="1"/>
  <c r="A634" i="42" s="1"/>
  <c r="A635" i="42" s="1"/>
  <c r="A636" i="42" s="1"/>
  <c r="A637" i="42" s="1"/>
  <c r="A638" i="42" s="1"/>
  <c r="A639" i="42" s="1"/>
  <c r="A640" i="42" s="1"/>
  <c r="A641" i="42" s="1"/>
  <c r="A642" i="42" s="1"/>
  <c r="A643" i="42" s="1"/>
  <c r="A644" i="42" s="1"/>
  <c r="A645" i="42" s="1"/>
  <c r="A646" i="42" s="1"/>
  <c r="A647" i="42" s="1"/>
  <c r="A648" i="42" s="1"/>
  <c r="A649" i="42" s="1"/>
  <c r="A650" i="42" s="1"/>
  <c r="A651" i="42" s="1"/>
  <c r="A652" i="42" s="1"/>
  <c r="A653" i="42" s="1"/>
  <c r="A654" i="42" s="1"/>
  <c r="I625" i="42"/>
  <c r="L625" i="42" s="1"/>
  <c r="I621" i="42"/>
  <c r="L621" i="42" s="1"/>
  <c r="I620" i="42"/>
  <c r="L620" i="42" s="1"/>
  <c r="I619" i="42"/>
  <c r="L619" i="42" s="1"/>
  <c r="I618" i="42"/>
  <c r="L618" i="42" s="1"/>
  <c r="I617" i="42"/>
  <c r="L617" i="42" s="1"/>
  <c r="I616" i="42"/>
  <c r="L616" i="42" s="1"/>
  <c r="I615" i="42"/>
  <c r="L615" i="42" s="1"/>
  <c r="I614" i="42"/>
  <c r="L614" i="42" s="1"/>
  <c r="I613" i="42"/>
  <c r="L613" i="42" s="1"/>
  <c r="I612" i="42"/>
  <c r="L612" i="42" s="1"/>
  <c r="I611" i="42"/>
  <c r="L611" i="42" s="1"/>
  <c r="I610" i="42"/>
  <c r="L610" i="42" s="1"/>
  <c r="I609" i="42"/>
  <c r="L609" i="42" s="1"/>
  <c r="I608" i="42"/>
  <c r="L608" i="42" s="1"/>
  <c r="I607" i="42"/>
  <c r="L607" i="42" s="1"/>
  <c r="I606" i="42"/>
  <c r="L606" i="42" s="1"/>
  <c r="I605" i="42"/>
  <c r="L605" i="42" s="1"/>
  <c r="I604" i="42"/>
  <c r="L604" i="42" s="1"/>
  <c r="I603" i="42"/>
  <c r="L603" i="42" s="1"/>
  <c r="I602" i="42"/>
  <c r="L602" i="42" s="1"/>
  <c r="I601" i="42"/>
  <c r="L601" i="42" s="1"/>
  <c r="I600" i="42"/>
  <c r="L600" i="42" s="1"/>
  <c r="I599" i="42"/>
  <c r="L599" i="42" s="1"/>
  <c r="I598" i="42"/>
  <c r="L598" i="42" s="1"/>
  <c r="I597" i="42"/>
  <c r="L597" i="42" s="1"/>
  <c r="I596" i="42"/>
  <c r="L596" i="42" s="1"/>
  <c r="I595" i="42"/>
  <c r="L595" i="42" s="1"/>
  <c r="I594" i="42"/>
  <c r="L594" i="42" s="1"/>
  <c r="I593" i="42"/>
  <c r="L593" i="42" s="1"/>
  <c r="I592" i="42"/>
  <c r="L592" i="42" s="1"/>
  <c r="I591" i="42"/>
  <c r="L591" i="42" s="1"/>
  <c r="I590" i="42"/>
  <c r="L590" i="42" s="1"/>
  <c r="I589" i="42"/>
  <c r="L589" i="42" s="1"/>
  <c r="I588" i="42"/>
  <c r="L588" i="42" s="1"/>
  <c r="I587" i="42"/>
  <c r="L587" i="42" s="1"/>
  <c r="I586" i="42"/>
  <c r="L586" i="42" s="1"/>
  <c r="I585" i="42"/>
  <c r="L585" i="42" s="1"/>
  <c r="I584" i="42"/>
  <c r="L584" i="42" s="1"/>
  <c r="I583" i="42"/>
  <c r="L583" i="42" s="1"/>
  <c r="I582" i="42"/>
  <c r="L582" i="42" s="1"/>
  <c r="I581" i="42"/>
  <c r="L581" i="42" s="1"/>
  <c r="I580" i="42"/>
  <c r="L580" i="42" s="1"/>
  <c r="I579" i="42"/>
  <c r="L579" i="42" s="1"/>
  <c r="I578" i="42"/>
  <c r="L578" i="42" s="1"/>
  <c r="I577" i="42"/>
  <c r="L577" i="42" s="1"/>
  <c r="I576" i="42"/>
  <c r="L576" i="42" s="1"/>
  <c r="I575" i="42"/>
  <c r="L575" i="42" s="1"/>
  <c r="I574" i="42"/>
  <c r="L574" i="42" s="1"/>
  <c r="I573" i="42"/>
  <c r="L573" i="42" s="1"/>
  <c r="L572" i="42"/>
  <c r="I572" i="42"/>
  <c r="I571" i="42"/>
  <c r="L571" i="42" s="1"/>
  <c r="I570" i="42"/>
  <c r="L570" i="42" s="1"/>
  <c r="I569" i="42"/>
  <c r="L569" i="42" s="1"/>
  <c r="I568" i="42"/>
  <c r="L568" i="42" s="1"/>
  <c r="I567" i="42"/>
  <c r="L567" i="42" s="1"/>
  <c r="I566" i="42"/>
  <c r="L566" i="42" s="1"/>
  <c r="I565" i="42"/>
  <c r="L565" i="42" s="1"/>
  <c r="I564" i="42"/>
  <c r="L564" i="42" s="1"/>
  <c r="I563" i="42"/>
  <c r="L563" i="42" s="1"/>
  <c r="I562" i="42"/>
  <c r="L562" i="42" s="1"/>
  <c r="I561" i="42"/>
  <c r="L561" i="42" s="1"/>
  <c r="I560" i="42"/>
  <c r="L560" i="42" s="1"/>
  <c r="I559" i="42"/>
  <c r="L559" i="42" s="1"/>
  <c r="I558" i="42"/>
  <c r="L558" i="42" s="1"/>
  <c r="I557" i="42"/>
  <c r="L557" i="42" s="1"/>
  <c r="I556" i="42"/>
  <c r="L556" i="42" s="1"/>
  <c r="I555" i="42"/>
  <c r="L555" i="42" s="1"/>
  <c r="I554" i="42"/>
  <c r="L554" i="42" s="1"/>
  <c r="I553" i="42"/>
  <c r="L553" i="42" s="1"/>
  <c r="I552" i="42"/>
  <c r="L552" i="42" s="1"/>
  <c r="I551" i="42"/>
  <c r="L551" i="42" s="1"/>
  <c r="I550" i="42"/>
  <c r="L550" i="42" s="1"/>
  <c r="I549" i="42"/>
  <c r="L549" i="42" s="1"/>
  <c r="I548" i="42"/>
  <c r="L548" i="42" s="1"/>
  <c r="I547" i="42"/>
  <c r="L547" i="42" s="1"/>
  <c r="I546" i="42"/>
  <c r="L546" i="42" s="1"/>
  <c r="I545" i="42"/>
  <c r="L545" i="42" s="1"/>
  <c r="I544" i="42"/>
  <c r="L544" i="42" s="1"/>
  <c r="A544" i="42"/>
  <c r="A545" i="42" s="1"/>
  <c r="A546" i="42" s="1"/>
  <c r="A547" i="42" s="1"/>
  <c r="A548" i="42" s="1"/>
  <c r="A549" i="42" s="1"/>
  <c r="A550" i="42" s="1"/>
  <c r="A551" i="42" s="1"/>
  <c r="A552" i="42" s="1"/>
  <c r="A553" i="42" s="1"/>
  <c r="A554" i="42" s="1"/>
  <c r="A555" i="42" s="1"/>
  <c r="A556" i="42" s="1"/>
  <c r="A557" i="42" s="1"/>
  <c r="A558" i="42" s="1"/>
  <c r="A559" i="42" s="1"/>
  <c r="A560" i="42" s="1"/>
  <c r="A561" i="42" s="1"/>
  <c r="A562" i="42" s="1"/>
  <c r="A563" i="42" s="1"/>
  <c r="A564" i="42" s="1"/>
  <c r="A565" i="42" s="1"/>
  <c r="A566" i="42" s="1"/>
  <c r="A567" i="42" s="1"/>
  <c r="A568" i="42" s="1"/>
  <c r="A569" i="42" s="1"/>
  <c r="A570" i="42" s="1"/>
  <c r="A571" i="42" s="1"/>
  <c r="A572" i="42" s="1"/>
  <c r="A573" i="42" s="1"/>
  <c r="A574" i="42" s="1"/>
  <c r="A575" i="42" s="1"/>
  <c r="A576" i="42" s="1"/>
  <c r="A577" i="42" s="1"/>
  <c r="A578" i="42" s="1"/>
  <c r="A579" i="42" s="1"/>
  <c r="A580" i="42" s="1"/>
  <c r="A581" i="42" s="1"/>
  <c r="A582" i="42" s="1"/>
  <c r="A583" i="42" s="1"/>
  <c r="A584" i="42" s="1"/>
  <c r="A585" i="42" s="1"/>
  <c r="A586" i="42" s="1"/>
  <c r="A587" i="42" s="1"/>
  <c r="A588" i="42" s="1"/>
  <c r="A589" i="42" s="1"/>
  <c r="A590" i="42" s="1"/>
  <c r="A591" i="42" s="1"/>
  <c r="A592" i="42" s="1"/>
  <c r="A593" i="42" s="1"/>
  <c r="A594" i="42" s="1"/>
  <c r="A595" i="42" s="1"/>
  <c r="A596" i="42" s="1"/>
  <c r="A597" i="42" s="1"/>
  <c r="A598" i="42" s="1"/>
  <c r="A599" i="42" s="1"/>
  <c r="A600" i="42" s="1"/>
  <c r="A601" i="42" s="1"/>
  <c r="A602" i="42" s="1"/>
  <c r="A603" i="42" s="1"/>
  <c r="A604" i="42" s="1"/>
  <c r="A605" i="42" s="1"/>
  <c r="A606" i="42" s="1"/>
  <c r="A607" i="42" s="1"/>
  <c r="A608" i="42" s="1"/>
  <c r="A609" i="42" s="1"/>
  <c r="A610" i="42" s="1"/>
  <c r="A611" i="42" s="1"/>
  <c r="A612" i="42" s="1"/>
  <c r="A613" i="42" s="1"/>
  <c r="A614" i="42" s="1"/>
  <c r="A615" i="42" s="1"/>
  <c r="A616" i="42" s="1"/>
  <c r="A617" i="42" s="1"/>
  <c r="A618" i="42" s="1"/>
  <c r="A619" i="42" s="1"/>
  <c r="A620" i="42" s="1"/>
  <c r="A621" i="42" s="1"/>
  <c r="I543" i="42"/>
  <c r="L543" i="42" s="1"/>
  <c r="I538" i="42"/>
  <c r="I537" i="42"/>
  <c r="I536" i="42"/>
  <c r="I535" i="42"/>
  <c r="I534" i="42"/>
  <c r="I533" i="42"/>
  <c r="I532" i="42"/>
  <c r="I531" i="42"/>
  <c r="I530" i="42"/>
  <c r="I529" i="42"/>
  <c r="I528" i="42"/>
  <c r="I527" i="42"/>
  <c r="I526" i="42"/>
  <c r="I525" i="42"/>
  <c r="I524" i="42"/>
  <c r="I523" i="42"/>
  <c r="I522" i="42"/>
  <c r="I521" i="42"/>
  <c r="I520" i="42"/>
  <c r="I519" i="42"/>
  <c r="I518" i="42"/>
  <c r="I517" i="42"/>
  <c r="I516" i="42"/>
  <c r="I515" i="42"/>
  <c r="I514" i="42"/>
  <c r="I513" i="42"/>
  <c r="I512" i="42"/>
  <c r="I511" i="42"/>
  <c r="I510" i="42"/>
  <c r="I509" i="42"/>
  <c r="I508" i="42"/>
  <c r="I507" i="42"/>
  <c r="I506" i="42"/>
  <c r="I505" i="42"/>
  <c r="I504" i="42"/>
  <c r="I503" i="42"/>
  <c r="I502" i="42"/>
  <c r="I501" i="42"/>
  <c r="I500" i="42"/>
  <c r="I499" i="42"/>
  <c r="I498" i="42"/>
  <c r="I497" i="42"/>
  <c r="I496" i="42"/>
  <c r="I495" i="42"/>
  <c r="I494" i="42"/>
  <c r="I493" i="42"/>
  <c r="I492" i="42"/>
  <c r="I491" i="42"/>
  <c r="I490" i="42"/>
  <c r="I489" i="42"/>
  <c r="I488" i="42"/>
  <c r="I487" i="42"/>
  <c r="I486" i="42"/>
  <c r="I485" i="42"/>
  <c r="I484" i="42"/>
  <c r="I483" i="42"/>
  <c r="I482" i="42"/>
  <c r="I481" i="42"/>
  <c r="I480" i="42"/>
  <c r="I479" i="42"/>
  <c r="I478" i="42"/>
  <c r="I477" i="42"/>
  <c r="I476" i="42"/>
  <c r="I475" i="42"/>
  <c r="I474" i="42"/>
  <c r="I473" i="42"/>
  <c r="I472" i="42"/>
  <c r="I471" i="42"/>
  <c r="I470" i="42"/>
  <c r="I469" i="42"/>
  <c r="I468" i="42"/>
  <c r="I467" i="42"/>
  <c r="I466" i="42"/>
  <c r="I465" i="42"/>
  <c r="I464" i="42"/>
  <c r="I463" i="42"/>
  <c r="I462" i="42"/>
  <c r="I461" i="42"/>
  <c r="I460" i="42"/>
  <c r="I459" i="42"/>
  <c r="I458" i="42"/>
  <c r="I457" i="42"/>
  <c r="I456" i="42"/>
  <c r="I455" i="42"/>
  <c r="I454" i="42"/>
  <c r="I453" i="42"/>
  <c r="I452" i="42"/>
  <c r="I451" i="42"/>
  <c r="I450" i="42"/>
  <c r="I449" i="42"/>
  <c r="I448" i="42"/>
  <c r="I447" i="42"/>
  <c r="I446" i="42"/>
  <c r="I445" i="42"/>
  <c r="I444" i="42"/>
  <c r="I443" i="42"/>
  <c r="I442" i="42"/>
  <c r="I441" i="42"/>
  <c r="I440" i="42"/>
  <c r="I439" i="42"/>
  <c r="I438" i="42"/>
  <c r="I437" i="42"/>
  <c r="I436" i="42"/>
  <c r="I435" i="42"/>
  <c r="I434" i="42"/>
  <c r="I433" i="42"/>
  <c r="I432" i="42"/>
  <c r="I431" i="42"/>
  <c r="I430" i="42"/>
  <c r="I429" i="42"/>
  <c r="I428" i="42"/>
  <c r="I427" i="42"/>
  <c r="I426" i="42"/>
  <c r="I425" i="42"/>
  <c r="I424" i="42"/>
  <c r="I423" i="42"/>
  <c r="I422" i="42"/>
  <c r="I421" i="42"/>
  <c r="I420" i="42"/>
  <c r="I419" i="42"/>
  <c r="I418" i="42"/>
  <c r="I417" i="42"/>
  <c r="I416" i="42"/>
  <c r="I415" i="42"/>
  <c r="I414" i="42"/>
  <c r="I413" i="42"/>
  <c r="I412" i="42"/>
  <c r="I411" i="42"/>
  <c r="I410" i="42"/>
  <c r="I409" i="42"/>
  <c r="I408" i="42"/>
  <c r="I407" i="42"/>
  <c r="I406" i="42"/>
  <c r="I405" i="42"/>
  <c r="I404" i="42"/>
  <c r="I403" i="42"/>
  <c r="I402" i="42"/>
  <c r="I401" i="42"/>
  <c r="I400" i="42"/>
  <c r="I399" i="42"/>
  <c r="I398" i="42"/>
  <c r="I397" i="42"/>
  <c r="I396" i="42"/>
  <c r="I395" i="42"/>
  <c r="I394" i="42"/>
  <c r="I393" i="42"/>
  <c r="I392" i="42"/>
  <c r="I391" i="42"/>
  <c r="I390" i="42"/>
  <c r="I389" i="42"/>
  <c r="I388" i="42"/>
  <c r="I387" i="42"/>
  <c r="I386" i="42"/>
  <c r="I385" i="42"/>
  <c r="I384" i="42"/>
  <c r="I383" i="42"/>
  <c r="I382" i="42"/>
  <c r="I381" i="42"/>
  <c r="I380" i="42"/>
  <c r="I379" i="42"/>
  <c r="I378" i="42"/>
  <c r="I377" i="42"/>
  <c r="I376" i="42"/>
  <c r="I375" i="42"/>
  <c r="I374" i="42"/>
  <c r="I373" i="42"/>
  <c r="I372" i="42"/>
  <c r="I371" i="42"/>
  <c r="I370" i="42"/>
  <c r="I369" i="42"/>
  <c r="I368" i="42"/>
  <c r="I367" i="42"/>
  <c r="I366" i="42"/>
  <c r="I365" i="42"/>
  <c r="I364" i="42"/>
  <c r="I363" i="42"/>
  <c r="I362" i="42"/>
  <c r="I361" i="42"/>
  <c r="I360" i="42"/>
  <c r="I359" i="42"/>
  <c r="I358" i="42"/>
  <c r="I357" i="42"/>
  <c r="I356" i="42"/>
  <c r="I355" i="42"/>
  <c r="I354" i="42"/>
  <c r="I353" i="42"/>
  <c r="I352" i="42"/>
  <c r="I351" i="42"/>
  <c r="I350" i="42"/>
  <c r="I349" i="42"/>
  <c r="I348" i="42"/>
  <c r="I347" i="42"/>
  <c r="I346" i="42"/>
  <c r="I345" i="42"/>
  <c r="I344" i="42"/>
  <c r="I343" i="42"/>
  <c r="I342" i="42"/>
  <c r="I341" i="42"/>
  <c r="I340" i="42"/>
  <c r="I339" i="42"/>
  <c r="I338" i="42"/>
  <c r="I337" i="42"/>
  <c r="I336" i="42"/>
  <c r="I335" i="42"/>
  <c r="I334" i="42"/>
  <c r="I333" i="42"/>
  <c r="I332" i="42"/>
  <c r="I331" i="42"/>
  <c r="I330" i="42"/>
  <c r="I329" i="42"/>
  <c r="I328" i="42"/>
  <c r="I327" i="42"/>
  <c r="I326" i="42"/>
  <c r="I325" i="42"/>
  <c r="I324" i="42"/>
  <c r="I323" i="42"/>
  <c r="I322" i="42"/>
  <c r="I321" i="42"/>
  <c r="I320" i="42"/>
  <c r="I319" i="42"/>
  <c r="I318" i="42"/>
  <c r="I317" i="42"/>
  <c r="I316" i="42"/>
  <c r="I315" i="42"/>
  <c r="I314" i="42"/>
  <c r="I313" i="42"/>
  <c r="I312" i="42"/>
  <c r="I311" i="42"/>
  <c r="I310" i="42"/>
  <c r="I309" i="42"/>
  <c r="I308" i="42"/>
  <c r="I307" i="42"/>
  <c r="I306" i="42"/>
  <c r="I305" i="42"/>
  <c r="I304" i="42"/>
  <c r="I303" i="42"/>
  <c r="I302" i="42"/>
  <c r="I301" i="42"/>
  <c r="I300" i="42"/>
  <c r="I299" i="42"/>
  <c r="I298" i="42"/>
  <c r="I297" i="42"/>
  <c r="I296" i="42"/>
  <c r="I295" i="42"/>
  <c r="I294" i="42"/>
  <c r="I293" i="42"/>
  <c r="I292" i="42"/>
  <c r="I291" i="42"/>
  <c r="M290" i="42"/>
  <c r="L290" i="42"/>
  <c r="N290" i="42" s="1"/>
  <c r="M289" i="42"/>
  <c r="L289" i="42"/>
  <c r="N289" i="42" s="1"/>
  <c r="M288" i="42"/>
  <c r="L288" i="42"/>
  <c r="N288" i="42" s="1"/>
  <c r="M287" i="42"/>
  <c r="L287" i="42"/>
  <c r="N287" i="42" s="1"/>
  <c r="M286" i="42"/>
  <c r="L286" i="42"/>
  <c r="N286" i="42" s="1"/>
  <c r="M285" i="42"/>
  <c r="L285" i="42"/>
  <c r="N285" i="42" s="1"/>
  <c r="M284" i="42"/>
  <c r="L284" i="42"/>
  <c r="N284" i="42" s="1"/>
  <c r="M283" i="42"/>
  <c r="L283" i="42"/>
  <c r="N283" i="42" s="1"/>
  <c r="M282" i="42"/>
  <c r="L282" i="42"/>
  <c r="N282" i="42" s="1"/>
  <c r="I281" i="42"/>
  <c r="I280" i="42"/>
  <c r="I279" i="42"/>
  <c r="I278" i="42"/>
  <c r="I277" i="42"/>
  <c r="I276" i="42"/>
  <c r="I275" i="42"/>
  <c r="I274" i="42"/>
  <c r="I273" i="42"/>
  <c r="I272" i="42"/>
  <c r="I271" i="42"/>
  <c r="I270" i="42"/>
  <c r="I269" i="42"/>
  <c r="I268" i="42"/>
  <c r="I263" i="42"/>
  <c r="L263" i="42" s="1"/>
  <c r="I262" i="42"/>
  <c r="L262" i="42" s="1"/>
  <c r="I261" i="42"/>
  <c r="L261" i="42" s="1"/>
  <c r="I260" i="42"/>
  <c r="L260" i="42" s="1"/>
  <c r="I259" i="42"/>
  <c r="L259" i="42" s="1"/>
  <c r="I258" i="42"/>
  <c r="L258" i="42" s="1"/>
  <c r="I257" i="42"/>
  <c r="L257" i="42" s="1"/>
  <c r="I256" i="42"/>
  <c r="L256" i="42" s="1"/>
  <c r="I255" i="42"/>
  <c r="L255" i="42" s="1"/>
  <c r="I254" i="42"/>
  <c r="L254" i="42" s="1"/>
  <c r="I253" i="42"/>
  <c r="L253" i="42" s="1"/>
  <c r="I252" i="42"/>
  <c r="L252" i="42" s="1"/>
  <c r="I251" i="42"/>
  <c r="L251" i="42" s="1"/>
  <c r="I250" i="42"/>
  <c r="L250" i="42" s="1"/>
  <c r="I249" i="42"/>
  <c r="L249" i="42" s="1"/>
  <c r="I248" i="42"/>
  <c r="L248" i="42" s="1"/>
  <c r="I247" i="42"/>
  <c r="L247" i="42" s="1"/>
  <c r="I246" i="42"/>
  <c r="L246" i="42" s="1"/>
  <c r="I245" i="42"/>
  <c r="L245" i="42" s="1"/>
  <c r="I244" i="42"/>
  <c r="L244" i="42" s="1"/>
  <c r="I243" i="42"/>
  <c r="L243" i="42" s="1"/>
  <c r="I242" i="42"/>
  <c r="L242" i="42" s="1"/>
  <c r="I241" i="42"/>
  <c r="L241" i="42" s="1"/>
  <c r="I240" i="42"/>
  <c r="L240" i="42" s="1"/>
  <c r="I239" i="42"/>
  <c r="L239" i="42" s="1"/>
  <c r="I238" i="42"/>
  <c r="L238" i="42" s="1"/>
  <c r="I237" i="42"/>
  <c r="L237" i="42" s="1"/>
  <c r="I236" i="42"/>
  <c r="L236" i="42" s="1"/>
  <c r="I235" i="42"/>
  <c r="L235" i="42" s="1"/>
  <c r="I234" i="42"/>
  <c r="L234" i="42" s="1"/>
  <c r="I233" i="42"/>
  <c r="L233" i="42" s="1"/>
  <c r="I232" i="42"/>
  <c r="L232" i="42" s="1"/>
  <c r="I231" i="42"/>
  <c r="L231" i="42" s="1"/>
  <c r="I230" i="42"/>
  <c r="L230" i="42" s="1"/>
  <c r="I229" i="42"/>
  <c r="L229" i="42" s="1"/>
  <c r="I228" i="42"/>
  <c r="L228" i="42" s="1"/>
  <c r="I227" i="42"/>
  <c r="L227" i="42" s="1"/>
  <c r="I226" i="42"/>
  <c r="L226" i="42" s="1"/>
  <c r="I225" i="42"/>
  <c r="L225" i="42" s="1"/>
  <c r="I224" i="42"/>
  <c r="L224" i="42" s="1"/>
  <c r="I223" i="42"/>
  <c r="L223" i="42" s="1"/>
  <c r="I222" i="42"/>
  <c r="L222" i="42" s="1"/>
  <c r="L221" i="42"/>
  <c r="I221" i="42"/>
  <c r="I220" i="42"/>
  <c r="L220" i="42" s="1"/>
  <c r="I219" i="42"/>
  <c r="L219" i="42" s="1"/>
  <c r="I218" i="42"/>
  <c r="L218" i="42" s="1"/>
  <c r="I217" i="42"/>
  <c r="L217" i="42" s="1"/>
  <c r="I216" i="42"/>
  <c r="L216" i="42" s="1"/>
  <c r="I215" i="42"/>
  <c r="L215" i="42" s="1"/>
  <c r="I214" i="42"/>
  <c r="L214" i="42" s="1"/>
  <c r="I213" i="42"/>
  <c r="L213" i="42" s="1"/>
  <c r="I212" i="42"/>
  <c r="L212" i="42" s="1"/>
  <c r="I211" i="42"/>
  <c r="L211" i="42" s="1"/>
  <c r="I210" i="42"/>
  <c r="L210" i="42" s="1"/>
  <c r="I209" i="42"/>
  <c r="L209" i="42" s="1"/>
  <c r="I208" i="42"/>
  <c r="L208" i="42" s="1"/>
  <c r="I207" i="42"/>
  <c r="L207" i="42" s="1"/>
  <c r="I206" i="42"/>
  <c r="L206" i="42" s="1"/>
  <c r="I205" i="42"/>
  <c r="L205" i="42" s="1"/>
  <c r="I204" i="42"/>
  <c r="L204" i="42" s="1"/>
  <c r="I203" i="42"/>
  <c r="L203" i="42" s="1"/>
  <c r="I202" i="42"/>
  <c r="L202" i="42" s="1"/>
  <c r="I201" i="42"/>
  <c r="L201" i="42" s="1"/>
  <c r="I200" i="42"/>
  <c r="L200" i="42" s="1"/>
  <c r="I199" i="42"/>
  <c r="L199" i="42" s="1"/>
  <c r="I198" i="42"/>
  <c r="L198" i="42" s="1"/>
  <c r="I197" i="42"/>
  <c r="L197" i="42" s="1"/>
  <c r="I196" i="42"/>
  <c r="L196" i="42" s="1"/>
  <c r="I195" i="42"/>
  <c r="L195" i="42" s="1"/>
  <c r="I194" i="42"/>
  <c r="L194" i="42" s="1"/>
  <c r="I193" i="42"/>
  <c r="L193" i="42" s="1"/>
  <c r="I192" i="42"/>
  <c r="L192" i="42" s="1"/>
  <c r="I191" i="42"/>
  <c r="L191" i="42" s="1"/>
  <c r="I190" i="42"/>
  <c r="L190" i="42" s="1"/>
  <c r="I189" i="42"/>
  <c r="L189" i="42" s="1"/>
  <c r="I188" i="42"/>
  <c r="L188" i="42" s="1"/>
  <c r="I187" i="42"/>
  <c r="L187" i="42" s="1"/>
  <c r="I186" i="42"/>
  <c r="L186" i="42" s="1"/>
  <c r="I185" i="42"/>
  <c r="L185" i="42" s="1"/>
  <c r="I184" i="42"/>
  <c r="L184" i="42" s="1"/>
  <c r="I183" i="42"/>
  <c r="L183" i="42" s="1"/>
  <c r="I182" i="42"/>
  <c r="L182" i="42" s="1"/>
  <c r="I181" i="42"/>
  <c r="L181" i="42" s="1"/>
  <c r="I180" i="42"/>
  <c r="L180" i="42" s="1"/>
  <c r="I179" i="42"/>
  <c r="L179" i="42" s="1"/>
  <c r="I178" i="42"/>
  <c r="L178" i="42" s="1"/>
  <c r="I177" i="42"/>
  <c r="L177" i="42" s="1"/>
  <c r="I176" i="42"/>
  <c r="L176" i="42" s="1"/>
  <c r="I175" i="42"/>
  <c r="L175" i="42" s="1"/>
  <c r="I174" i="42"/>
  <c r="L174" i="42" s="1"/>
  <c r="I173" i="42"/>
  <c r="L173" i="42" s="1"/>
  <c r="I172" i="42"/>
  <c r="L172" i="42" s="1"/>
  <c r="I171" i="42"/>
  <c r="L171" i="42" s="1"/>
  <c r="I170" i="42"/>
  <c r="L170" i="42" s="1"/>
  <c r="I169" i="42"/>
  <c r="L169" i="42" s="1"/>
  <c r="I168" i="42"/>
  <c r="L168" i="42" s="1"/>
  <c r="I167" i="42"/>
  <c r="L167" i="42" s="1"/>
  <c r="I166" i="42"/>
  <c r="L166" i="42" s="1"/>
  <c r="I165" i="42"/>
  <c r="L165" i="42" s="1"/>
  <c r="I164" i="42"/>
  <c r="L164" i="42" s="1"/>
  <c r="I163" i="42"/>
  <c r="L163" i="42" s="1"/>
  <c r="I162" i="42"/>
  <c r="L162" i="42" s="1"/>
  <c r="I161" i="42"/>
  <c r="L161" i="42" s="1"/>
  <c r="I160" i="42"/>
  <c r="L160" i="42" s="1"/>
  <c r="I159" i="42"/>
  <c r="L159" i="42" s="1"/>
  <c r="I158" i="42"/>
  <c r="L158" i="42" s="1"/>
  <c r="I157" i="42"/>
  <c r="L157" i="42" s="1"/>
  <c r="I156" i="42"/>
  <c r="L156" i="42" s="1"/>
  <c r="I155" i="42"/>
  <c r="L155" i="42" s="1"/>
  <c r="I154" i="42"/>
  <c r="L154" i="42" s="1"/>
  <c r="I153" i="42"/>
  <c r="L153" i="42" s="1"/>
  <c r="I152" i="42"/>
  <c r="L152" i="42" s="1"/>
  <c r="I151" i="42"/>
  <c r="L151" i="42" s="1"/>
  <c r="I150" i="42"/>
  <c r="L150" i="42" s="1"/>
  <c r="I149" i="42"/>
  <c r="L149" i="42" s="1"/>
  <c r="I148" i="42"/>
  <c r="L148" i="42" s="1"/>
  <c r="I147" i="42"/>
  <c r="L147" i="42" s="1"/>
  <c r="I146" i="42"/>
  <c r="L146" i="42" s="1"/>
  <c r="I145" i="42"/>
  <c r="L145" i="42" s="1"/>
  <c r="I144" i="42"/>
  <c r="L144" i="42" s="1"/>
  <c r="I143" i="42"/>
  <c r="L143" i="42" s="1"/>
  <c r="I142" i="42"/>
  <c r="L142" i="42" s="1"/>
  <c r="I141" i="42"/>
  <c r="L141" i="42" s="1"/>
  <c r="I140" i="42"/>
  <c r="L140" i="42" s="1"/>
  <c r="I139" i="42"/>
  <c r="L139" i="42" s="1"/>
  <c r="I138" i="42"/>
  <c r="L138" i="42" s="1"/>
  <c r="I137" i="42"/>
  <c r="L137" i="42" s="1"/>
  <c r="I136" i="42"/>
  <c r="L136" i="42" s="1"/>
  <c r="I135" i="42"/>
  <c r="L135" i="42" s="1"/>
  <c r="I134" i="42"/>
  <c r="L134" i="42" s="1"/>
  <c r="I133" i="42"/>
  <c r="L133" i="42" s="1"/>
  <c r="I132" i="42"/>
  <c r="L132" i="42" s="1"/>
  <c r="I131" i="42"/>
  <c r="L131" i="42" s="1"/>
  <c r="I130" i="42"/>
  <c r="L130" i="42" s="1"/>
  <c r="I129" i="42"/>
  <c r="L129" i="42" s="1"/>
  <c r="A129" i="42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A147" i="42" s="1"/>
  <c r="A148" i="42" s="1"/>
  <c r="A149" i="42" s="1"/>
  <c r="A150" i="42" s="1"/>
  <c r="A151" i="42" s="1"/>
  <c r="A152" i="42" s="1"/>
  <c r="A153" i="42" s="1"/>
  <c r="A154" i="42" s="1"/>
  <c r="A155" i="42" s="1"/>
  <c r="A156" i="42" s="1"/>
  <c r="A157" i="42" s="1"/>
  <c r="A158" i="42" s="1"/>
  <c r="A159" i="42" s="1"/>
  <c r="A160" i="42" s="1"/>
  <c r="A161" i="42" s="1"/>
  <c r="A162" i="42" s="1"/>
  <c r="A163" i="42" s="1"/>
  <c r="A164" i="42" s="1"/>
  <c r="A165" i="42" s="1"/>
  <c r="A166" i="42" s="1"/>
  <c r="A167" i="42" s="1"/>
  <c r="A168" i="42" s="1"/>
  <c r="A169" i="42" s="1"/>
  <c r="A170" i="42" s="1"/>
  <c r="A171" i="42" s="1"/>
  <c r="A172" i="42" s="1"/>
  <c r="A173" i="42" s="1"/>
  <c r="A174" i="42" s="1"/>
  <c r="A175" i="42" s="1"/>
  <c r="A176" i="42" s="1"/>
  <c r="A177" i="42" s="1"/>
  <c r="A178" i="42" s="1"/>
  <c r="A179" i="42" s="1"/>
  <c r="A180" i="42" s="1"/>
  <c r="A181" i="42" s="1"/>
  <c r="A182" i="42" s="1"/>
  <c r="A183" i="42" s="1"/>
  <c r="A184" i="42" s="1"/>
  <c r="A185" i="42" s="1"/>
  <c r="A186" i="42" s="1"/>
  <c r="A187" i="42" s="1"/>
  <c r="A188" i="42" s="1"/>
  <c r="A189" i="42" s="1"/>
  <c r="A190" i="42" s="1"/>
  <c r="A191" i="42" s="1"/>
  <c r="A192" i="42" s="1"/>
  <c r="A193" i="42" s="1"/>
  <c r="A194" i="42" s="1"/>
  <c r="A195" i="42" s="1"/>
  <c r="A196" i="42" s="1"/>
  <c r="A197" i="42" s="1"/>
  <c r="A198" i="42" s="1"/>
  <c r="A199" i="42" s="1"/>
  <c r="A200" i="42" s="1"/>
  <c r="A201" i="42" s="1"/>
  <c r="A202" i="42" s="1"/>
  <c r="A203" i="42" s="1"/>
  <c r="A204" i="42" s="1"/>
  <c r="A205" i="42" s="1"/>
  <c r="A206" i="42" s="1"/>
  <c r="A207" i="42" s="1"/>
  <c r="A208" i="42" s="1"/>
  <c r="A209" i="42" s="1"/>
  <c r="A210" i="42" s="1"/>
  <c r="A211" i="42" s="1"/>
  <c r="A212" i="42" s="1"/>
  <c r="A213" i="42" s="1"/>
  <c r="A214" i="42" s="1"/>
  <c r="A215" i="42" s="1"/>
  <c r="A216" i="42" s="1"/>
  <c r="A217" i="42" s="1"/>
  <c r="A218" i="42" s="1"/>
  <c r="A219" i="42" s="1"/>
  <c r="A220" i="42" s="1"/>
  <c r="A221" i="42" s="1"/>
  <c r="A222" i="42" s="1"/>
  <c r="A223" i="42" s="1"/>
  <c r="A224" i="42" s="1"/>
  <c r="A225" i="42" s="1"/>
  <c r="A226" i="42" s="1"/>
  <c r="A227" i="42" s="1"/>
  <c r="A228" i="42" s="1"/>
  <c r="A229" i="42" s="1"/>
  <c r="A230" i="42" s="1"/>
  <c r="A231" i="42" s="1"/>
  <c r="A232" i="42" s="1"/>
  <c r="A233" i="42" s="1"/>
  <c r="A234" i="42" s="1"/>
  <c r="A235" i="42" s="1"/>
  <c r="A236" i="42" s="1"/>
  <c r="A237" i="42" s="1"/>
  <c r="A238" i="42" s="1"/>
  <c r="A239" i="42" s="1"/>
  <c r="A240" i="42" s="1"/>
  <c r="A241" i="42" s="1"/>
  <c r="A242" i="42" s="1"/>
  <c r="A243" i="42" s="1"/>
  <c r="A244" i="42" s="1"/>
  <c r="A245" i="42" s="1"/>
  <c r="A246" i="42" s="1"/>
  <c r="A247" i="42" s="1"/>
  <c r="A248" i="42" s="1"/>
  <c r="A249" i="42" s="1"/>
  <c r="A250" i="42" s="1"/>
  <c r="A251" i="42" s="1"/>
  <c r="A252" i="42" s="1"/>
  <c r="A253" i="42" s="1"/>
  <c r="A254" i="42" s="1"/>
  <c r="A255" i="42" s="1"/>
  <c r="A256" i="42" s="1"/>
  <c r="A257" i="42" s="1"/>
  <c r="A258" i="42" s="1"/>
  <c r="A259" i="42" s="1"/>
  <c r="A260" i="42" s="1"/>
  <c r="A261" i="42" s="1"/>
  <c r="A262" i="42" s="1"/>
  <c r="A263" i="42" s="1"/>
  <c r="I128" i="42"/>
  <c r="L128" i="42" s="1"/>
  <c r="T124" i="42"/>
  <c r="I124" i="42"/>
  <c r="L124" i="42" s="1"/>
  <c r="T123" i="42"/>
  <c r="I123" i="42"/>
  <c r="L123" i="42" s="1"/>
  <c r="T122" i="42"/>
  <c r="I122" i="42"/>
  <c r="L122" i="42" s="1"/>
  <c r="T121" i="42"/>
  <c r="I121" i="42"/>
  <c r="L121" i="42" s="1"/>
  <c r="T120" i="42"/>
  <c r="I120" i="42"/>
  <c r="L120" i="42" s="1"/>
  <c r="T119" i="42"/>
  <c r="I119" i="42"/>
  <c r="L119" i="42" s="1"/>
  <c r="T118" i="42"/>
  <c r="I118" i="42"/>
  <c r="L118" i="42" s="1"/>
  <c r="T117" i="42"/>
  <c r="I117" i="42"/>
  <c r="L117" i="42" s="1"/>
  <c r="T116" i="42"/>
  <c r="I116" i="42"/>
  <c r="L116" i="42" s="1"/>
  <c r="T115" i="42"/>
  <c r="I115" i="42"/>
  <c r="L115" i="42" s="1"/>
  <c r="T114" i="42"/>
  <c r="I114" i="42"/>
  <c r="L114" i="42" s="1"/>
  <c r="T113" i="42"/>
  <c r="I113" i="42"/>
  <c r="L113" i="42" s="1"/>
  <c r="T112" i="42"/>
  <c r="I112" i="42"/>
  <c r="L112" i="42" s="1"/>
  <c r="T111" i="42"/>
  <c r="I111" i="42"/>
  <c r="L111" i="42" s="1"/>
  <c r="T110" i="42"/>
  <c r="I110" i="42"/>
  <c r="L110" i="42" s="1"/>
  <c r="T109" i="42"/>
  <c r="I109" i="42"/>
  <c r="L109" i="42" s="1"/>
  <c r="T108" i="42"/>
  <c r="I108" i="42"/>
  <c r="L108" i="42" s="1"/>
  <c r="T107" i="42"/>
  <c r="I107" i="42"/>
  <c r="L107" i="42" s="1"/>
  <c r="T106" i="42"/>
  <c r="I106" i="42"/>
  <c r="L106" i="42" s="1"/>
  <c r="T105" i="42"/>
  <c r="I105" i="42"/>
  <c r="L105" i="42" s="1"/>
  <c r="T104" i="42"/>
  <c r="I104" i="42"/>
  <c r="L104" i="42" s="1"/>
  <c r="T103" i="42"/>
  <c r="I103" i="42"/>
  <c r="L103" i="42" s="1"/>
  <c r="T102" i="42"/>
  <c r="I102" i="42"/>
  <c r="L102" i="42" s="1"/>
  <c r="T101" i="42"/>
  <c r="I101" i="42"/>
  <c r="L101" i="42" s="1"/>
  <c r="T100" i="42"/>
  <c r="I100" i="42"/>
  <c r="L100" i="42" s="1"/>
  <c r="T99" i="42"/>
  <c r="I99" i="42"/>
  <c r="L99" i="42" s="1"/>
  <c r="T98" i="42"/>
  <c r="I98" i="42"/>
  <c r="L98" i="42" s="1"/>
  <c r="T97" i="42"/>
  <c r="I97" i="42"/>
  <c r="L97" i="42" s="1"/>
  <c r="T96" i="42"/>
  <c r="I96" i="42"/>
  <c r="L96" i="42" s="1"/>
  <c r="T95" i="42"/>
  <c r="I95" i="42"/>
  <c r="L95" i="42" s="1"/>
  <c r="T94" i="42"/>
  <c r="I94" i="42"/>
  <c r="L94" i="42" s="1"/>
  <c r="T93" i="42"/>
  <c r="I93" i="42"/>
  <c r="L93" i="42" s="1"/>
  <c r="T92" i="42"/>
  <c r="I92" i="42"/>
  <c r="L92" i="42" s="1"/>
  <c r="T91" i="42"/>
  <c r="I91" i="42"/>
  <c r="L91" i="42" s="1"/>
  <c r="T90" i="42"/>
  <c r="I90" i="42"/>
  <c r="L90" i="42" s="1"/>
  <c r="T89" i="42"/>
  <c r="I89" i="42"/>
  <c r="L89" i="42" s="1"/>
  <c r="T88" i="42"/>
  <c r="I88" i="42"/>
  <c r="L88" i="42" s="1"/>
  <c r="T87" i="42"/>
  <c r="I87" i="42"/>
  <c r="L87" i="42" s="1"/>
  <c r="T86" i="42"/>
  <c r="I86" i="42"/>
  <c r="L86" i="42" s="1"/>
  <c r="T85" i="42"/>
  <c r="I85" i="42"/>
  <c r="L85" i="42" s="1"/>
  <c r="T84" i="42"/>
  <c r="I84" i="42"/>
  <c r="L84" i="42" s="1"/>
  <c r="T83" i="42"/>
  <c r="I83" i="42"/>
  <c r="L83" i="42" s="1"/>
  <c r="T82" i="42"/>
  <c r="I82" i="42"/>
  <c r="L82" i="42" s="1"/>
  <c r="T81" i="42"/>
  <c r="I81" i="42"/>
  <c r="L81" i="42" s="1"/>
  <c r="T80" i="42"/>
  <c r="I80" i="42"/>
  <c r="L80" i="42" s="1"/>
  <c r="T79" i="42"/>
  <c r="I79" i="42"/>
  <c r="L79" i="42" s="1"/>
  <c r="T78" i="42"/>
  <c r="I78" i="42"/>
  <c r="L78" i="42" s="1"/>
  <c r="T77" i="42"/>
  <c r="I77" i="42"/>
  <c r="L77" i="42" s="1"/>
  <c r="T76" i="42"/>
  <c r="I76" i="42"/>
  <c r="L76" i="42" s="1"/>
  <c r="T75" i="42"/>
  <c r="I75" i="42"/>
  <c r="L75" i="42" s="1"/>
  <c r="T74" i="42"/>
  <c r="I74" i="42"/>
  <c r="L74" i="42" s="1"/>
  <c r="T73" i="42"/>
  <c r="I73" i="42"/>
  <c r="L73" i="42" s="1"/>
  <c r="T72" i="42"/>
  <c r="I72" i="42"/>
  <c r="L72" i="42" s="1"/>
  <c r="T71" i="42"/>
  <c r="I71" i="42"/>
  <c r="L71" i="42" s="1"/>
  <c r="T70" i="42"/>
  <c r="I70" i="42"/>
  <c r="L70" i="42" s="1"/>
  <c r="T69" i="42"/>
  <c r="I69" i="42"/>
  <c r="L69" i="42" s="1"/>
  <c r="T68" i="42"/>
  <c r="I68" i="42"/>
  <c r="L68" i="42" s="1"/>
  <c r="T67" i="42"/>
  <c r="I67" i="42"/>
  <c r="L67" i="42" s="1"/>
  <c r="T66" i="42"/>
  <c r="I66" i="42"/>
  <c r="L66" i="42" s="1"/>
  <c r="T65" i="42"/>
  <c r="I65" i="42"/>
  <c r="L65" i="42" s="1"/>
  <c r="T64" i="42"/>
  <c r="I64" i="42"/>
  <c r="L64" i="42" s="1"/>
  <c r="T63" i="42"/>
  <c r="I63" i="42"/>
  <c r="L63" i="42" s="1"/>
  <c r="T62" i="42"/>
  <c r="I62" i="42"/>
  <c r="L62" i="42" s="1"/>
  <c r="T61" i="42"/>
  <c r="I61" i="42"/>
  <c r="L61" i="42" s="1"/>
  <c r="T60" i="42"/>
  <c r="I60" i="42"/>
  <c r="L60" i="42" s="1"/>
  <c r="T59" i="42"/>
  <c r="I59" i="42"/>
  <c r="L59" i="42" s="1"/>
  <c r="T58" i="42"/>
  <c r="I58" i="42"/>
  <c r="L58" i="42" s="1"/>
  <c r="T57" i="42"/>
  <c r="I57" i="42"/>
  <c r="L57" i="42" s="1"/>
  <c r="T56" i="42"/>
  <c r="I56" i="42"/>
  <c r="L56" i="42" s="1"/>
  <c r="T55" i="42"/>
  <c r="I55" i="42"/>
  <c r="L55" i="42" s="1"/>
  <c r="T54" i="42"/>
  <c r="I54" i="42"/>
  <c r="L54" i="42" s="1"/>
  <c r="T53" i="42"/>
  <c r="I53" i="42"/>
  <c r="L53" i="42" s="1"/>
  <c r="T52" i="42"/>
  <c r="I52" i="42"/>
  <c r="L52" i="42" s="1"/>
  <c r="T51" i="42"/>
  <c r="I51" i="42"/>
  <c r="L51" i="42" s="1"/>
  <c r="T50" i="42"/>
  <c r="I50" i="42"/>
  <c r="L50" i="42" s="1"/>
  <c r="T49" i="42"/>
  <c r="I49" i="42"/>
  <c r="L49" i="42" s="1"/>
  <c r="T48" i="42"/>
  <c r="I48" i="42"/>
  <c r="L48" i="42" s="1"/>
  <c r="T47" i="42"/>
  <c r="I47" i="42"/>
  <c r="L47" i="42" s="1"/>
  <c r="T46" i="42"/>
  <c r="I46" i="42"/>
  <c r="L46" i="42" s="1"/>
  <c r="T45" i="42"/>
  <c r="I45" i="42"/>
  <c r="L45" i="42" s="1"/>
  <c r="T44" i="42"/>
  <c r="I44" i="42"/>
  <c r="L44" i="42" s="1"/>
  <c r="T43" i="42"/>
  <c r="I43" i="42"/>
  <c r="L43" i="42" s="1"/>
  <c r="T42" i="42"/>
  <c r="I42" i="42"/>
  <c r="L42" i="42" s="1"/>
  <c r="T41" i="42"/>
  <c r="I41" i="42"/>
  <c r="L41" i="42" s="1"/>
  <c r="T40" i="42"/>
  <c r="I40" i="42"/>
  <c r="L40" i="42" s="1"/>
  <c r="T39" i="42"/>
  <c r="I39" i="42"/>
  <c r="L39" i="42" s="1"/>
  <c r="T38" i="42"/>
  <c r="I38" i="42"/>
  <c r="L38" i="42" s="1"/>
  <c r="T37" i="42"/>
  <c r="I37" i="42"/>
  <c r="L37" i="42" s="1"/>
  <c r="T36" i="42"/>
  <c r="I36" i="42"/>
  <c r="L36" i="42" s="1"/>
  <c r="T35" i="42"/>
  <c r="I35" i="42"/>
  <c r="L35" i="42" s="1"/>
  <c r="T34" i="42"/>
  <c r="I34" i="42"/>
  <c r="L34" i="42" s="1"/>
  <c r="T33" i="42"/>
  <c r="I33" i="42"/>
  <c r="L33" i="42" s="1"/>
  <c r="T32" i="42"/>
  <c r="I32" i="42"/>
  <c r="L32" i="42" s="1"/>
  <c r="I31" i="42"/>
  <c r="L31" i="42" s="1"/>
  <c r="I30" i="42"/>
  <c r="L30" i="42" s="1"/>
  <c r="I29" i="42"/>
  <c r="L29" i="42" s="1"/>
  <c r="I28" i="42"/>
  <c r="L28" i="42" s="1"/>
  <c r="I27" i="42"/>
  <c r="L27" i="42" s="1"/>
  <c r="I26" i="42"/>
  <c r="L26" i="42" s="1"/>
  <c r="I25" i="42"/>
  <c r="L25" i="42" s="1"/>
  <c r="I24" i="42"/>
  <c r="L24" i="42" s="1"/>
  <c r="I23" i="42"/>
  <c r="L23" i="42" s="1"/>
  <c r="I22" i="42"/>
  <c r="L22" i="42" s="1"/>
  <c r="I21" i="42"/>
  <c r="L21" i="42" s="1"/>
  <c r="I20" i="42"/>
  <c r="L20" i="42" s="1"/>
  <c r="A20" i="42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94" i="42" s="1"/>
  <c r="A95" i="42" s="1"/>
  <c r="A96" i="42" s="1"/>
  <c r="A97" i="42" s="1"/>
  <c r="A98" i="42" s="1"/>
  <c r="A99" i="42" s="1"/>
  <c r="A100" i="42" s="1"/>
  <c r="A101" i="42" s="1"/>
  <c r="A102" i="42" s="1"/>
  <c r="A103" i="42" s="1"/>
  <c r="A104" i="42" s="1"/>
  <c r="A105" i="42" s="1"/>
  <c r="A106" i="42" s="1"/>
  <c r="A107" i="42" s="1"/>
  <c r="A108" i="42" s="1"/>
  <c r="A109" i="42" s="1"/>
  <c r="A110" i="42" s="1"/>
  <c r="A111" i="42" s="1"/>
  <c r="A112" i="42" s="1"/>
  <c r="A113" i="42" s="1"/>
  <c r="A114" i="42" s="1"/>
  <c r="A115" i="42" s="1"/>
  <c r="A116" i="42" s="1"/>
  <c r="A117" i="42" s="1"/>
  <c r="A118" i="42" s="1"/>
  <c r="A119" i="42" s="1"/>
  <c r="A120" i="42" s="1"/>
  <c r="A121" i="42" s="1"/>
  <c r="A122" i="42" s="1"/>
  <c r="A123" i="42" s="1"/>
  <c r="A124" i="42" s="1"/>
  <c r="M19" i="42"/>
  <c r="I19" i="42"/>
  <c r="L19" i="42" s="1"/>
  <c r="A7" i="42"/>
  <c r="A6" i="42"/>
  <c r="K1053" i="41"/>
  <c r="K1046" i="41"/>
  <c r="K1033" i="41"/>
  <c r="K1032" i="41"/>
  <c r="K1031" i="41"/>
  <c r="K1030" i="41"/>
  <c r="K1029" i="41"/>
  <c r="K1028" i="41"/>
  <c r="K1027" i="41"/>
  <c r="K1026" i="41"/>
  <c r="K1025" i="41"/>
  <c r="K1024" i="41"/>
  <c r="K1023" i="41"/>
  <c r="K1022" i="41"/>
  <c r="K1021" i="41"/>
  <c r="K1020" i="41"/>
  <c r="K1019" i="41"/>
  <c r="K1018" i="41"/>
  <c r="K1017" i="41"/>
  <c r="K1016" i="41"/>
  <c r="K1015" i="41"/>
  <c r="K1014" i="41"/>
  <c r="K1013" i="41"/>
  <c r="K1012" i="41"/>
  <c r="K1011" i="41"/>
  <c r="K1010" i="41"/>
  <c r="K1009" i="41"/>
  <c r="K1008" i="41"/>
  <c r="K1004" i="41"/>
  <c r="K1003" i="41"/>
  <c r="K1002" i="41"/>
  <c r="K1001" i="41"/>
  <c r="K1000" i="41"/>
  <c r="K999" i="41"/>
  <c r="K998" i="41"/>
  <c r="K997" i="41"/>
  <c r="K996" i="41"/>
  <c r="K995" i="41"/>
  <c r="K994" i="41"/>
  <c r="K993" i="41"/>
  <c r="K992" i="41"/>
  <c r="K991" i="41"/>
  <c r="K990" i="41"/>
  <c r="K989" i="41"/>
  <c r="K988" i="41"/>
  <c r="K987" i="41"/>
  <c r="K986" i="41"/>
  <c r="K982" i="41"/>
  <c r="K981" i="41"/>
  <c r="K980" i="41"/>
  <c r="K979" i="41"/>
  <c r="K978" i="41"/>
  <c r="K977" i="41"/>
  <c r="K976" i="41"/>
  <c r="K975" i="41"/>
  <c r="K974" i="41"/>
  <c r="K973" i="41"/>
  <c r="K972" i="41"/>
  <c r="K971" i="41"/>
  <c r="K970" i="41"/>
  <c r="K969" i="41"/>
  <c r="K968" i="41"/>
  <c r="K967" i="41"/>
  <c r="K966" i="41"/>
  <c r="K965" i="41"/>
  <c r="K964" i="41"/>
  <c r="K963" i="41"/>
  <c r="K962" i="41"/>
  <c r="K961" i="41"/>
  <c r="K960" i="41"/>
  <c r="K959" i="41"/>
  <c r="K958" i="41"/>
  <c r="M958" i="41" s="1"/>
  <c r="K957" i="41"/>
  <c r="K956" i="41"/>
  <c r="K955" i="41"/>
  <c r="K954" i="41"/>
  <c r="K953" i="41"/>
  <c r="K952" i="41"/>
  <c r="K951" i="41"/>
  <c r="K950" i="41"/>
  <c r="K949" i="41"/>
  <c r="K948" i="41"/>
  <c r="K947" i="41"/>
  <c r="K946" i="41"/>
  <c r="K945" i="41"/>
  <c r="K944" i="41"/>
  <c r="K943" i="41"/>
  <c r="K942" i="41"/>
  <c r="K941" i="41"/>
  <c r="K940" i="41"/>
  <c r="K939" i="41"/>
  <c r="K938" i="41"/>
  <c r="K937" i="41"/>
  <c r="K936" i="41"/>
  <c r="K935" i="41"/>
  <c r="K931" i="41"/>
  <c r="K930" i="41"/>
  <c r="K929" i="41"/>
  <c r="K928" i="41"/>
  <c r="K927" i="41"/>
  <c r="K926" i="41"/>
  <c r="K925" i="41"/>
  <c r="K924" i="41"/>
  <c r="K923" i="41"/>
  <c r="K922" i="41"/>
  <c r="K921" i="41"/>
  <c r="K920" i="41"/>
  <c r="K919" i="41"/>
  <c r="K918" i="41"/>
  <c r="K917" i="41"/>
  <c r="K916" i="41"/>
  <c r="K915" i="41"/>
  <c r="K914" i="41"/>
  <c r="K913" i="41"/>
  <c r="K912" i="41"/>
  <c r="K908" i="41"/>
  <c r="K907" i="41"/>
  <c r="K906" i="41"/>
  <c r="K905" i="41"/>
  <c r="K904" i="41"/>
  <c r="K903" i="41"/>
  <c r="K902" i="41"/>
  <c r="K901" i="41"/>
  <c r="K900" i="41"/>
  <c r="K899" i="41"/>
  <c r="K898" i="41"/>
  <c r="K897" i="41"/>
  <c r="K893" i="41"/>
  <c r="K892" i="41"/>
  <c r="K891" i="41"/>
  <c r="K890" i="41"/>
  <c r="K889" i="41"/>
  <c r="K888" i="41"/>
  <c r="K887" i="41"/>
  <c r="K886" i="41"/>
  <c r="K885" i="41"/>
  <c r="K881" i="41"/>
  <c r="K880" i="41"/>
  <c r="K879" i="41"/>
  <c r="K878" i="41"/>
  <c r="K877" i="41"/>
  <c r="K876" i="41"/>
  <c r="K875" i="41"/>
  <c r="K874" i="41"/>
  <c r="K873" i="41"/>
  <c r="K872" i="41"/>
  <c r="K871" i="41"/>
  <c r="K870" i="41"/>
  <c r="K869" i="41"/>
  <c r="K868" i="41"/>
  <c r="K867" i="41"/>
  <c r="K866" i="41"/>
  <c r="K865" i="41"/>
  <c r="K864" i="41"/>
  <c r="K863" i="41"/>
  <c r="K862" i="41"/>
  <c r="K861" i="41"/>
  <c r="K860" i="41"/>
  <c r="K859" i="41"/>
  <c r="K858" i="41"/>
  <c r="K857" i="41"/>
  <c r="K856" i="41"/>
  <c r="K855" i="41"/>
  <c r="K854" i="41"/>
  <c r="K853" i="41"/>
  <c r="K852" i="41"/>
  <c r="K851" i="41"/>
  <c r="K850" i="41"/>
  <c r="K849" i="41"/>
  <c r="K848" i="41"/>
  <c r="K847" i="41"/>
  <c r="K846" i="41"/>
  <c r="K845" i="41"/>
  <c r="K844" i="41"/>
  <c r="K843" i="41"/>
  <c r="K842" i="41"/>
  <c r="K841" i="41"/>
  <c r="K840" i="41"/>
  <c r="K839" i="41"/>
  <c r="K838" i="41"/>
  <c r="K837" i="41"/>
  <c r="K836" i="41"/>
  <c r="K835" i="41"/>
  <c r="K834" i="41"/>
  <c r="K833" i="41"/>
  <c r="K832" i="41"/>
  <c r="K831" i="41"/>
  <c r="K830" i="41"/>
  <c r="K829" i="41"/>
  <c r="K828" i="41"/>
  <c r="K827" i="41"/>
  <c r="K826" i="41"/>
  <c r="K825" i="41"/>
  <c r="K824" i="41"/>
  <c r="K823" i="41"/>
  <c r="K822" i="41"/>
  <c r="K821" i="41"/>
  <c r="K820" i="41"/>
  <c r="K819" i="41"/>
  <c r="K818" i="41"/>
  <c r="K817" i="41"/>
  <c r="K816" i="41"/>
  <c r="K815" i="41"/>
  <c r="K814" i="41"/>
  <c r="K813" i="41"/>
  <c r="K812" i="41"/>
  <c r="K811" i="41"/>
  <c r="K810" i="41"/>
  <c r="K809" i="41"/>
  <c r="K808" i="41"/>
  <c r="K807" i="41"/>
  <c r="K806" i="41"/>
  <c r="K805" i="41"/>
  <c r="K804" i="41"/>
  <c r="K803" i="41"/>
  <c r="K802" i="41"/>
  <c r="K801" i="41"/>
  <c r="K800" i="41"/>
  <c r="K799" i="41"/>
  <c r="K798" i="41"/>
  <c r="K797" i="41"/>
  <c r="K796" i="41"/>
  <c r="K795" i="41"/>
  <c r="K794" i="41"/>
  <c r="K793" i="41"/>
  <c r="K792" i="41"/>
  <c r="K791" i="41"/>
  <c r="K790" i="41"/>
  <c r="K789" i="41"/>
  <c r="K788" i="41"/>
  <c r="K787" i="41"/>
  <c r="K786" i="41"/>
  <c r="K785" i="41"/>
  <c r="K784" i="41"/>
  <c r="K783" i="41"/>
  <c r="K782" i="41"/>
  <c r="K781" i="41"/>
  <c r="K780" i="41"/>
  <c r="K779" i="41"/>
  <c r="K778" i="41"/>
  <c r="K777" i="41"/>
  <c r="K776" i="41"/>
  <c r="K775" i="41"/>
  <c r="K774" i="41"/>
  <c r="K773" i="41"/>
  <c r="K769" i="41"/>
  <c r="K768" i="41"/>
  <c r="K767" i="41"/>
  <c r="K766" i="41"/>
  <c r="K765" i="41"/>
  <c r="K764" i="41"/>
  <c r="K763" i="41"/>
  <c r="K762" i="41"/>
  <c r="K761" i="41"/>
  <c r="K760" i="41"/>
  <c r="K759" i="41"/>
  <c r="K758" i="41"/>
  <c r="K757" i="41"/>
  <c r="K756" i="41"/>
  <c r="K755" i="41"/>
  <c r="K754" i="41"/>
  <c r="K753" i="41"/>
  <c r="K752" i="41"/>
  <c r="K751" i="41"/>
  <c r="K750" i="41"/>
  <c r="K749" i="41"/>
  <c r="K748" i="41"/>
  <c r="K747" i="41"/>
  <c r="K746" i="41"/>
  <c r="K742" i="41"/>
  <c r="K741" i="41"/>
  <c r="K740" i="41"/>
  <c r="K739" i="41"/>
  <c r="K738" i="41"/>
  <c r="K737" i="41"/>
  <c r="K736" i="41"/>
  <c r="K735" i="41"/>
  <c r="K734" i="41"/>
  <c r="K733" i="41"/>
  <c r="K732" i="41"/>
  <c r="K731" i="41"/>
  <c r="K730" i="41"/>
  <c r="K729" i="41"/>
  <c r="K728" i="41"/>
  <c r="K727" i="41"/>
  <c r="K726" i="41"/>
  <c r="K725" i="41"/>
  <c r="K724" i="41"/>
  <c r="K723" i="41"/>
  <c r="K722" i="41"/>
  <c r="K721" i="41"/>
  <c r="K720" i="41"/>
  <c r="K719" i="41"/>
  <c r="K718" i="41"/>
  <c r="K717" i="41"/>
  <c r="K716" i="41"/>
  <c r="K715" i="41"/>
  <c r="K714" i="41"/>
  <c r="K713" i="41"/>
  <c r="K712" i="41"/>
  <c r="K711" i="41"/>
  <c r="K710" i="41"/>
  <c r="K709" i="41"/>
  <c r="K708" i="41"/>
  <c r="K707" i="41"/>
  <c r="K706" i="41"/>
  <c r="K705" i="41"/>
  <c r="K704" i="41"/>
  <c r="K703" i="41"/>
  <c r="K702" i="41"/>
  <c r="K701" i="41"/>
  <c r="K700" i="41"/>
  <c r="K699" i="41"/>
  <c r="K698" i="41"/>
  <c r="K697" i="41"/>
  <c r="K696" i="41"/>
  <c r="K695" i="41"/>
  <c r="K694" i="41"/>
  <c r="K693" i="41"/>
  <c r="K692" i="41"/>
  <c r="K691" i="41"/>
  <c r="K690" i="41"/>
  <c r="K689" i="41"/>
  <c r="K688" i="41"/>
  <c r="K687" i="41"/>
  <c r="K686" i="41"/>
  <c r="K685" i="41"/>
  <c r="K684" i="41"/>
  <c r="K683" i="41"/>
  <c r="K682" i="41"/>
  <c r="K681" i="41"/>
  <c r="K680" i="41"/>
  <c r="K679" i="41"/>
  <c r="K678" i="41"/>
  <c r="K677" i="41"/>
  <c r="K676" i="41"/>
  <c r="K675" i="41"/>
  <c r="K674" i="41"/>
  <c r="K673" i="41"/>
  <c r="K672" i="41"/>
  <c r="K671" i="41"/>
  <c r="K670" i="41"/>
  <c r="K669" i="41"/>
  <c r="K668" i="41"/>
  <c r="K667" i="41"/>
  <c r="K666" i="41"/>
  <c r="K665" i="41"/>
  <c r="K664" i="41"/>
  <c r="K663" i="41"/>
  <c r="K662" i="41"/>
  <c r="K661" i="41"/>
  <c r="K660" i="41"/>
  <c r="K659" i="41"/>
  <c r="K658" i="41"/>
  <c r="K654" i="41"/>
  <c r="K653" i="41"/>
  <c r="K652" i="41"/>
  <c r="K651" i="41"/>
  <c r="K650" i="41"/>
  <c r="K649" i="41"/>
  <c r="K648" i="41"/>
  <c r="K647" i="41"/>
  <c r="K646" i="41"/>
  <c r="K645" i="41"/>
  <c r="K644" i="41"/>
  <c r="K643" i="41"/>
  <c r="K642" i="41"/>
  <c r="K641" i="41"/>
  <c r="K640" i="41"/>
  <c r="K639" i="41"/>
  <c r="K638" i="41"/>
  <c r="K637" i="41"/>
  <c r="K636" i="41"/>
  <c r="K635" i="41"/>
  <c r="K634" i="41"/>
  <c r="K633" i="41"/>
  <c r="K632" i="41"/>
  <c r="M632" i="41" s="1"/>
  <c r="K631" i="41"/>
  <c r="K630" i="41"/>
  <c r="K629" i="41"/>
  <c r="K628" i="41"/>
  <c r="K627" i="41"/>
  <c r="K626" i="41"/>
  <c r="K625" i="41"/>
  <c r="K621" i="41"/>
  <c r="K620" i="41"/>
  <c r="K619" i="41"/>
  <c r="K618" i="41"/>
  <c r="K617" i="41"/>
  <c r="K616" i="41"/>
  <c r="K615" i="41"/>
  <c r="K614" i="41"/>
  <c r="K613" i="41"/>
  <c r="K612" i="41"/>
  <c r="K611" i="41"/>
  <c r="K610" i="41"/>
  <c r="K609" i="41"/>
  <c r="K608" i="41"/>
  <c r="K607" i="41"/>
  <c r="K606" i="41"/>
  <c r="K605" i="41"/>
  <c r="K604" i="41"/>
  <c r="K603" i="41"/>
  <c r="K602" i="41"/>
  <c r="K601" i="41"/>
  <c r="K600" i="41"/>
  <c r="K599" i="41"/>
  <c r="K598" i="41"/>
  <c r="K597" i="41"/>
  <c r="K596" i="41"/>
  <c r="K595" i="41"/>
  <c r="K594" i="41"/>
  <c r="K593" i="41"/>
  <c r="K592" i="41"/>
  <c r="K591" i="41"/>
  <c r="K590" i="41"/>
  <c r="K589" i="41"/>
  <c r="K588" i="41"/>
  <c r="K587" i="41"/>
  <c r="K586" i="41"/>
  <c r="K585" i="41"/>
  <c r="K584" i="41"/>
  <c r="K583" i="41"/>
  <c r="K582" i="41"/>
  <c r="K581" i="41"/>
  <c r="K580" i="41"/>
  <c r="K579" i="41"/>
  <c r="K578" i="41"/>
  <c r="K577" i="41"/>
  <c r="K576" i="41"/>
  <c r="K575" i="41"/>
  <c r="K574" i="41"/>
  <c r="K573" i="41"/>
  <c r="K572" i="41"/>
  <c r="K571" i="41"/>
  <c r="K570" i="41"/>
  <c r="K569" i="41"/>
  <c r="K568" i="41"/>
  <c r="K567" i="41"/>
  <c r="K566" i="41"/>
  <c r="K565" i="41"/>
  <c r="K564" i="41"/>
  <c r="K563" i="41"/>
  <c r="K562" i="41"/>
  <c r="K561" i="41"/>
  <c r="K560" i="41"/>
  <c r="K559" i="41"/>
  <c r="K558" i="41"/>
  <c r="K557" i="41"/>
  <c r="K556" i="41"/>
  <c r="K555" i="41"/>
  <c r="K554" i="41"/>
  <c r="K553" i="41"/>
  <c r="K552" i="41"/>
  <c r="K551" i="41"/>
  <c r="K550" i="41"/>
  <c r="K549" i="41"/>
  <c r="K548" i="41"/>
  <c r="K547" i="41"/>
  <c r="K546" i="41"/>
  <c r="K545" i="41"/>
  <c r="K544" i="41"/>
  <c r="K543" i="41"/>
  <c r="K263" i="41"/>
  <c r="K262" i="41"/>
  <c r="K261" i="41"/>
  <c r="K260" i="41"/>
  <c r="K259" i="41"/>
  <c r="K258" i="41"/>
  <c r="K257" i="41"/>
  <c r="K256" i="41"/>
  <c r="K255" i="41"/>
  <c r="K254" i="41"/>
  <c r="K253" i="41"/>
  <c r="K252" i="41"/>
  <c r="K251" i="41"/>
  <c r="K250" i="41"/>
  <c r="K249" i="41"/>
  <c r="K248" i="41"/>
  <c r="K247" i="41"/>
  <c r="K246" i="41"/>
  <c r="K245" i="41"/>
  <c r="K244" i="41"/>
  <c r="K243" i="41"/>
  <c r="K242" i="41"/>
  <c r="K241" i="41"/>
  <c r="K240" i="41"/>
  <c r="K239" i="41"/>
  <c r="K238" i="41"/>
  <c r="K237" i="41"/>
  <c r="K236" i="41"/>
  <c r="K235" i="41"/>
  <c r="K234" i="41"/>
  <c r="K233" i="41"/>
  <c r="K232" i="41"/>
  <c r="K231" i="41"/>
  <c r="K230" i="41"/>
  <c r="K229" i="41"/>
  <c r="K228" i="41"/>
  <c r="K227" i="41"/>
  <c r="K226" i="41"/>
  <c r="K225" i="41"/>
  <c r="K224" i="41"/>
  <c r="K223" i="41"/>
  <c r="K222" i="41"/>
  <c r="K221" i="41"/>
  <c r="K220" i="41"/>
  <c r="K219" i="41"/>
  <c r="K218" i="41"/>
  <c r="K217" i="41"/>
  <c r="K216" i="41"/>
  <c r="K215" i="41"/>
  <c r="K214" i="41"/>
  <c r="K213" i="41"/>
  <c r="K212" i="41"/>
  <c r="K211" i="41"/>
  <c r="K210" i="41"/>
  <c r="K209" i="41"/>
  <c r="K208" i="41"/>
  <c r="K207" i="41"/>
  <c r="K206" i="41"/>
  <c r="K205" i="41"/>
  <c r="K204" i="41"/>
  <c r="K203" i="41"/>
  <c r="K202" i="41"/>
  <c r="K201" i="41"/>
  <c r="K200" i="41"/>
  <c r="K199" i="41"/>
  <c r="K198" i="41"/>
  <c r="K197" i="41"/>
  <c r="K196" i="41"/>
  <c r="K195" i="41"/>
  <c r="K194" i="41"/>
  <c r="K193" i="41"/>
  <c r="K192" i="41"/>
  <c r="K191" i="41"/>
  <c r="K190" i="41"/>
  <c r="K189" i="41"/>
  <c r="K188" i="41"/>
  <c r="K187" i="41"/>
  <c r="K186" i="41"/>
  <c r="K185" i="41"/>
  <c r="K184" i="41"/>
  <c r="K183" i="41"/>
  <c r="K182" i="41"/>
  <c r="K181" i="41"/>
  <c r="K180" i="41"/>
  <c r="K179" i="41"/>
  <c r="K178" i="41"/>
  <c r="K177" i="41"/>
  <c r="K176" i="41"/>
  <c r="K175" i="41"/>
  <c r="K174" i="41"/>
  <c r="K173" i="41"/>
  <c r="K172" i="41"/>
  <c r="K171" i="41"/>
  <c r="K170" i="41"/>
  <c r="K169" i="41"/>
  <c r="K168" i="41"/>
  <c r="K167" i="41"/>
  <c r="K166" i="41"/>
  <c r="K165" i="41"/>
  <c r="K164" i="41"/>
  <c r="K163" i="41"/>
  <c r="K162" i="41"/>
  <c r="K161" i="41"/>
  <c r="K160" i="41"/>
  <c r="K159" i="41"/>
  <c r="K158" i="41"/>
  <c r="K157" i="41"/>
  <c r="K156" i="41"/>
  <c r="K155" i="41"/>
  <c r="K154" i="41"/>
  <c r="K153" i="41"/>
  <c r="K152" i="41"/>
  <c r="K151" i="41"/>
  <c r="K150" i="41"/>
  <c r="K149" i="41"/>
  <c r="K148" i="41"/>
  <c r="K147" i="41"/>
  <c r="K146" i="41"/>
  <c r="K145" i="41"/>
  <c r="K144" i="41"/>
  <c r="K143" i="41"/>
  <c r="K142" i="41"/>
  <c r="K141" i="41"/>
  <c r="K140" i="41"/>
  <c r="K139" i="41"/>
  <c r="K138" i="41"/>
  <c r="K137" i="41"/>
  <c r="K136" i="41"/>
  <c r="K135" i="41"/>
  <c r="K134" i="41"/>
  <c r="K133" i="41"/>
  <c r="K132" i="41"/>
  <c r="K131" i="41"/>
  <c r="K130" i="41"/>
  <c r="K129" i="41"/>
  <c r="K128" i="41"/>
  <c r="K124" i="41"/>
  <c r="K123" i="41"/>
  <c r="K122" i="41"/>
  <c r="K121" i="41"/>
  <c r="K120" i="41"/>
  <c r="K119" i="41"/>
  <c r="K118" i="41"/>
  <c r="K117" i="41"/>
  <c r="K116" i="41"/>
  <c r="K115" i="41"/>
  <c r="K114" i="41"/>
  <c r="K113" i="41"/>
  <c r="K112" i="41"/>
  <c r="K111" i="41"/>
  <c r="K110" i="41"/>
  <c r="K109" i="41"/>
  <c r="K108" i="41"/>
  <c r="K107" i="41"/>
  <c r="K106" i="41"/>
  <c r="K105" i="41"/>
  <c r="K104" i="41"/>
  <c r="K103" i="41"/>
  <c r="K102" i="41"/>
  <c r="K101" i="41"/>
  <c r="K100" i="41"/>
  <c r="K99" i="41"/>
  <c r="K98" i="41"/>
  <c r="K97" i="41"/>
  <c r="K96" i="41"/>
  <c r="K95" i="41"/>
  <c r="K94" i="41"/>
  <c r="K93" i="41"/>
  <c r="K92" i="41"/>
  <c r="K91" i="41"/>
  <c r="K90" i="41"/>
  <c r="K89" i="41"/>
  <c r="K88" i="41"/>
  <c r="K87" i="41"/>
  <c r="K86" i="41"/>
  <c r="K85" i="41"/>
  <c r="K84" i="41"/>
  <c r="K83" i="41"/>
  <c r="K82" i="41"/>
  <c r="K81" i="41"/>
  <c r="K80" i="41"/>
  <c r="K79" i="41"/>
  <c r="K78" i="41"/>
  <c r="K77" i="41"/>
  <c r="K76" i="41"/>
  <c r="K75" i="41"/>
  <c r="K74" i="41"/>
  <c r="K73" i="41"/>
  <c r="K72" i="41"/>
  <c r="K71" i="41"/>
  <c r="K70" i="41"/>
  <c r="K69" i="41"/>
  <c r="K68" i="41"/>
  <c r="K67" i="41"/>
  <c r="K66" i="41"/>
  <c r="K65" i="41"/>
  <c r="K64" i="41"/>
  <c r="K63" i="41"/>
  <c r="K62" i="41"/>
  <c r="K61" i="41"/>
  <c r="K60" i="41"/>
  <c r="K59" i="41"/>
  <c r="K58" i="41"/>
  <c r="K57" i="41"/>
  <c r="K56" i="41"/>
  <c r="K55" i="41"/>
  <c r="K54" i="41"/>
  <c r="K53" i="41"/>
  <c r="K52" i="41"/>
  <c r="K51" i="41"/>
  <c r="M51" i="41" s="1"/>
  <c r="K50" i="41"/>
  <c r="K49" i="41"/>
  <c r="K48" i="41"/>
  <c r="K47" i="41"/>
  <c r="K46" i="41"/>
  <c r="K45" i="41"/>
  <c r="K44" i="41"/>
  <c r="K43" i="41"/>
  <c r="K42" i="41"/>
  <c r="K41" i="41"/>
  <c r="K40" i="41"/>
  <c r="K39" i="41"/>
  <c r="K38" i="41"/>
  <c r="K37" i="41"/>
  <c r="K36" i="41"/>
  <c r="K35" i="41"/>
  <c r="K34" i="41"/>
  <c r="K33" i="41"/>
  <c r="K32" i="41"/>
  <c r="K31" i="41"/>
  <c r="K30" i="41"/>
  <c r="K29" i="41"/>
  <c r="K28" i="41"/>
  <c r="K27" i="41"/>
  <c r="K26" i="41"/>
  <c r="K25" i="41"/>
  <c r="K24" i="41"/>
  <c r="K23" i="41"/>
  <c r="K22" i="41"/>
  <c r="K21" i="41"/>
  <c r="K20" i="41"/>
  <c r="K19" i="41"/>
  <c r="G515" i="41"/>
  <c r="G514" i="41"/>
  <c r="G513" i="41"/>
  <c r="G512" i="41"/>
  <c r="G511" i="41"/>
  <c r="G510" i="41"/>
  <c r="G509" i="41"/>
  <c r="G508" i="41"/>
  <c r="G507" i="41"/>
  <c r="G506" i="41"/>
  <c r="F515" i="41"/>
  <c r="F514" i="41"/>
  <c r="F513" i="41"/>
  <c r="F512" i="41"/>
  <c r="F511" i="41"/>
  <c r="F510" i="41"/>
  <c r="F509" i="41"/>
  <c r="F508" i="41"/>
  <c r="G526" i="41"/>
  <c r="G525" i="41"/>
  <c r="G524" i="41"/>
  <c r="G523" i="41"/>
  <c r="G522" i="41"/>
  <c r="G521" i="41"/>
  <c r="G520" i="41"/>
  <c r="G519" i="41"/>
  <c r="G518" i="41"/>
  <c r="G517" i="41"/>
  <c r="F526" i="41"/>
  <c r="F525" i="41"/>
  <c r="F524" i="41"/>
  <c r="F523" i="41"/>
  <c r="I523" i="41" s="1"/>
  <c r="F522" i="41"/>
  <c r="F521" i="41"/>
  <c r="F520" i="41"/>
  <c r="I520" i="41" s="1"/>
  <c r="F519" i="41"/>
  <c r="G537" i="41"/>
  <c r="G536" i="41"/>
  <c r="G535" i="41"/>
  <c r="G534" i="41"/>
  <c r="G533" i="41"/>
  <c r="G532" i="41"/>
  <c r="G531" i="41"/>
  <c r="G530" i="41"/>
  <c r="G529" i="41"/>
  <c r="G528" i="41"/>
  <c r="F537" i="41"/>
  <c r="F536" i="41"/>
  <c r="I536" i="41" s="1"/>
  <c r="F535" i="41"/>
  <c r="I535" i="41" s="1"/>
  <c r="F534" i="41"/>
  <c r="F533" i="41"/>
  <c r="I533" i="41" s="1"/>
  <c r="F532" i="41"/>
  <c r="I532" i="41" s="1"/>
  <c r="F531" i="41"/>
  <c r="F530" i="41"/>
  <c r="F529" i="41"/>
  <c r="F528" i="41"/>
  <c r="F518" i="41"/>
  <c r="I518" i="41" s="1"/>
  <c r="F517" i="41"/>
  <c r="I517" i="41" s="1"/>
  <c r="F507" i="41"/>
  <c r="F506" i="41"/>
  <c r="I537" i="41"/>
  <c r="I534" i="41"/>
  <c r="I531" i="41"/>
  <c r="I530" i="41"/>
  <c r="I529" i="41"/>
  <c r="I528" i="41"/>
  <c r="I526" i="41"/>
  <c r="I525" i="41"/>
  <c r="I524" i="41"/>
  <c r="I522" i="41"/>
  <c r="I521" i="41"/>
  <c r="I519" i="41"/>
  <c r="I515" i="41"/>
  <c r="I514" i="41"/>
  <c r="I512" i="41"/>
  <c r="I511" i="41"/>
  <c r="I510" i="41"/>
  <c r="I509" i="41"/>
  <c r="I508" i="41"/>
  <c r="I507" i="41"/>
  <c r="I506" i="41"/>
  <c r="G504" i="41"/>
  <c r="G503" i="41"/>
  <c r="G502" i="41"/>
  <c r="G501" i="41"/>
  <c r="G500" i="41"/>
  <c r="G499" i="41"/>
  <c r="G498" i="41"/>
  <c r="G497" i="41"/>
  <c r="G496" i="41"/>
  <c r="G495" i="41"/>
  <c r="F504" i="41"/>
  <c r="I504" i="41" s="1"/>
  <c r="F503" i="41"/>
  <c r="F502" i="41"/>
  <c r="I502" i="41" s="1"/>
  <c r="F501" i="41"/>
  <c r="I501" i="41" s="1"/>
  <c r="F500" i="41"/>
  <c r="I500" i="41" s="1"/>
  <c r="F499" i="41"/>
  <c r="I499" i="41" s="1"/>
  <c r="F498" i="41"/>
  <c r="I498" i="41" s="1"/>
  <c r="F497" i="41"/>
  <c r="I497" i="41" s="1"/>
  <c r="F496" i="41"/>
  <c r="F495" i="41"/>
  <c r="H493" i="41"/>
  <c r="H492" i="41"/>
  <c r="H491" i="41"/>
  <c r="H490" i="41"/>
  <c r="H489" i="41"/>
  <c r="H488" i="41"/>
  <c r="H487" i="41"/>
  <c r="H486" i="41"/>
  <c r="H485" i="41"/>
  <c r="H484" i="41"/>
  <c r="I484" i="41" s="1"/>
  <c r="I485" i="41"/>
  <c r="G482" i="41"/>
  <c r="F482" i="41"/>
  <c r="I482" i="41" s="1"/>
  <c r="G481" i="41"/>
  <c r="F481" i="41"/>
  <c r="I481" i="41" s="1"/>
  <c r="G480" i="41"/>
  <c r="F480" i="41"/>
  <c r="I480" i="41" s="1"/>
  <c r="G479" i="41"/>
  <c r="F479" i="41"/>
  <c r="I479" i="41" s="1"/>
  <c r="G478" i="41"/>
  <c r="F478" i="41"/>
  <c r="I478" i="41" s="1"/>
  <c r="G477" i="41"/>
  <c r="F477" i="41"/>
  <c r="I477" i="41" s="1"/>
  <c r="G476" i="41"/>
  <c r="F476" i="41"/>
  <c r="I476" i="41" s="1"/>
  <c r="G475" i="41"/>
  <c r="F475" i="41"/>
  <c r="I475" i="41" s="1"/>
  <c r="G474" i="41"/>
  <c r="F474" i="41"/>
  <c r="I474" i="41" s="1"/>
  <c r="G458" i="41"/>
  <c r="F458" i="41"/>
  <c r="I458" i="41" s="1"/>
  <c r="G457" i="41"/>
  <c r="F457" i="41"/>
  <c r="I457" i="41" s="1"/>
  <c r="G456" i="41"/>
  <c r="F456" i="41"/>
  <c r="I456" i="41" s="1"/>
  <c r="G455" i="41"/>
  <c r="F455" i="41"/>
  <c r="I455" i="41" s="1"/>
  <c r="G454" i="41"/>
  <c r="F454" i="41"/>
  <c r="I454" i="41" s="1"/>
  <c r="G453" i="41"/>
  <c r="F453" i="41"/>
  <c r="I453" i="41" s="1"/>
  <c r="G452" i="41"/>
  <c r="F452" i="41"/>
  <c r="I452" i="41" s="1"/>
  <c r="G451" i="41"/>
  <c r="F451" i="41"/>
  <c r="I451" i="41" s="1"/>
  <c r="G450" i="41"/>
  <c r="F450" i="41"/>
  <c r="I450" i="41" s="1"/>
  <c r="G434" i="41"/>
  <c r="F434" i="41"/>
  <c r="I434" i="41" s="1"/>
  <c r="G433" i="41"/>
  <c r="F433" i="41"/>
  <c r="I433" i="41" s="1"/>
  <c r="G432" i="41"/>
  <c r="F432" i="41"/>
  <c r="I432" i="41" s="1"/>
  <c r="G431" i="41"/>
  <c r="F431" i="41"/>
  <c r="I431" i="41" s="1"/>
  <c r="G430" i="41"/>
  <c r="F430" i="41"/>
  <c r="I430" i="41" s="1"/>
  <c r="G429" i="41"/>
  <c r="F429" i="41"/>
  <c r="I429" i="41" s="1"/>
  <c r="G428" i="41"/>
  <c r="F428" i="41"/>
  <c r="I428" i="41" s="1"/>
  <c r="G427" i="41"/>
  <c r="F427" i="41"/>
  <c r="I427" i="41" s="1"/>
  <c r="G426" i="41"/>
  <c r="F426" i="41"/>
  <c r="I426" i="41" s="1"/>
  <c r="G410" i="41"/>
  <c r="F410" i="41"/>
  <c r="I410" i="41" s="1"/>
  <c r="G409" i="41"/>
  <c r="F409" i="41"/>
  <c r="I409" i="41" s="1"/>
  <c r="G408" i="41"/>
  <c r="F408" i="41"/>
  <c r="I408" i="41" s="1"/>
  <c r="G407" i="41"/>
  <c r="F407" i="41"/>
  <c r="I407" i="41" s="1"/>
  <c r="G406" i="41"/>
  <c r="F406" i="41"/>
  <c r="I406" i="41" s="1"/>
  <c r="G405" i="41"/>
  <c r="F405" i="41"/>
  <c r="I405" i="41" s="1"/>
  <c r="G404" i="41"/>
  <c r="F404" i="41"/>
  <c r="G403" i="41"/>
  <c r="F403" i="41"/>
  <c r="I403" i="41" s="1"/>
  <c r="G402" i="41"/>
  <c r="F402" i="41"/>
  <c r="I402" i="41" s="1"/>
  <c r="H386" i="41"/>
  <c r="H385" i="41"/>
  <c r="H384" i="41"/>
  <c r="H383" i="41"/>
  <c r="H382" i="41"/>
  <c r="H381" i="41"/>
  <c r="H380" i="41"/>
  <c r="H379" i="41"/>
  <c r="H378" i="41"/>
  <c r="H362" i="41"/>
  <c r="I362" i="41" s="1"/>
  <c r="H361" i="41"/>
  <c r="I361" i="41" s="1"/>
  <c r="H360" i="41"/>
  <c r="I360" i="41" s="1"/>
  <c r="H359" i="41"/>
  <c r="I359" i="41" s="1"/>
  <c r="H358" i="41"/>
  <c r="I358" i="41" s="1"/>
  <c r="H357" i="41"/>
  <c r="I357" i="41" s="1"/>
  <c r="H356" i="41"/>
  <c r="I356" i="41" s="1"/>
  <c r="H355" i="41"/>
  <c r="I355" i="41" s="1"/>
  <c r="H354" i="41"/>
  <c r="I354" i="41" s="1"/>
  <c r="H338" i="41"/>
  <c r="H337" i="41"/>
  <c r="H336" i="41"/>
  <c r="H335" i="41"/>
  <c r="H334" i="41"/>
  <c r="H333" i="41"/>
  <c r="H332" i="41"/>
  <c r="H331" i="41"/>
  <c r="H330" i="41"/>
  <c r="H306" i="41"/>
  <c r="H314" i="41"/>
  <c r="H313" i="41"/>
  <c r="H312" i="41"/>
  <c r="H311" i="41"/>
  <c r="H310" i="41"/>
  <c r="H309" i="41"/>
  <c r="H308" i="41"/>
  <c r="H307" i="41"/>
  <c r="H305" i="41"/>
  <c r="H295" i="41"/>
  <c r="H294" i="41"/>
  <c r="H293" i="41"/>
  <c r="H292" i="41"/>
  <c r="I292" i="41" s="1"/>
  <c r="I293" i="41"/>
  <c r="B1075" i="41"/>
  <c r="B1074" i="41"/>
  <c r="B1073" i="41"/>
  <c r="B1072" i="41"/>
  <c r="B1071" i="41"/>
  <c r="B1070" i="41"/>
  <c r="B1069" i="41"/>
  <c r="B1068" i="41"/>
  <c r="B1067" i="41"/>
  <c r="B1066" i="41"/>
  <c r="B1065" i="41"/>
  <c r="B1064" i="41"/>
  <c r="B1063" i="41"/>
  <c r="B1062" i="41"/>
  <c r="I1055" i="41"/>
  <c r="I1054" i="41"/>
  <c r="I1053" i="41"/>
  <c r="I1052" i="41"/>
  <c r="I1051" i="41"/>
  <c r="I1050" i="41"/>
  <c r="I1049" i="41"/>
  <c r="I1048" i="41"/>
  <c r="I1047" i="41"/>
  <c r="I1046" i="41"/>
  <c r="I1045" i="41"/>
  <c r="I1044" i="41"/>
  <c r="I1043" i="41"/>
  <c r="I1042" i="41"/>
  <c r="L1041" i="41"/>
  <c r="I1041" i="41"/>
  <c r="L1040" i="41"/>
  <c r="I1040" i="41"/>
  <c r="L1039" i="41"/>
  <c r="I1039" i="41"/>
  <c r="L1038" i="41"/>
  <c r="I1038" i="41"/>
  <c r="L1037" i="41"/>
  <c r="I1037" i="41"/>
  <c r="L1036" i="41"/>
  <c r="I1036" i="41"/>
  <c r="L1035" i="41"/>
  <c r="I1035" i="41"/>
  <c r="L1034" i="41"/>
  <c r="I1034" i="41"/>
  <c r="L1033" i="41"/>
  <c r="I1033" i="41"/>
  <c r="L1032" i="41"/>
  <c r="I1032" i="41"/>
  <c r="L1031" i="41"/>
  <c r="I1031" i="41"/>
  <c r="L1030" i="41"/>
  <c r="I1030" i="41"/>
  <c r="L1029" i="41"/>
  <c r="I1029" i="41"/>
  <c r="L1028" i="41"/>
  <c r="I1028" i="41"/>
  <c r="L1027" i="41"/>
  <c r="I1027" i="41"/>
  <c r="L1026" i="41"/>
  <c r="I1026" i="41"/>
  <c r="L1025" i="41"/>
  <c r="I1025" i="41"/>
  <c r="L1024" i="41"/>
  <c r="I1024" i="41"/>
  <c r="L1023" i="41"/>
  <c r="I1023" i="41"/>
  <c r="L1022" i="41"/>
  <c r="I1022" i="41"/>
  <c r="L1021" i="41"/>
  <c r="I1021" i="41"/>
  <c r="L1020" i="41"/>
  <c r="I1020" i="41"/>
  <c r="L1019" i="41"/>
  <c r="I1019" i="41"/>
  <c r="L1018" i="41"/>
  <c r="I1018" i="41"/>
  <c r="L1017" i="41"/>
  <c r="I1017" i="41"/>
  <c r="L1016" i="41"/>
  <c r="I1016" i="41"/>
  <c r="L1015" i="41"/>
  <c r="I1015" i="41"/>
  <c r="M1015" i="41" s="1"/>
  <c r="L1014" i="41"/>
  <c r="I1014" i="41"/>
  <c r="M1014" i="41" s="1"/>
  <c r="L1013" i="41"/>
  <c r="I1013" i="41"/>
  <c r="M1013" i="41" s="1"/>
  <c r="L1012" i="41"/>
  <c r="I1012" i="41"/>
  <c r="M1012" i="41" s="1"/>
  <c r="L1011" i="41"/>
  <c r="I1011" i="41"/>
  <c r="M1011" i="41" s="1"/>
  <c r="L1010" i="41"/>
  <c r="I1010" i="41"/>
  <c r="M1010" i="41" s="1"/>
  <c r="L1009" i="41"/>
  <c r="N1009" i="41" s="1"/>
  <c r="I1009" i="41"/>
  <c r="M1009" i="41" s="1"/>
  <c r="A1009" i="41"/>
  <c r="A1010" i="41" s="1"/>
  <c r="A1011" i="41" s="1"/>
  <c r="A1012" i="41" s="1"/>
  <c r="A1013" i="41" s="1"/>
  <c r="A1014" i="41" s="1"/>
  <c r="A1015" i="41" s="1"/>
  <c r="A1016" i="41" s="1"/>
  <c r="A1017" i="41" s="1"/>
  <c r="A1018" i="41" s="1"/>
  <c r="A1019" i="41" s="1"/>
  <c r="A1020" i="41" s="1"/>
  <c r="A1021" i="41" s="1"/>
  <c r="A1022" i="41" s="1"/>
  <c r="A1023" i="41" s="1"/>
  <c r="A1024" i="41" s="1"/>
  <c r="A1025" i="41" s="1"/>
  <c r="A1026" i="41" s="1"/>
  <c r="A1027" i="41" s="1"/>
  <c r="A1028" i="41" s="1"/>
  <c r="A1029" i="41" s="1"/>
  <c r="A1030" i="41" s="1"/>
  <c r="A1031" i="41" s="1"/>
  <c r="A1032" i="41" s="1"/>
  <c r="A1033" i="41" s="1"/>
  <c r="A1034" i="41" s="1"/>
  <c r="A1035" i="41" s="1"/>
  <c r="A1036" i="41" s="1"/>
  <c r="A1037" i="41" s="1"/>
  <c r="A1038" i="41" s="1"/>
  <c r="A1039" i="41" s="1"/>
  <c r="A1040" i="41" s="1"/>
  <c r="A1041" i="41" s="1"/>
  <c r="A1042" i="41" s="1"/>
  <c r="A1043" i="41" s="1"/>
  <c r="A1044" i="41" s="1"/>
  <c r="A1045" i="41" s="1"/>
  <c r="A1046" i="41" s="1"/>
  <c r="A1047" i="41" s="1"/>
  <c r="A1048" i="41" s="1"/>
  <c r="A1049" i="41" s="1"/>
  <c r="A1050" i="41" s="1"/>
  <c r="A1051" i="41" s="1"/>
  <c r="A1052" i="41" s="1"/>
  <c r="A1053" i="41" s="1"/>
  <c r="A1054" i="41" s="1"/>
  <c r="A1055" i="41" s="1"/>
  <c r="L1008" i="41"/>
  <c r="I1008" i="41"/>
  <c r="M1008" i="41" s="1"/>
  <c r="L1004" i="41"/>
  <c r="I1004" i="41"/>
  <c r="L1003" i="41"/>
  <c r="I1003" i="41"/>
  <c r="L1002" i="41"/>
  <c r="I1002" i="41"/>
  <c r="L1001" i="41"/>
  <c r="I1001" i="41"/>
  <c r="L1000" i="41"/>
  <c r="I1000" i="41"/>
  <c r="L999" i="41"/>
  <c r="I999" i="41"/>
  <c r="L998" i="41"/>
  <c r="I998" i="41"/>
  <c r="L997" i="41"/>
  <c r="I997" i="41"/>
  <c r="L996" i="41"/>
  <c r="I996" i="41"/>
  <c r="L995" i="41"/>
  <c r="I995" i="41"/>
  <c r="L994" i="41"/>
  <c r="I994" i="41"/>
  <c r="L993" i="41"/>
  <c r="I993" i="41"/>
  <c r="L992" i="41"/>
  <c r="I992" i="41"/>
  <c r="L991" i="41"/>
  <c r="I991" i="41"/>
  <c r="L990" i="41"/>
  <c r="I990" i="41"/>
  <c r="L989" i="41"/>
  <c r="I989" i="41"/>
  <c r="L988" i="41"/>
  <c r="I988" i="41"/>
  <c r="L987" i="41"/>
  <c r="I987" i="41"/>
  <c r="A987" i="41"/>
  <c r="A988" i="41" s="1"/>
  <c r="A989" i="41" s="1"/>
  <c r="A990" i="41" s="1"/>
  <c r="A991" i="41" s="1"/>
  <c r="A992" i="41" s="1"/>
  <c r="A993" i="41" s="1"/>
  <c r="A994" i="41" s="1"/>
  <c r="A995" i="41" s="1"/>
  <c r="A996" i="41" s="1"/>
  <c r="A997" i="41" s="1"/>
  <c r="A998" i="41" s="1"/>
  <c r="A999" i="41" s="1"/>
  <c r="A1000" i="41" s="1"/>
  <c r="A1001" i="41" s="1"/>
  <c r="A1002" i="41" s="1"/>
  <c r="A1003" i="41" s="1"/>
  <c r="A1004" i="41" s="1"/>
  <c r="L986" i="41"/>
  <c r="I986" i="41"/>
  <c r="L982" i="41"/>
  <c r="I982" i="41"/>
  <c r="L981" i="41"/>
  <c r="I981" i="41"/>
  <c r="L980" i="41"/>
  <c r="I980" i="41"/>
  <c r="L979" i="41"/>
  <c r="I979" i="41"/>
  <c r="L978" i="41"/>
  <c r="I978" i="41"/>
  <c r="L977" i="41"/>
  <c r="I977" i="41"/>
  <c r="L976" i="41"/>
  <c r="I976" i="41"/>
  <c r="L975" i="41"/>
  <c r="I975" i="41"/>
  <c r="L974" i="41"/>
  <c r="I974" i="41"/>
  <c r="L973" i="41"/>
  <c r="I973" i="41"/>
  <c r="L972" i="41"/>
  <c r="I972" i="41"/>
  <c r="L971" i="41"/>
  <c r="I971" i="41"/>
  <c r="L970" i="41"/>
  <c r="I970" i="41"/>
  <c r="L969" i="41"/>
  <c r="I969" i="41"/>
  <c r="L968" i="41"/>
  <c r="I968" i="41"/>
  <c r="L967" i="41"/>
  <c r="I967" i="41"/>
  <c r="L966" i="41"/>
  <c r="I966" i="41"/>
  <c r="L965" i="41"/>
  <c r="I965" i="41"/>
  <c r="L964" i="41"/>
  <c r="I964" i="41"/>
  <c r="L963" i="41"/>
  <c r="I963" i="41"/>
  <c r="L962" i="41"/>
  <c r="I962" i="41"/>
  <c r="L961" i="41"/>
  <c r="I961" i="41"/>
  <c r="L960" i="41"/>
  <c r="I960" i="41"/>
  <c r="L959" i="41"/>
  <c r="I959" i="41"/>
  <c r="L958" i="41"/>
  <c r="I958" i="41"/>
  <c r="L957" i="41"/>
  <c r="I957" i="41"/>
  <c r="L956" i="41"/>
  <c r="I956" i="41"/>
  <c r="L955" i="41"/>
  <c r="I955" i="41"/>
  <c r="L954" i="41"/>
  <c r="I954" i="41"/>
  <c r="L953" i="41"/>
  <c r="I953" i="41"/>
  <c r="L952" i="41"/>
  <c r="I952" i="41"/>
  <c r="L951" i="41"/>
  <c r="I951" i="41"/>
  <c r="L950" i="41"/>
  <c r="I950" i="41"/>
  <c r="L949" i="41"/>
  <c r="I949" i="41"/>
  <c r="L948" i="41"/>
  <c r="I948" i="41"/>
  <c r="L947" i="41"/>
  <c r="I947" i="41"/>
  <c r="L946" i="41"/>
  <c r="I946" i="41"/>
  <c r="L945" i="41"/>
  <c r="I945" i="41"/>
  <c r="L944" i="41"/>
  <c r="I944" i="41"/>
  <c r="L943" i="41"/>
  <c r="I943" i="41"/>
  <c r="L942" i="41"/>
  <c r="I942" i="41"/>
  <c r="L941" i="41"/>
  <c r="I941" i="41"/>
  <c r="L940" i="41"/>
  <c r="I940" i="41"/>
  <c r="L939" i="41"/>
  <c r="I939" i="41"/>
  <c r="L938" i="41"/>
  <c r="I938" i="41"/>
  <c r="L937" i="41"/>
  <c r="I937" i="41"/>
  <c r="L936" i="41"/>
  <c r="I936" i="41"/>
  <c r="A936" i="41"/>
  <c r="A937" i="41" s="1"/>
  <c r="A938" i="41" s="1"/>
  <c r="A939" i="41" s="1"/>
  <c r="A940" i="41" s="1"/>
  <c r="A941" i="41" s="1"/>
  <c r="A942" i="41" s="1"/>
  <c r="A943" i="41" s="1"/>
  <c r="A944" i="41" s="1"/>
  <c r="A945" i="41" s="1"/>
  <c r="A946" i="41" s="1"/>
  <c r="A947" i="41" s="1"/>
  <c r="A948" i="41" s="1"/>
  <c r="A949" i="41" s="1"/>
  <c r="A950" i="41" s="1"/>
  <c r="A951" i="41" s="1"/>
  <c r="A952" i="41" s="1"/>
  <c r="A953" i="41" s="1"/>
  <c r="A954" i="41" s="1"/>
  <c r="A955" i="41" s="1"/>
  <c r="A956" i="41" s="1"/>
  <c r="A957" i="41" s="1"/>
  <c r="A958" i="41" s="1"/>
  <c r="A959" i="41" s="1"/>
  <c r="A960" i="41" s="1"/>
  <c r="A961" i="41" s="1"/>
  <c r="A962" i="41" s="1"/>
  <c r="A963" i="41" s="1"/>
  <c r="A964" i="41" s="1"/>
  <c r="A965" i="41" s="1"/>
  <c r="A966" i="41" s="1"/>
  <c r="A967" i="41" s="1"/>
  <c r="A968" i="41" s="1"/>
  <c r="A969" i="41" s="1"/>
  <c r="A970" i="41" s="1"/>
  <c r="A971" i="41" s="1"/>
  <c r="A972" i="41" s="1"/>
  <c r="A973" i="41" s="1"/>
  <c r="A974" i="41" s="1"/>
  <c r="A975" i="41" s="1"/>
  <c r="A976" i="41" s="1"/>
  <c r="A977" i="41" s="1"/>
  <c r="A978" i="41" s="1"/>
  <c r="A979" i="41" s="1"/>
  <c r="A980" i="41" s="1"/>
  <c r="A981" i="41" s="1"/>
  <c r="A982" i="41" s="1"/>
  <c r="L935" i="41"/>
  <c r="I935" i="41"/>
  <c r="L931" i="41"/>
  <c r="I931" i="41"/>
  <c r="L930" i="41"/>
  <c r="I930" i="41"/>
  <c r="M930" i="41" s="1"/>
  <c r="L929" i="41"/>
  <c r="I929" i="41"/>
  <c r="M929" i="41" s="1"/>
  <c r="L928" i="41"/>
  <c r="I928" i="41"/>
  <c r="M928" i="41" s="1"/>
  <c r="L927" i="41"/>
  <c r="I927" i="41"/>
  <c r="M927" i="41" s="1"/>
  <c r="L926" i="41"/>
  <c r="N926" i="41" s="1"/>
  <c r="I926" i="41"/>
  <c r="M926" i="41" s="1"/>
  <c r="L925" i="41"/>
  <c r="I925" i="41"/>
  <c r="M925" i="41" s="1"/>
  <c r="L924" i="41"/>
  <c r="I924" i="41"/>
  <c r="M924" i="41" s="1"/>
  <c r="L923" i="41"/>
  <c r="I923" i="41"/>
  <c r="M923" i="41" s="1"/>
  <c r="L922" i="41"/>
  <c r="I922" i="41"/>
  <c r="M922" i="41" s="1"/>
  <c r="L921" i="41"/>
  <c r="I921" i="41"/>
  <c r="M921" i="41" s="1"/>
  <c r="L920" i="41"/>
  <c r="I920" i="41"/>
  <c r="M920" i="41" s="1"/>
  <c r="L919" i="41"/>
  <c r="I919" i="41"/>
  <c r="M919" i="41" s="1"/>
  <c r="L918" i="41"/>
  <c r="I918" i="41"/>
  <c r="M918" i="41" s="1"/>
  <c r="L917" i="41"/>
  <c r="I917" i="41"/>
  <c r="M917" i="41" s="1"/>
  <c r="L916" i="41"/>
  <c r="I916" i="41"/>
  <c r="M916" i="41" s="1"/>
  <c r="L915" i="41"/>
  <c r="I915" i="41"/>
  <c r="M915" i="41" s="1"/>
  <c r="L914" i="41"/>
  <c r="I914" i="41"/>
  <c r="M914" i="41" s="1"/>
  <c r="L913" i="41"/>
  <c r="I913" i="41"/>
  <c r="M913" i="41" s="1"/>
  <c r="A913" i="41"/>
  <c r="A914" i="41" s="1"/>
  <c r="A915" i="41" s="1"/>
  <c r="A916" i="41" s="1"/>
  <c r="A917" i="41" s="1"/>
  <c r="A918" i="41" s="1"/>
  <c r="A919" i="41" s="1"/>
  <c r="A920" i="41" s="1"/>
  <c r="A921" i="41" s="1"/>
  <c r="A922" i="41" s="1"/>
  <c r="A923" i="41" s="1"/>
  <c r="A924" i="41" s="1"/>
  <c r="A925" i="41" s="1"/>
  <c r="A926" i="41" s="1"/>
  <c r="A927" i="41" s="1"/>
  <c r="A928" i="41" s="1"/>
  <c r="A929" i="41" s="1"/>
  <c r="A930" i="41" s="1"/>
  <c r="A931" i="41" s="1"/>
  <c r="L912" i="41"/>
  <c r="I912" i="41"/>
  <c r="M912" i="41" s="1"/>
  <c r="L908" i="41"/>
  <c r="I908" i="41"/>
  <c r="M908" i="41" s="1"/>
  <c r="L907" i="41"/>
  <c r="I907" i="41"/>
  <c r="M907" i="41" s="1"/>
  <c r="L906" i="41"/>
  <c r="I906" i="41"/>
  <c r="M906" i="41" s="1"/>
  <c r="L905" i="41"/>
  <c r="I905" i="41"/>
  <c r="M905" i="41" s="1"/>
  <c r="L904" i="41"/>
  <c r="I904" i="41"/>
  <c r="M904" i="41" s="1"/>
  <c r="I903" i="41"/>
  <c r="I902" i="41"/>
  <c r="L901" i="41"/>
  <c r="I901" i="41"/>
  <c r="M901" i="41" s="1"/>
  <c r="I900" i="41"/>
  <c r="I899" i="41"/>
  <c r="I898" i="41"/>
  <c r="A898" i="41"/>
  <c r="A899" i="41" s="1"/>
  <c r="A900" i="41" s="1"/>
  <c r="A901" i="41" s="1"/>
  <c r="A902" i="41" s="1"/>
  <c r="A903" i="41" s="1"/>
  <c r="A904" i="41" s="1"/>
  <c r="A905" i="41" s="1"/>
  <c r="A906" i="41" s="1"/>
  <c r="A907" i="41" s="1"/>
  <c r="A908" i="41" s="1"/>
  <c r="I897" i="41"/>
  <c r="L893" i="41"/>
  <c r="I893" i="41"/>
  <c r="M893" i="41" s="1"/>
  <c r="L892" i="41"/>
  <c r="I892" i="41"/>
  <c r="M892" i="41" s="1"/>
  <c r="L891" i="41"/>
  <c r="I891" i="41"/>
  <c r="M891" i="41" s="1"/>
  <c r="L890" i="41"/>
  <c r="I890" i="41"/>
  <c r="M890" i="41" s="1"/>
  <c r="L889" i="41"/>
  <c r="N889" i="41" s="1"/>
  <c r="I889" i="41"/>
  <c r="M889" i="41" s="1"/>
  <c r="L888" i="41"/>
  <c r="N888" i="41" s="1"/>
  <c r="I888" i="41"/>
  <c r="M888" i="41" s="1"/>
  <c r="L887" i="41"/>
  <c r="I887" i="41"/>
  <c r="M887" i="41" s="1"/>
  <c r="L886" i="41"/>
  <c r="I886" i="41"/>
  <c r="M886" i="41" s="1"/>
  <c r="A886" i="41"/>
  <c r="A887" i="41" s="1"/>
  <c r="A888" i="41" s="1"/>
  <c r="A889" i="41" s="1"/>
  <c r="A890" i="41" s="1"/>
  <c r="A891" i="41" s="1"/>
  <c r="A892" i="41" s="1"/>
  <c r="A893" i="41" s="1"/>
  <c r="L885" i="41"/>
  <c r="I885" i="41"/>
  <c r="M885" i="41" s="1"/>
  <c r="M894" i="41" s="1"/>
  <c r="M1070" i="41" s="1"/>
  <c r="L881" i="41"/>
  <c r="I881" i="41"/>
  <c r="L880" i="41"/>
  <c r="I880" i="41"/>
  <c r="L879" i="41"/>
  <c r="I879" i="41"/>
  <c r="L878" i="41"/>
  <c r="I878" i="41"/>
  <c r="M878" i="41" s="1"/>
  <c r="L877" i="41"/>
  <c r="I877" i="41"/>
  <c r="M877" i="41" s="1"/>
  <c r="L876" i="41"/>
  <c r="I876" i="41"/>
  <c r="M876" i="41" s="1"/>
  <c r="L875" i="41"/>
  <c r="I875" i="41"/>
  <c r="M875" i="41" s="1"/>
  <c r="L874" i="41"/>
  <c r="I874" i="41"/>
  <c r="M874" i="41" s="1"/>
  <c r="L873" i="41"/>
  <c r="I873" i="41"/>
  <c r="M873" i="41" s="1"/>
  <c r="L872" i="41"/>
  <c r="N872" i="41" s="1"/>
  <c r="I872" i="41"/>
  <c r="M872" i="41" s="1"/>
  <c r="L871" i="41"/>
  <c r="I871" i="41"/>
  <c r="M871" i="41" s="1"/>
  <c r="L870" i="41"/>
  <c r="I870" i="41"/>
  <c r="M870" i="41" s="1"/>
  <c r="L869" i="41"/>
  <c r="I869" i="41"/>
  <c r="M869" i="41" s="1"/>
  <c r="L868" i="41"/>
  <c r="I868" i="41"/>
  <c r="M868" i="41" s="1"/>
  <c r="L867" i="41"/>
  <c r="I867" i="41"/>
  <c r="M867" i="41" s="1"/>
  <c r="L866" i="41"/>
  <c r="I866" i="41"/>
  <c r="M866" i="41" s="1"/>
  <c r="L865" i="41"/>
  <c r="I865" i="41"/>
  <c r="M865" i="41" s="1"/>
  <c r="L864" i="41"/>
  <c r="I864" i="41"/>
  <c r="M864" i="41" s="1"/>
  <c r="L863" i="41"/>
  <c r="I863" i="41"/>
  <c r="M863" i="41" s="1"/>
  <c r="L862" i="41"/>
  <c r="I862" i="41"/>
  <c r="M862" i="41" s="1"/>
  <c r="L861" i="41"/>
  <c r="I861" i="41"/>
  <c r="M861" i="41" s="1"/>
  <c r="L860" i="41"/>
  <c r="I860" i="41"/>
  <c r="M860" i="41" s="1"/>
  <c r="L859" i="41"/>
  <c r="I859" i="41"/>
  <c r="M859" i="41" s="1"/>
  <c r="L858" i="41"/>
  <c r="I858" i="41"/>
  <c r="M858" i="41" s="1"/>
  <c r="L857" i="41"/>
  <c r="I857" i="41"/>
  <c r="M857" i="41" s="1"/>
  <c r="L856" i="41"/>
  <c r="I856" i="41"/>
  <c r="M856" i="41" s="1"/>
  <c r="L855" i="41"/>
  <c r="I855" i="41"/>
  <c r="M855" i="41" s="1"/>
  <c r="L854" i="41"/>
  <c r="I854" i="41"/>
  <c r="M854" i="41" s="1"/>
  <c r="L853" i="41"/>
  <c r="I853" i="41"/>
  <c r="M853" i="41" s="1"/>
  <c r="L852" i="41"/>
  <c r="I852" i="41"/>
  <c r="M852" i="41" s="1"/>
  <c r="L851" i="41"/>
  <c r="I851" i="41"/>
  <c r="M851" i="41" s="1"/>
  <c r="L850" i="41"/>
  <c r="I850" i="41"/>
  <c r="M850" i="41" s="1"/>
  <c r="L849" i="41"/>
  <c r="I849" i="41"/>
  <c r="M849" i="41" s="1"/>
  <c r="L848" i="41"/>
  <c r="I848" i="41"/>
  <c r="M848" i="41" s="1"/>
  <c r="L847" i="41"/>
  <c r="I847" i="41"/>
  <c r="M847" i="41" s="1"/>
  <c r="L846" i="41"/>
  <c r="I846" i="41"/>
  <c r="M846" i="41" s="1"/>
  <c r="L845" i="41"/>
  <c r="I845" i="41"/>
  <c r="M845" i="41" s="1"/>
  <c r="L844" i="41"/>
  <c r="I844" i="41"/>
  <c r="M844" i="41" s="1"/>
  <c r="L843" i="41"/>
  <c r="I843" i="41"/>
  <c r="M843" i="41" s="1"/>
  <c r="L842" i="41"/>
  <c r="I842" i="41"/>
  <c r="M842" i="41" s="1"/>
  <c r="L841" i="41"/>
  <c r="I841" i="41"/>
  <c r="M841" i="41" s="1"/>
  <c r="L840" i="41"/>
  <c r="I840" i="41"/>
  <c r="M840" i="41" s="1"/>
  <c r="L839" i="41"/>
  <c r="I839" i="41"/>
  <c r="M839" i="41" s="1"/>
  <c r="L838" i="41"/>
  <c r="I838" i="41"/>
  <c r="M838" i="41" s="1"/>
  <c r="L837" i="41"/>
  <c r="I837" i="41"/>
  <c r="M837" i="41" s="1"/>
  <c r="L836" i="41"/>
  <c r="I836" i="41"/>
  <c r="M836" i="41" s="1"/>
  <c r="L835" i="41"/>
  <c r="I835" i="41"/>
  <c r="M835" i="41" s="1"/>
  <c r="L834" i="41"/>
  <c r="I834" i="41"/>
  <c r="M834" i="41" s="1"/>
  <c r="L833" i="41"/>
  <c r="I833" i="41"/>
  <c r="M833" i="41" s="1"/>
  <c r="L832" i="41"/>
  <c r="I832" i="41"/>
  <c r="M832" i="41" s="1"/>
  <c r="L831" i="41"/>
  <c r="I831" i="41"/>
  <c r="M831" i="41" s="1"/>
  <c r="L830" i="41"/>
  <c r="I830" i="41"/>
  <c r="M830" i="41" s="1"/>
  <c r="L829" i="41"/>
  <c r="I829" i="41"/>
  <c r="M829" i="41" s="1"/>
  <c r="L828" i="41"/>
  <c r="I828" i="41"/>
  <c r="L827" i="41"/>
  <c r="I827" i="41"/>
  <c r="L826" i="41"/>
  <c r="I826" i="41"/>
  <c r="L825" i="41"/>
  <c r="I825" i="41"/>
  <c r="L824" i="41"/>
  <c r="I824" i="41"/>
  <c r="L823" i="41"/>
  <c r="I823" i="41"/>
  <c r="L822" i="41"/>
  <c r="I822" i="41"/>
  <c r="L821" i="41"/>
  <c r="I821" i="41"/>
  <c r="L820" i="41"/>
  <c r="I820" i="41"/>
  <c r="L819" i="41"/>
  <c r="I819" i="41"/>
  <c r="L818" i="41"/>
  <c r="I818" i="41"/>
  <c r="L817" i="41"/>
  <c r="I817" i="41"/>
  <c r="L816" i="41"/>
  <c r="I816" i="41"/>
  <c r="L815" i="41"/>
  <c r="I815" i="41"/>
  <c r="L814" i="41"/>
  <c r="I814" i="41"/>
  <c r="L813" i="41"/>
  <c r="I813" i="41"/>
  <c r="L812" i="41"/>
  <c r="I812" i="41"/>
  <c r="L811" i="41"/>
  <c r="I811" i="41"/>
  <c r="L810" i="41"/>
  <c r="I810" i="41"/>
  <c r="L809" i="41"/>
  <c r="I809" i="41"/>
  <c r="L808" i="41"/>
  <c r="I808" i="41"/>
  <c r="L807" i="41"/>
  <c r="I807" i="41"/>
  <c r="L806" i="41"/>
  <c r="I806" i="41"/>
  <c r="L805" i="41"/>
  <c r="I805" i="41"/>
  <c r="L804" i="41"/>
  <c r="I804" i="41"/>
  <c r="L803" i="41"/>
  <c r="I803" i="41"/>
  <c r="L802" i="41"/>
  <c r="I802" i="41"/>
  <c r="L801" i="41"/>
  <c r="I801" i="41"/>
  <c r="L800" i="41"/>
  <c r="I800" i="41"/>
  <c r="L799" i="41"/>
  <c r="I799" i="41"/>
  <c r="L798" i="41"/>
  <c r="I798" i="41"/>
  <c r="L797" i="41"/>
  <c r="I797" i="41"/>
  <c r="L796" i="41"/>
  <c r="I796" i="41"/>
  <c r="L795" i="41"/>
  <c r="I795" i="41"/>
  <c r="L794" i="41"/>
  <c r="I794" i="41"/>
  <c r="L793" i="41"/>
  <c r="I793" i="41"/>
  <c r="L792" i="41"/>
  <c r="I792" i="41"/>
  <c r="L791" i="41"/>
  <c r="I791" i="41"/>
  <c r="L790" i="41"/>
  <c r="I790" i="41"/>
  <c r="L789" i="41"/>
  <c r="I789" i="41"/>
  <c r="L788" i="41"/>
  <c r="I788" i="41"/>
  <c r="L787" i="41"/>
  <c r="I787" i="41"/>
  <c r="L786" i="41"/>
  <c r="I786" i="41"/>
  <c r="L785" i="41"/>
  <c r="I785" i="41"/>
  <c r="L784" i="41"/>
  <c r="I784" i="41"/>
  <c r="L783" i="41"/>
  <c r="I783" i="41"/>
  <c r="L782" i="41"/>
  <c r="I782" i="41"/>
  <c r="L781" i="41"/>
  <c r="I781" i="41"/>
  <c r="L780" i="41"/>
  <c r="I780" i="41"/>
  <c r="L779" i="41"/>
  <c r="I779" i="41"/>
  <c r="L778" i="41"/>
  <c r="I778" i="41"/>
  <c r="L777" i="41"/>
  <c r="I777" i="41"/>
  <c r="L776" i="41"/>
  <c r="I776" i="41"/>
  <c r="L775" i="41"/>
  <c r="I775" i="41"/>
  <c r="L774" i="41"/>
  <c r="I774" i="41"/>
  <c r="A774" i="41"/>
  <c r="A775" i="41" s="1"/>
  <c r="A776" i="41" s="1"/>
  <c r="A777" i="41" s="1"/>
  <c r="A778" i="41" s="1"/>
  <c r="A779" i="41" s="1"/>
  <c r="A780" i="41" s="1"/>
  <c r="A781" i="41" s="1"/>
  <c r="A782" i="41" s="1"/>
  <c r="A783" i="41" s="1"/>
  <c r="A784" i="41" s="1"/>
  <c r="A785" i="41" s="1"/>
  <c r="A786" i="41" s="1"/>
  <c r="A787" i="41" s="1"/>
  <c r="A788" i="41" s="1"/>
  <c r="A789" i="41" s="1"/>
  <c r="A790" i="41" s="1"/>
  <c r="A791" i="41" s="1"/>
  <c r="A792" i="41" s="1"/>
  <c r="A793" i="41" s="1"/>
  <c r="A794" i="41" s="1"/>
  <c r="A795" i="41" s="1"/>
  <c r="A796" i="41" s="1"/>
  <c r="A797" i="41" s="1"/>
  <c r="A798" i="41" s="1"/>
  <c r="A799" i="41" s="1"/>
  <c r="A800" i="41" s="1"/>
  <c r="A801" i="41" s="1"/>
  <c r="A802" i="41" s="1"/>
  <c r="A803" i="41" s="1"/>
  <c r="A804" i="41" s="1"/>
  <c r="A805" i="41" s="1"/>
  <c r="A806" i="41" s="1"/>
  <c r="A807" i="41" s="1"/>
  <c r="A808" i="41" s="1"/>
  <c r="A809" i="41" s="1"/>
  <c r="A810" i="41" s="1"/>
  <c r="A811" i="41" s="1"/>
  <c r="A812" i="41" s="1"/>
  <c r="A813" i="41" s="1"/>
  <c r="A814" i="41" s="1"/>
  <c r="A815" i="41" s="1"/>
  <c r="A816" i="41" s="1"/>
  <c r="A817" i="41" s="1"/>
  <c r="A818" i="41" s="1"/>
  <c r="A819" i="41" s="1"/>
  <c r="A820" i="41" s="1"/>
  <c r="A821" i="41" s="1"/>
  <c r="A822" i="41" s="1"/>
  <c r="A823" i="41" s="1"/>
  <c r="A824" i="41" s="1"/>
  <c r="A825" i="41" s="1"/>
  <c r="A826" i="41" s="1"/>
  <c r="A827" i="41" s="1"/>
  <c r="A828" i="41" s="1"/>
  <c r="A829" i="41" s="1"/>
  <c r="A830" i="41" s="1"/>
  <c r="A831" i="41" s="1"/>
  <c r="A832" i="41" s="1"/>
  <c r="A833" i="41" s="1"/>
  <c r="A834" i="41" s="1"/>
  <c r="A835" i="41" s="1"/>
  <c r="A836" i="41" s="1"/>
  <c r="A837" i="41" s="1"/>
  <c r="A838" i="41" s="1"/>
  <c r="A839" i="41" s="1"/>
  <c r="A840" i="41" s="1"/>
  <c r="A841" i="41" s="1"/>
  <c r="A842" i="41" s="1"/>
  <c r="A843" i="41" s="1"/>
  <c r="A844" i="41" s="1"/>
  <c r="A845" i="41" s="1"/>
  <c r="A846" i="41" s="1"/>
  <c r="A847" i="41" s="1"/>
  <c r="A848" i="41" s="1"/>
  <c r="A849" i="41" s="1"/>
  <c r="A850" i="41" s="1"/>
  <c r="A851" i="41" s="1"/>
  <c r="A852" i="41" s="1"/>
  <c r="A853" i="41" s="1"/>
  <c r="A854" i="41" s="1"/>
  <c r="A855" i="41" s="1"/>
  <c r="A856" i="41" s="1"/>
  <c r="A857" i="41" s="1"/>
  <c r="A858" i="41" s="1"/>
  <c r="A859" i="41" s="1"/>
  <c r="A860" i="41" s="1"/>
  <c r="A861" i="41" s="1"/>
  <c r="A862" i="41" s="1"/>
  <c r="A863" i="41" s="1"/>
  <c r="A864" i="41" s="1"/>
  <c r="A865" i="41" s="1"/>
  <c r="A866" i="41" s="1"/>
  <c r="A867" i="41" s="1"/>
  <c r="A868" i="41" s="1"/>
  <c r="A869" i="41" s="1"/>
  <c r="A870" i="41" s="1"/>
  <c r="A871" i="41" s="1"/>
  <c r="A872" i="41" s="1"/>
  <c r="A873" i="41" s="1"/>
  <c r="A874" i="41" s="1"/>
  <c r="A875" i="41" s="1"/>
  <c r="A876" i="41" s="1"/>
  <c r="A877" i="41" s="1"/>
  <c r="A878" i="41" s="1"/>
  <c r="A879" i="41" s="1"/>
  <c r="A880" i="41" s="1"/>
  <c r="A881" i="41" s="1"/>
  <c r="L773" i="41"/>
  <c r="I773" i="41"/>
  <c r="L769" i="41"/>
  <c r="I769" i="41"/>
  <c r="L768" i="41"/>
  <c r="I768" i="41"/>
  <c r="L767" i="41"/>
  <c r="I767" i="41"/>
  <c r="L766" i="41"/>
  <c r="I766" i="41"/>
  <c r="I765" i="41"/>
  <c r="L764" i="41"/>
  <c r="I764" i="41"/>
  <c r="I763" i="41"/>
  <c r="I762" i="41"/>
  <c r="I761" i="41"/>
  <c r="L760" i="41"/>
  <c r="I760" i="41"/>
  <c r="L759" i="41"/>
  <c r="I759" i="41"/>
  <c r="L758" i="41"/>
  <c r="I758" i="41"/>
  <c r="L757" i="41"/>
  <c r="I757" i="41"/>
  <c r="L756" i="41"/>
  <c r="I756" i="41"/>
  <c r="L755" i="41"/>
  <c r="I755" i="41"/>
  <c r="L754" i="41"/>
  <c r="I754" i="41"/>
  <c r="L753" i="41"/>
  <c r="I753" i="41"/>
  <c r="L752" i="41"/>
  <c r="I752" i="41"/>
  <c r="L751" i="41"/>
  <c r="I751" i="41"/>
  <c r="L750" i="41"/>
  <c r="I750" i="41"/>
  <c r="L749" i="41"/>
  <c r="I749" i="41"/>
  <c r="L748" i="41"/>
  <c r="I748" i="41"/>
  <c r="L747" i="41"/>
  <c r="I747" i="41"/>
  <c r="A747" i="41"/>
  <c r="A748" i="41" s="1"/>
  <c r="A749" i="41" s="1"/>
  <c r="A750" i="41" s="1"/>
  <c r="A751" i="41" s="1"/>
  <c r="A752" i="41" s="1"/>
  <c r="A753" i="41" s="1"/>
  <c r="A754" i="41" s="1"/>
  <c r="A755" i="41" s="1"/>
  <c r="A756" i="41" s="1"/>
  <c r="A757" i="41" s="1"/>
  <c r="A758" i="41" s="1"/>
  <c r="A759" i="41" s="1"/>
  <c r="A760" i="41" s="1"/>
  <c r="A761" i="41" s="1"/>
  <c r="A762" i="41" s="1"/>
  <c r="A763" i="41" s="1"/>
  <c r="A764" i="41" s="1"/>
  <c r="A765" i="41" s="1"/>
  <c r="A766" i="41" s="1"/>
  <c r="A767" i="41" s="1"/>
  <c r="A768" i="41" s="1"/>
  <c r="A769" i="41" s="1"/>
  <c r="L746" i="41"/>
  <c r="I746" i="41"/>
  <c r="L742" i="41"/>
  <c r="I742" i="41"/>
  <c r="M742" i="41" s="1"/>
  <c r="L741" i="41"/>
  <c r="I741" i="41"/>
  <c r="M741" i="41" s="1"/>
  <c r="L740" i="41"/>
  <c r="I740" i="41"/>
  <c r="M740" i="41" s="1"/>
  <c r="L739" i="41"/>
  <c r="N739" i="41" s="1"/>
  <c r="I739" i="41"/>
  <c r="M739" i="41" s="1"/>
  <c r="L738" i="41"/>
  <c r="I738" i="41"/>
  <c r="M738" i="41" s="1"/>
  <c r="L737" i="41"/>
  <c r="I737" i="41"/>
  <c r="M737" i="41" s="1"/>
  <c r="L736" i="41"/>
  <c r="I736" i="41"/>
  <c r="M736" i="41" s="1"/>
  <c r="L735" i="41"/>
  <c r="I735" i="41"/>
  <c r="M735" i="41" s="1"/>
  <c r="L734" i="41"/>
  <c r="I734" i="41"/>
  <c r="M734" i="41" s="1"/>
  <c r="L733" i="41"/>
  <c r="I733" i="41"/>
  <c r="M733" i="41" s="1"/>
  <c r="L732" i="41"/>
  <c r="I732" i="41"/>
  <c r="M732" i="41" s="1"/>
  <c r="L731" i="41"/>
  <c r="I731" i="41"/>
  <c r="M731" i="41" s="1"/>
  <c r="L730" i="41"/>
  <c r="I730" i="41"/>
  <c r="M730" i="41" s="1"/>
  <c r="L729" i="41"/>
  <c r="I729" i="41"/>
  <c r="M729" i="41" s="1"/>
  <c r="L728" i="41"/>
  <c r="I728" i="41"/>
  <c r="M728" i="41" s="1"/>
  <c r="L727" i="41"/>
  <c r="I727" i="41"/>
  <c r="M727" i="41" s="1"/>
  <c r="L726" i="41"/>
  <c r="I726" i="41"/>
  <c r="M726" i="41" s="1"/>
  <c r="L725" i="41"/>
  <c r="I725" i="41"/>
  <c r="M725" i="41" s="1"/>
  <c r="L724" i="41"/>
  <c r="I724" i="41"/>
  <c r="M724" i="41" s="1"/>
  <c r="L723" i="41"/>
  <c r="I723" i="41"/>
  <c r="M723" i="41" s="1"/>
  <c r="L722" i="41"/>
  <c r="I722" i="41"/>
  <c r="M722" i="41" s="1"/>
  <c r="L721" i="41"/>
  <c r="I721" i="41"/>
  <c r="M721" i="41" s="1"/>
  <c r="L720" i="41"/>
  <c r="I720" i="41"/>
  <c r="M720" i="41" s="1"/>
  <c r="L719" i="41"/>
  <c r="I719" i="41"/>
  <c r="M719" i="41" s="1"/>
  <c r="L718" i="41"/>
  <c r="I718" i="41"/>
  <c r="M718" i="41" s="1"/>
  <c r="L717" i="41"/>
  <c r="I717" i="41"/>
  <c r="M717" i="41" s="1"/>
  <c r="L716" i="41"/>
  <c r="N716" i="41" s="1"/>
  <c r="I716" i="41"/>
  <c r="M716" i="41" s="1"/>
  <c r="L715" i="41"/>
  <c r="I715" i="41"/>
  <c r="M715" i="41" s="1"/>
  <c r="L714" i="41"/>
  <c r="I714" i="41"/>
  <c r="M714" i="41" s="1"/>
  <c r="L713" i="41"/>
  <c r="I713" i="41"/>
  <c r="M713" i="41" s="1"/>
  <c r="L712" i="41"/>
  <c r="I712" i="41"/>
  <c r="M712" i="41" s="1"/>
  <c r="L711" i="41"/>
  <c r="I711" i="41"/>
  <c r="M711" i="41" s="1"/>
  <c r="L710" i="41"/>
  <c r="N710" i="41" s="1"/>
  <c r="I710" i="41"/>
  <c r="M710" i="41" s="1"/>
  <c r="L709" i="41"/>
  <c r="I709" i="41"/>
  <c r="M709" i="41" s="1"/>
  <c r="L708" i="41"/>
  <c r="I708" i="41"/>
  <c r="M708" i="41" s="1"/>
  <c r="L707" i="41"/>
  <c r="I707" i="41"/>
  <c r="M707" i="41" s="1"/>
  <c r="L706" i="41"/>
  <c r="I706" i="41"/>
  <c r="M706" i="41" s="1"/>
  <c r="L705" i="41"/>
  <c r="I705" i="41"/>
  <c r="M705" i="41" s="1"/>
  <c r="L704" i="41"/>
  <c r="I704" i="41"/>
  <c r="M704" i="41" s="1"/>
  <c r="L703" i="41"/>
  <c r="I703" i="41"/>
  <c r="M703" i="41" s="1"/>
  <c r="L702" i="41"/>
  <c r="I702" i="41"/>
  <c r="M702" i="41" s="1"/>
  <c r="L701" i="41"/>
  <c r="I701" i="41"/>
  <c r="M701" i="41" s="1"/>
  <c r="L700" i="41"/>
  <c r="I700" i="41"/>
  <c r="M700" i="41" s="1"/>
  <c r="L699" i="41"/>
  <c r="I699" i="41"/>
  <c r="M699" i="41" s="1"/>
  <c r="L698" i="41"/>
  <c r="N698" i="41" s="1"/>
  <c r="I698" i="41"/>
  <c r="M698" i="41" s="1"/>
  <c r="L697" i="41"/>
  <c r="I697" i="41"/>
  <c r="M697" i="41" s="1"/>
  <c r="L696" i="41"/>
  <c r="I696" i="41"/>
  <c r="M696" i="41" s="1"/>
  <c r="L695" i="41"/>
  <c r="I695" i="41"/>
  <c r="M695" i="41" s="1"/>
  <c r="L694" i="41"/>
  <c r="I694" i="41"/>
  <c r="M694" i="41" s="1"/>
  <c r="L693" i="41"/>
  <c r="I693" i="41"/>
  <c r="M693" i="41" s="1"/>
  <c r="L692" i="41"/>
  <c r="I692" i="41"/>
  <c r="M692" i="41" s="1"/>
  <c r="L691" i="41"/>
  <c r="I691" i="41"/>
  <c r="M691" i="41" s="1"/>
  <c r="L690" i="41"/>
  <c r="I690" i="41"/>
  <c r="M690" i="41" s="1"/>
  <c r="L689" i="41"/>
  <c r="I689" i="41"/>
  <c r="M689" i="41" s="1"/>
  <c r="L688" i="41"/>
  <c r="I688" i="41"/>
  <c r="M688" i="41" s="1"/>
  <c r="L687" i="41"/>
  <c r="I687" i="41"/>
  <c r="M687" i="41" s="1"/>
  <c r="L686" i="41"/>
  <c r="I686" i="41"/>
  <c r="M686" i="41" s="1"/>
  <c r="L685" i="41"/>
  <c r="I685" i="41"/>
  <c r="M685" i="41" s="1"/>
  <c r="L684" i="41"/>
  <c r="I684" i="41"/>
  <c r="M684" i="41" s="1"/>
  <c r="L683" i="41"/>
  <c r="I683" i="41"/>
  <c r="M683" i="41" s="1"/>
  <c r="L682" i="41"/>
  <c r="I682" i="41"/>
  <c r="M682" i="41" s="1"/>
  <c r="L681" i="41"/>
  <c r="I681" i="41"/>
  <c r="M681" i="41" s="1"/>
  <c r="L680" i="41"/>
  <c r="I680" i="41"/>
  <c r="M680" i="41" s="1"/>
  <c r="L679" i="41"/>
  <c r="I679" i="41"/>
  <c r="M679" i="41" s="1"/>
  <c r="L678" i="41"/>
  <c r="I678" i="41"/>
  <c r="M678" i="41" s="1"/>
  <c r="L677" i="41"/>
  <c r="I677" i="41"/>
  <c r="M677" i="41" s="1"/>
  <c r="L676" i="41"/>
  <c r="I676" i="41"/>
  <c r="M676" i="41" s="1"/>
  <c r="L675" i="41"/>
  <c r="I675" i="41"/>
  <c r="M675" i="41" s="1"/>
  <c r="L674" i="41"/>
  <c r="N674" i="41" s="1"/>
  <c r="I674" i="41"/>
  <c r="M674" i="41" s="1"/>
  <c r="L673" i="41"/>
  <c r="I673" i="41"/>
  <c r="M673" i="41" s="1"/>
  <c r="L672" i="41"/>
  <c r="I672" i="41"/>
  <c r="M672" i="41" s="1"/>
  <c r="L671" i="41"/>
  <c r="I671" i="41"/>
  <c r="M671" i="41" s="1"/>
  <c r="L670" i="41"/>
  <c r="I670" i="41"/>
  <c r="M670" i="41" s="1"/>
  <c r="L669" i="41"/>
  <c r="I669" i="41"/>
  <c r="M669" i="41" s="1"/>
  <c r="L668" i="41"/>
  <c r="N668" i="41" s="1"/>
  <c r="I668" i="41"/>
  <c r="M668" i="41" s="1"/>
  <c r="L667" i="41"/>
  <c r="I667" i="41"/>
  <c r="M667" i="41" s="1"/>
  <c r="L666" i="41"/>
  <c r="I666" i="41"/>
  <c r="M666" i="41" s="1"/>
  <c r="L665" i="41"/>
  <c r="I665" i="41"/>
  <c r="M665" i="41" s="1"/>
  <c r="L664" i="41"/>
  <c r="I664" i="41"/>
  <c r="M664" i="41" s="1"/>
  <c r="L663" i="41"/>
  <c r="I663" i="41"/>
  <c r="M663" i="41" s="1"/>
  <c r="L662" i="41"/>
  <c r="I662" i="41"/>
  <c r="M662" i="41" s="1"/>
  <c r="L661" i="41"/>
  <c r="I661" i="41"/>
  <c r="M661" i="41" s="1"/>
  <c r="L660" i="41"/>
  <c r="I660" i="41"/>
  <c r="M660" i="41" s="1"/>
  <c r="L659" i="41"/>
  <c r="I659" i="41"/>
  <c r="M659" i="41" s="1"/>
  <c r="A659" i="41"/>
  <c r="A660" i="41" s="1"/>
  <c r="A661" i="41" s="1"/>
  <c r="A662" i="41" s="1"/>
  <c r="A663" i="41" s="1"/>
  <c r="A664" i="41" s="1"/>
  <c r="A665" i="41" s="1"/>
  <c r="A666" i="41" s="1"/>
  <c r="A667" i="41" s="1"/>
  <c r="A668" i="41" s="1"/>
  <c r="A669" i="41" s="1"/>
  <c r="A670" i="41" s="1"/>
  <c r="A671" i="41" s="1"/>
  <c r="A672" i="41" s="1"/>
  <c r="A673" i="41" s="1"/>
  <c r="A674" i="41" s="1"/>
  <c r="A675" i="41" s="1"/>
  <c r="A676" i="41" s="1"/>
  <c r="A677" i="41" s="1"/>
  <c r="A678" i="41" s="1"/>
  <c r="A679" i="41" s="1"/>
  <c r="A680" i="41" s="1"/>
  <c r="A681" i="41" s="1"/>
  <c r="A682" i="41" s="1"/>
  <c r="A683" i="41" s="1"/>
  <c r="A684" i="41" s="1"/>
  <c r="A685" i="41" s="1"/>
  <c r="A686" i="41" s="1"/>
  <c r="A687" i="41" s="1"/>
  <c r="A688" i="41" s="1"/>
  <c r="A689" i="41" s="1"/>
  <c r="A690" i="41" s="1"/>
  <c r="A691" i="41" s="1"/>
  <c r="A692" i="41" s="1"/>
  <c r="A693" i="41" s="1"/>
  <c r="A694" i="41" s="1"/>
  <c r="A695" i="41" s="1"/>
  <c r="A696" i="41" s="1"/>
  <c r="A697" i="41" s="1"/>
  <c r="A698" i="41" s="1"/>
  <c r="A699" i="41" s="1"/>
  <c r="A700" i="41" s="1"/>
  <c r="A701" i="41" s="1"/>
  <c r="A702" i="41" s="1"/>
  <c r="A703" i="41" s="1"/>
  <c r="A704" i="41" s="1"/>
  <c r="A705" i="41" s="1"/>
  <c r="A706" i="41" s="1"/>
  <c r="A707" i="41" s="1"/>
  <c r="A708" i="41" s="1"/>
  <c r="A709" i="41" s="1"/>
  <c r="A710" i="41" s="1"/>
  <c r="A711" i="41" s="1"/>
  <c r="A712" i="41" s="1"/>
  <c r="A713" i="41" s="1"/>
  <c r="A714" i="41" s="1"/>
  <c r="A715" i="41" s="1"/>
  <c r="A716" i="41" s="1"/>
  <c r="A717" i="41" s="1"/>
  <c r="A718" i="41" s="1"/>
  <c r="A719" i="41" s="1"/>
  <c r="A720" i="41" s="1"/>
  <c r="A721" i="41" s="1"/>
  <c r="A722" i="41" s="1"/>
  <c r="A723" i="41" s="1"/>
  <c r="A724" i="41" s="1"/>
  <c r="A725" i="41" s="1"/>
  <c r="A726" i="41" s="1"/>
  <c r="A727" i="41" s="1"/>
  <c r="A728" i="41" s="1"/>
  <c r="A729" i="41" s="1"/>
  <c r="A730" i="41" s="1"/>
  <c r="A731" i="41" s="1"/>
  <c r="A732" i="41" s="1"/>
  <c r="A733" i="41" s="1"/>
  <c r="A734" i="41" s="1"/>
  <c r="A735" i="41" s="1"/>
  <c r="A736" i="41" s="1"/>
  <c r="A737" i="41" s="1"/>
  <c r="A738" i="41" s="1"/>
  <c r="A739" i="41" s="1"/>
  <c r="A740" i="41" s="1"/>
  <c r="A741" i="41" s="1"/>
  <c r="A742" i="41" s="1"/>
  <c r="L658" i="41"/>
  <c r="I658" i="41"/>
  <c r="M658" i="41" s="1"/>
  <c r="L654" i="41"/>
  <c r="I654" i="41"/>
  <c r="L653" i="41"/>
  <c r="I653" i="41"/>
  <c r="L652" i="41"/>
  <c r="I652" i="41"/>
  <c r="L651" i="41"/>
  <c r="I651" i="41"/>
  <c r="L650" i="41"/>
  <c r="I650" i="41"/>
  <c r="L649" i="41"/>
  <c r="I649" i="41"/>
  <c r="L648" i="41"/>
  <c r="I648" i="41"/>
  <c r="L647" i="41"/>
  <c r="I647" i="41"/>
  <c r="L646" i="41"/>
  <c r="I646" i="41"/>
  <c r="L645" i="41"/>
  <c r="I645" i="41"/>
  <c r="L644" i="41"/>
  <c r="I644" i="41"/>
  <c r="L643" i="41"/>
  <c r="I643" i="41"/>
  <c r="L642" i="41"/>
  <c r="I642" i="41"/>
  <c r="L641" i="41"/>
  <c r="I641" i="41"/>
  <c r="L640" i="41"/>
  <c r="I640" i="41"/>
  <c r="L639" i="41"/>
  <c r="I639" i="41"/>
  <c r="L638" i="41"/>
  <c r="I638" i="41"/>
  <c r="L637" i="41"/>
  <c r="I637" i="41"/>
  <c r="L636" i="41"/>
  <c r="I636" i="41"/>
  <c r="L635" i="41"/>
  <c r="I635" i="41"/>
  <c r="L634" i="41"/>
  <c r="I634" i="41"/>
  <c r="L633" i="41"/>
  <c r="I633" i="41"/>
  <c r="L632" i="41"/>
  <c r="I632" i="41"/>
  <c r="L631" i="41"/>
  <c r="I631" i="41"/>
  <c r="L630" i="41"/>
  <c r="I630" i="41"/>
  <c r="L629" i="41"/>
  <c r="I629" i="41"/>
  <c r="L628" i="41"/>
  <c r="I628" i="41"/>
  <c r="L627" i="41"/>
  <c r="I627" i="41"/>
  <c r="L626" i="41"/>
  <c r="I626" i="41"/>
  <c r="A626" i="41"/>
  <c r="A627" i="41" s="1"/>
  <c r="A628" i="41" s="1"/>
  <c r="A629" i="41" s="1"/>
  <c r="A630" i="41" s="1"/>
  <c r="A631" i="41" s="1"/>
  <c r="A632" i="41" s="1"/>
  <c r="A633" i="41" s="1"/>
  <c r="A634" i="41" s="1"/>
  <c r="A635" i="41" s="1"/>
  <c r="A636" i="41" s="1"/>
  <c r="A637" i="41" s="1"/>
  <c r="A638" i="41" s="1"/>
  <c r="A639" i="41" s="1"/>
  <c r="A640" i="41" s="1"/>
  <c r="A641" i="41" s="1"/>
  <c r="A642" i="41" s="1"/>
  <c r="A643" i="41" s="1"/>
  <c r="A644" i="41" s="1"/>
  <c r="A645" i="41" s="1"/>
  <c r="A646" i="41" s="1"/>
  <c r="A647" i="41" s="1"/>
  <c r="A648" i="41" s="1"/>
  <c r="A649" i="41" s="1"/>
  <c r="A650" i="41" s="1"/>
  <c r="A651" i="41" s="1"/>
  <c r="A652" i="41" s="1"/>
  <c r="A653" i="41" s="1"/>
  <c r="A654" i="41" s="1"/>
  <c r="L625" i="41"/>
  <c r="I625" i="41"/>
  <c r="L621" i="41"/>
  <c r="I621" i="41"/>
  <c r="L620" i="41"/>
  <c r="I620" i="41"/>
  <c r="L619" i="41"/>
  <c r="I619" i="41"/>
  <c r="L618" i="41"/>
  <c r="I618" i="41"/>
  <c r="L617" i="41"/>
  <c r="I617" i="41"/>
  <c r="L616" i="41"/>
  <c r="I616" i="41"/>
  <c r="L615" i="41"/>
  <c r="I615" i="41"/>
  <c r="L614" i="41"/>
  <c r="I614" i="41"/>
  <c r="L613" i="41"/>
  <c r="I613" i="41"/>
  <c r="L612" i="41"/>
  <c r="I612" i="41"/>
  <c r="L611" i="41"/>
  <c r="I611" i="41"/>
  <c r="L610" i="41"/>
  <c r="I610" i="41"/>
  <c r="L609" i="41"/>
  <c r="I609" i="41"/>
  <c r="L608" i="41"/>
  <c r="I608" i="41"/>
  <c r="L607" i="41"/>
  <c r="I607" i="41"/>
  <c r="L606" i="41"/>
  <c r="I606" i="41"/>
  <c r="L605" i="41"/>
  <c r="I605" i="41"/>
  <c r="L604" i="41"/>
  <c r="I604" i="41"/>
  <c r="L603" i="41"/>
  <c r="I603" i="41"/>
  <c r="L602" i="41"/>
  <c r="I602" i="41"/>
  <c r="L601" i="41"/>
  <c r="I601" i="41"/>
  <c r="L600" i="41"/>
  <c r="I600" i="41"/>
  <c r="L599" i="41"/>
  <c r="I599" i="41"/>
  <c r="L598" i="41"/>
  <c r="I598" i="41"/>
  <c r="L597" i="41"/>
  <c r="I597" i="41"/>
  <c r="L596" i="41"/>
  <c r="I596" i="41"/>
  <c r="L595" i="41"/>
  <c r="I595" i="41"/>
  <c r="L594" i="41"/>
  <c r="I594" i="41"/>
  <c r="L593" i="41"/>
  <c r="I593" i="41"/>
  <c r="L592" i="41"/>
  <c r="I592" i="41"/>
  <c r="L591" i="41"/>
  <c r="I591" i="41"/>
  <c r="L590" i="41"/>
  <c r="I590" i="41"/>
  <c r="L589" i="41"/>
  <c r="I589" i="41"/>
  <c r="L588" i="41"/>
  <c r="I588" i="41"/>
  <c r="L587" i="41"/>
  <c r="I587" i="41"/>
  <c r="L586" i="41"/>
  <c r="I586" i="41"/>
  <c r="L585" i="41"/>
  <c r="I585" i="41"/>
  <c r="L584" i="41"/>
  <c r="I584" i="41"/>
  <c r="L583" i="41"/>
  <c r="I583" i="41"/>
  <c r="L582" i="41"/>
  <c r="I582" i="41"/>
  <c r="L581" i="41"/>
  <c r="I581" i="41"/>
  <c r="L580" i="41"/>
  <c r="I580" i="41"/>
  <c r="L579" i="41"/>
  <c r="I579" i="41"/>
  <c r="L578" i="41"/>
  <c r="I578" i="41"/>
  <c r="L577" i="41"/>
  <c r="I577" i="41"/>
  <c r="L576" i="41"/>
  <c r="I576" i="41"/>
  <c r="L575" i="41"/>
  <c r="I575" i="41"/>
  <c r="L574" i="41"/>
  <c r="I574" i="41"/>
  <c r="L573" i="41"/>
  <c r="I573" i="41"/>
  <c r="L572" i="41"/>
  <c r="I572" i="41"/>
  <c r="L571" i="41"/>
  <c r="I571" i="41"/>
  <c r="L570" i="41"/>
  <c r="I570" i="41"/>
  <c r="L569" i="41"/>
  <c r="I569" i="41"/>
  <c r="L568" i="41"/>
  <c r="I568" i="41"/>
  <c r="L567" i="41"/>
  <c r="I567" i="41"/>
  <c r="L566" i="41"/>
  <c r="I566" i="41"/>
  <c r="L565" i="41"/>
  <c r="I565" i="41"/>
  <c r="L564" i="41"/>
  <c r="I564" i="41"/>
  <c r="L563" i="41"/>
  <c r="I563" i="41"/>
  <c r="L562" i="41"/>
  <c r="I562" i="41"/>
  <c r="L561" i="41"/>
  <c r="I561" i="41"/>
  <c r="L560" i="41"/>
  <c r="I560" i="41"/>
  <c r="L559" i="41"/>
  <c r="I559" i="41"/>
  <c r="L558" i="41"/>
  <c r="I558" i="41"/>
  <c r="L557" i="41"/>
  <c r="I557" i="41"/>
  <c r="L556" i="41"/>
  <c r="I556" i="41"/>
  <c r="L555" i="41"/>
  <c r="I555" i="41"/>
  <c r="L554" i="41"/>
  <c r="I554" i="41"/>
  <c r="L553" i="41"/>
  <c r="I553" i="41"/>
  <c r="L552" i="41"/>
  <c r="I552" i="41"/>
  <c r="L551" i="41"/>
  <c r="I551" i="41"/>
  <c r="L550" i="41"/>
  <c r="I550" i="41"/>
  <c r="L549" i="41"/>
  <c r="I549" i="41"/>
  <c r="L548" i="41"/>
  <c r="I548" i="41"/>
  <c r="L547" i="41"/>
  <c r="I547" i="41"/>
  <c r="L546" i="41"/>
  <c r="I546" i="41"/>
  <c r="L545" i="41"/>
  <c r="I545" i="41"/>
  <c r="L544" i="41"/>
  <c r="I544" i="41"/>
  <c r="A544" i="41"/>
  <c r="A545" i="41" s="1"/>
  <c r="A546" i="41" s="1"/>
  <c r="A547" i="41" s="1"/>
  <c r="A548" i="41" s="1"/>
  <c r="A549" i="41" s="1"/>
  <c r="A550" i="41" s="1"/>
  <c r="A551" i="41" s="1"/>
  <c r="A552" i="41" s="1"/>
  <c r="A553" i="41" s="1"/>
  <c r="A554" i="41" s="1"/>
  <c r="A555" i="41" s="1"/>
  <c r="A556" i="41" s="1"/>
  <c r="A557" i="41" s="1"/>
  <c r="A558" i="41" s="1"/>
  <c r="A559" i="41" s="1"/>
  <c r="A560" i="41" s="1"/>
  <c r="A561" i="41" s="1"/>
  <c r="A562" i="41" s="1"/>
  <c r="A563" i="41" s="1"/>
  <c r="A564" i="41" s="1"/>
  <c r="A565" i="41" s="1"/>
  <c r="A566" i="41" s="1"/>
  <c r="A567" i="41" s="1"/>
  <c r="A568" i="41" s="1"/>
  <c r="A569" i="41" s="1"/>
  <c r="A570" i="41" s="1"/>
  <c r="A571" i="41" s="1"/>
  <c r="A572" i="41" s="1"/>
  <c r="A573" i="41" s="1"/>
  <c r="A574" i="41" s="1"/>
  <c r="A575" i="41" s="1"/>
  <c r="A576" i="41" s="1"/>
  <c r="A577" i="41" s="1"/>
  <c r="A578" i="41" s="1"/>
  <c r="A579" i="41" s="1"/>
  <c r="A580" i="41" s="1"/>
  <c r="A581" i="41" s="1"/>
  <c r="A582" i="41" s="1"/>
  <c r="A583" i="41" s="1"/>
  <c r="A584" i="41" s="1"/>
  <c r="A585" i="41" s="1"/>
  <c r="A586" i="41" s="1"/>
  <c r="A587" i="41" s="1"/>
  <c r="A588" i="41" s="1"/>
  <c r="A589" i="41" s="1"/>
  <c r="A590" i="41" s="1"/>
  <c r="A591" i="41" s="1"/>
  <c r="A592" i="41" s="1"/>
  <c r="A593" i="41" s="1"/>
  <c r="A594" i="41" s="1"/>
  <c r="A595" i="41" s="1"/>
  <c r="A596" i="41" s="1"/>
  <c r="A597" i="41" s="1"/>
  <c r="A598" i="41" s="1"/>
  <c r="A599" i="41" s="1"/>
  <c r="A600" i="41" s="1"/>
  <c r="A601" i="41" s="1"/>
  <c r="A602" i="41" s="1"/>
  <c r="A603" i="41" s="1"/>
  <c r="A604" i="41" s="1"/>
  <c r="A605" i="41" s="1"/>
  <c r="A606" i="41" s="1"/>
  <c r="A607" i="41" s="1"/>
  <c r="A608" i="41" s="1"/>
  <c r="A609" i="41" s="1"/>
  <c r="A610" i="41" s="1"/>
  <c r="A611" i="41" s="1"/>
  <c r="A612" i="41" s="1"/>
  <c r="A613" i="41" s="1"/>
  <c r="A614" i="41" s="1"/>
  <c r="A615" i="41" s="1"/>
  <c r="A616" i="41" s="1"/>
  <c r="A617" i="41" s="1"/>
  <c r="A618" i="41" s="1"/>
  <c r="A619" i="41" s="1"/>
  <c r="A620" i="41" s="1"/>
  <c r="A621" i="41" s="1"/>
  <c r="L543" i="41"/>
  <c r="I543" i="41"/>
  <c r="I538" i="41"/>
  <c r="I527" i="41"/>
  <c r="I516" i="41"/>
  <c r="I513" i="41"/>
  <c r="I505" i="41"/>
  <c r="I494" i="41"/>
  <c r="I493" i="41"/>
  <c r="I492" i="41"/>
  <c r="I491" i="41"/>
  <c r="I490" i="41"/>
  <c r="I489" i="41"/>
  <c r="I488" i="41"/>
  <c r="I487" i="41"/>
  <c r="I486" i="41"/>
  <c r="I483" i="41"/>
  <c r="G473" i="41"/>
  <c r="F473" i="41"/>
  <c r="I473" i="41" s="1"/>
  <c r="I472" i="41"/>
  <c r="I471" i="41"/>
  <c r="I470" i="41"/>
  <c r="I469" i="41"/>
  <c r="I468" i="41"/>
  <c r="I467" i="41"/>
  <c r="I465" i="41"/>
  <c r="I464" i="41"/>
  <c r="G463" i="41"/>
  <c r="F463" i="41"/>
  <c r="I463" i="41" s="1"/>
  <c r="G462" i="41"/>
  <c r="F462" i="41"/>
  <c r="I462" i="41" s="1"/>
  <c r="G461" i="41"/>
  <c r="F461" i="41"/>
  <c r="I461" i="41" s="1"/>
  <c r="G460" i="41"/>
  <c r="F460" i="41"/>
  <c r="I460" i="41" s="1"/>
  <c r="I459" i="41"/>
  <c r="G449" i="41"/>
  <c r="F449" i="41"/>
  <c r="I449" i="41" s="1"/>
  <c r="I448" i="41"/>
  <c r="I447" i="41"/>
  <c r="I446" i="41"/>
  <c r="I445" i="41"/>
  <c r="I444" i="41"/>
  <c r="I443" i="41"/>
  <c r="I442" i="41"/>
  <c r="I441" i="41"/>
  <c r="I440" i="41"/>
  <c r="G439" i="41"/>
  <c r="F439" i="41"/>
  <c r="I439" i="41" s="1"/>
  <c r="G438" i="41"/>
  <c r="F438" i="41"/>
  <c r="I438" i="41" s="1"/>
  <c r="G437" i="41"/>
  <c r="F437" i="41"/>
  <c r="I437" i="41" s="1"/>
  <c r="G436" i="41"/>
  <c r="F436" i="41"/>
  <c r="I436" i="41" s="1"/>
  <c r="I435" i="41"/>
  <c r="G425" i="41"/>
  <c r="F425" i="41"/>
  <c r="I425" i="41" s="1"/>
  <c r="I424" i="41"/>
  <c r="I423" i="41"/>
  <c r="I422" i="41"/>
  <c r="I421" i="41"/>
  <c r="I420" i="41"/>
  <c r="I419" i="41"/>
  <c r="I418" i="41"/>
  <c r="I417" i="41"/>
  <c r="I416" i="41"/>
  <c r="G415" i="41"/>
  <c r="F415" i="41"/>
  <c r="I415" i="41" s="1"/>
  <c r="G414" i="41"/>
  <c r="F414" i="41"/>
  <c r="I414" i="41" s="1"/>
  <c r="G413" i="41"/>
  <c r="F413" i="41"/>
  <c r="I413" i="41" s="1"/>
  <c r="G412" i="41"/>
  <c r="F412" i="41"/>
  <c r="I412" i="41" s="1"/>
  <c r="I411" i="41"/>
  <c r="G401" i="41"/>
  <c r="F401" i="41"/>
  <c r="I401" i="41" s="1"/>
  <c r="I400" i="41"/>
  <c r="I399" i="41"/>
  <c r="I398" i="41"/>
  <c r="I397" i="41"/>
  <c r="I396" i="41"/>
  <c r="I395" i="41"/>
  <c r="I394" i="41"/>
  <c r="I393" i="41"/>
  <c r="I392" i="41"/>
  <c r="G391" i="41"/>
  <c r="F391" i="41"/>
  <c r="I391" i="41" s="1"/>
  <c r="G390" i="41"/>
  <c r="F390" i="41"/>
  <c r="I390" i="41" s="1"/>
  <c r="G389" i="41"/>
  <c r="F389" i="41"/>
  <c r="I389" i="41" s="1"/>
  <c r="G388" i="41"/>
  <c r="F388" i="41"/>
  <c r="I388" i="41" s="1"/>
  <c r="I387" i="41"/>
  <c r="I386" i="41"/>
  <c r="I385" i="41"/>
  <c r="I384" i="41"/>
  <c r="I383" i="41"/>
  <c r="I382" i="41"/>
  <c r="I381" i="41"/>
  <c r="I380" i="41"/>
  <c r="I379" i="41"/>
  <c r="I378" i="41"/>
  <c r="H377" i="41"/>
  <c r="I377" i="41" s="1"/>
  <c r="I376" i="41"/>
  <c r="I375" i="41"/>
  <c r="I374" i="41"/>
  <c r="I373" i="41"/>
  <c r="I372" i="41"/>
  <c r="I371" i="41"/>
  <c r="I370" i="41"/>
  <c r="I369" i="41"/>
  <c r="I368" i="41"/>
  <c r="H367" i="41"/>
  <c r="I367" i="41" s="1"/>
  <c r="H366" i="41"/>
  <c r="I366" i="41" s="1"/>
  <c r="H365" i="41"/>
  <c r="I365" i="41" s="1"/>
  <c r="H364" i="41"/>
  <c r="I364" i="41" s="1"/>
  <c r="I363" i="41"/>
  <c r="H353" i="41"/>
  <c r="I353" i="41" s="1"/>
  <c r="I352" i="41"/>
  <c r="I351" i="41"/>
  <c r="I350" i="41"/>
  <c r="I349" i="41"/>
  <c r="I348" i="41"/>
  <c r="I347" i="41"/>
  <c r="I346" i="41"/>
  <c r="I345" i="41"/>
  <c r="I344" i="41"/>
  <c r="H343" i="41"/>
  <c r="I343" i="41" s="1"/>
  <c r="H342" i="41"/>
  <c r="I342" i="41" s="1"/>
  <c r="H341" i="41"/>
  <c r="I341" i="41" s="1"/>
  <c r="H340" i="41"/>
  <c r="I340" i="41" s="1"/>
  <c r="I339" i="41"/>
  <c r="I338" i="41"/>
  <c r="I337" i="41"/>
  <c r="I336" i="41"/>
  <c r="I335" i="41"/>
  <c r="I334" i="41"/>
  <c r="I333" i="41"/>
  <c r="I332" i="41"/>
  <c r="I331" i="41"/>
  <c r="I330" i="41"/>
  <c r="H329" i="41"/>
  <c r="I329" i="41" s="1"/>
  <c r="I328" i="41"/>
  <c r="I327" i="41"/>
  <c r="I326" i="41"/>
  <c r="I325" i="41"/>
  <c r="I324" i="41"/>
  <c r="I323" i="41"/>
  <c r="I322" i="41"/>
  <c r="I321" i="41"/>
  <c r="I320" i="41"/>
  <c r="H319" i="41"/>
  <c r="I319" i="41" s="1"/>
  <c r="H318" i="41"/>
  <c r="I318" i="41" s="1"/>
  <c r="H317" i="41"/>
  <c r="I317" i="41" s="1"/>
  <c r="H316" i="41"/>
  <c r="I316" i="41" s="1"/>
  <c r="I315" i="41"/>
  <c r="I314" i="41"/>
  <c r="I313" i="41"/>
  <c r="I312" i="41"/>
  <c r="I311" i="41"/>
  <c r="I310" i="41"/>
  <c r="I309" i="41"/>
  <c r="I308" i="41"/>
  <c r="I307" i="41"/>
  <c r="I306" i="41"/>
  <c r="I305" i="41"/>
  <c r="I304" i="41"/>
  <c r="I303" i="41"/>
  <c r="I302" i="41"/>
  <c r="I301" i="41"/>
  <c r="I300" i="41"/>
  <c r="I299" i="41"/>
  <c r="I298" i="41"/>
  <c r="I297" i="41"/>
  <c r="I296" i="41"/>
  <c r="I295" i="41"/>
  <c r="I294" i="41"/>
  <c r="I291" i="41"/>
  <c r="L290" i="41"/>
  <c r="L289" i="41"/>
  <c r="L288" i="41"/>
  <c r="L287" i="41"/>
  <c r="L286" i="41"/>
  <c r="L285" i="41"/>
  <c r="L284" i="41"/>
  <c r="L283" i="41"/>
  <c r="L282" i="41"/>
  <c r="H281" i="41"/>
  <c r="G281" i="41"/>
  <c r="F281" i="41"/>
  <c r="I281" i="41" s="1"/>
  <c r="H280" i="41"/>
  <c r="G280" i="41"/>
  <c r="F280" i="41"/>
  <c r="I280" i="41" s="1"/>
  <c r="H279" i="41"/>
  <c r="G279" i="41"/>
  <c r="F279" i="41"/>
  <c r="I279" i="41" s="1"/>
  <c r="H278" i="41"/>
  <c r="G278" i="41"/>
  <c r="F278" i="41"/>
  <c r="I278" i="41" s="1"/>
  <c r="H277" i="41"/>
  <c r="G277" i="41"/>
  <c r="F277" i="41"/>
  <c r="I277" i="41" s="1"/>
  <c r="H276" i="41"/>
  <c r="G276" i="41"/>
  <c r="F276" i="41"/>
  <c r="I276" i="41" s="1"/>
  <c r="H275" i="41"/>
  <c r="G275" i="41"/>
  <c r="F275" i="41"/>
  <c r="I275" i="41" s="1"/>
  <c r="H274" i="41"/>
  <c r="G274" i="41"/>
  <c r="F274" i="41"/>
  <c r="I274" i="41" s="1"/>
  <c r="H273" i="41"/>
  <c r="G273" i="41"/>
  <c r="F273" i="41"/>
  <c r="I273" i="41" s="1"/>
  <c r="H272" i="41"/>
  <c r="G272" i="41"/>
  <c r="F272" i="41"/>
  <c r="I272" i="41" s="1"/>
  <c r="H271" i="41"/>
  <c r="G271" i="41"/>
  <c r="F271" i="41"/>
  <c r="I271" i="41" s="1"/>
  <c r="H270" i="41"/>
  <c r="G270" i="41"/>
  <c r="F270" i="41"/>
  <c r="I270" i="41" s="1"/>
  <c r="H268" i="41"/>
  <c r="G268" i="41"/>
  <c r="F268" i="41"/>
  <c r="L263" i="41"/>
  <c r="I263" i="41"/>
  <c r="L262" i="41"/>
  <c r="I262" i="41"/>
  <c r="L261" i="41"/>
  <c r="I261" i="41"/>
  <c r="L260" i="41"/>
  <c r="I260" i="41"/>
  <c r="L259" i="41"/>
  <c r="I259" i="41"/>
  <c r="L258" i="41"/>
  <c r="I258" i="41"/>
  <c r="L257" i="41"/>
  <c r="I257" i="41"/>
  <c r="L256" i="41"/>
  <c r="I256" i="41"/>
  <c r="L255" i="41"/>
  <c r="I255" i="41"/>
  <c r="L254" i="41"/>
  <c r="I254" i="41"/>
  <c r="L253" i="41"/>
  <c r="I253" i="41"/>
  <c r="L252" i="41"/>
  <c r="I252" i="41"/>
  <c r="L251" i="41"/>
  <c r="I251" i="41"/>
  <c r="L250" i="41"/>
  <c r="I250" i="41"/>
  <c r="L249" i="41"/>
  <c r="I249" i="41"/>
  <c r="L248" i="41"/>
  <c r="I248" i="41"/>
  <c r="L247" i="41"/>
  <c r="I247" i="41"/>
  <c r="L246" i="41"/>
  <c r="I246" i="41"/>
  <c r="L245" i="41"/>
  <c r="I245" i="41"/>
  <c r="L244" i="41"/>
  <c r="I244" i="41"/>
  <c r="L243" i="41"/>
  <c r="I243" i="41"/>
  <c r="L242" i="41"/>
  <c r="I242" i="41"/>
  <c r="L241" i="41"/>
  <c r="I241" i="41"/>
  <c r="L240" i="41"/>
  <c r="I240" i="41"/>
  <c r="L239" i="41"/>
  <c r="I239" i="41"/>
  <c r="L238" i="41"/>
  <c r="I238" i="41"/>
  <c r="L237" i="41"/>
  <c r="I237" i="41"/>
  <c r="L236" i="41"/>
  <c r="I236" i="41"/>
  <c r="L235" i="41"/>
  <c r="I235" i="41"/>
  <c r="L234" i="41"/>
  <c r="I234" i="41"/>
  <c r="L233" i="41"/>
  <c r="I233" i="41"/>
  <c r="L232" i="41"/>
  <c r="I232" i="41"/>
  <c r="L231" i="41"/>
  <c r="I231" i="41"/>
  <c r="L230" i="41"/>
  <c r="I230" i="41"/>
  <c r="L229" i="41"/>
  <c r="I229" i="41"/>
  <c r="L228" i="41"/>
  <c r="I228" i="41"/>
  <c r="L227" i="41"/>
  <c r="I227" i="41"/>
  <c r="L226" i="41"/>
  <c r="I226" i="41"/>
  <c r="L225" i="41"/>
  <c r="I225" i="41"/>
  <c r="L224" i="41"/>
  <c r="I224" i="41"/>
  <c r="L223" i="41"/>
  <c r="I223" i="41"/>
  <c r="L222" i="41"/>
  <c r="I222" i="41"/>
  <c r="L221" i="41"/>
  <c r="I221" i="41"/>
  <c r="L220" i="41"/>
  <c r="I220" i="41"/>
  <c r="L219" i="41"/>
  <c r="I219" i="41"/>
  <c r="L218" i="41"/>
  <c r="I218" i="41"/>
  <c r="L217" i="41"/>
  <c r="I217" i="41"/>
  <c r="L216" i="41"/>
  <c r="I216" i="41"/>
  <c r="L215" i="41"/>
  <c r="I215" i="41"/>
  <c r="L214" i="41"/>
  <c r="I214" i="41"/>
  <c r="L213" i="41"/>
  <c r="I213" i="41"/>
  <c r="L212" i="41"/>
  <c r="I212" i="41"/>
  <c r="L211" i="41"/>
  <c r="I211" i="41"/>
  <c r="L210" i="41"/>
  <c r="I210" i="41"/>
  <c r="L209" i="41"/>
  <c r="I209" i="41"/>
  <c r="L208" i="41"/>
  <c r="I208" i="41"/>
  <c r="L207" i="41"/>
  <c r="I207" i="41"/>
  <c r="L206" i="41"/>
  <c r="I206" i="41"/>
  <c r="L205" i="41"/>
  <c r="I205" i="41"/>
  <c r="L204" i="41"/>
  <c r="I204" i="41"/>
  <c r="L203" i="41"/>
  <c r="I203" i="41"/>
  <c r="L202" i="41"/>
  <c r="I202" i="41"/>
  <c r="L201" i="41"/>
  <c r="I201" i="41"/>
  <c r="L200" i="41"/>
  <c r="I200" i="41"/>
  <c r="L199" i="41"/>
  <c r="I199" i="41"/>
  <c r="L198" i="41"/>
  <c r="I198" i="41"/>
  <c r="L197" i="41"/>
  <c r="I197" i="41"/>
  <c r="L196" i="41"/>
  <c r="I196" i="41"/>
  <c r="L195" i="41"/>
  <c r="I195" i="41"/>
  <c r="L194" i="41"/>
  <c r="I194" i="41"/>
  <c r="L193" i="41"/>
  <c r="I193" i="41"/>
  <c r="L192" i="41"/>
  <c r="I192" i="41"/>
  <c r="L191" i="41"/>
  <c r="I191" i="41"/>
  <c r="L190" i="41"/>
  <c r="I190" i="41"/>
  <c r="L189" i="41"/>
  <c r="I189" i="41"/>
  <c r="L188" i="41"/>
  <c r="I188" i="41"/>
  <c r="L187" i="41"/>
  <c r="I187" i="41"/>
  <c r="L186" i="41"/>
  <c r="I186" i="41"/>
  <c r="L185" i="41"/>
  <c r="I185" i="41"/>
  <c r="L184" i="41"/>
  <c r="I184" i="41"/>
  <c r="L183" i="41"/>
  <c r="I183" i="41"/>
  <c r="L182" i="41"/>
  <c r="I182" i="41"/>
  <c r="L181" i="41"/>
  <c r="I181" i="41"/>
  <c r="L180" i="41"/>
  <c r="I180" i="41"/>
  <c r="L179" i="41"/>
  <c r="I179" i="41"/>
  <c r="L178" i="41"/>
  <c r="I178" i="41"/>
  <c r="L177" i="41"/>
  <c r="I177" i="41"/>
  <c r="L176" i="41"/>
  <c r="I176" i="41"/>
  <c r="L175" i="41"/>
  <c r="I175" i="41"/>
  <c r="L174" i="41"/>
  <c r="I174" i="41"/>
  <c r="L173" i="41"/>
  <c r="I173" i="41"/>
  <c r="L172" i="41"/>
  <c r="I172" i="41"/>
  <c r="L171" i="41"/>
  <c r="I171" i="41"/>
  <c r="L170" i="41"/>
  <c r="I170" i="41"/>
  <c r="L169" i="41"/>
  <c r="I169" i="41"/>
  <c r="L168" i="41"/>
  <c r="I168" i="41"/>
  <c r="L167" i="41"/>
  <c r="I167" i="41"/>
  <c r="L166" i="41"/>
  <c r="I166" i="41"/>
  <c r="L165" i="41"/>
  <c r="I165" i="41"/>
  <c r="L164" i="41"/>
  <c r="I164" i="41"/>
  <c r="L163" i="41"/>
  <c r="I163" i="41"/>
  <c r="L162" i="41"/>
  <c r="I162" i="41"/>
  <c r="L161" i="41"/>
  <c r="I161" i="41"/>
  <c r="L160" i="41"/>
  <c r="I160" i="41"/>
  <c r="L159" i="41"/>
  <c r="I159" i="41"/>
  <c r="L158" i="41"/>
  <c r="I158" i="41"/>
  <c r="L157" i="41"/>
  <c r="I157" i="41"/>
  <c r="L156" i="41"/>
  <c r="I156" i="41"/>
  <c r="L155" i="41"/>
  <c r="I155" i="41"/>
  <c r="L154" i="41"/>
  <c r="I154" i="41"/>
  <c r="L153" i="41"/>
  <c r="I153" i="41"/>
  <c r="L152" i="41"/>
  <c r="I152" i="41"/>
  <c r="L151" i="41"/>
  <c r="I151" i="41"/>
  <c r="L150" i="41"/>
  <c r="I150" i="41"/>
  <c r="L149" i="41"/>
  <c r="I149" i="41"/>
  <c r="L148" i="41"/>
  <c r="I148" i="41"/>
  <c r="L147" i="41"/>
  <c r="I147" i="41"/>
  <c r="L146" i="41"/>
  <c r="I146" i="41"/>
  <c r="L145" i="41"/>
  <c r="I145" i="41"/>
  <c r="L144" i="41"/>
  <c r="I144" i="41"/>
  <c r="L143" i="41"/>
  <c r="I143" i="41"/>
  <c r="L142" i="41"/>
  <c r="I142" i="41"/>
  <c r="L141" i="41"/>
  <c r="I141" i="41"/>
  <c r="L140" i="41"/>
  <c r="I140" i="41"/>
  <c r="L139" i="41"/>
  <c r="I139" i="41"/>
  <c r="L138" i="41"/>
  <c r="I138" i="41"/>
  <c r="L137" i="41"/>
  <c r="I137" i="41"/>
  <c r="L136" i="41"/>
  <c r="I136" i="41"/>
  <c r="L135" i="41"/>
  <c r="I135" i="41"/>
  <c r="L134" i="41"/>
  <c r="I134" i="41"/>
  <c r="L133" i="41"/>
  <c r="I133" i="41"/>
  <c r="L132" i="41"/>
  <c r="I132" i="41"/>
  <c r="L131" i="41"/>
  <c r="I131" i="41"/>
  <c r="L130" i="41"/>
  <c r="I130" i="41"/>
  <c r="L129" i="41"/>
  <c r="I129" i="41"/>
  <c r="A129" i="4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A171" i="41" s="1"/>
  <c r="A172" i="41" s="1"/>
  <c r="A173" i="41" s="1"/>
  <c r="A174" i="41" s="1"/>
  <c r="A175" i="41" s="1"/>
  <c r="A176" i="41" s="1"/>
  <c r="A177" i="41" s="1"/>
  <c r="A178" i="41" s="1"/>
  <c r="A179" i="41" s="1"/>
  <c r="A180" i="41" s="1"/>
  <c r="A181" i="41" s="1"/>
  <c r="A182" i="41" s="1"/>
  <c r="A183" i="41" s="1"/>
  <c r="A184" i="41" s="1"/>
  <c r="A185" i="41" s="1"/>
  <c r="A186" i="41" s="1"/>
  <c r="A187" i="41" s="1"/>
  <c r="A188" i="41" s="1"/>
  <c r="A189" i="41" s="1"/>
  <c r="A190" i="41" s="1"/>
  <c r="A191" i="41" s="1"/>
  <c r="A192" i="41" s="1"/>
  <c r="A193" i="41" s="1"/>
  <c r="A194" i="41" s="1"/>
  <c r="A195" i="41" s="1"/>
  <c r="A196" i="41" s="1"/>
  <c r="A197" i="41" s="1"/>
  <c r="A198" i="41" s="1"/>
  <c r="A199" i="41" s="1"/>
  <c r="A200" i="41" s="1"/>
  <c r="A201" i="41" s="1"/>
  <c r="A202" i="41" s="1"/>
  <c r="A203" i="41" s="1"/>
  <c r="A204" i="41" s="1"/>
  <c r="A205" i="41" s="1"/>
  <c r="A206" i="41" s="1"/>
  <c r="A207" i="41" s="1"/>
  <c r="A208" i="41" s="1"/>
  <c r="A209" i="41" s="1"/>
  <c r="A210" i="41" s="1"/>
  <c r="A211" i="41" s="1"/>
  <c r="A212" i="41" s="1"/>
  <c r="A213" i="41" s="1"/>
  <c r="A214" i="41" s="1"/>
  <c r="A215" i="41" s="1"/>
  <c r="A216" i="41" s="1"/>
  <c r="A217" i="41" s="1"/>
  <c r="A218" i="41" s="1"/>
  <c r="A219" i="41" s="1"/>
  <c r="A220" i="41" s="1"/>
  <c r="A221" i="41" s="1"/>
  <c r="A222" i="41" s="1"/>
  <c r="A223" i="41" s="1"/>
  <c r="A224" i="41" s="1"/>
  <c r="A225" i="41" s="1"/>
  <c r="A226" i="41" s="1"/>
  <c r="A227" i="41" s="1"/>
  <c r="A228" i="41" s="1"/>
  <c r="A229" i="41" s="1"/>
  <c r="A230" i="41" s="1"/>
  <c r="A231" i="41" s="1"/>
  <c r="A232" i="41" s="1"/>
  <c r="A233" i="41" s="1"/>
  <c r="A234" i="41" s="1"/>
  <c r="A235" i="41" s="1"/>
  <c r="A236" i="41" s="1"/>
  <c r="A237" i="41" s="1"/>
  <c r="A238" i="41" s="1"/>
  <c r="A239" i="41" s="1"/>
  <c r="A240" i="41" s="1"/>
  <c r="A241" i="41" s="1"/>
  <c r="A242" i="41" s="1"/>
  <c r="A243" i="41" s="1"/>
  <c r="A244" i="41" s="1"/>
  <c r="A245" i="41" s="1"/>
  <c r="A246" i="41" s="1"/>
  <c r="A247" i="41" s="1"/>
  <c r="A248" i="41" s="1"/>
  <c r="A249" i="41" s="1"/>
  <c r="A250" i="41" s="1"/>
  <c r="A251" i="41" s="1"/>
  <c r="A252" i="41" s="1"/>
  <c r="A253" i="41" s="1"/>
  <c r="A254" i="41" s="1"/>
  <c r="A255" i="41" s="1"/>
  <c r="A256" i="41" s="1"/>
  <c r="A257" i="41" s="1"/>
  <c r="A258" i="41" s="1"/>
  <c r="A259" i="41" s="1"/>
  <c r="A260" i="41" s="1"/>
  <c r="A261" i="41" s="1"/>
  <c r="A262" i="41" s="1"/>
  <c r="A263" i="41" s="1"/>
  <c r="L128" i="41"/>
  <c r="I128" i="41"/>
  <c r="T124" i="41"/>
  <c r="I124" i="41"/>
  <c r="T123" i="41"/>
  <c r="I123" i="41"/>
  <c r="T122" i="41"/>
  <c r="I122" i="41"/>
  <c r="T121" i="41"/>
  <c r="I121" i="41"/>
  <c r="T120" i="41"/>
  <c r="I120" i="41"/>
  <c r="T119" i="41"/>
  <c r="I119" i="41"/>
  <c r="T118" i="41"/>
  <c r="I118" i="41"/>
  <c r="T117" i="41"/>
  <c r="I117" i="41"/>
  <c r="T116" i="41"/>
  <c r="I116" i="41"/>
  <c r="T115" i="41"/>
  <c r="I115" i="41"/>
  <c r="T114" i="41"/>
  <c r="I114" i="41"/>
  <c r="T113" i="41"/>
  <c r="I113" i="41"/>
  <c r="T112" i="41"/>
  <c r="I112" i="41"/>
  <c r="T111" i="41"/>
  <c r="I111" i="41"/>
  <c r="T110" i="41"/>
  <c r="I110" i="41"/>
  <c r="T109" i="41"/>
  <c r="I109" i="41"/>
  <c r="T108" i="41"/>
  <c r="I108" i="41"/>
  <c r="T107" i="41"/>
  <c r="I107" i="41"/>
  <c r="T106" i="41"/>
  <c r="I106" i="41"/>
  <c r="T105" i="41"/>
  <c r="I105" i="41"/>
  <c r="T104" i="41"/>
  <c r="I104" i="41"/>
  <c r="T103" i="41"/>
  <c r="I103" i="41"/>
  <c r="T102" i="41"/>
  <c r="I102" i="41"/>
  <c r="T101" i="41"/>
  <c r="I101" i="41"/>
  <c r="T100" i="41"/>
  <c r="I100" i="41"/>
  <c r="T99" i="41"/>
  <c r="I99" i="41"/>
  <c r="T98" i="41"/>
  <c r="I98" i="41"/>
  <c r="T97" i="41"/>
  <c r="I97" i="41"/>
  <c r="T96" i="41"/>
  <c r="I96" i="41"/>
  <c r="T95" i="41"/>
  <c r="I95" i="41"/>
  <c r="T94" i="41"/>
  <c r="I94" i="41"/>
  <c r="T93" i="41"/>
  <c r="I93" i="41"/>
  <c r="T92" i="41"/>
  <c r="I92" i="41"/>
  <c r="T91" i="41"/>
  <c r="I91" i="41"/>
  <c r="T90" i="41"/>
  <c r="I90" i="41"/>
  <c r="T89" i="41"/>
  <c r="I89" i="41"/>
  <c r="T88" i="41"/>
  <c r="I88" i="41"/>
  <c r="T87" i="41"/>
  <c r="I87" i="41"/>
  <c r="T86" i="41"/>
  <c r="I86" i="41"/>
  <c r="T85" i="41"/>
  <c r="I85" i="41"/>
  <c r="T84" i="41"/>
  <c r="I84" i="41"/>
  <c r="T83" i="41"/>
  <c r="I83" i="41"/>
  <c r="T82" i="41"/>
  <c r="I82" i="41"/>
  <c r="T81" i="41"/>
  <c r="I81" i="41"/>
  <c r="T80" i="41"/>
  <c r="I80" i="41"/>
  <c r="T79" i="41"/>
  <c r="I79" i="41"/>
  <c r="T78" i="41"/>
  <c r="I78" i="41"/>
  <c r="T77" i="41"/>
  <c r="I77" i="41"/>
  <c r="T76" i="41"/>
  <c r="I76" i="41"/>
  <c r="T75" i="41"/>
  <c r="I75" i="41"/>
  <c r="T74" i="41"/>
  <c r="I74" i="41"/>
  <c r="T73" i="41"/>
  <c r="I73" i="41"/>
  <c r="T72" i="41"/>
  <c r="I72" i="41"/>
  <c r="T71" i="41"/>
  <c r="I71" i="41"/>
  <c r="T70" i="41"/>
  <c r="I70" i="41"/>
  <c r="T69" i="41"/>
  <c r="I69" i="41"/>
  <c r="T68" i="41"/>
  <c r="I68" i="41"/>
  <c r="T67" i="41"/>
  <c r="I67" i="41"/>
  <c r="T66" i="41"/>
  <c r="I66" i="41"/>
  <c r="T65" i="41"/>
  <c r="I65" i="41"/>
  <c r="T64" i="41"/>
  <c r="I64" i="41"/>
  <c r="T63" i="41"/>
  <c r="I63" i="41"/>
  <c r="T62" i="41"/>
  <c r="I62" i="41"/>
  <c r="T61" i="41"/>
  <c r="I61" i="41"/>
  <c r="T60" i="41"/>
  <c r="I60" i="41"/>
  <c r="T59" i="41"/>
  <c r="I59" i="41"/>
  <c r="T58" i="41"/>
  <c r="I58" i="41"/>
  <c r="T57" i="41"/>
  <c r="I57" i="41"/>
  <c r="T56" i="41"/>
  <c r="I56" i="41"/>
  <c r="T55" i="41"/>
  <c r="I55" i="41"/>
  <c r="T54" i="41"/>
  <c r="I54" i="41"/>
  <c r="T53" i="41"/>
  <c r="I53" i="41"/>
  <c r="T52" i="41"/>
  <c r="I52" i="41"/>
  <c r="T51" i="41"/>
  <c r="L51" i="41"/>
  <c r="I51" i="41"/>
  <c r="T50" i="41"/>
  <c r="I50" i="41"/>
  <c r="T49" i="41"/>
  <c r="I49" i="41"/>
  <c r="T48" i="41"/>
  <c r="I48" i="41"/>
  <c r="T47" i="41"/>
  <c r="I47" i="41"/>
  <c r="T46" i="41"/>
  <c r="I46" i="41"/>
  <c r="T45" i="41"/>
  <c r="I45" i="41"/>
  <c r="T44" i="41"/>
  <c r="I44" i="41"/>
  <c r="T43" i="41"/>
  <c r="I43" i="41"/>
  <c r="T42" i="41"/>
  <c r="I42" i="41"/>
  <c r="T41" i="41"/>
  <c r="I41" i="41"/>
  <c r="T40" i="41"/>
  <c r="I40" i="41"/>
  <c r="T39" i="41"/>
  <c r="I39" i="41"/>
  <c r="T38" i="41"/>
  <c r="I38" i="41"/>
  <c r="T37" i="41"/>
  <c r="I37" i="41"/>
  <c r="T36" i="41"/>
  <c r="I36" i="41"/>
  <c r="T35" i="41"/>
  <c r="I35" i="41"/>
  <c r="T34" i="41"/>
  <c r="I34" i="41"/>
  <c r="T33" i="41"/>
  <c r="I33" i="41"/>
  <c r="T32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A20" i="4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I19" i="41"/>
  <c r="A7" i="41"/>
  <c r="A6" i="41"/>
  <c r="T98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H329" i="7"/>
  <c r="I329" i="7" s="1"/>
  <c r="H328" i="7"/>
  <c r="I328" i="7" s="1"/>
  <c r="H327" i="7"/>
  <c r="I327" i="7" s="1"/>
  <c r="H326" i="7"/>
  <c r="I326" i="7" s="1"/>
  <c r="H325" i="7"/>
  <c r="I325" i="7" s="1"/>
  <c r="H324" i="7"/>
  <c r="I324" i="7" s="1"/>
  <c r="H323" i="7"/>
  <c r="I323" i="7" s="1"/>
  <c r="H322" i="7"/>
  <c r="I322" i="7" s="1"/>
  <c r="H321" i="7"/>
  <c r="I321" i="7" s="1"/>
  <c r="H320" i="7"/>
  <c r="I320" i="7" s="1"/>
  <c r="H319" i="7"/>
  <c r="I319" i="7" s="1"/>
  <c r="H318" i="7"/>
  <c r="I318" i="7" s="1"/>
  <c r="H317" i="7"/>
  <c r="I317" i="7" s="1"/>
  <c r="H316" i="7"/>
  <c r="I316" i="7" s="1"/>
  <c r="I315" i="7"/>
  <c r="H353" i="7"/>
  <c r="I353" i="7" s="1"/>
  <c r="H352" i="7"/>
  <c r="I352" i="7" s="1"/>
  <c r="H351" i="7"/>
  <c r="I351" i="7" s="1"/>
  <c r="H350" i="7"/>
  <c r="I350" i="7" s="1"/>
  <c r="H349" i="7"/>
  <c r="I349" i="7" s="1"/>
  <c r="H348" i="7"/>
  <c r="I348" i="7" s="1"/>
  <c r="H347" i="7"/>
  <c r="I347" i="7" s="1"/>
  <c r="H346" i="7"/>
  <c r="I346" i="7" s="1"/>
  <c r="H345" i="7"/>
  <c r="I345" i="7" s="1"/>
  <c r="H344" i="7"/>
  <c r="I344" i="7" s="1"/>
  <c r="H343" i="7"/>
  <c r="I343" i="7" s="1"/>
  <c r="H342" i="7"/>
  <c r="I342" i="7" s="1"/>
  <c r="H341" i="7"/>
  <c r="I341" i="7" s="1"/>
  <c r="H340" i="7"/>
  <c r="I340" i="7"/>
  <c r="H377" i="7"/>
  <c r="I377" i="7" s="1"/>
  <c r="H376" i="7"/>
  <c r="I376" i="7" s="1"/>
  <c r="H375" i="7"/>
  <c r="I375" i="7" s="1"/>
  <c r="H374" i="7"/>
  <c r="I374" i="7" s="1"/>
  <c r="H373" i="7"/>
  <c r="I373" i="7" s="1"/>
  <c r="H372" i="7"/>
  <c r="I372" i="7" s="1"/>
  <c r="H371" i="7"/>
  <c r="I371" i="7" s="1"/>
  <c r="H370" i="7"/>
  <c r="I370" i="7" s="1"/>
  <c r="H369" i="7"/>
  <c r="I369" i="7" s="1"/>
  <c r="H368" i="7"/>
  <c r="I368" i="7" s="1"/>
  <c r="H367" i="7"/>
  <c r="I367" i="7" s="1"/>
  <c r="H366" i="7"/>
  <c r="I366" i="7" s="1"/>
  <c r="H365" i="7"/>
  <c r="I365" i="7" s="1"/>
  <c r="H364" i="7"/>
  <c r="I364" i="7" s="1"/>
  <c r="G401" i="7"/>
  <c r="F401" i="7"/>
  <c r="I401" i="7" s="1"/>
  <c r="G400" i="7"/>
  <c r="F400" i="7"/>
  <c r="I400" i="7" s="1"/>
  <c r="G399" i="7"/>
  <c r="F399" i="7"/>
  <c r="I399" i="7" s="1"/>
  <c r="G398" i="7"/>
  <c r="F398" i="7"/>
  <c r="I398" i="7" s="1"/>
  <c r="G397" i="7"/>
  <c r="F397" i="7"/>
  <c r="G396" i="7"/>
  <c r="F396" i="7"/>
  <c r="I396" i="7" s="1"/>
  <c r="G395" i="7"/>
  <c r="F395" i="7"/>
  <c r="I395" i="7" s="1"/>
  <c r="G394" i="7"/>
  <c r="F394" i="7"/>
  <c r="G393" i="7"/>
  <c r="F393" i="7"/>
  <c r="I393" i="7" s="1"/>
  <c r="G392" i="7"/>
  <c r="F392" i="7"/>
  <c r="I392" i="7" s="1"/>
  <c r="G391" i="7"/>
  <c r="F391" i="7"/>
  <c r="I391" i="7" s="1"/>
  <c r="G390" i="7"/>
  <c r="F390" i="7"/>
  <c r="I390" i="7" s="1"/>
  <c r="G389" i="7"/>
  <c r="G388" i="7"/>
  <c r="F389" i="7"/>
  <c r="F388" i="7"/>
  <c r="I388" i="7" s="1"/>
  <c r="G425" i="7"/>
  <c r="F425" i="7"/>
  <c r="I425" i="7" s="1"/>
  <c r="G424" i="7"/>
  <c r="F424" i="7"/>
  <c r="I424" i="7" s="1"/>
  <c r="G423" i="7"/>
  <c r="F423" i="7"/>
  <c r="I423" i="7" s="1"/>
  <c r="G422" i="7"/>
  <c r="F422" i="7"/>
  <c r="G421" i="7"/>
  <c r="F421" i="7"/>
  <c r="I421" i="7" s="1"/>
  <c r="G420" i="7"/>
  <c r="F420" i="7"/>
  <c r="I420" i="7" s="1"/>
  <c r="G419" i="7"/>
  <c r="F419" i="7"/>
  <c r="I419" i="7" s="1"/>
  <c r="G418" i="7"/>
  <c r="F418" i="7"/>
  <c r="I418" i="7" s="1"/>
  <c r="G417" i="7"/>
  <c r="F417" i="7"/>
  <c r="I417" i="7" s="1"/>
  <c r="G416" i="7"/>
  <c r="F416" i="7"/>
  <c r="I416" i="7" s="1"/>
  <c r="G415" i="7"/>
  <c r="F415" i="7"/>
  <c r="G414" i="7"/>
  <c r="F414" i="7"/>
  <c r="I414" i="7" s="1"/>
  <c r="G413" i="7"/>
  <c r="G412" i="7"/>
  <c r="F413" i="7"/>
  <c r="F412" i="7"/>
  <c r="G449" i="7"/>
  <c r="F449" i="7"/>
  <c r="I449" i="7" s="1"/>
  <c r="G448" i="7"/>
  <c r="F448" i="7"/>
  <c r="I448" i="7" s="1"/>
  <c r="G447" i="7"/>
  <c r="F447" i="7"/>
  <c r="I447" i="7" s="1"/>
  <c r="G446" i="7"/>
  <c r="F446" i="7"/>
  <c r="G445" i="7"/>
  <c r="F445" i="7"/>
  <c r="I445" i="7" s="1"/>
  <c r="G444" i="7"/>
  <c r="F444" i="7"/>
  <c r="I444" i="7" s="1"/>
  <c r="G443" i="7"/>
  <c r="F443" i="7"/>
  <c r="I443" i="7" s="1"/>
  <c r="G442" i="7"/>
  <c r="F442" i="7"/>
  <c r="I442" i="7" s="1"/>
  <c r="G441" i="7"/>
  <c r="F441" i="7"/>
  <c r="I441" i="7" s="1"/>
  <c r="G440" i="7"/>
  <c r="F440" i="7"/>
  <c r="I440" i="7" s="1"/>
  <c r="G439" i="7"/>
  <c r="F439" i="7"/>
  <c r="I439" i="7" s="1"/>
  <c r="G438" i="7"/>
  <c r="F438" i="7"/>
  <c r="I438" i="7" s="1"/>
  <c r="G437" i="7"/>
  <c r="G436" i="7"/>
  <c r="F437" i="7"/>
  <c r="F436" i="7"/>
  <c r="I436" i="7"/>
  <c r="G460" i="7"/>
  <c r="F460" i="7"/>
  <c r="G473" i="7"/>
  <c r="F473" i="7"/>
  <c r="G472" i="7"/>
  <c r="F472" i="7"/>
  <c r="G471" i="7"/>
  <c r="F471" i="7"/>
  <c r="G470" i="7"/>
  <c r="F470" i="7"/>
  <c r="I470" i="7" s="1"/>
  <c r="G469" i="7"/>
  <c r="F469" i="7"/>
  <c r="G468" i="7"/>
  <c r="F468" i="7"/>
  <c r="I468" i="7" s="1"/>
  <c r="G467" i="7"/>
  <c r="F467" i="7"/>
  <c r="I467" i="7" s="1"/>
  <c r="G466" i="7"/>
  <c r="F466" i="7"/>
  <c r="I466" i="7" s="1"/>
  <c r="G465" i="7"/>
  <c r="F465" i="7"/>
  <c r="I465" i="7" s="1"/>
  <c r="G464" i="7"/>
  <c r="F464" i="7"/>
  <c r="I464" i="7" s="1"/>
  <c r="G463" i="7"/>
  <c r="F463" i="7"/>
  <c r="G462" i="7"/>
  <c r="F462" i="7"/>
  <c r="I462" i="7" s="1"/>
  <c r="G461" i="7"/>
  <c r="F461" i="7"/>
  <c r="I461" i="7" s="1"/>
  <c r="H281" i="7"/>
  <c r="G281" i="7"/>
  <c r="F281" i="7"/>
  <c r="H280" i="7"/>
  <c r="G280" i="7"/>
  <c r="F280" i="7"/>
  <c r="H279" i="7"/>
  <c r="G279" i="7"/>
  <c r="F279" i="7"/>
  <c r="H278" i="7"/>
  <c r="G278" i="7"/>
  <c r="F278" i="7"/>
  <c r="H277" i="7"/>
  <c r="G277" i="7"/>
  <c r="F277" i="7"/>
  <c r="H276" i="7"/>
  <c r="G276" i="7"/>
  <c r="F276" i="7"/>
  <c r="H275" i="7"/>
  <c r="G275" i="7"/>
  <c r="F275" i="7"/>
  <c r="H274" i="7"/>
  <c r="G274" i="7"/>
  <c r="F274" i="7"/>
  <c r="H273" i="7"/>
  <c r="G273" i="7"/>
  <c r="F273" i="7"/>
  <c r="H272" i="7"/>
  <c r="G272" i="7"/>
  <c r="F272" i="7"/>
  <c r="H271" i="7"/>
  <c r="G271" i="7"/>
  <c r="F271" i="7"/>
  <c r="H270" i="7"/>
  <c r="G270" i="7"/>
  <c r="F270" i="7"/>
  <c r="H268" i="7"/>
  <c r="G268" i="7"/>
  <c r="F268" i="7"/>
  <c r="I280" i="7"/>
  <c r="I279" i="7"/>
  <c r="I278" i="7"/>
  <c r="I276" i="7"/>
  <c r="I275" i="7"/>
  <c r="I274" i="7"/>
  <c r="I273" i="7"/>
  <c r="I272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H15" i="39"/>
  <c r="H17" i="39"/>
  <c r="H16" i="39"/>
  <c r="F9" i="39"/>
  <c r="A7" i="7" s="1"/>
  <c r="F8" i="39"/>
  <c r="P5" i="39"/>
  <c r="P4" i="39"/>
  <c r="I1055" i="7"/>
  <c r="I1054" i="7"/>
  <c r="I1053" i="7"/>
  <c r="I1051" i="7"/>
  <c r="I1049" i="7"/>
  <c r="I1048" i="7"/>
  <c r="I1047" i="7"/>
  <c r="I1046" i="7"/>
  <c r="I1045" i="7"/>
  <c r="I1044" i="7"/>
  <c r="I1043" i="7"/>
  <c r="I1042" i="7"/>
  <c r="I1041" i="7"/>
  <c r="I1040" i="7"/>
  <c r="I1039" i="7"/>
  <c r="I1038" i="7"/>
  <c r="I1037" i="7"/>
  <c r="I1036" i="7"/>
  <c r="I1035" i="7"/>
  <c r="I1034" i="7"/>
  <c r="I1033" i="7"/>
  <c r="I1032" i="7"/>
  <c r="I1031" i="7"/>
  <c r="I1030" i="7"/>
  <c r="I1029" i="7"/>
  <c r="I1028" i="7"/>
  <c r="I1027" i="7"/>
  <c r="I1026" i="7"/>
  <c r="I1025" i="7"/>
  <c r="I1024" i="7"/>
  <c r="I1023" i="7"/>
  <c r="I1022" i="7"/>
  <c r="I1021" i="7"/>
  <c r="I1020" i="7"/>
  <c r="I1019" i="7"/>
  <c r="I1018" i="7"/>
  <c r="I1017" i="7"/>
  <c r="I1016" i="7"/>
  <c r="I1015" i="7"/>
  <c r="I1014" i="7"/>
  <c r="I1013" i="7"/>
  <c r="I1012" i="7"/>
  <c r="I1011" i="7"/>
  <c r="I1010" i="7"/>
  <c r="I1009" i="7"/>
  <c r="I1008" i="7"/>
  <c r="I1004" i="7"/>
  <c r="I1003" i="7"/>
  <c r="I1002" i="7"/>
  <c r="I1001" i="7"/>
  <c r="I1000" i="7"/>
  <c r="I999" i="7"/>
  <c r="I998" i="7"/>
  <c r="I997" i="7"/>
  <c r="I996" i="7"/>
  <c r="I995" i="7"/>
  <c r="I994" i="7"/>
  <c r="I993" i="7"/>
  <c r="I992" i="7"/>
  <c r="I991" i="7"/>
  <c r="I990" i="7"/>
  <c r="I989" i="7"/>
  <c r="I988" i="7"/>
  <c r="I987" i="7"/>
  <c r="I986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940" i="7"/>
  <c r="I939" i="7"/>
  <c r="I938" i="7"/>
  <c r="I937" i="7"/>
  <c r="I936" i="7"/>
  <c r="I935" i="7"/>
  <c r="I931" i="7"/>
  <c r="I930" i="7"/>
  <c r="I929" i="7"/>
  <c r="I928" i="7"/>
  <c r="I927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912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3" i="7"/>
  <c r="I892" i="7"/>
  <c r="I891" i="7"/>
  <c r="I890" i="7"/>
  <c r="I889" i="7"/>
  <c r="I888" i="7"/>
  <c r="I887" i="7"/>
  <c r="I886" i="7"/>
  <c r="I885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5" i="7"/>
  <c r="I844" i="7"/>
  <c r="I843" i="7"/>
  <c r="I842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I828" i="7"/>
  <c r="I827" i="7"/>
  <c r="I826" i="7"/>
  <c r="I825" i="7"/>
  <c r="I824" i="7"/>
  <c r="I823" i="7"/>
  <c r="I822" i="7"/>
  <c r="I821" i="7"/>
  <c r="I820" i="7"/>
  <c r="I819" i="7"/>
  <c r="I818" i="7"/>
  <c r="I817" i="7"/>
  <c r="I816" i="7"/>
  <c r="I815" i="7"/>
  <c r="I814" i="7"/>
  <c r="I813" i="7"/>
  <c r="I812" i="7"/>
  <c r="I811" i="7"/>
  <c r="I810" i="7"/>
  <c r="I809" i="7"/>
  <c r="I808" i="7"/>
  <c r="I807" i="7"/>
  <c r="I806" i="7"/>
  <c r="I805" i="7"/>
  <c r="I804" i="7"/>
  <c r="I803" i="7"/>
  <c r="I802" i="7"/>
  <c r="I801" i="7"/>
  <c r="I800" i="7"/>
  <c r="I799" i="7"/>
  <c r="I798" i="7"/>
  <c r="I797" i="7"/>
  <c r="I796" i="7"/>
  <c r="I795" i="7"/>
  <c r="I794" i="7"/>
  <c r="I793" i="7"/>
  <c r="I792" i="7"/>
  <c r="I791" i="7"/>
  <c r="I790" i="7"/>
  <c r="I789" i="7"/>
  <c r="I788" i="7"/>
  <c r="I787" i="7"/>
  <c r="I786" i="7"/>
  <c r="I785" i="7"/>
  <c r="I784" i="7"/>
  <c r="I783" i="7"/>
  <c r="I782" i="7"/>
  <c r="I781" i="7"/>
  <c r="I780" i="7"/>
  <c r="I779" i="7"/>
  <c r="I778" i="7"/>
  <c r="I777" i="7"/>
  <c r="I776" i="7"/>
  <c r="I775" i="7"/>
  <c r="I774" i="7"/>
  <c r="I773" i="7"/>
  <c r="I769" i="7"/>
  <c r="I768" i="7"/>
  <c r="I767" i="7"/>
  <c r="I766" i="7"/>
  <c r="I765" i="7"/>
  <c r="I764" i="7"/>
  <c r="I763" i="7"/>
  <c r="I762" i="7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2" i="7"/>
  <c r="I741" i="7"/>
  <c r="I740" i="7"/>
  <c r="I739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666" i="7"/>
  <c r="I665" i="7"/>
  <c r="I664" i="7"/>
  <c r="I663" i="7"/>
  <c r="I662" i="7"/>
  <c r="I661" i="7"/>
  <c r="I660" i="7"/>
  <c r="I659" i="7"/>
  <c r="I658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630" i="7"/>
  <c r="I629" i="7"/>
  <c r="I628" i="7"/>
  <c r="I627" i="7"/>
  <c r="I626" i="7"/>
  <c r="I625" i="7"/>
  <c r="I621" i="7"/>
  <c r="I620" i="7"/>
  <c r="I619" i="7"/>
  <c r="I618" i="7"/>
  <c r="I617" i="7"/>
  <c r="I616" i="7"/>
  <c r="I615" i="7"/>
  <c r="I614" i="7"/>
  <c r="I613" i="7"/>
  <c r="I612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7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71" i="7"/>
  <c r="I570" i="7"/>
  <c r="I569" i="7"/>
  <c r="I568" i="7"/>
  <c r="I567" i="7"/>
  <c r="I566" i="7"/>
  <c r="I565" i="7"/>
  <c r="I564" i="7"/>
  <c r="I563" i="7"/>
  <c r="I562" i="7"/>
  <c r="I561" i="7"/>
  <c r="I560" i="7"/>
  <c r="I559" i="7"/>
  <c r="I558" i="7"/>
  <c r="I557" i="7"/>
  <c r="I556" i="7"/>
  <c r="I555" i="7"/>
  <c r="I554" i="7"/>
  <c r="I553" i="7"/>
  <c r="I552" i="7"/>
  <c r="I551" i="7"/>
  <c r="I550" i="7"/>
  <c r="I549" i="7"/>
  <c r="I548" i="7"/>
  <c r="I547" i="7"/>
  <c r="I546" i="7"/>
  <c r="I545" i="7"/>
  <c r="I544" i="7"/>
  <c r="I543" i="7"/>
  <c r="I538" i="7"/>
  <c r="I493" i="7"/>
  <c r="I492" i="7"/>
  <c r="I491" i="7"/>
  <c r="I490" i="7"/>
  <c r="I489" i="7"/>
  <c r="I488" i="7"/>
  <c r="I487" i="7"/>
  <c r="I486" i="7"/>
  <c r="I485" i="7"/>
  <c r="I484" i="7"/>
  <c r="I483" i="7"/>
  <c r="I504" i="7"/>
  <c r="I503" i="7"/>
  <c r="I502" i="7"/>
  <c r="I501" i="7"/>
  <c r="I500" i="7"/>
  <c r="I499" i="7"/>
  <c r="I498" i="7"/>
  <c r="I497" i="7"/>
  <c r="I496" i="7"/>
  <c r="I495" i="7"/>
  <c r="I494" i="7"/>
  <c r="I515" i="7"/>
  <c r="I514" i="7"/>
  <c r="I513" i="7"/>
  <c r="I512" i="7"/>
  <c r="I511" i="7"/>
  <c r="I510" i="7"/>
  <c r="I509" i="7"/>
  <c r="I508" i="7"/>
  <c r="I507" i="7"/>
  <c r="I506" i="7"/>
  <c r="I505" i="7"/>
  <c r="I526" i="7"/>
  <c r="I525" i="7"/>
  <c r="I524" i="7"/>
  <c r="I523" i="7"/>
  <c r="I522" i="7"/>
  <c r="I521" i="7"/>
  <c r="I520" i="7"/>
  <c r="I519" i="7"/>
  <c r="I518" i="7"/>
  <c r="I517" i="7"/>
  <c r="I516" i="7"/>
  <c r="I537" i="7"/>
  <c r="I536" i="7"/>
  <c r="I535" i="7"/>
  <c r="I534" i="7"/>
  <c r="I533" i="7"/>
  <c r="I532" i="7"/>
  <c r="I531" i="7"/>
  <c r="I530" i="7"/>
  <c r="I529" i="7"/>
  <c r="I528" i="7"/>
  <c r="I527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338" i="7"/>
  <c r="I337" i="7"/>
  <c r="I336" i="7"/>
  <c r="I335" i="7"/>
  <c r="I334" i="7"/>
  <c r="I333" i="7"/>
  <c r="I332" i="7"/>
  <c r="I331" i="7"/>
  <c r="I330" i="7"/>
  <c r="I362" i="7"/>
  <c r="I361" i="7"/>
  <c r="I360" i="7"/>
  <c r="I359" i="7"/>
  <c r="I358" i="7"/>
  <c r="I357" i="7"/>
  <c r="I356" i="7"/>
  <c r="I355" i="7"/>
  <c r="I354" i="7"/>
  <c r="I339" i="7"/>
  <c r="I386" i="7"/>
  <c r="I385" i="7"/>
  <c r="I384" i="7"/>
  <c r="I383" i="7"/>
  <c r="I382" i="7"/>
  <c r="I381" i="7"/>
  <c r="I380" i="7"/>
  <c r="I379" i="7"/>
  <c r="I378" i="7"/>
  <c r="I363" i="7"/>
  <c r="I410" i="7"/>
  <c r="I409" i="7"/>
  <c r="I408" i="7"/>
  <c r="I407" i="7"/>
  <c r="I406" i="7"/>
  <c r="I405" i="7"/>
  <c r="I404" i="7"/>
  <c r="I403" i="7"/>
  <c r="I402" i="7"/>
  <c r="I387" i="7"/>
  <c r="I434" i="7"/>
  <c r="I433" i="7"/>
  <c r="I432" i="7"/>
  <c r="I431" i="7"/>
  <c r="I430" i="7"/>
  <c r="I429" i="7"/>
  <c r="I428" i="7"/>
  <c r="I427" i="7"/>
  <c r="I426" i="7"/>
  <c r="I411" i="7"/>
  <c r="I458" i="7"/>
  <c r="I457" i="7"/>
  <c r="I456" i="7"/>
  <c r="I455" i="7"/>
  <c r="I454" i="7"/>
  <c r="I453" i="7"/>
  <c r="I452" i="7"/>
  <c r="I451" i="7"/>
  <c r="I450" i="7"/>
  <c r="I435" i="7"/>
  <c r="I482" i="7"/>
  <c r="I481" i="7"/>
  <c r="I480" i="7"/>
  <c r="I479" i="7"/>
  <c r="I478" i="7"/>
  <c r="I477" i="7"/>
  <c r="I476" i="7"/>
  <c r="I475" i="7"/>
  <c r="I474" i="7"/>
  <c r="I459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764" i="7"/>
  <c r="J767" i="7"/>
  <c r="J768" i="7"/>
  <c r="I270" i="7" l="1"/>
  <c r="I495" i="41"/>
  <c r="I404" i="41"/>
  <c r="I268" i="41"/>
  <c r="I496" i="41"/>
  <c r="H14" i="39"/>
  <c r="I1052" i="7"/>
  <c r="M400" i="42"/>
  <c r="L400" i="42"/>
  <c r="N400" i="42" s="1"/>
  <c r="N1025" i="42"/>
  <c r="N1021" i="42"/>
  <c r="N1019" i="42"/>
  <c r="N1012" i="42"/>
  <c r="N1009" i="42"/>
  <c r="N1018" i="42"/>
  <c r="N999" i="42"/>
  <c r="N991" i="42"/>
  <c r="N990" i="42"/>
  <c r="N989" i="42"/>
  <c r="N997" i="42"/>
  <c r="N992" i="42"/>
  <c r="N993" i="42"/>
  <c r="N988" i="42"/>
  <c r="N971" i="42"/>
  <c r="N959" i="42"/>
  <c r="N940" i="42"/>
  <c r="N982" i="42"/>
  <c r="N978" i="42"/>
  <c r="N970" i="42"/>
  <c r="N964" i="42"/>
  <c r="N977" i="42"/>
  <c r="N974" i="42"/>
  <c r="N958" i="42"/>
  <c r="N956" i="42"/>
  <c r="N955" i="42"/>
  <c r="N943" i="42"/>
  <c r="N965" i="42"/>
  <c r="N962" i="42"/>
  <c r="N961" i="42"/>
  <c r="N960" i="42"/>
  <c r="N957" i="42"/>
  <c r="N954" i="42"/>
  <c r="N953" i="42"/>
  <c r="N951" i="42"/>
  <c r="N950" i="42"/>
  <c r="N947" i="42"/>
  <c r="N946" i="42"/>
  <c r="N945" i="42"/>
  <c r="N944" i="42"/>
  <c r="N939" i="42"/>
  <c r="N936" i="42"/>
  <c r="N931" i="42"/>
  <c r="N923" i="42"/>
  <c r="N919" i="42"/>
  <c r="N918" i="42"/>
  <c r="N917" i="42"/>
  <c r="N930" i="42"/>
  <c r="N927" i="42"/>
  <c r="N926" i="42"/>
  <c r="N925" i="42"/>
  <c r="N921" i="42"/>
  <c r="N920" i="42"/>
  <c r="N916" i="42"/>
  <c r="N913" i="42"/>
  <c r="M909" i="42"/>
  <c r="M1071" i="42" s="1"/>
  <c r="N908" i="42"/>
  <c r="N886" i="42"/>
  <c r="N799" i="42"/>
  <c r="N792" i="42"/>
  <c r="N790" i="42"/>
  <c r="N789" i="42"/>
  <c r="N788" i="42"/>
  <c r="N786" i="42"/>
  <c r="N782" i="42"/>
  <c r="N781" i="42"/>
  <c r="N780" i="42"/>
  <c r="N777" i="42"/>
  <c r="N775" i="42"/>
  <c r="N881" i="42"/>
  <c r="M882" i="42"/>
  <c r="M1069" i="42" s="1"/>
  <c r="N879" i="42"/>
  <c r="N872" i="42"/>
  <c r="N867" i="42"/>
  <c r="N864" i="42"/>
  <c r="N848" i="42"/>
  <c r="N800" i="42"/>
  <c r="N798" i="42"/>
  <c r="N793" i="42"/>
  <c r="N774" i="42"/>
  <c r="N868" i="42"/>
  <c r="N865" i="42"/>
  <c r="N863" i="42"/>
  <c r="N853" i="42"/>
  <c r="N852" i="42"/>
  <c r="N851" i="42"/>
  <c r="N846" i="42"/>
  <c r="N845" i="42"/>
  <c r="N843" i="42"/>
  <c r="N842" i="42"/>
  <c r="N841" i="42"/>
  <c r="N840" i="42"/>
  <c r="N835" i="42"/>
  <c r="N833" i="42"/>
  <c r="N832" i="42"/>
  <c r="N831" i="42"/>
  <c r="N828" i="42"/>
  <c r="N822" i="42"/>
  <c r="N816" i="42"/>
  <c r="M770" i="42"/>
  <c r="M1068" i="42" s="1"/>
  <c r="N769" i="42"/>
  <c r="N702" i="42"/>
  <c r="N695" i="42"/>
  <c r="N692" i="42"/>
  <c r="N688" i="42"/>
  <c r="N685" i="42"/>
  <c r="N679" i="42"/>
  <c r="N676" i="42"/>
  <c r="N675" i="42"/>
  <c r="N671" i="42"/>
  <c r="N668" i="42"/>
  <c r="N667" i="42"/>
  <c r="N664" i="42"/>
  <c r="N661" i="42"/>
  <c r="N733" i="42"/>
  <c r="N727" i="42"/>
  <c r="N726" i="42"/>
  <c r="N725" i="42"/>
  <c r="N720" i="42"/>
  <c r="N718" i="42"/>
  <c r="N709" i="42"/>
  <c r="N708" i="42"/>
  <c r="N707" i="42"/>
  <c r="N701" i="42"/>
  <c r="N681" i="42"/>
  <c r="N670" i="42"/>
  <c r="N666" i="42"/>
  <c r="N663" i="42"/>
  <c r="N659" i="42"/>
  <c r="N705" i="42"/>
  <c r="N700" i="42"/>
  <c r="N699" i="42"/>
  <c r="N698" i="42"/>
  <c r="N694" i="42"/>
  <c r="N693" i="42"/>
  <c r="N690" i="42"/>
  <c r="N683" i="42"/>
  <c r="N678" i="42"/>
  <c r="N673" i="42"/>
  <c r="N640" i="42"/>
  <c r="N631" i="42"/>
  <c r="N641" i="42"/>
  <c r="N633" i="42"/>
  <c r="N626" i="42"/>
  <c r="N558" i="42"/>
  <c r="N180" i="42"/>
  <c r="N175" i="42"/>
  <c r="N170" i="42"/>
  <c r="N168" i="42"/>
  <c r="N165" i="42"/>
  <c r="N156" i="42"/>
  <c r="N155" i="42"/>
  <c r="N153" i="42"/>
  <c r="N150" i="42"/>
  <c r="N147" i="42"/>
  <c r="N142" i="42"/>
  <c r="N130" i="42"/>
  <c r="N154" i="42"/>
  <c r="N141" i="42"/>
  <c r="N132" i="42"/>
  <c r="N256" i="42"/>
  <c r="N249" i="42"/>
  <c r="N244" i="42"/>
  <c r="N241" i="42"/>
  <c r="N240" i="42"/>
  <c r="N238" i="42"/>
  <c r="N237" i="42"/>
  <c r="N236" i="42"/>
  <c r="N235" i="42"/>
  <c r="N234" i="42"/>
  <c r="N233" i="42"/>
  <c r="N232" i="42"/>
  <c r="N231" i="42"/>
  <c r="N230" i="42"/>
  <c r="N228" i="42"/>
  <c r="N227" i="42"/>
  <c r="N225" i="42"/>
  <c r="N224" i="42"/>
  <c r="N223" i="42"/>
  <c r="N219" i="42"/>
  <c r="N216" i="42"/>
  <c r="N215" i="42"/>
  <c r="N214" i="42"/>
  <c r="N208" i="42"/>
  <c r="N204" i="42"/>
  <c r="N199" i="42"/>
  <c r="N198" i="42"/>
  <c r="N191" i="42"/>
  <c r="N187" i="42"/>
  <c r="N185" i="42"/>
  <c r="N174" i="42"/>
  <c r="N169" i="42"/>
  <c r="N167" i="42"/>
  <c r="N164" i="42"/>
  <c r="N152" i="42"/>
  <c r="M264" i="42"/>
  <c r="M1063" i="42" s="1"/>
  <c r="N81" i="42"/>
  <c r="N36" i="42"/>
  <c r="N35" i="42"/>
  <c r="N33" i="42"/>
  <c r="N31" i="42"/>
  <c r="N29" i="42"/>
  <c r="N25" i="42"/>
  <c r="N80" i="42"/>
  <c r="N32" i="42"/>
  <c r="N30" i="42"/>
  <c r="N28" i="42"/>
  <c r="N24" i="42"/>
  <c r="N289" i="41"/>
  <c r="N288" i="41"/>
  <c r="N285" i="41"/>
  <c r="N287" i="41"/>
  <c r="N284" i="41"/>
  <c r="M1055" i="42"/>
  <c r="L1055" i="42"/>
  <c r="N1055" i="42" s="1"/>
  <c r="M1054" i="42"/>
  <c r="L1054" i="42"/>
  <c r="M1052" i="42"/>
  <c r="L1052" i="42"/>
  <c r="N1052" i="42" s="1"/>
  <c r="M1051" i="42"/>
  <c r="L1051" i="42"/>
  <c r="N1051" i="42" s="1"/>
  <c r="M1050" i="42"/>
  <c r="L1050" i="42"/>
  <c r="M1049" i="42"/>
  <c r="L1049" i="42"/>
  <c r="N1049" i="42" s="1"/>
  <c r="M1048" i="42"/>
  <c r="L1048" i="42"/>
  <c r="N1048" i="42" s="1"/>
  <c r="M1047" i="42"/>
  <c r="L1047" i="42"/>
  <c r="N1047" i="42" s="1"/>
  <c r="M1045" i="42"/>
  <c r="L1045" i="42"/>
  <c r="N1045" i="42" s="1"/>
  <c r="M1044" i="42"/>
  <c r="L1044" i="42"/>
  <c r="N1044" i="42" s="1"/>
  <c r="M1043" i="42"/>
  <c r="L1043" i="42"/>
  <c r="N1043" i="42" s="1"/>
  <c r="M1042" i="42"/>
  <c r="L1042" i="42"/>
  <c r="N1042" i="42" s="1"/>
  <c r="M1041" i="42"/>
  <c r="L1041" i="42"/>
  <c r="N1041" i="42" s="1"/>
  <c r="M1040" i="42"/>
  <c r="L1040" i="42"/>
  <c r="N1040" i="42" s="1"/>
  <c r="M1039" i="42"/>
  <c r="L1039" i="42"/>
  <c r="N1039" i="42" s="1"/>
  <c r="M1038" i="42"/>
  <c r="L1038" i="42"/>
  <c r="N1038" i="42" s="1"/>
  <c r="M1037" i="42"/>
  <c r="L1037" i="42"/>
  <c r="N1037" i="42" s="1"/>
  <c r="M1036" i="42"/>
  <c r="L1036" i="42"/>
  <c r="N1036" i="42" s="1"/>
  <c r="M1035" i="42"/>
  <c r="L1035" i="42"/>
  <c r="N1035" i="42" s="1"/>
  <c r="M1034" i="42"/>
  <c r="L1034" i="42"/>
  <c r="N1034" i="42" s="1"/>
  <c r="N1008" i="42"/>
  <c r="L1005" i="42"/>
  <c r="L1074" i="42" s="1"/>
  <c r="N986" i="42"/>
  <c r="N1005" i="42" s="1"/>
  <c r="N1074" i="42" s="1"/>
  <c r="N935" i="42"/>
  <c r="L983" i="42"/>
  <c r="L1073" i="42" s="1"/>
  <c r="N912" i="42"/>
  <c r="N932" i="42" s="1"/>
  <c r="N1072" i="42" s="1"/>
  <c r="L932" i="42"/>
  <c r="L1072" i="42" s="1"/>
  <c r="N897" i="42"/>
  <c r="N909" i="42" s="1"/>
  <c r="N1071" i="42" s="1"/>
  <c r="L909" i="42"/>
  <c r="L1071" i="42" s="1"/>
  <c r="N885" i="42"/>
  <c r="N894" i="42" s="1"/>
  <c r="N1070" i="42" s="1"/>
  <c r="L894" i="42"/>
  <c r="L1070" i="42" s="1"/>
  <c r="N773" i="42"/>
  <c r="L882" i="42"/>
  <c r="L1069" i="42" s="1"/>
  <c r="N746" i="42"/>
  <c r="N770" i="42" s="1"/>
  <c r="N1068" i="42" s="1"/>
  <c r="L770" i="42"/>
  <c r="L1068" i="42" s="1"/>
  <c r="N658" i="42"/>
  <c r="L743" i="42"/>
  <c r="L1067" i="42" s="1"/>
  <c r="N625" i="42"/>
  <c r="N655" i="42" s="1"/>
  <c r="N1066" i="42" s="1"/>
  <c r="L655" i="42"/>
  <c r="L1066" i="42" s="1"/>
  <c r="N543" i="42"/>
  <c r="L622" i="42"/>
  <c r="L1065" i="42" s="1"/>
  <c r="L538" i="42"/>
  <c r="M538" i="42"/>
  <c r="L537" i="42"/>
  <c r="M537" i="42"/>
  <c r="L536" i="42"/>
  <c r="M536" i="42"/>
  <c r="L535" i="42"/>
  <c r="M535" i="42"/>
  <c r="L534" i="42"/>
  <c r="M534" i="42"/>
  <c r="L533" i="42"/>
  <c r="M533" i="42"/>
  <c r="L532" i="42"/>
  <c r="M532" i="42"/>
  <c r="L531" i="42"/>
  <c r="M531" i="42"/>
  <c r="L530" i="42"/>
  <c r="M530" i="42"/>
  <c r="L529" i="42"/>
  <c r="M529" i="42"/>
  <c r="L528" i="42"/>
  <c r="M528" i="42"/>
  <c r="M527" i="42"/>
  <c r="L527" i="42"/>
  <c r="L526" i="42"/>
  <c r="M526" i="42"/>
  <c r="L525" i="42"/>
  <c r="M525" i="42"/>
  <c r="L524" i="42"/>
  <c r="M524" i="42"/>
  <c r="L523" i="42"/>
  <c r="M523" i="42"/>
  <c r="L522" i="42"/>
  <c r="M522" i="42"/>
  <c r="L521" i="42"/>
  <c r="N521" i="42" s="1"/>
  <c r="M521" i="42"/>
  <c r="L520" i="42"/>
  <c r="M520" i="42"/>
  <c r="L519" i="42"/>
  <c r="M519" i="42"/>
  <c r="L518" i="42"/>
  <c r="M518" i="42"/>
  <c r="L517" i="42"/>
  <c r="M517" i="42"/>
  <c r="L516" i="42"/>
  <c r="M516" i="42"/>
  <c r="L515" i="42"/>
  <c r="M515" i="42"/>
  <c r="L514" i="42"/>
  <c r="M514" i="42"/>
  <c r="L513" i="42"/>
  <c r="M513" i="42"/>
  <c r="L512" i="42"/>
  <c r="M512" i="42"/>
  <c r="L511" i="42"/>
  <c r="M511" i="42"/>
  <c r="L510" i="42"/>
  <c r="M510" i="42"/>
  <c r="L509" i="42"/>
  <c r="M509" i="42"/>
  <c r="L508" i="42"/>
  <c r="M508" i="42"/>
  <c r="L507" i="42"/>
  <c r="M507" i="42"/>
  <c r="L506" i="42"/>
  <c r="M506" i="42"/>
  <c r="M505" i="42"/>
  <c r="L505" i="42"/>
  <c r="N505" i="42" s="1"/>
  <c r="L504" i="42"/>
  <c r="M504" i="42"/>
  <c r="L503" i="42"/>
  <c r="M503" i="42"/>
  <c r="L502" i="42"/>
  <c r="M502" i="42"/>
  <c r="L501" i="42"/>
  <c r="M501" i="42"/>
  <c r="L500" i="42"/>
  <c r="M500" i="42"/>
  <c r="L499" i="42"/>
  <c r="M499" i="42"/>
  <c r="L498" i="42"/>
  <c r="M498" i="42"/>
  <c r="L497" i="42"/>
  <c r="M497" i="42"/>
  <c r="L496" i="42"/>
  <c r="M496" i="42"/>
  <c r="L495" i="42"/>
  <c r="M495" i="42"/>
  <c r="M494" i="42"/>
  <c r="L494" i="42"/>
  <c r="N494" i="42" s="1"/>
  <c r="L493" i="42"/>
  <c r="M493" i="42"/>
  <c r="L492" i="42"/>
  <c r="M492" i="42"/>
  <c r="L491" i="42"/>
  <c r="M491" i="42"/>
  <c r="L490" i="42"/>
  <c r="M490" i="42"/>
  <c r="L489" i="42"/>
  <c r="M489" i="42"/>
  <c r="L488" i="42"/>
  <c r="M488" i="42"/>
  <c r="L487" i="42"/>
  <c r="M487" i="42"/>
  <c r="L486" i="42"/>
  <c r="M486" i="42"/>
  <c r="L485" i="42"/>
  <c r="M485" i="42"/>
  <c r="L484" i="42"/>
  <c r="M484" i="42"/>
  <c r="L483" i="42"/>
  <c r="M483" i="42"/>
  <c r="L482" i="42"/>
  <c r="M482" i="42"/>
  <c r="L481" i="42"/>
  <c r="M481" i="42"/>
  <c r="L480" i="42"/>
  <c r="M480" i="42"/>
  <c r="L479" i="42"/>
  <c r="M479" i="42"/>
  <c r="L478" i="42"/>
  <c r="M478" i="42"/>
  <c r="L477" i="42"/>
  <c r="M477" i="42"/>
  <c r="L476" i="42"/>
  <c r="M476" i="42"/>
  <c r="L475" i="42"/>
  <c r="M475" i="42"/>
  <c r="L474" i="42"/>
  <c r="M474" i="42"/>
  <c r="L473" i="42"/>
  <c r="M473" i="42"/>
  <c r="M472" i="42"/>
  <c r="L472" i="42"/>
  <c r="N472" i="42" s="1"/>
  <c r="M471" i="42"/>
  <c r="L471" i="42"/>
  <c r="N471" i="42" s="1"/>
  <c r="M470" i="42"/>
  <c r="L470" i="42"/>
  <c r="N470" i="42" s="1"/>
  <c r="L469" i="42"/>
  <c r="M469" i="42"/>
  <c r="M468" i="42"/>
  <c r="L468" i="42"/>
  <c r="M467" i="42"/>
  <c r="L467" i="42"/>
  <c r="N467" i="42" s="1"/>
  <c r="L466" i="42"/>
  <c r="M466" i="42"/>
  <c r="M465" i="42"/>
  <c r="L465" i="42"/>
  <c r="L464" i="42"/>
  <c r="N464" i="42" s="1"/>
  <c r="M464" i="42"/>
  <c r="L463" i="42"/>
  <c r="M463" i="42"/>
  <c r="L462" i="42"/>
  <c r="M462" i="42"/>
  <c r="L461" i="42"/>
  <c r="M461" i="42"/>
  <c r="L460" i="42"/>
  <c r="M460" i="42"/>
  <c r="M459" i="42"/>
  <c r="L459" i="42"/>
  <c r="N459" i="42" s="1"/>
  <c r="L458" i="42"/>
  <c r="M458" i="42"/>
  <c r="L457" i="42"/>
  <c r="M457" i="42"/>
  <c r="L456" i="42"/>
  <c r="M456" i="42"/>
  <c r="L455" i="42"/>
  <c r="N455" i="42" s="1"/>
  <c r="M455" i="42"/>
  <c r="L454" i="42"/>
  <c r="M454" i="42"/>
  <c r="L453" i="42"/>
  <c r="N453" i="42" s="1"/>
  <c r="M453" i="42"/>
  <c r="L452" i="42"/>
  <c r="N452" i="42" s="1"/>
  <c r="M452" i="42"/>
  <c r="L451" i="42"/>
  <c r="M451" i="42"/>
  <c r="L450" i="42"/>
  <c r="M450" i="42"/>
  <c r="L449" i="42"/>
  <c r="M449" i="42"/>
  <c r="L448" i="42"/>
  <c r="M448" i="42"/>
  <c r="M447" i="42"/>
  <c r="L447" i="42"/>
  <c r="N447" i="42" s="1"/>
  <c r="L446" i="42"/>
  <c r="M446" i="42"/>
  <c r="M445" i="42"/>
  <c r="L445" i="42"/>
  <c r="N445" i="42" s="1"/>
  <c r="M444" i="42"/>
  <c r="L444" i="42"/>
  <c r="M443" i="42"/>
  <c r="L443" i="42"/>
  <c r="N443" i="42" s="1"/>
  <c r="L442" i="42"/>
  <c r="M442" i="42"/>
  <c r="L441" i="42"/>
  <c r="M441" i="42"/>
  <c r="L440" i="42"/>
  <c r="M440" i="42"/>
  <c r="L439" i="42"/>
  <c r="M439" i="42"/>
  <c r="L438" i="42"/>
  <c r="M438" i="42"/>
  <c r="L437" i="42"/>
  <c r="M437" i="42"/>
  <c r="L436" i="42"/>
  <c r="M436" i="42"/>
  <c r="M435" i="42"/>
  <c r="L435" i="42"/>
  <c r="M434" i="42"/>
  <c r="L434" i="42"/>
  <c r="N434" i="42" s="1"/>
  <c r="M433" i="42"/>
  <c r="L433" i="42"/>
  <c r="N433" i="42" s="1"/>
  <c r="L432" i="42"/>
  <c r="M432" i="42"/>
  <c r="L431" i="42"/>
  <c r="M431" i="42"/>
  <c r="L430" i="42"/>
  <c r="M430" i="42"/>
  <c r="L429" i="42"/>
  <c r="M429" i="42"/>
  <c r="M428" i="42"/>
  <c r="L428" i="42"/>
  <c r="N428" i="42" s="1"/>
  <c r="M427" i="42"/>
  <c r="L427" i="42"/>
  <c r="N427" i="42" s="1"/>
  <c r="L426" i="42"/>
  <c r="M426" i="42"/>
  <c r="L425" i="42"/>
  <c r="M425" i="42"/>
  <c r="L424" i="42"/>
  <c r="M424" i="42"/>
  <c r="L423" i="42"/>
  <c r="M423" i="42"/>
  <c r="L422" i="42"/>
  <c r="M422" i="42"/>
  <c r="L421" i="42"/>
  <c r="M421" i="42"/>
  <c r="L420" i="42"/>
  <c r="M420" i="42"/>
  <c r="L419" i="42"/>
  <c r="M419" i="42"/>
  <c r="M418" i="42"/>
  <c r="L418" i="42"/>
  <c r="N418" i="42" s="1"/>
  <c r="L417" i="42"/>
  <c r="M417" i="42"/>
  <c r="M416" i="42"/>
  <c r="L416" i="42"/>
  <c r="N416" i="42" s="1"/>
  <c r="M415" i="42"/>
  <c r="L415" i="42"/>
  <c r="N415" i="42" s="1"/>
  <c r="M414" i="42"/>
  <c r="L414" i="42"/>
  <c r="M413" i="42"/>
  <c r="L413" i="42"/>
  <c r="N413" i="42" s="1"/>
  <c r="L412" i="42"/>
  <c r="M412" i="42"/>
  <c r="L411" i="42"/>
  <c r="M411" i="42"/>
  <c r="M410" i="42"/>
  <c r="L410" i="42"/>
  <c r="N410" i="42" s="1"/>
  <c r="M409" i="42"/>
  <c r="L409" i="42"/>
  <c r="N409" i="42" s="1"/>
  <c r="M408" i="42"/>
  <c r="L408" i="42"/>
  <c r="N408" i="42" s="1"/>
  <c r="L407" i="42"/>
  <c r="M407" i="42"/>
  <c r="M406" i="42"/>
  <c r="L406" i="42"/>
  <c r="N406" i="42" s="1"/>
  <c r="M405" i="42"/>
  <c r="L405" i="42"/>
  <c r="M404" i="42"/>
  <c r="L404" i="42"/>
  <c r="N404" i="42" s="1"/>
  <c r="M403" i="42"/>
  <c r="L403" i="42"/>
  <c r="N403" i="42" s="1"/>
  <c r="M402" i="42"/>
  <c r="L402" i="42"/>
  <c r="N402" i="42" s="1"/>
  <c r="M401" i="42"/>
  <c r="L401" i="42"/>
  <c r="N401" i="42" s="1"/>
  <c r="L399" i="42"/>
  <c r="M399" i="42"/>
  <c r="M398" i="42"/>
  <c r="L398" i="42"/>
  <c r="N398" i="42" s="1"/>
  <c r="L397" i="42"/>
  <c r="M397" i="42"/>
  <c r="M396" i="42"/>
  <c r="L396" i="42"/>
  <c r="N396" i="42" s="1"/>
  <c r="L395" i="42"/>
  <c r="M395" i="42"/>
  <c r="L394" i="42"/>
  <c r="M394" i="42"/>
  <c r="M393" i="42"/>
  <c r="L393" i="42"/>
  <c r="N393" i="42" s="1"/>
  <c r="L392" i="42"/>
  <c r="M392" i="42"/>
  <c r="M391" i="42"/>
  <c r="L391" i="42"/>
  <c r="N391" i="42" s="1"/>
  <c r="M390" i="42"/>
  <c r="L390" i="42"/>
  <c r="N390" i="42" s="1"/>
  <c r="M389" i="42"/>
  <c r="L389" i="42"/>
  <c r="N389" i="42" s="1"/>
  <c r="L388" i="42"/>
  <c r="M388" i="42"/>
  <c r="L387" i="42"/>
  <c r="M387" i="42"/>
  <c r="L386" i="42"/>
  <c r="M386" i="42"/>
  <c r="L385" i="42"/>
  <c r="M385" i="42"/>
  <c r="L384" i="42"/>
  <c r="M384" i="42"/>
  <c r="L383" i="42"/>
  <c r="M383" i="42"/>
  <c r="L382" i="42"/>
  <c r="M382" i="42"/>
  <c r="L381" i="42"/>
  <c r="M381" i="42"/>
  <c r="L380" i="42"/>
  <c r="M380" i="42"/>
  <c r="L379" i="42"/>
  <c r="M379" i="42"/>
  <c r="L378" i="42"/>
  <c r="M378" i="42"/>
  <c r="L377" i="42"/>
  <c r="M377" i="42"/>
  <c r="L376" i="42"/>
  <c r="M376" i="42"/>
  <c r="L375" i="42"/>
  <c r="M375" i="42"/>
  <c r="L374" i="42"/>
  <c r="M374" i="42"/>
  <c r="M373" i="42"/>
  <c r="L373" i="42"/>
  <c r="N373" i="42" s="1"/>
  <c r="L372" i="42"/>
  <c r="M372" i="42"/>
  <c r="L371" i="42"/>
  <c r="M371" i="42"/>
  <c r="M370" i="42"/>
  <c r="L370" i="42"/>
  <c r="M369" i="42"/>
  <c r="L369" i="42"/>
  <c r="N369" i="42" s="1"/>
  <c r="M368" i="42"/>
  <c r="L368" i="42"/>
  <c r="N368" i="42" s="1"/>
  <c r="M367" i="42"/>
  <c r="L367" i="42"/>
  <c r="N367" i="42" s="1"/>
  <c r="M366" i="42"/>
  <c r="L366" i="42"/>
  <c r="N366" i="42" s="1"/>
  <c r="L365" i="42"/>
  <c r="M365" i="42"/>
  <c r="L364" i="42"/>
  <c r="M364" i="42"/>
  <c r="L363" i="42"/>
  <c r="M363" i="42"/>
  <c r="L362" i="42"/>
  <c r="M362" i="42"/>
  <c r="L361" i="42"/>
  <c r="M361" i="42"/>
  <c r="L360" i="42"/>
  <c r="M360" i="42"/>
  <c r="L359" i="42"/>
  <c r="M359" i="42"/>
  <c r="L358" i="42"/>
  <c r="M358" i="42"/>
  <c r="L357" i="42"/>
  <c r="M357" i="42"/>
  <c r="L356" i="42"/>
  <c r="M356" i="42"/>
  <c r="L355" i="42"/>
  <c r="M355" i="42"/>
  <c r="L354" i="42"/>
  <c r="M354" i="42"/>
  <c r="L353" i="42"/>
  <c r="M353" i="42"/>
  <c r="M352" i="42"/>
  <c r="L352" i="42"/>
  <c r="N352" i="42" s="1"/>
  <c r="L351" i="42"/>
  <c r="M351" i="42"/>
  <c r="L350" i="42"/>
  <c r="M350" i="42"/>
  <c r="L349" i="42"/>
  <c r="M349" i="42"/>
  <c r="M348" i="42"/>
  <c r="L348" i="42"/>
  <c r="M347" i="42"/>
  <c r="L347" i="42"/>
  <c r="N347" i="42" s="1"/>
  <c r="M346" i="42"/>
  <c r="L346" i="42"/>
  <c r="N346" i="42" s="1"/>
  <c r="L345" i="42"/>
  <c r="M345" i="42"/>
  <c r="M344" i="42"/>
  <c r="L344" i="42"/>
  <c r="N344" i="42" s="1"/>
  <c r="L343" i="42"/>
  <c r="M343" i="42"/>
  <c r="L342" i="42"/>
  <c r="M342" i="42"/>
  <c r="L341" i="42"/>
  <c r="M341" i="42"/>
  <c r="L340" i="42"/>
  <c r="M340" i="42"/>
  <c r="L339" i="42"/>
  <c r="M339" i="42"/>
  <c r="L338" i="42"/>
  <c r="M338" i="42"/>
  <c r="L337" i="42"/>
  <c r="M337" i="42"/>
  <c r="L336" i="42"/>
  <c r="M336" i="42"/>
  <c r="L335" i="42"/>
  <c r="M335" i="42"/>
  <c r="L334" i="42"/>
  <c r="M334" i="42"/>
  <c r="L333" i="42"/>
  <c r="M333" i="42"/>
  <c r="L332" i="42"/>
  <c r="M332" i="42"/>
  <c r="M331" i="42"/>
  <c r="L331" i="42"/>
  <c r="N331" i="42" s="1"/>
  <c r="L330" i="42"/>
  <c r="M330" i="42"/>
  <c r="M329" i="42"/>
  <c r="L329" i="42"/>
  <c r="N329" i="42" s="1"/>
  <c r="L328" i="42"/>
  <c r="M328" i="42"/>
  <c r="L327" i="42"/>
  <c r="M327" i="42"/>
  <c r="M326" i="42"/>
  <c r="L326" i="42"/>
  <c r="N326" i="42" s="1"/>
  <c r="L325" i="42"/>
  <c r="M325" i="42"/>
  <c r="M324" i="42"/>
  <c r="L324" i="42"/>
  <c r="N324" i="42" s="1"/>
  <c r="L323" i="42"/>
  <c r="M323" i="42"/>
  <c r="L322" i="42"/>
  <c r="M322" i="42"/>
  <c r="L321" i="42"/>
  <c r="M321" i="42"/>
  <c r="M320" i="42"/>
  <c r="L320" i="42"/>
  <c r="M319" i="42"/>
  <c r="L319" i="42"/>
  <c r="N319" i="42" s="1"/>
  <c r="M318" i="42"/>
  <c r="L318" i="42"/>
  <c r="L317" i="42"/>
  <c r="M317" i="42"/>
  <c r="L316" i="42"/>
  <c r="M316" i="42"/>
  <c r="M315" i="42"/>
  <c r="L315" i="42"/>
  <c r="N315" i="42" s="1"/>
  <c r="M314" i="42"/>
  <c r="L314" i="42"/>
  <c r="N314" i="42" s="1"/>
  <c r="L313" i="42"/>
  <c r="M313" i="42"/>
  <c r="L312" i="42"/>
  <c r="M312" i="42"/>
  <c r="M311" i="42"/>
  <c r="L311" i="42"/>
  <c r="N311" i="42" s="1"/>
  <c r="M310" i="42"/>
  <c r="L310" i="42"/>
  <c r="N310" i="42" s="1"/>
  <c r="M309" i="42"/>
  <c r="L309" i="42"/>
  <c r="N309" i="42" s="1"/>
  <c r="M308" i="42"/>
  <c r="L308" i="42"/>
  <c r="N308" i="42" s="1"/>
  <c r="L307" i="42"/>
  <c r="M307" i="42"/>
  <c r="M306" i="42"/>
  <c r="L306" i="42"/>
  <c r="N306" i="42" s="1"/>
  <c r="M305" i="42"/>
  <c r="L305" i="42"/>
  <c r="N305" i="42" s="1"/>
  <c r="M304" i="42"/>
  <c r="L304" i="42"/>
  <c r="N304" i="42" s="1"/>
  <c r="M303" i="42"/>
  <c r="L303" i="42"/>
  <c r="N303" i="42" s="1"/>
  <c r="M302" i="42"/>
  <c r="L302" i="42"/>
  <c r="N302" i="42" s="1"/>
  <c r="L301" i="42"/>
  <c r="M301" i="42"/>
  <c r="M300" i="42"/>
  <c r="L300" i="42"/>
  <c r="N300" i="42" s="1"/>
  <c r="L299" i="42"/>
  <c r="M299" i="42"/>
  <c r="L298" i="42"/>
  <c r="M298" i="42"/>
  <c r="M297" i="42"/>
  <c r="L297" i="42"/>
  <c r="N297" i="42" s="1"/>
  <c r="L296" i="42"/>
  <c r="M296" i="42"/>
  <c r="L295" i="42"/>
  <c r="M295" i="42"/>
  <c r="M294" i="42"/>
  <c r="L294" i="42"/>
  <c r="N294" i="42" s="1"/>
  <c r="L293" i="42"/>
  <c r="M293" i="42"/>
  <c r="L292" i="42"/>
  <c r="M292" i="42"/>
  <c r="M291" i="42"/>
  <c r="L291" i="42"/>
  <c r="N291" i="42" s="1"/>
  <c r="M281" i="42"/>
  <c r="L281" i="42"/>
  <c r="L280" i="42"/>
  <c r="M280" i="42"/>
  <c r="L279" i="42"/>
  <c r="M279" i="42"/>
  <c r="L278" i="42"/>
  <c r="M278" i="42"/>
  <c r="L277" i="42"/>
  <c r="M277" i="42"/>
  <c r="L276" i="42"/>
  <c r="M276" i="42"/>
  <c r="M275" i="42"/>
  <c r="L275" i="42"/>
  <c r="N275" i="42" s="1"/>
  <c r="L274" i="42"/>
  <c r="M274" i="42"/>
  <c r="L273" i="42"/>
  <c r="M273" i="42"/>
  <c r="M272" i="42"/>
  <c r="L272" i="42"/>
  <c r="M271" i="42"/>
  <c r="L271" i="42"/>
  <c r="N271" i="42" s="1"/>
  <c r="M270" i="42"/>
  <c r="L270" i="42"/>
  <c r="N270" i="42" s="1"/>
  <c r="L269" i="42"/>
  <c r="M269" i="42"/>
  <c r="M268" i="42"/>
  <c r="L268" i="42"/>
  <c r="N128" i="42"/>
  <c r="L264" i="42"/>
  <c r="L1063" i="42" s="1"/>
  <c r="L125" i="42"/>
  <c r="L1062" i="42" s="1"/>
  <c r="N19" i="42"/>
  <c r="N938" i="42"/>
  <c r="N735" i="42"/>
  <c r="M743" i="42"/>
  <c r="M1067" i="42" s="1"/>
  <c r="N572" i="42"/>
  <c r="N221" i="42"/>
  <c r="N157" i="42"/>
  <c r="M125" i="42"/>
  <c r="M1062" i="42" s="1"/>
  <c r="N124" i="42"/>
  <c r="M1040" i="41"/>
  <c r="N1040" i="41" s="1"/>
  <c r="M1039" i="41"/>
  <c r="N1039" i="41" s="1"/>
  <c r="M1036" i="41"/>
  <c r="N1036" i="41" s="1"/>
  <c r="M1034" i="41"/>
  <c r="N1034" i="41" s="1"/>
  <c r="M1032" i="41"/>
  <c r="N1032" i="41" s="1"/>
  <c r="M1030" i="41"/>
  <c r="N1030" i="41" s="1"/>
  <c r="M1028" i="41"/>
  <c r="N1028" i="41" s="1"/>
  <c r="M1027" i="41"/>
  <c r="N1027" i="41" s="1"/>
  <c r="M1025" i="41"/>
  <c r="N1025" i="41" s="1"/>
  <c r="M1024" i="41"/>
  <c r="N1024" i="41" s="1"/>
  <c r="M1021" i="41"/>
  <c r="N1021" i="41" s="1"/>
  <c r="M1019" i="41"/>
  <c r="N1019" i="41" s="1"/>
  <c r="M1017" i="41"/>
  <c r="N1017" i="41" s="1"/>
  <c r="M1016" i="41"/>
  <c r="N1016" i="41" s="1"/>
  <c r="N1015" i="41"/>
  <c r="M1041" i="41"/>
  <c r="N1041" i="41" s="1"/>
  <c r="M1038" i="41"/>
  <c r="N1038" i="41" s="1"/>
  <c r="M1037" i="41"/>
  <c r="N1037" i="41" s="1"/>
  <c r="M1035" i="41"/>
  <c r="N1035" i="41" s="1"/>
  <c r="M1033" i="41"/>
  <c r="N1033" i="41" s="1"/>
  <c r="M1031" i="41"/>
  <c r="N1031" i="41" s="1"/>
  <c r="M1029" i="41"/>
  <c r="N1029" i="41" s="1"/>
  <c r="M1026" i="41"/>
  <c r="N1026" i="41" s="1"/>
  <c r="M1023" i="41"/>
  <c r="N1023" i="41" s="1"/>
  <c r="M1022" i="41"/>
  <c r="N1022" i="41" s="1"/>
  <c r="M1020" i="41"/>
  <c r="N1020" i="41" s="1"/>
  <c r="M1018" i="41"/>
  <c r="N1018" i="41" s="1"/>
  <c r="M1004" i="41"/>
  <c r="M1003" i="41"/>
  <c r="M1002" i="41"/>
  <c r="M1001" i="41"/>
  <c r="N1001" i="41" s="1"/>
  <c r="M1000" i="41"/>
  <c r="M999" i="41"/>
  <c r="N999" i="41" s="1"/>
  <c r="M998" i="41"/>
  <c r="M997" i="41"/>
  <c r="N997" i="41" s="1"/>
  <c r="M996" i="41"/>
  <c r="M995" i="41"/>
  <c r="N995" i="41" s="1"/>
  <c r="M994" i="41"/>
  <c r="M993" i="41"/>
  <c r="N993" i="41" s="1"/>
  <c r="M992" i="41"/>
  <c r="M991" i="41"/>
  <c r="N991" i="41" s="1"/>
  <c r="M990" i="41"/>
  <c r="M989" i="41"/>
  <c r="M988" i="41"/>
  <c r="M987" i="41"/>
  <c r="N987" i="41" s="1"/>
  <c r="M986" i="41"/>
  <c r="N958" i="41"/>
  <c r="M978" i="41"/>
  <c r="N978" i="41" s="1"/>
  <c r="M976" i="41"/>
  <c r="N976" i="41" s="1"/>
  <c r="M975" i="41"/>
  <c r="N975" i="41" s="1"/>
  <c r="M974" i="41"/>
  <c r="N974" i="41" s="1"/>
  <c r="M973" i="41"/>
  <c r="N973" i="41" s="1"/>
  <c r="M971" i="41"/>
  <c r="N971" i="41" s="1"/>
  <c r="M970" i="41"/>
  <c r="N970" i="41" s="1"/>
  <c r="M968" i="41"/>
  <c r="N968" i="41" s="1"/>
  <c r="M967" i="41"/>
  <c r="N967" i="41" s="1"/>
  <c r="M966" i="41"/>
  <c r="N966" i="41" s="1"/>
  <c r="M965" i="41"/>
  <c r="N965" i="41" s="1"/>
  <c r="M964" i="41"/>
  <c r="N964" i="41" s="1"/>
  <c r="M982" i="41"/>
  <c r="N982" i="41" s="1"/>
  <c r="M981" i="41"/>
  <c r="N981" i="41" s="1"/>
  <c r="M980" i="41"/>
  <c r="N980" i="41" s="1"/>
  <c r="M979" i="41"/>
  <c r="N979" i="41" s="1"/>
  <c r="M977" i="41"/>
  <c r="N977" i="41" s="1"/>
  <c r="M972" i="41"/>
  <c r="N972" i="41" s="1"/>
  <c r="M969" i="41"/>
  <c r="N969" i="41" s="1"/>
  <c r="M963" i="41"/>
  <c r="N963" i="41" s="1"/>
  <c r="M962" i="41"/>
  <c r="N962" i="41" s="1"/>
  <c r="M961" i="41"/>
  <c r="N961" i="41" s="1"/>
  <c r="M960" i="41"/>
  <c r="N960" i="41" s="1"/>
  <c r="M959" i="41"/>
  <c r="N959" i="41" s="1"/>
  <c r="M957" i="41"/>
  <c r="N957" i="41" s="1"/>
  <c r="M956" i="41"/>
  <c r="N956" i="41" s="1"/>
  <c r="M955" i="41"/>
  <c r="N955" i="41" s="1"/>
  <c r="M954" i="41"/>
  <c r="N954" i="41" s="1"/>
  <c r="M953" i="41"/>
  <c r="N953" i="41" s="1"/>
  <c r="M952" i="41"/>
  <c r="N952" i="41" s="1"/>
  <c r="M951" i="41"/>
  <c r="N951" i="41" s="1"/>
  <c r="M950" i="41"/>
  <c r="N950" i="41" s="1"/>
  <c r="M949" i="41"/>
  <c r="N949" i="41" s="1"/>
  <c r="M948" i="41"/>
  <c r="N948" i="41" s="1"/>
  <c r="M947" i="41"/>
  <c r="N947" i="41" s="1"/>
  <c r="M946" i="41"/>
  <c r="N946" i="41" s="1"/>
  <c r="M945" i="41"/>
  <c r="N945" i="41" s="1"/>
  <c r="M944" i="41"/>
  <c r="N944" i="41" s="1"/>
  <c r="M943" i="41"/>
  <c r="N943" i="41" s="1"/>
  <c r="M942" i="41"/>
  <c r="N942" i="41" s="1"/>
  <c r="M941" i="41"/>
  <c r="N941" i="41" s="1"/>
  <c r="M940" i="41"/>
  <c r="N940" i="41" s="1"/>
  <c r="M939" i="41"/>
  <c r="N939" i="41" s="1"/>
  <c r="M938" i="41"/>
  <c r="N938" i="41" s="1"/>
  <c r="M937" i="41"/>
  <c r="N937" i="41" s="1"/>
  <c r="M936" i="41"/>
  <c r="N936" i="41" s="1"/>
  <c r="M935" i="41"/>
  <c r="M931" i="41"/>
  <c r="N927" i="41"/>
  <c r="N922" i="41"/>
  <c r="N924" i="41"/>
  <c r="N920" i="41"/>
  <c r="N919" i="41"/>
  <c r="N918" i="41"/>
  <c r="N916" i="41"/>
  <c r="N915" i="41"/>
  <c r="N905" i="41"/>
  <c r="N893" i="41"/>
  <c r="N892" i="41"/>
  <c r="N891" i="41"/>
  <c r="N887" i="41"/>
  <c r="M881" i="41"/>
  <c r="M879" i="41"/>
  <c r="N879" i="41" s="1"/>
  <c r="N878" i="41"/>
  <c r="N877" i="41"/>
  <c r="N865" i="41"/>
  <c r="N864" i="41"/>
  <c r="N847" i="41"/>
  <c r="N846" i="41"/>
  <c r="N843" i="41"/>
  <c r="N842" i="41"/>
  <c r="N841" i="41"/>
  <c r="N836" i="41"/>
  <c r="N829" i="41"/>
  <c r="M880" i="41"/>
  <c r="N880" i="41" s="1"/>
  <c r="N876" i="41"/>
  <c r="N875" i="41"/>
  <c r="N874" i="41"/>
  <c r="N873" i="41"/>
  <c r="N871" i="41"/>
  <c r="N870" i="41"/>
  <c r="N869" i="41"/>
  <c r="N867" i="41"/>
  <c r="N861" i="41"/>
  <c r="N860" i="41"/>
  <c r="N853" i="41"/>
  <c r="N848" i="41"/>
  <c r="N845" i="41"/>
  <c r="N837" i="41"/>
  <c r="N835" i="41"/>
  <c r="N831" i="41"/>
  <c r="M828" i="41"/>
  <c r="N828" i="41" s="1"/>
  <c r="M827" i="41"/>
  <c r="N827" i="41" s="1"/>
  <c r="M826" i="41"/>
  <c r="N826" i="41" s="1"/>
  <c r="M825" i="41"/>
  <c r="N825" i="41" s="1"/>
  <c r="M824" i="41"/>
  <c r="N824" i="41" s="1"/>
  <c r="M823" i="41"/>
  <c r="N823" i="41" s="1"/>
  <c r="M822" i="41"/>
  <c r="N822" i="41" s="1"/>
  <c r="M821" i="41"/>
  <c r="N821" i="41" s="1"/>
  <c r="M820" i="41"/>
  <c r="N820" i="41" s="1"/>
  <c r="M819" i="41"/>
  <c r="N819" i="41" s="1"/>
  <c r="M818" i="41"/>
  <c r="N818" i="41" s="1"/>
  <c r="M817" i="41"/>
  <c r="M816" i="41"/>
  <c r="N816" i="41" s="1"/>
  <c r="M815" i="41"/>
  <c r="N815" i="41" s="1"/>
  <c r="M814" i="41"/>
  <c r="N814" i="41" s="1"/>
  <c r="M813" i="41"/>
  <c r="N813" i="41" s="1"/>
  <c r="M812" i="41"/>
  <c r="N812" i="41" s="1"/>
  <c r="M811" i="41"/>
  <c r="N811" i="41" s="1"/>
  <c r="M810" i="41"/>
  <c r="N810" i="41" s="1"/>
  <c r="M809" i="41"/>
  <c r="N809" i="41" s="1"/>
  <c r="M808" i="41"/>
  <c r="N808" i="41" s="1"/>
  <c r="M807" i="41"/>
  <c r="N807" i="41" s="1"/>
  <c r="M806" i="41"/>
  <c r="N806" i="41" s="1"/>
  <c r="M805" i="41"/>
  <c r="N805" i="41" s="1"/>
  <c r="M804" i="41"/>
  <c r="N804" i="41" s="1"/>
  <c r="M803" i="41"/>
  <c r="N803" i="41" s="1"/>
  <c r="M802" i="41"/>
  <c r="N802" i="41" s="1"/>
  <c r="M801" i="41"/>
  <c r="N801" i="41" s="1"/>
  <c r="M800" i="41"/>
  <c r="N800" i="41" s="1"/>
  <c r="M799" i="41"/>
  <c r="N799" i="41" s="1"/>
  <c r="M798" i="41"/>
  <c r="N798" i="41" s="1"/>
  <c r="M797" i="41"/>
  <c r="N797" i="41" s="1"/>
  <c r="M796" i="41"/>
  <c r="N796" i="41" s="1"/>
  <c r="M795" i="41"/>
  <c r="N795" i="41" s="1"/>
  <c r="M794" i="41"/>
  <c r="N794" i="41" s="1"/>
  <c r="M793" i="41"/>
  <c r="N793" i="41" s="1"/>
  <c r="M792" i="41"/>
  <c r="N792" i="41" s="1"/>
  <c r="M791" i="41"/>
  <c r="N791" i="41" s="1"/>
  <c r="M790" i="41"/>
  <c r="N790" i="41" s="1"/>
  <c r="M789" i="41"/>
  <c r="N789" i="41" s="1"/>
  <c r="M788" i="41"/>
  <c r="N788" i="41" s="1"/>
  <c r="M787" i="41"/>
  <c r="N787" i="41" s="1"/>
  <c r="M786" i="41"/>
  <c r="N786" i="41" s="1"/>
  <c r="M785" i="41"/>
  <c r="N785" i="41" s="1"/>
  <c r="M784" i="41"/>
  <c r="N784" i="41" s="1"/>
  <c r="M783" i="41"/>
  <c r="N783" i="41" s="1"/>
  <c r="M782" i="41"/>
  <c r="N782" i="41" s="1"/>
  <c r="M781" i="41"/>
  <c r="N781" i="41" s="1"/>
  <c r="M780" i="41"/>
  <c r="N780" i="41" s="1"/>
  <c r="M779" i="41"/>
  <c r="N779" i="41" s="1"/>
  <c r="M778" i="41"/>
  <c r="N778" i="41" s="1"/>
  <c r="M777" i="41"/>
  <c r="N777" i="41" s="1"/>
  <c r="M776" i="41"/>
  <c r="N776" i="41" s="1"/>
  <c r="M775" i="41"/>
  <c r="N775" i="41" s="1"/>
  <c r="M774" i="41"/>
  <c r="N774" i="41" s="1"/>
  <c r="M773" i="41"/>
  <c r="N773" i="41" s="1"/>
  <c r="M769" i="41"/>
  <c r="N769" i="41" s="1"/>
  <c r="M768" i="41"/>
  <c r="N768" i="41" s="1"/>
  <c r="M767" i="41"/>
  <c r="N767" i="41" s="1"/>
  <c r="M766" i="41"/>
  <c r="N766" i="41" s="1"/>
  <c r="M764" i="41"/>
  <c r="N764" i="41" s="1"/>
  <c r="M760" i="41"/>
  <c r="N760" i="41" s="1"/>
  <c r="M759" i="41"/>
  <c r="N759" i="41" s="1"/>
  <c r="M758" i="41"/>
  <c r="N758" i="41" s="1"/>
  <c r="M757" i="41"/>
  <c r="N757" i="41" s="1"/>
  <c r="M756" i="41"/>
  <c r="N756" i="41" s="1"/>
  <c r="M755" i="41"/>
  <c r="N755" i="41" s="1"/>
  <c r="M754" i="41"/>
  <c r="N754" i="41" s="1"/>
  <c r="M753" i="41"/>
  <c r="N753" i="41" s="1"/>
  <c r="M752" i="41"/>
  <c r="N752" i="41" s="1"/>
  <c r="M751" i="41"/>
  <c r="N751" i="41" s="1"/>
  <c r="M750" i="41"/>
  <c r="N750" i="41" s="1"/>
  <c r="M749" i="41"/>
  <c r="N749" i="41" s="1"/>
  <c r="M748" i="41"/>
  <c r="N748" i="41" s="1"/>
  <c r="M747" i="41"/>
  <c r="N747" i="41" s="1"/>
  <c r="M746" i="41"/>
  <c r="N742" i="41"/>
  <c r="N741" i="41"/>
  <c r="N738" i="41"/>
  <c r="N736" i="41"/>
  <c r="N735" i="41"/>
  <c r="N734" i="41"/>
  <c r="N733" i="41"/>
  <c r="N730" i="41"/>
  <c r="N728" i="41"/>
  <c r="N727" i="41"/>
  <c r="N726" i="41"/>
  <c r="N718" i="41"/>
  <c r="N703" i="41"/>
  <c r="N699" i="41"/>
  <c r="N688" i="41"/>
  <c r="N679" i="41"/>
  <c r="N678" i="41"/>
  <c r="N731" i="41"/>
  <c r="N724" i="41"/>
  <c r="N723" i="41"/>
  <c r="N722" i="41"/>
  <c r="N720" i="41"/>
  <c r="N719" i="41"/>
  <c r="N717" i="41"/>
  <c r="N715" i="41"/>
  <c r="N712" i="41"/>
  <c r="N708" i="41"/>
  <c r="N707" i="41"/>
  <c r="N702" i="41"/>
  <c r="N697" i="41"/>
  <c r="N692" i="41"/>
  <c r="N689" i="41"/>
  <c r="N687" i="41"/>
  <c r="N685" i="41"/>
  <c r="N684" i="41"/>
  <c r="N682" i="41"/>
  <c r="N680" i="41"/>
  <c r="N676" i="41"/>
  <c r="N670" i="41"/>
  <c r="N632" i="41"/>
  <c r="M654" i="41"/>
  <c r="M653" i="41"/>
  <c r="M652" i="41"/>
  <c r="M651" i="41"/>
  <c r="M650" i="41"/>
  <c r="M649" i="41"/>
  <c r="M648" i="41"/>
  <c r="M647" i="41"/>
  <c r="M646" i="41"/>
  <c r="M645" i="41"/>
  <c r="M644" i="41"/>
  <c r="M643" i="41"/>
  <c r="M642" i="41"/>
  <c r="M641" i="41"/>
  <c r="M640" i="41"/>
  <c r="M639" i="41"/>
  <c r="M638" i="41"/>
  <c r="M637" i="41"/>
  <c r="M636" i="41"/>
  <c r="M635" i="41"/>
  <c r="M634" i="41"/>
  <c r="M633" i="41"/>
  <c r="M631" i="41"/>
  <c r="M630" i="41"/>
  <c r="M629" i="41"/>
  <c r="M628" i="41"/>
  <c r="M627" i="41"/>
  <c r="M626" i="41"/>
  <c r="M625" i="41"/>
  <c r="M621" i="41"/>
  <c r="N621" i="41" s="1"/>
  <c r="M620" i="41"/>
  <c r="N620" i="41" s="1"/>
  <c r="M619" i="41"/>
  <c r="N619" i="41" s="1"/>
  <c r="M618" i="41"/>
  <c r="N618" i="41" s="1"/>
  <c r="M617" i="41"/>
  <c r="N617" i="41" s="1"/>
  <c r="M616" i="41"/>
  <c r="N616" i="41" s="1"/>
  <c r="M615" i="41"/>
  <c r="N615" i="41" s="1"/>
  <c r="M614" i="41"/>
  <c r="N614" i="41" s="1"/>
  <c r="M613" i="41"/>
  <c r="N613" i="41" s="1"/>
  <c r="M612" i="41"/>
  <c r="N612" i="41" s="1"/>
  <c r="M611" i="41"/>
  <c r="N611" i="41" s="1"/>
  <c r="M610" i="41"/>
  <c r="N610" i="41" s="1"/>
  <c r="M609" i="41"/>
  <c r="N609" i="41" s="1"/>
  <c r="M608" i="41"/>
  <c r="N608" i="41" s="1"/>
  <c r="M607" i="41"/>
  <c r="N607" i="41" s="1"/>
  <c r="M606" i="41"/>
  <c r="N606" i="41" s="1"/>
  <c r="M605" i="41"/>
  <c r="N605" i="41" s="1"/>
  <c r="M604" i="41"/>
  <c r="N604" i="41" s="1"/>
  <c r="M603" i="41"/>
  <c r="N603" i="41" s="1"/>
  <c r="M602" i="41"/>
  <c r="N602" i="41" s="1"/>
  <c r="M601" i="41"/>
  <c r="N601" i="41" s="1"/>
  <c r="M600" i="41"/>
  <c r="N600" i="41" s="1"/>
  <c r="M599" i="41"/>
  <c r="N599" i="41" s="1"/>
  <c r="M598" i="41"/>
  <c r="N598" i="41" s="1"/>
  <c r="M597" i="41"/>
  <c r="N597" i="41" s="1"/>
  <c r="M596" i="41"/>
  <c r="N596" i="41" s="1"/>
  <c r="M595" i="41"/>
  <c r="N595" i="41" s="1"/>
  <c r="M594" i="41"/>
  <c r="N594" i="41" s="1"/>
  <c r="M593" i="41"/>
  <c r="N593" i="41" s="1"/>
  <c r="M592" i="41"/>
  <c r="N592" i="41" s="1"/>
  <c r="M591" i="41"/>
  <c r="N591" i="41" s="1"/>
  <c r="M590" i="41"/>
  <c r="N590" i="41" s="1"/>
  <c r="M589" i="41"/>
  <c r="N589" i="41" s="1"/>
  <c r="M588" i="41"/>
  <c r="N588" i="41" s="1"/>
  <c r="M587" i="41"/>
  <c r="N587" i="41" s="1"/>
  <c r="M586" i="41"/>
  <c r="N586" i="41" s="1"/>
  <c r="M585" i="41"/>
  <c r="N585" i="41" s="1"/>
  <c r="M584" i="41"/>
  <c r="N584" i="41" s="1"/>
  <c r="M583" i="41"/>
  <c r="N583" i="41" s="1"/>
  <c r="M582" i="41"/>
  <c r="N582" i="41" s="1"/>
  <c r="M581" i="41"/>
  <c r="N581" i="41" s="1"/>
  <c r="M580" i="41"/>
  <c r="N580" i="41" s="1"/>
  <c r="M579" i="41"/>
  <c r="N579" i="41" s="1"/>
  <c r="M578" i="41"/>
  <c r="N578" i="41" s="1"/>
  <c r="M577" i="41"/>
  <c r="N577" i="41" s="1"/>
  <c r="M576" i="41"/>
  <c r="N576" i="41" s="1"/>
  <c r="M575" i="41"/>
  <c r="N575" i="41" s="1"/>
  <c r="M574" i="41"/>
  <c r="N574" i="41" s="1"/>
  <c r="M573" i="41"/>
  <c r="N573" i="41" s="1"/>
  <c r="M572" i="41"/>
  <c r="N572" i="41" s="1"/>
  <c r="M571" i="41"/>
  <c r="N571" i="41" s="1"/>
  <c r="M570" i="41"/>
  <c r="N570" i="41" s="1"/>
  <c r="M569" i="41"/>
  <c r="N569" i="41" s="1"/>
  <c r="M568" i="41"/>
  <c r="N568" i="41" s="1"/>
  <c r="M567" i="41"/>
  <c r="N567" i="41" s="1"/>
  <c r="M566" i="41"/>
  <c r="N566" i="41" s="1"/>
  <c r="M565" i="41"/>
  <c r="N565" i="41" s="1"/>
  <c r="M564" i="41"/>
  <c r="N564" i="41" s="1"/>
  <c r="M563" i="41"/>
  <c r="N563" i="41" s="1"/>
  <c r="M562" i="41"/>
  <c r="N562" i="41" s="1"/>
  <c r="M561" i="41"/>
  <c r="N561" i="41" s="1"/>
  <c r="M560" i="41"/>
  <c r="N560" i="41" s="1"/>
  <c r="M559" i="41"/>
  <c r="N559" i="41" s="1"/>
  <c r="M558" i="41"/>
  <c r="N558" i="41" s="1"/>
  <c r="M557" i="41"/>
  <c r="N557" i="41" s="1"/>
  <c r="M556" i="41"/>
  <c r="N556" i="41" s="1"/>
  <c r="M555" i="41"/>
  <c r="N555" i="41" s="1"/>
  <c r="M554" i="41"/>
  <c r="N554" i="41" s="1"/>
  <c r="M553" i="41"/>
  <c r="N553" i="41" s="1"/>
  <c r="M552" i="41"/>
  <c r="N552" i="41" s="1"/>
  <c r="M551" i="41"/>
  <c r="N551" i="41" s="1"/>
  <c r="M550" i="41"/>
  <c r="N550" i="41" s="1"/>
  <c r="M549" i="41"/>
  <c r="N549" i="41" s="1"/>
  <c r="M548" i="41"/>
  <c r="N548" i="41" s="1"/>
  <c r="M547" i="41"/>
  <c r="N547" i="41" s="1"/>
  <c r="M546" i="41"/>
  <c r="N546" i="41" s="1"/>
  <c r="M545" i="41"/>
  <c r="N545" i="41" s="1"/>
  <c r="M544" i="41"/>
  <c r="N544" i="41" s="1"/>
  <c r="M543" i="41"/>
  <c r="M252" i="41"/>
  <c r="N252" i="41" s="1"/>
  <c r="M248" i="41"/>
  <c r="N248" i="41" s="1"/>
  <c r="M244" i="41"/>
  <c r="N244" i="41" s="1"/>
  <c r="M240" i="41"/>
  <c r="N240" i="41" s="1"/>
  <c r="M239" i="41"/>
  <c r="N239" i="41" s="1"/>
  <c r="M234" i="41"/>
  <c r="N234" i="41" s="1"/>
  <c r="M230" i="41"/>
  <c r="N230" i="41" s="1"/>
  <c r="M226" i="41"/>
  <c r="N226" i="41" s="1"/>
  <c r="M223" i="41"/>
  <c r="M220" i="41"/>
  <c r="N220" i="41" s="1"/>
  <c r="M213" i="41"/>
  <c r="M206" i="41"/>
  <c r="M202" i="41"/>
  <c r="M200" i="41"/>
  <c r="M196" i="41"/>
  <c r="M193" i="41"/>
  <c r="M190" i="41"/>
  <c r="M185" i="41"/>
  <c r="M180" i="41"/>
  <c r="M176" i="41"/>
  <c r="M173" i="41"/>
  <c r="M163" i="41"/>
  <c r="M158" i="41"/>
  <c r="M156" i="41"/>
  <c r="M151" i="41"/>
  <c r="M149" i="41"/>
  <c r="M147" i="41"/>
  <c r="M145" i="41"/>
  <c r="M143" i="41"/>
  <c r="M140" i="41"/>
  <c r="M135" i="41"/>
  <c r="M131" i="41"/>
  <c r="M129" i="41"/>
  <c r="M263" i="41"/>
  <c r="N263" i="41" s="1"/>
  <c r="M257" i="41"/>
  <c r="M254" i="41"/>
  <c r="N254" i="41" s="1"/>
  <c r="M251" i="41"/>
  <c r="N251" i="41" s="1"/>
  <c r="M250" i="41"/>
  <c r="N250" i="41" s="1"/>
  <c r="M249" i="41"/>
  <c r="N249" i="41" s="1"/>
  <c r="M233" i="41"/>
  <c r="N233" i="41" s="1"/>
  <c r="M231" i="41"/>
  <c r="N231" i="41" s="1"/>
  <c r="M229" i="41"/>
  <c r="N229" i="41" s="1"/>
  <c r="M227" i="41"/>
  <c r="M225" i="41"/>
  <c r="N225" i="41" s="1"/>
  <c r="M219" i="41"/>
  <c r="N219" i="41" s="1"/>
  <c r="M217" i="41"/>
  <c r="N217" i="41" s="1"/>
  <c r="M216" i="41"/>
  <c r="N216" i="41" s="1"/>
  <c r="M207" i="41"/>
  <c r="M204" i="41"/>
  <c r="M198" i="41"/>
  <c r="M195" i="41"/>
  <c r="M192" i="41"/>
  <c r="M189" i="41"/>
  <c r="M187" i="41"/>
  <c r="M181" i="41"/>
  <c r="M178" i="41"/>
  <c r="M175" i="41"/>
  <c r="M171" i="41"/>
  <c r="M162" i="41"/>
  <c r="M160" i="41"/>
  <c r="N160" i="41" s="1"/>
  <c r="M155" i="41"/>
  <c r="N155" i="41" s="1"/>
  <c r="M152" i="41"/>
  <c r="N152" i="41" s="1"/>
  <c r="M150" i="41"/>
  <c r="N150" i="41" s="1"/>
  <c r="M148" i="41"/>
  <c r="N148" i="41" s="1"/>
  <c r="M146" i="41"/>
  <c r="N146" i="41" s="1"/>
  <c r="M144" i="41"/>
  <c r="N144" i="41" s="1"/>
  <c r="M141" i="41"/>
  <c r="N141" i="41" s="1"/>
  <c r="M134" i="41"/>
  <c r="N134" i="41" s="1"/>
  <c r="M262" i="41"/>
  <c r="N262" i="41" s="1"/>
  <c r="M261" i="41"/>
  <c r="N261" i="41" s="1"/>
  <c r="M260" i="41"/>
  <c r="N260" i="41" s="1"/>
  <c r="M259" i="41"/>
  <c r="N259" i="41" s="1"/>
  <c r="M258" i="41"/>
  <c r="N258" i="41" s="1"/>
  <c r="M256" i="41"/>
  <c r="N256" i="41" s="1"/>
  <c r="M255" i="41"/>
  <c r="N255" i="41" s="1"/>
  <c r="M253" i="41"/>
  <c r="N253" i="41" s="1"/>
  <c r="M247" i="41"/>
  <c r="N247" i="41" s="1"/>
  <c r="M246" i="41"/>
  <c r="N246" i="41" s="1"/>
  <c r="M245" i="41"/>
  <c r="N245" i="41" s="1"/>
  <c r="M243" i="41"/>
  <c r="N243" i="41" s="1"/>
  <c r="M242" i="41"/>
  <c r="N242" i="41" s="1"/>
  <c r="M241" i="41"/>
  <c r="N241" i="41" s="1"/>
  <c r="M238" i="41"/>
  <c r="N238" i="41" s="1"/>
  <c r="M237" i="41"/>
  <c r="N237" i="41" s="1"/>
  <c r="M236" i="41"/>
  <c r="N236" i="41" s="1"/>
  <c r="M235" i="41"/>
  <c r="N235" i="41" s="1"/>
  <c r="M232" i="41"/>
  <c r="N232" i="41" s="1"/>
  <c r="M228" i="41"/>
  <c r="N228" i="41" s="1"/>
  <c r="M224" i="41"/>
  <c r="N224" i="41" s="1"/>
  <c r="M222" i="41"/>
  <c r="N222" i="41" s="1"/>
  <c r="M221" i="41"/>
  <c r="N221" i="41" s="1"/>
  <c r="M218" i="41"/>
  <c r="N218" i="41" s="1"/>
  <c r="M215" i="41"/>
  <c r="N215" i="41" s="1"/>
  <c r="M214" i="41"/>
  <c r="N214" i="41" s="1"/>
  <c r="M212" i="41"/>
  <c r="N212" i="41" s="1"/>
  <c r="M211" i="41"/>
  <c r="N211" i="41" s="1"/>
  <c r="M210" i="41"/>
  <c r="N210" i="41" s="1"/>
  <c r="M209" i="41"/>
  <c r="M208" i="41"/>
  <c r="M205" i="41"/>
  <c r="M203" i="41"/>
  <c r="M201" i="41"/>
  <c r="M199" i="41"/>
  <c r="M197" i="41"/>
  <c r="M194" i="41"/>
  <c r="M191" i="41"/>
  <c r="M188" i="41"/>
  <c r="M186" i="41"/>
  <c r="M184" i="41"/>
  <c r="M183" i="41"/>
  <c r="M182" i="41"/>
  <c r="M179" i="41"/>
  <c r="M177" i="41"/>
  <c r="M174" i="41"/>
  <c r="M172" i="41"/>
  <c r="M170" i="41"/>
  <c r="M169" i="41"/>
  <c r="M168" i="41"/>
  <c r="M167" i="41"/>
  <c r="M166" i="41"/>
  <c r="M165" i="41"/>
  <c r="M164" i="41"/>
  <c r="M161" i="41"/>
  <c r="M159" i="41"/>
  <c r="M157" i="41"/>
  <c r="M154" i="41"/>
  <c r="M153" i="41"/>
  <c r="M142" i="41"/>
  <c r="M139" i="41"/>
  <c r="M138" i="41"/>
  <c r="M137" i="41"/>
  <c r="M136" i="41"/>
  <c r="M133" i="41"/>
  <c r="M132" i="41"/>
  <c r="M130" i="41"/>
  <c r="M128" i="41"/>
  <c r="N51" i="41"/>
  <c r="L528" i="41"/>
  <c r="M528" i="41"/>
  <c r="L526" i="41"/>
  <c r="M526" i="41"/>
  <c r="I503" i="41"/>
  <c r="I466" i="41"/>
  <c r="L1055" i="41"/>
  <c r="M1055" i="41"/>
  <c r="M1054" i="41"/>
  <c r="L1054" i="41"/>
  <c r="N1054" i="41" s="1"/>
  <c r="M1053" i="41"/>
  <c r="L1053" i="41"/>
  <c r="M1052" i="41"/>
  <c r="L1052" i="41"/>
  <c r="M1051" i="41"/>
  <c r="L1051" i="41"/>
  <c r="N1051" i="41" s="1"/>
  <c r="M1050" i="41"/>
  <c r="L1050" i="41"/>
  <c r="N1050" i="41" s="1"/>
  <c r="M1049" i="41"/>
  <c r="L1049" i="41"/>
  <c r="N1049" i="41" s="1"/>
  <c r="M1048" i="41"/>
  <c r="L1048" i="41"/>
  <c r="N1048" i="41" s="1"/>
  <c r="M1047" i="41"/>
  <c r="L1047" i="41"/>
  <c r="N1047" i="41" s="1"/>
  <c r="M1046" i="41"/>
  <c r="L1046" i="41"/>
  <c r="N1046" i="41" s="1"/>
  <c r="M1045" i="41"/>
  <c r="L1045" i="41"/>
  <c r="M1044" i="41"/>
  <c r="L1044" i="41"/>
  <c r="N1044" i="41" s="1"/>
  <c r="M1043" i="41"/>
  <c r="L1043" i="41"/>
  <c r="N1043" i="41" s="1"/>
  <c r="L1042" i="41"/>
  <c r="M1042" i="41"/>
  <c r="N1008" i="41"/>
  <c r="L1056" i="41"/>
  <c r="L1075" i="41" s="1"/>
  <c r="L1005" i="41"/>
  <c r="L1074" i="41" s="1"/>
  <c r="L983" i="41"/>
  <c r="L1073" i="41" s="1"/>
  <c r="N912" i="41"/>
  <c r="L932" i="41"/>
  <c r="L1072" i="41" s="1"/>
  <c r="L903" i="41"/>
  <c r="M903" i="41"/>
  <c r="M902" i="41"/>
  <c r="L902" i="41"/>
  <c r="N902" i="41" s="1"/>
  <c r="L900" i="41"/>
  <c r="M900" i="41"/>
  <c r="L899" i="41"/>
  <c r="M899" i="41"/>
  <c r="L898" i="41"/>
  <c r="M898" i="41"/>
  <c r="L897" i="41"/>
  <c r="M897" i="41"/>
  <c r="M909" i="41" s="1"/>
  <c r="M1071" i="41" s="1"/>
  <c r="N885" i="41"/>
  <c r="L894" i="41"/>
  <c r="L1070" i="41" s="1"/>
  <c r="L882" i="41"/>
  <c r="L1069" i="41" s="1"/>
  <c r="L765" i="41"/>
  <c r="M765" i="41"/>
  <c r="L763" i="41"/>
  <c r="M763" i="41"/>
  <c r="M762" i="41"/>
  <c r="L762" i="41"/>
  <c r="N762" i="41" s="1"/>
  <c r="L761" i="41"/>
  <c r="N761" i="41" s="1"/>
  <c r="M761" i="41"/>
  <c r="M770" i="41" s="1"/>
  <c r="M1068" i="41" s="1"/>
  <c r="N746" i="41"/>
  <c r="L770" i="41"/>
  <c r="L1068" i="41" s="1"/>
  <c r="N658" i="41"/>
  <c r="L743" i="41"/>
  <c r="L1067" i="41" s="1"/>
  <c r="L655" i="41"/>
  <c r="L1066" i="41" s="1"/>
  <c r="L622" i="41"/>
  <c r="L1065" i="41" s="1"/>
  <c r="M538" i="41"/>
  <c r="L538" i="41"/>
  <c r="N538" i="41" s="1"/>
  <c r="M537" i="41"/>
  <c r="L537" i="41"/>
  <c r="N537" i="41" s="1"/>
  <c r="M536" i="41"/>
  <c r="L536" i="41"/>
  <c r="N536" i="41" s="1"/>
  <c r="M535" i="41"/>
  <c r="L535" i="41"/>
  <c r="L534" i="41"/>
  <c r="M534" i="41"/>
  <c r="M533" i="41"/>
  <c r="L533" i="41"/>
  <c r="N533" i="41" s="1"/>
  <c r="M532" i="41"/>
  <c r="L532" i="41"/>
  <c r="N532" i="41" s="1"/>
  <c r="L531" i="41"/>
  <c r="M531" i="41"/>
  <c r="M530" i="41"/>
  <c r="L530" i="41"/>
  <c r="N530" i="41" s="1"/>
  <c r="M529" i="41"/>
  <c r="L529" i="41"/>
  <c r="M527" i="41"/>
  <c r="L527" i="41"/>
  <c r="N527" i="41" s="1"/>
  <c r="L525" i="41"/>
  <c r="M525" i="41"/>
  <c r="M524" i="41"/>
  <c r="L524" i="41"/>
  <c r="N524" i="41" s="1"/>
  <c r="M523" i="41"/>
  <c r="L523" i="41"/>
  <c r="N523" i="41" s="1"/>
  <c r="L522" i="41"/>
  <c r="M522" i="41"/>
  <c r="L521" i="41"/>
  <c r="M521" i="41"/>
  <c r="L520" i="41"/>
  <c r="M520" i="41"/>
  <c r="M519" i="41"/>
  <c r="L519" i="41"/>
  <c r="N519" i="41" s="1"/>
  <c r="L518" i="41"/>
  <c r="M518" i="41"/>
  <c r="M517" i="41"/>
  <c r="L517" i="41"/>
  <c r="N517" i="41" s="1"/>
  <c r="M516" i="41"/>
  <c r="L516" i="41"/>
  <c r="N516" i="41" s="1"/>
  <c r="M515" i="41"/>
  <c r="L515" i="41"/>
  <c r="M514" i="41"/>
  <c r="L514" i="41"/>
  <c r="M513" i="41"/>
  <c r="L513" i="41"/>
  <c r="L512" i="41"/>
  <c r="M512" i="41"/>
  <c r="M511" i="41"/>
  <c r="L511" i="41"/>
  <c r="N511" i="41" s="1"/>
  <c r="L510" i="41"/>
  <c r="M510" i="41"/>
  <c r="L509" i="41"/>
  <c r="M509" i="41"/>
  <c r="L508" i="41"/>
  <c r="M508" i="41"/>
  <c r="M507" i="41"/>
  <c r="L507" i="41"/>
  <c r="M506" i="41"/>
  <c r="L506" i="41"/>
  <c r="N506" i="41" s="1"/>
  <c r="M505" i="41"/>
  <c r="L505" i="41"/>
  <c r="N505" i="41" s="1"/>
  <c r="M504" i="41"/>
  <c r="L504" i="41"/>
  <c r="N504" i="41" s="1"/>
  <c r="L503" i="41"/>
  <c r="M503" i="41"/>
  <c r="M502" i="41"/>
  <c r="L502" i="41"/>
  <c r="N502" i="41" s="1"/>
  <c r="M501" i="41"/>
  <c r="L501" i="41"/>
  <c r="L500" i="41"/>
  <c r="M500" i="41"/>
  <c r="L499" i="41"/>
  <c r="M499" i="41"/>
  <c r="M498" i="41"/>
  <c r="L498" i="41"/>
  <c r="N498" i="41" s="1"/>
  <c r="L497" i="41"/>
  <c r="M497" i="41"/>
  <c r="L496" i="41"/>
  <c r="M496" i="41"/>
  <c r="M495" i="41"/>
  <c r="L495" i="41"/>
  <c r="N495" i="41" s="1"/>
  <c r="L494" i="41"/>
  <c r="M494" i="41"/>
  <c r="M493" i="41"/>
  <c r="L493" i="41"/>
  <c r="N493" i="41" s="1"/>
  <c r="M492" i="41"/>
  <c r="L492" i="41"/>
  <c r="N492" i="41" s="1"/>
  <c r="M491" i="41"/>
  <c r="L491" i="41"/>
  <c r="N491" i="41" s="1"/>
  <c r="L490" i="41"/>
  <c r="M490" i="41"/>
  <c r="L489" i="41"/>
  <c r="M489" i="41"/>
  <c r="L488" i="41"/>
  <c r="M488" i="41"/>
  <c r="L487" i="41"/>
  <c r="M487" i="41"/>
  <c r="L486" i="41"/>
  <c r="M486" i="41"/>
  <c r="M485" i="41"/>
  <c r="L485" i="41"/>
  <c r="N485" i="41" s="1"/>
  <c r="L484" i="41"/>
  <c r="M484" i="41"/>
  <c r="M483" i="41"/>
  <c r="L483" i="41"/>
  <c r="N483" i="41" s="1"/>
  <c r="M482" i="41"/>
  <c r="L482" i="41"/>
  <c r="M481" i="41"/>
  <c r="L481" i="41"/>
  <c r="N481" i="41" s="1"/>
  <c r="L480" i="41"/>
  <c r="M480" i="41"/>
  <c r="M479" i="41"/>
  <c r="L479" i="41"/>
  <c r="N479" i="41" s="1"/>
  <c r="M478" i="41"/>
  <c r="L478" i="41"/>
  <c r="N478" i="41" s="1"/>
  <c r="M477" i="41"/>
  <c r="L477" i="41"/>
  <c r="N477" i="41" s="1"/>
  <c r="M476" i="41"/>
  <c r="L476" i="41"/>
  <c r="N476" i="41" s="1"/>
  <c r="L475" i="41"/>
  <c r="M475" i="41"/>
  <c r="M474" i="41"/>
  <c r="L474" i="41"/>
  <c r="N474" i="41" s="1"/>
  <c r="L473" i="41"/>
  <c r="M473" i="41"/>
  <c r="L472" i="41"/>
  <c r="M472" i="41"/>
  <c r="L471" i="41"/>
  <c r="M471" i="41"/>
  <c r="L470" i="41"/>
  <c r="M470" i="41"/>
  <c r="L469" i="41"/>
  <c r="M469" i="41"/>
  <c r="L468" i="41"/>
  <c r="M468" i="41"/>
  <c r="L467" i="41"/>
  <c r="M467" i="41"/>
  <c r="L465" i="41"/>
  <c r="M465" i="41"/>
  <c r="L464" i="41"/>
  <c r="M464" i="41"/>
  <c r="L463" i="41"/>
  <c r="M463" i="41"/>
  <c r="L462" i="41"/>
  <c r="M462" i="41"/>
  <c r="L461" i="41"/>
  <c r="M461" i="41"/>
  <c r="L460" i="41"/>
  <c r="M460" i="41"/>
  <c r="L459" i="41"/>
  <c r="M459" i="41"/>
  <c r="L458" i="41"/>
  <c r="M458" i="41"/>
  <c r="M457" i="41"/>
  <c r="L457" i="41"/>
  <c r="N457" i="41" s="1"/>
  <c r="L456" i="41"/>
  <c r="M456" i="41"/>
  <c r="L455" i="41"/>
  <c r="M455" i="41"/>
  <c r="L454" i="41"/>
  <c r="M454" i="41"/>
  <c r="M453" i="41"/>
  <c r="L453" i="41"/>
  <c r="N453" i="41" s="1"/>
  <c r="M452" i="41"/>
  <c r="L452" i="41"/>
  <c r="N452" i="41" s="1"/>
  <c r="L451" i="41"/>
  <c r="M451" i="41"/>
  <c r="L450" i="41"/>
  <c r="M450" i="41"/>
  <c r="L449" i="41"/>
  <c r="M449" i="41"/>
  <c r="L448" i="41"/>
  <c r="M448" i="41"/>
  <c r="L447" i="41"/>
  <c r="M447" i="41"/>
  <c r="L446" i="41"/>
  <c r="M446" i="41"/>
  <c r="L445" i="41"/>
  <c r="M445" i="41"/>
  <c r="L444" i="41"/>
  <c r="M444" i="41"/>
  <c r="L443" i="41"/>
  <c r="M443" i="41"/>
  <c r="L442" i="41"/>
  <c r="M442" i="41"/>
  <c r="L441" i="41"/>
  <c r="M441" i="41"/>
  <c r="L440" i="41"/>
  <c r="M440" i="41"/>
  <c r="L439" i="41"/>
  <c r="M439" i="41"/>
  <c r="L438" i="41"/>
  <c r="N438" i="41" s="1"/>
  <c r="M438" i="41"/>
  <c r="L437" i="41"/>
  <c r="M437" i="41"/>
  <c r="L436" i="41"/>
  <c r="M436" i="41"/>
  <c r="L435" i="41"/>
  <c r="M435" i="41"/>
  <c r="L434" i="41"/>
  <c r="M434" i="41"/>
  <c r="M433" i="41"/>
  <c r="L433" i="41"/>
  <c r="N433" i="41" s="1"/>
  <c r="M432" i="41"/>
  <c r="L432" i="41"/>
  <c r="M431" i="41"/>
  <c r="L431" i="41"/>
  <c r="M430" i="41"/>
  <c r="L430" i="41"/>
  <c r="N430" i="41" s="1"/>
  <c r="M429" i="41"/>
  <c r="L429" i="41"/>
  <c r="N429" i="41" s="1"/>
  <c r="L428" i="41"/>
  <c r="M428" i="41"/>
  <c r="M427" i="41"/>
  <c r="L427" i="41"/>
  <c r="L426" i="41"/>
  <c r="M426" i="41"/>
  <c r="L425" i="41"/>
  <c r="M425" i="41"/>
  <c r="L424" i="41"/>
  <c r="M424" i="41"/>
  <c r="L423" i="41"/>
  <c r="M423" i="41"/>
  <c r="L422" i="41"/>
  <c r="M422" i="41"/>
  <c r="L421" i="41"/>
  <c r="M421" i="41"/>
  <c r="L420" i="41"/>
  <c r="M420" i="41"/>
  <c r="L419" i="41"/>
  <c r="M419" i="41"/>
  <c r="L418" i="41"/>
  <c r="M418" i="41"/>
  <c r="L417" i="41"/>
  <c r="M417" i="41"/>
  <c r="L416" i="41"/>
  <c r="M416" i="41"/>
  <c r="L415" i="41"/>
  <c r="M415" i="41"/>
  <c r="L414" i="41"/>
  <c r="M414" i="41"/>
  <c r="L413" i="41"/>
  <c r="M413" i="41"/>
  <c r="L412" i="41"/>
  <c r="M412" i="41"/>
  <c r="M411" i="41"/>
  <c r="L411" i="41"/>
  <c r="N411" i="41" s="1"/>
  <c r="L410" i="41"/>
  <c r="M410" i="41"/>
  <c r="L409" i="41"/>
  <c r="M409" i="41"/>
  <c r="L408" i="41"/>
  <c r="M408" i="41"/>
  <c r="M407" i="41"/>
  <c r="L407" i="41"/>
  <c r="N407" i="41" s="1"/>
  <c r="M406" i="41"/>
  <c r="L406" i="41"/>
  <c r="N406" i="41" s="1"/>
  <c r="L405" i="41"/>
  <c r="M405" i="41"/>
  <c r="L404" i="41"/>
  <c r="M404" i="41"/>
  <c r="M403" i="41"/>
  <c r="L403" i="41"/>
  <c r="N403" i="41" s="1"/>
  <c r="L402" i="41"/>
  <c r="M402" i="41"/>
  <c r="L401" i="41"/>
  <c r="M401" i="41"/>
  <c r="L400" i="41"/>
  <c r="M400" i="41"/>
  <c r="L399" i="41"/>
  <c r="M399" i="41"/>
  <c r="L398" i="41"/>
  <c r="M398" i="41"/>
  <c r="L397" i="41"/>
  <c r="M397" i="41"/>
  <c r="L396" i="41"/>
  <c r="M396" i="41"/>
  <c r="L395" i="41"/>
  <c r="M395" i="41"/>
  <c r="L394" i="41"/>
  <c r="M394" i="41"/>
  <c r="M393" i="41"/>
  <c r="L393" i="41"/>
  <c r="N393" i="41" s="1"/>
  <c r="M392" i="41"/>
  <c r="L392" i="41"/>
  <c r="N392" i="41" s="1"/>
  <c r="M391" i="41"/>
  <c r="L391" i="41"/>
  <c r="L390" i="41"/>
  <c r="M390" i="41"/>
  <c r="L389" i="41"/>
  <c r="M389" i="41"/>
  <c r="L388" i="41"/>
  <c r="M388" i="41"/>
  <c r="L387" i="41"/>
  <c r="M387" i="41"/>
  <c r="M386" i="41"/>
  <c r="L386" i="41"/>
  <c r="M385" i="41"/>
  <c r="L385" i="41"/>
  <c r="N385" i="41" s="1"/>
  <c r="M384" i="41"/>
  <c r="L384" i="41"/>
  <c r="N384" i="41" s="1"/>
  <c r="M383" i="41"/>
  <c r="L383" i="41"/>
  <c r="M382" i="41"/>
  <c r="L382" i="41"/>
  <c r="M381" i="41"/>
  <c r="L381" i="41"/>
  <c r="M380" i="41"/>
  <c r="L380" i="41"/>
  <c r="N380" i="41" s="1"/>
  <c r="M379" i="41"/>
  <c r="L379" i="41"/>
  <c r="L378" i="41"/>
  <c r="N378" i="41" s="1"/>
  <c r="M378" i="41"/>
  <c r="L377" i="41"/>
  <c r="M377" i="41"/>
  <c r="L376" i="41"/>
  <c r="N376" i="41" s="1"/>
  <c r="M376" i="41"/>
  <c r="L375" i="41"/>
  <c r="N375" i="41" s="1"/>
  <c r="M375" i="41"/>
  <c r="L374" i="41"/>
  <c r="M374" i="41"/>
  <c r="L373" i="41"/>
  <c r="M373" i="41"/>
  <c r="L372" i="41"/>
  <c r="M372" i="41"/>
  <c r="L371" i="41"/>
  <c r="N371" i="41" s="1"/>
  <c r="M371" i="41"/>
  <c r="L370" i="41"/>
  <c r="M370" i="41"/>
  <c r="L369" i="41"/>
  <c r="M369" i="41"/>
  <c r="L368" i="41"/>
  <c r="N368" i="41" s="1"/>
  <c r="M368" i="41"/>
  <c r="L367" i="41"/>
  <c r="M367" i="41"/>
  <c r="L366" i="41"/>
  <c r="M366" i="41"/>
  <c r="L365" i="41"/>
  <c r="M365" i="41"/>
  <c r="L364" i="41"/>
  <c r="N364" i="41" s="1"/>
  <c r="M364" i="41"/>
  <c r="M363" i="41"/>
  <c r="L363" i="41"/>
  <c r="N363" i="41" s="1"/>
  <c r="M362" i="41"/>
  <c r="L362" i="41"/>
  <c r="M361" i="41"/>
  <c r="L361" i="41"/>
  <c r="N361" i="41" s="1"/>
  <c r="M360" i="41"/>
  <c r="L360" i="41"/>
  <c r="N360" i="41" s="1"/>
  <c r="L359" i="41"/>
  <c r="M359" i="41"/>
  <c r="M358" i="41"/>
  <c r="L358" i="41"/>
  <c r="N358" i="41" s="1"/>
  <c r="L357" i="41"/>
  <c r="M357" i="41"/>
  <c r="M356" i="41"/>
  <c r="L356" i="41"/>
  <c r="L355" i="41"/>
  <c r="M355" i="41"/>
  <c r="L354" i="41"/>
  <c r="M354" i="41"/>
  <c r="L353" i="41"/>
  <c r="M353" i="41"/>
  <c r="L352" i="41"/>
  <c r="M352" i="41"/>
  <c r="L351" i="41"/>
  <c r="M351" i="41"/>
  <c r="L350" i="41"/>
  <c r="M350" i="41"/>
  <c r="L349" i="41"/>
  <c r="M349" i="41"/>
  <c r="L348" i="41"/>
  <c r="M348" i="41"/>
  <c r="L347" i="41"/>
  <c r="M347" i="41"/>
  <c r="L346" i="41"/>
  <c r="M346" i="41"/>
  <c r="L345" i="41"/>
  <c r="M345" i="41"/>
  <c r="L344" i="41"/>
  <c r="M344" i="41"/>
  <c r="L343" i="41"/>
  <c r="M343" i="41"/>
  <c r="L342" i="41"/>
  <c r="M342" i="41"/>
  <c r="L341" i="41"/>
  <c r="M341" i="41"/>
  <c r="L340" i="41"/>
  <c r="M340" i="41"/>
  <c r="M339" i="41"/>
  <c r="L339" i="41"/>
  <c r="N339" i="41" s="1"/>
  <c r="M338" i="41"/>
  <c r="L338" i="41"/>
  <c r="N338" i="41" s="1"/>
  <c r="M337" i="41"/>
  <c r="L337" i="41"/>
  <c r="L336" i="41"/>
  <c r="M336" i="41"/>
  <c r="M335" i="41"/>
  <c r="L335" i="41"/>
  <c r="N335" i="41" s="1"/>
  <c r="M334" i="41"/>
  <c r="L334" i="41"/>
  <c r="N334" i="41" s="1"/>
  <c r="M333" i="41"/>
  <c r="L333" i="41"/>
  <c r="M332" i="41"/>
  <c r="L332" i="41"/>
  <c r="N332" i="41" s="1"/>
  <c r="L331" i="41"/>
  <c r="M331" i="41"/>
  <c r="L330" i="41"/>
  <c r="M330" i="41"/>
  <c r="L329" i="41"/>
  <c r="M329" i="41"/>
  <c r="L328" i="41"/>
  <c r="M328" i="41"/>
  <c r="L327" i="41"/>
  <c r="M327" i="41"/>
  <c r="L326" i="41"/>
  <c r="M326" i="41"/>
  <c r="L325" i="41"/>
  <c r="M325" i="41"/>
  <c r="L324" i="41"/>
  <c r="M324" i="41"/>
  <c r="L323" i="41"/>
  <c r="M323" i="41"/>
  <c r="L322" i="41"/>
  <c r="M322" i="41"/>
  <c r="L321" i="41"/>
  <c r="M321" i="41"/>
  <c r="L320" i="41"/>
  <c r="M320" i="41"/>
  <c r="L319" i="41"/>
  <c r="M319" i="41"/>
  <c r="L318" i="41"/>
  <c r="M318" i="41"/>
  <c r="L317" i="41"/>
  <c r="N317" i="41" s="1"/>
  <c r="M317" i="41"/>
  <c r="L316" i="41"/>
  <c r="M316" i="41"/>
  <c r="M315" i="41"/>
  <c r="L315" i="41"/>
  <c r="N315" i="41" s="1"/>
  <c r="M314" i="41"/>
  <c r="L314" i="41"/>
  <c r="M313" i="41"/>
  <c r="L313" i="41"/>
  <c r="N313" i="41" s="1"/>
  <c r="M312" i="41"/>
  <c r="L312" i="41"/>
  <c r="M311" i="41"/>
  <c r="L311" i="41"/>
  <c r="N311" i="41" s="1"/>
  <c r="M310" i="41"/>
  <c r="L310" i="41"/>
  <c r="N310" i="41" s="1"/>
  <c r="M309" i="41"/>
  <c r="L309" i="41"/>
  <c r="L308" i="41"/>
  <c r="M308" i="41"/>
  <c r="M307" i="41"/>
  <c r="L307" i="41"/>
  <c r="M306" i="41"/>
  <c r="L306" i="41"/>
  <c r="N306" i="41" s="1"/>
  <c r="M305" i="41"/>
  <c r="L305" i="41"/>
  <c r="M304" i="41"/>
  <c r="L304" i="41"/>
  <c r="N304" i="41" s="1"/>
  <c r="M303" i="41"/>
  <c r="L303" i="41"/>
  <c r="N303" i="41" s="1"/>
  <c r="M302" i="41"/>
  <c r="L302" i="41"/>
  <c r="M301" i="41"/>
  <c r="L301" i="41"/>
  <c r="L300" i="41"/>
  <c r="M300" i="41"/>
  <c r="L299" i="41"/>
  <c r="M299" i="41"/>
  <c r="L298" i="41"/>
  <c r="M298" i="41"/>
  <c r="L297" i="41"/>
  <c r="M297" i="41"/>
  <c r="M296" i="41"/>
  <c r="L296" i="41"/>
  <c r="N296" i="41" s="1"/>
  <c r="M295" i="41"/>
  <c r="L295" i="41"/>
  <c r="M294" i="41"/>
  <c r="L294" i="41"/>
  <c r="N294" i="41" s="1"/>
  <c r="M293" i="41"/>
  <c r="L293" i="41"/>
  <c r="L292" i="41"/>
  <c r="M292" i="41"/>
  <c r="M291" i="41"/>
  <c r="L291" i="41"/>
  <c r="N291" i="41" s="1"/>
  <c r="L281" i="41"/>
  <c r="M281" i="41"/>
  <c r="L280" i="41"/>
  <c r="M280" i="41"/>
  <c r="L279" i="41"/>
  <c r="M279" i="41"/>
  <c r="L278" i="41"/>
  <c r="M278" i="41"/>
  <c r="L277" i="41"/>
  <c r="M277" i="41"/>
  <c r="L276" i="41"/>
  <c r="M276" i="41"/>
  <c r="L275" i="41"/>
  <c r="M275" i="41"/>
  <c r="L274" i="41"/>
  <c r="M274" i="41"/>
  <c r="L273" i="41"/>
  <c r="M273" i="41"/>
  <c r="L272" i="41"/>
  <c r="M272" i="41"/>
  <c r="L271" i="41"/>
  <c r="M271" i="41"/>
  <c r="L270" i="41"/>
  <c r="M270" i="41"/>
  <c r="L268" i="41"/>
  <c r="M268" i="41"/>
  <c r="N128" i="41"/>
  <c r="L264" i="41"/>
  <c r="L1063" i="41" s="1"/>
  <c r="M124" i="41"/>
  <c r="L124" i="41"/>
  <c r="N124" i="41" s="1"/>
  <c r="L123" i="41"/>
  <c r="M123" i="41"/>
  <c r="M122" i="41"/>
  <c r="L122" i="41"/>
  <c r="N122" i="41" s="1"/>
  <c r="M121" i="41"/>
  <c r="L121" i="41"/>
  <c r="N121" i="41" s="1"/>
  <c r="M120" i="41"/>
  <c r="L120" i="41"/>
  <c r="N120" i="41" s="1"/>
  <c r="L119" i="41"/>
  <c r="M119" i="41"/>
  <c r="M118" i="41"/>
  <c r="L118" i="41"/>
  <c r="N118" i="41" s="1"/>
  <c r="M117" i="41"/>
  <c r="L117" i="41"/>
  <c r="N117" i="41" s="1"/>
  <c r="M116" i="41"/>
  <c r="L116" i="41"/>
  <c r="N116" i="41" s="1"/>
  <c r="M115" i="41"/>
  <c r="L115" i="41"/>
  <c r="L114" i="41"/>
  <c r="M114" i="41"/>
  <c r="M113" i="41"/>
  <c r="L113" i="41"/>
  <c r="N113" i="41" s="1"/>
  <c r="M112" i="41"/>
  <c r="L112" i="41"/>
  <c r="N112" i="41" s="1"/>
  <c r="L111" i="41"/>
  <c r="M111" i="41"/>
  <c r="M110" i="41"/>
  <c r="L110" i="41"/>
  <c r="N110" i="41" s="1"/>
  <c r="M109" i="41"/>
  <c r="L109" i="41"/>
  <c r="N109" i="41" s="1"/>
  <c r="M108" i="41"/>
  <c r="L108" i="41"/>
  <c r="N108" i="41" s="1"/>
  <c r="M107" i="41"/>
  <c r="L107" i="41"/>
  <c r="N107" i="41" s="1"/>
  <c r="L106" i="41"/>
  <c r="M106" i="41"/>
  <c r="L105" i="41"/>
  <c r="M105" i="41"/>
  <c r="M104" i="41"/>
  <c r="L104" i="41"/>
  <c r="N104" i="41" s="1"/>
  <c r="M103" i="41"/>
  <c r="L103" i="41"/>
  <c r="N103" i="41" s="1"/>
  <c r="L102" i="41"/>
  <c r="M102" i="41"/>
  <c r="L101" i="41"/>
  <c r="M101" i="41"/>
  <c r="M100" i="41"/>
  <c r="L100" i="41"/>
  <c r="N100" i="41" s="1"/>
  <c r="L99" i="41"/>
  <c r="M99" i="41"/>
  <c r="L98" i="41"/>
  <c r="M98" i="41"/>
  <c r="L97" i="41"/>
  <c r="M97" i="41"/>
  <c r="M96" i="41"/>
  <c r="L96" i="41"/>
  <c r="N96" i="41" s="1"/>
  <c r="M95" i="41"/>
  <c r="L95" i="41"/>
  <c r="N95" i="41" s="1"/>
  <c r="M94" i="41"/>
  <c r="L94" i="41"/>
  <c r="N94" i="41" s="1"/>
  <c r="M93" i="41"/>
  <c r="L93" i="41"/>
  <c r="M92" i="41"/>
  <c r="L92" i="41"/>
  <c r="N92" i="41" s="1"/>
  <c r="L91" i="41"/>
  <c r="M91" i="41"/>
  <c r="L90" i="41"/>
  <c r="M90" i="41"/>
  <c r="L89" i="41"/>
  <c r="M89" i="41"/>
  <c r="L88" i="41"/>
  <c r="M88" i="41"/>
  <c r="M87" i="41"/>
  <c r="L87" i="41"/>
  <c r="N87" i="41" s="1"/>
  <c r="M86" i="41"/>
  <c r="L86" i="41"/>
  <c r="N86" i="41" s="1"/>
  <c r="L85" i="41"/>
  <c r="M85" i="41"/>
  <c r="M84" i="41"/>
  <c r="L84" i="41"/>
  <c r="L83" i="41"/>
  <c r="M83" i="41"/>
  <c r="M82" i="41"/>
  <c r="L82" i="41"/>
  <c r="M81" i="41"/>
  <c r="L81" i="41"/>
  <c r="N81" i="41" s="1"/>
  <c r="L80" i="41"/>
  <c r="M80" i="41"/>
  <c r="L79" i="41"/>
  <c r="M79" i="41"/>
  <c r="L78" i="41"/>
  <c r="M78" i="41"/>
  <c r="L77" i="41"/>
  <c r="M77" i="41"/>
  <c r="L76" i="41"/>
  <c r="M76" i="41"/>
  <c r="M75" i="41"/>
  <c r="L75" i="41"/>
  <c r="N75" i="41" s="1"/>
  <c r="M74" i="41"/>
  <c r="L74" i="41"/>
  <c r="N74" i="41" s="1"/>
  <c r="M73" i="41"/>
  <c r="L73" i="41"/>
  <c r="N73" i="41" s="1"/>
  <c r="L72" i="41"/>
  <c r="M72" i="41"/>
  <c r="L71" i="41"/>
  <c r="M71" i="41"/>
  <c r="M70" i="41"/>
  <c r="L70" i="41"/>
  <c r="N70" i="41" s="1"/>
  <c r="L69" i="41"/>
  <c r="M69" i="41"/>
  <c r="L68" i="41"/>
  <c r="M68" i="41"/>
  <c r="L67" i="41"/>
  <c r="M67" i="41"/>
  <c r="L66" i="41"/>
  <c r="M66" i="41"/>
  <c r="L65" i="41"/>
  <c r="M65" i="41"/>
  <c r="M64" i="41"/>
  <c r="L64" i="41"/>
  <c r="M63" i="41"/>
  <c r="L63" i="41"/>
  <c r="M62" i="41"/>
  <c r="L62" i="41"/>
  <c r="N62" i="41" s="1"/>
  <c r="L61" i="41"/>
  <c r="M61" i="41"/>
  <c r="M60" i="41"/>
  <c r="L60" i="41"/>
  <c r="N60" i="41" s="1"/>
  <c r="L59" i="41"/>
  <c r="M59" i="41"/>
  <c r="M58" i="41"/>
  <c r="L58" i="41"/>
  <c r="N58" i="41" s="1"/>
  <c r="L57" i="41"/>
  <c r="M57" i="41"/>
  <c r="L56" i="41"/>
  <c r="M56" i="41"/>
  <c r="L55" i="41"/>
  <c r="M55" i="41"/>
  <c r="L54" i="41"/>
  <c r="M54" i="41"/>
  <c r="L53" i="41"/>
  <c r="M53" i="41"/>
  <c r="L52" i="41"/>
  <c r="M52" i="41"/>
  <c r="H269" i="41"/>
  <c r="G269" i="41"/>
  <c r="F269" i="41"/>
  <c r="L50" i="41"/>
  <c r="M50" i="41"/>
  <c r="M49" i="41"/>
  <c r="L49" i="41"/>
  <c r="N49" i="41" s="1"/>
  <c r="L48" i="41"/>
  <c r="M48" i="41"/>
  <c r="L47" i="41"/>
  <c r="M47" i="41"/>
  <c r="L46" i="41"/>
  <c r="M46" i="41"/>
  <c r="M45" i="41"/>
  <c r="L45" i="41"/>
  <c r="L44" i="41"/>
  <c r="M44" i="41"/>
  <c r="M43" i="41"/>
  <c r="L43" i="41"/>
  <c r="N43" i="41" s="1"/>
  <c r="M42" i="41"/>
  <c r="L42" i="41"/>
  <c r="L41" i="41"/>
  <c r="M41" i="41"/>
  <c r="L40" i="41"/>
  <c r="M40" i="41"/>
  <c r="M39" i="41"/>
  <c r="L39" i="41"/>
  <c r="L38" i="41"/>
  <c r="M38" i="41"/>
  <c r="L37" i="41"/>
  <c r="M37" i="41"/>
  <c r="L36" i="41"/>
  <c r="M36" i="41"/>
  <c r="L35" i="41"/>
  <c r="M35" i="41"/>
  <c r="L34" i="41"/>
  <c r="M34" i="41"/>
  <c r="L33" i="41"/>
  <c r="M33" i="41"/>
  <c r="L32" i="41"/>
  <c r="M32" i="41"/>
  <c r="L31" i="41"/>
  <c r="M31" i="41"/>
  <c r="M30" i="41"/>
  <c r="L30" i="41"/>
  <c r="N30" i="41" s="1"/>
  <c r="M29" i="41"/>
  <c r="L29" i="41"/>
  <c r="M28" i="41"/>
  <c r="L28" i="41"/>
  <c r="N28" i="41" s="1"/>
  <c r="M27" i="41"/>
  <c r="L27" i="41"/>
  <c r="N27" i="41" s="1"/>
  <c r="M26" i="41"/>
  <c r="L26" i="41"/>
  <c r="N26" i="41" s="1"/>
  <c r="L25" i="41"/>
  <c r="M25" i="41"/>
  <c r="L24" i="41"/>
  <c r="M24" i="41"/>
  <c r="L23" i="41"/>
  <c r="M23" i="41"/>
  <c r="L22" i="41"/>
  <c r="M22" i="41"/>
  <c r="L21" i="41"/>
  <c r="M21" i="41"/>
  <c r="L20" i="41"/>
  <c r="M20" i="41"/>
  <c r="M19" i="41"/>
  <c r="L19" i="41"/>
  <c r="N1004" i="41"/>
  <c r="N1003" i="41"/>
  <c r="N1002" i="41"/>
  <c r="N1000" i="41"/>
  <c r="N998" i="41"/>
  <c r="N994" i="41"/>
  <c r="N990" i="41"/>
  <c r="N988" i="41"/>
  <c r="N881" i="41"/>
  <c r="N857" i="41"/>
  <c r="N866" i="41"/>
  <c r="N856" i="41"/>
  <c r="N840" i="41"/>
  <c r="N834" i="41"/>
  <c r="N677" i="41"/>
  <c r="N667" i="41"/>
  <c r="N666" i="41"/>
  <c r="N665" i="41"/>
  <c r="N664" i="41"/>
  <c r="N663" i="41"/>
  <c r="N662" i="41"/>
  <c r="N661" i="41"/>
  <c r="N660" i="41"/>
  <c r="N659" i="41"/>
  <c r="M743" i="41"/>
  <c r="M1067" i="41" s="1"/>
  <c r="N654" i="41"/>
  <c r="N653" i="41"/>
  <c r="N652" i="41"/>
  <c r="N651" i="41"/>
  <c r="N650" i="41"/>
  <c r="N649" i="41"/>
  <c r="N648" i="41"/>
  <c r="N647" i="41"/>
  <c r="N646" i="41"/>
  <c r="N645" i="41"/>
  <c r="N644" i="41"/>
  <c r="N643" i="41"/>
  <c r="N642" i="41"/>
  <c r="N641" i="41"/>
  <c r="N640" i="41"/>
  <c r="N639" i="41"/>
  <c r="N638" i="41"/>
  <c r="N637" i="41"/>
  <c r="N636" i="41"/>
  <c r="N635" i="41"/>
  <c r="N634" i="41"/>
  <c r="N633" i="41"/>
  <c r="N631" i="41"/>
  <c r="N630" i="41"/>
  <c r="N629" i="41"/>
  <c r="N628" i="41"/>
  <c r="N627" i="41"/>
  <c r="N626" i="41"/>
  <c r="N257" i="41"/>
  <c r="N227" i="41"/>
  <c r="N223" i="41"/>
  <c r="N838" i="41"/>
  <c r="N740" i="41"/>
  <c r="N732" i="41"/>
  <c r="N729" i="41"/>
  <c r="N709" i="41"/>
  <c r="N701" i="41"/>
  <c r="N696" i="41"/>
  <c r="N675" i="41"/>
  <c r="N671" i="41"/>
  <c r="N737" i="41"/>
  <c r="N725" i="41"/>
  <c r="N713" i="41"/>
  <c r="N711" i="41"/>
  <c r="N705" i="41"/>
  <c r="N704" i="41"/>
  <c r="N695" i="41"/>
  <c r="N693" i="41"/>
  <c r="N691" i="41"/>
  <c r="N690" i="41"/>
  <c r="N686" i="41"/>
  <c r="N683" i="41"/>
  <c r="N681" i="41"/>
  <c r="N673" i="41"/>
  <c r="N672" i="41"/>
  <c r="N213" i="41"/>
  <c r="N208" i="41"/>
  <c r="N207" i="41"/>
  <c r="N206" i="41"/>
  <c r="N205" i="41"/>
  <c r="N204" i="41"/>
  <c r="N203" i="41"/>
  <c r="N202" i="41"/>
  <c r="N201" i="41"/>
  <c r="N200" i="41"/>
  <c r="N199" i="41"/>
  <c r="N198" i="41"/>
  <c r="N197" i="41"/>
  <c r="N196" i="41"/>
  <c r="N195" i="41"/>
  <c r="N194" i="41"/>
  <c r="N193" i="41"/>
  <c r="N192" i="41"/>
  <c r="N191" i="41"/>
  <c r="N190" i="41"/>
  <c r="N189" i="41"/>
  <c r="N188" i="41"/>
  <c r="N187" i="41"/>
  <c r="N186" i="41"/>
  <c r="N185" i="41"/>
  <c r="N184" i="41"/>
  <c r="N183" i="41"/>
  <c r="N182" i="41"/>
  <c r="N181" i="41"/>
  <c r="N180" i="41"/>
  <c r="N179" i="41"/>
  <c r="N178" i="41"/>
  <c r="N177" i="41"/>
  <c r="N176" i="41"/>
  <c r="N175" i="41"/>
  <c r="N174" i="41"/>
  <c r="N173" i="41"/>
  <c r="N172" i="41"/>
  <c r="N171" i="41"/>
  <c r="N170" i="41"/>
  <c r="N169" i="41"/>
  <c r="N168" i="41"/>
  <c r="N167" i="41"/>
  <c r="N166" i="41"/>
  <c r="N165" i="41"/>
  <c r="N164" i="41"/>
  <c r="N163" i="41"/>
  <c r="N162" i="41"/>
  <c r="N161" i="41"/>
  <c r="N159" i="41"/>
  <c r="N158" i="41"/>
  <c r="N157" i="41"/>
  <c r="N156" i="41"/>
  <c r="N154" i="41"/>
  <c r="N153" i="41"/>
  <c r="N151" i="41"/>
  <c r="N149" i="41"/>
  <c r="N147" i="41"/>
  <c r="N145" i="41"/>
  <c r="N143" i="41"/>
  <c r="N142" i="41"/>
  <c r="N140" i="41"/>
  <c r="N139" i="41"/>
  <c r="N138" i="41"/>
  <c r="N137" i="41"/>
  <c r="N136" i="41"/>
  <c r="N135" i="41"/>
  <c r="N133" i="41"/>
  <c r="N132" i="41"/>
  <c r="N131" i="41"/>
  <c r="N130" i="41"/>
  <c r="N129" i="41"/>
  <c r="N832" i="41"/>
  <c r="N1014" i="41"/>
  <c r="N1013" i="41"/>
  <c r="N1012" i="41"/>
  <c r="N1011" i="41"/>
  <c r="N1010" i="41"/>
  <c r="N996" i="41"/>
  <c r="N992" i="41"/>
  <c r="N989" i="41"/>
  <c r="N930" i="41"/>
  <c r="N929" i="41"/>
  <c r="N928" i="41"/>
  <c r="N925" i="41"/>
  <c r="N923" i="41"/>
  <c r="N921" i="41"/>
  <c r="N917" i="41"/>
  <c r="N914" i="41"/>
  <c r="N913" i="41"/>
  <c r="N908" i="41"/>
  <c r="N907" i="41"/>
  <c r="N906" i="41"/>
  <c r="N904" i="41"/>
  <c r="N901" i="41"/>
  <c r="N890" i="41"/>
  <c r="N886" i="41"/>
  <c r="N868" i="41"/>
  <c r="N863" i="41"/>
  <c r="N862" i="41"/>
  <c r="N859" i="41"/>
  <c r="N858" i="41"/>
  <c r="N855" i="41"/>
  <c r="N854" i="41"/>
  <c r="N852" i="41"/>
  <c r="N851" i="41"/>
  <c r="N850" i="41"/>
  <c r="N849" i="41"/>
  <c r="N844" i="41"/>
  <c r="N839" i="41"/>
  <c r="N833" i="41"/>
  <c r="N830" i="41"/>
  <c r="N817" i="41"/>
  <c r="N721" i="41"/>
  <c r="N714" i="41"/>
  <c r="N706" i="41"/>
  <c r="N700" i="41"/>
  <c r="N694" i="41"/>
  <c r="N669" i="41"/>
  <c r="I437" i="7"/>
  <c r="I446" i="7"/>
  <c r="I469" i="7"/>
  <c r="I389" i="7"/>
  <c r="I422" i="7"/>
  <c r="I413" i="7"/>
  <c r="I412" i="7"/>
  <c r="H269" i="7"/>
  <c r="G269" i="7"/>
  <c r="F269" i="7"/>
  <c r="I397" i="7"/>
  <c r="I415" i="7"/>
  <c r="I394" i="7"/>
  <c r="H13" i="39"/>
  <c r="I1050" i="7"/>
  <c r="I472" i="7"/>
  <c r="I463" i="7"/>
  <c r="I460" i="7"/>
  <c r="I473" i="7"/>
  <c r="I471" i="7"/>
  <c r="I281" i="7"/>
  <c r="I271" i="7"/>
  <c r="I277" i="7"/>
  <c r="I268" i="7"/>
  <c r="C12" i="39"/>
  <c r="A6" i="7"/>
  <c r="N513" i="41" l="1"/>
  <c r="N431" i="41"/>
  <c r="N381" i="41"/>
  <c r="N379" i="41"/>
  <c r="N365" i="41"/>
  <c r="N362" i="41"/>
  <c r="N293" i="41"/>
  <c r="N451" i="41"/>
  <c r="N449" i="41"/>
  <c r="N477" i="42"/>
  <c r="N469" i="42"/>
  <c r="N425" i="42"/>
  <c r="N414" i="42"/>
  <c r="N370" i="42"/>
  <c r="N361" i="42"/>
  <c r="N359" i="42"/>
  <c r="N350" i="42"/>
  <c r="N338" i="42"/>
  <c r="N320" i="42"/>
  <c r="N318" i="42"/>
  <c r="N281" i="42"/>
  <c r="N272" i="42"/>
  <c r="M1056" i="42"/>
  <c r="M1075" i="42" s="1"/>
  <c r="N1050" i="42"/>
  <c r="L1056" i="42"/>
  <c r="L1075" i="42" s="1"/>
  <c r="N882" i="42"/>
  <c r="N1069" i="42" s="1"/>
  <c r="N537" i="42"/>
  <c r="N535" i="42"/>
  <c r="N532" i="42"/>
  <c r="N531" i="42"/>
  <c r="N528" i="42"/>
  <c r="N526" i="42"/>
  <c r="N522" i="42"/>
  <c r="N442" i="42"/>
  <c r="N440" i="42"/>
  <c r="N438" i="42"/>
  <c r="N436" i="42"/>
  <c r="N432" i="42"/>
  <c r="N431" i="42"/>
  <c r="N343" i="42"/>
  <c r="N342" i="42"/>
  <c r="N513" i="42"/>
  <c r="N512" i="42"/>
  <c r="N509" i="42"/>
  <c r="N508" i="42"/>
  <c r="N507" i="42"/>
  <c r="N504" i="42"/>
  <c r="N503" i="42"/>
  <c r="N502" i="42"/>
  <c r="N500" i="42"/>
  <c r="N499" i="42"/>
  <c r="N498" i="42"/>
  <c r="N497" i="42"/>
  <c r="N496" i="42"/>
  <c r="N495" i="42"/>
  <c r="N493" i="42"/>
  <c r="N491" i="42"/>
  <c r="N486" i="42"/>
  <c r="N485" i="42"/>
  <c r="N483" i="42"/>
  <c r="N479" i="42"/>
  <c r="N448" i="42"/>
  <c r="N424" i="42"/>
  <c r="N423" i="42"/>
  <c r="N421" i="42"/>
  <c r="N417" i="42"/>
  <c r="N412" i="42"/>
  <c r="N407" i="42"/>
  <c r="N397" i="42"/>
  <c r="N395" i="42"/>
  <c r="N392" i="42"/>
  <c r="N388" i="42"/>
  <c r="N387" i="42"/>
  <c r="N386" i="42"/>
  <c r="N384" i="42"/>
  <c r="N383" i="42"/>
  <c r="N382" i="42"/>
  <c r="N381" i="42"/>
  <c r="N380" i="42"/>
  <c r="N379" i="42"/>
  <c r="N377" i="42"/>
  <c r="N376" i="42"/>
  <c r="N375" i="42"/>
  <c r="N374" i="42"/>
  <c r="N372" i="42"/>
  <c r="N371" i="42"/>
  <c r="N337" i="42"/>
  <c r="N336" i="42"/>
  <c r="N335" i="42"/>
  <c r="N334" i="42"/>
  <c r="N333" i="42"/>
  <c r="N332" i="42"/>
  <c r="N529" i="42"/>
  <c r="N527" i="42"/>
  <c r="N525" i="42"/>
  <c r="N524" i="42"/>
  <c r="N523" i="42"/>
  <c r="N520" i="42"/>
  <c r="N519" i="42"/>
  <c r="N517" i="42"/>
  <c r="N516" i="42"/>
  <c r="N476" i="42"/>
  <c r="N475" i="42"/>
  <c r="N468" i="42"/>
  <c r="N466" i="42"/>
  <c r="N465" i="42"/>
  <c r="N461" i="42"/>
  <c r="N460" i="42"/>
  <c r="N458" i="42"/>
  <c r="N454" i="42"/>
  <c r="N446" i="42"/>
  <c r="N444" i="42"/>
  <c r="N435" i="42"/>
  <c r="N429" i="42"/>
  <c r="N426" i="42"/>
  <c r="N364" i="42"/>
  <c r="N360" i="42"/>
  <c r="N358" i="42"/>
  <c r="N356" i="42"/>
  <c r="N355" i="42"/>
  <c r="N354" i="42"/>
  <c r="N353" i="42"/>
  <c r="N349" i="42"/>
  <c r="N348" i="42"/>
  <c r="N341" i="42"/>
  <c r="N339" i="42"/>
  <c r="N535" i="41"/>
  <c r="N529" i="41"/>
  <c r="N442" i="41"/>
  <c r="N427" i="41"/>
  <c r="N391" i="41"/>
  <c r="N390" i="41"/>
  <c r="N351" i="41"/>
  <c r="N346" i="41"/>
  <c r="N341" i="41"/>
  <c r="N356" i="41"/>
  <c r="N343" i="41"/>
  <c r="N342" i="41"/>
  <c r="N353" i="41"/>
  <c r="N340" i="41"/>
  <c r="N327" i="41"/>
  <c r="N333" i="41"/>
  <c r="N329" i="41"/>
  <c r="N319" i="41"/>
  <c r="L539" i="42"/>
  <c r="L1064" i="42" s="1"/>
  <c r="N268" i="42"/>
  <c r="N330" i="42"/>
  <c r="N328" i="42"/>
  <c r="N327" i="42"/>
  <c r="N325" i="42"/>
  <c r="N323" i="42"/>
  <c r="N322" i="42"/>
  <c r="N321" i="42"/>
  <c r="N317" i="42"/>
  <c r="N316" i="42"/>
  <c r="N313" i="42"/>
  <c r="N312" i="42"/>
  <c r="N307" i="42"/>
  <c r="N301" i="42"/>
  <c r="N299" i="42"/>
  <c r="N298" i="42"/>
  <c r="N296" i="42"/>
  <c r="N295" i="42"/>
  <c r="N293" i="42"/>
  <c r="N292" i="42"/>
  <c r="N280" i="42"/>
  <c r="N279" i="42"/>
  <c r="N278" i="42"/>
  <c r="N277" i="42"/>
  <c r="N276" i="42"/>
  <c r="N274" i="42"/>
  <c r="N273" i="42"/>
  <c r="N269" i="42"/>
  <c r="M539" i="42"/>
  <c r="M1064" i="42" s="1"/>
  <c r="N264" i="42"/>
  <c r="N1063" i="42" s="1"/>
  <c r="N125" i="42"/>
  <c r="N1062" i="42" s="1"/>
  <c r="N362" i="42"/>
  <c r="N357" i="42"/>
  <c r="N743" i="42"/>
  <c r="N1067" i="42" s="1"/>
  <c r="N518" i="42"/>
  <c r="N510" i="42"/>
  <c r="N506" i="42"/>
  <c r="N501" i="42"/>
  <c r="N490" i="42"/>
  <c r="N488" i="42"/>
  <c r="N484" i="42"/>
  <c r="N482" i="42"/>
  <c r="N480" i="42"/>
  <c r="N474" i="42"/>
  <c r="N463" i="42"/>
  <c r="N462" i="42"/>
  <c r="N451" i="42"/>
  <c r="N441" i="42"/>
  <c r="N437" i="42"/>
  <c r="N422" i="42"/>
  <c r="N420" i="42"/>
  <c r="N411" i="42"/>
  <c r="N405" i="42"/>
  <c r="N394" i="42"/>
  <c r="N365" i="42"/>
  <c r="N363" i="42"/>
  <c r="N351" i="42"/>
  <c r="N622" i="42"/>
  <c r="N1065" i="42" s="1"/>
  <c r="N536" i="42"/>
  <c r="N533" i="42"/>
  <c r="N530" i="42"/>
  <c r="N511" i="42"/>
  <c r="N492" i="42"/>
  <c r="N489" i="42"/>
  <c r="N456" i="42"/>
  <c r="N450" i="42"/>
  <c r="N439" i="42"/>
  <c r="N430" i="42"/>
  <c r="N419" i="42"/>
  <c r="N378" i="42"/>
  <c r="N340" i="42"/>
  <c r="N1054" i="42"/>
  <c r="N983" i="42"/>
  <c r="N1073" i="42" s="1"/>
  <c r="N538" i="42"/>
  <c r="N534" i="42"/>
  <c r="N515" i="42"/>
  <c r="N514" i="42"/>
  <c r="N487" i="42"/>
  <c r="N481" i="42"/>
  <c r="N478" i="42"/>
  <c r="N473" i="42"/>
  <c r="N457" i="42"/>
  <c r="N449" i="42"/>
  <c r="N399" i="42"/>
  <c r="N385" i="42"/>
  <c r="N345" i="42"/>
  <c r="N1053" i="41"/>
  <c r="N1052" i="41"/>
  <c r="N1045" i="41"/>
  <c r="M1056" i="41"/>
  <c r="M1075" i="41" s="1"/>
  <c r="M1005" i="41"/>
  <c r="M1074" i="41" s="1"/>
  <c r="N986" i="41"/>
  <c r="N1005" i="41" s="1"/>
  <c r="N1074" i="41" s="1"/>
  <c r="M983" i="41"/>
  <c r="M1073" i="41" s="1"/>
  <c r="N935" i="41"/>
  <c r="N983" i="41" s="1"/>
  <c r="N1073" i="41" s="1"/>
  <c r="M932" i="41"/>
  <c r="M1072" i="41" s="1"/>
  <c r="N931" i="41"/>
  <c r="N932" i="41" s="1"/>
  <c r="N1072" i="41" s="1"/>
  <c r="N894" i="41"/>
  <c r="N1070" i="41" s="1"/>
  <c r="M882" i="41"/>
  <c r="M1069" i="41" s="1"/>
  <c r="M655" i="41"/>
  <c r="M1066" i="41" s="1"/>
  <c r="N625" i="41"/>
  <c r="N655" i="41" s="1"/>
  <c r="N1066" i="41" s="1"/>
  <c r="M622" i="41"/>
  <c r="M1065" i="41" s="1"/>
  <c r="N543" i="41"/>
  <c r="N622" i="41" s="1"/>
  <c r="N1065" i="41" s="1"/>
  <c r="N209" i="41"/>
  <c r="M264" i="41"/>
  <c r="M1063" i="41" s="1"/>
  <c r="N45" i="41"/>
  <c r="N41" i="41"/>
  <c r="N40" i="41"/>
  <c r="N39" i="41"/>
  <c r="N37" i="41"/>
  <c r="N33" i="41"/>
  <c r="N29" i="41"/>
  <c r="N24" i="41"/>
  <c r="N22" i="41"/>
  <c r="M125" i="41"/>
  <c r="M1062" i="41" s="1"/>
  <c r="N115" i="41"/>
  <c r="N93" i="41"/>
  <c r="N84" i="41"/>
  <c r="N82" i="41"/>
  <c r="N64" i="41"/>
  <c r="N63" i="41"/>
  <c r="N55" i="41"/>
  <c r="N42" i="41"/>
  <c r="N53" i="41"/>
  <c r="N35" i="41"/>
  <c r="N515" i="41"/>
  <c r="N528" i="41"/>
  <c r="N507" i="41"/>
  <c r="N534" i="41"/>
  <c r="N526" i="41"/>
  <c r="N514" i="41"/>
  <c r="N501" i="41"/>
  <c r="N482" i="41"/>
  <c r="N447" i="41"/>
  <c r="N440" i="41"/>
  <c r="N458" i="41"/>
  <c r="N455" i="41"/>
  <c r="N432" i="41"/>
  <c r="N373" i="41"/>
  <c r="N370" i="41"/>
  <c r="N374" i="41"/>
  <c r="N386" i="41"/>
  <c r="N383" i="41"/>
  <c r="N382" i="41"/>
  <c r="N352" i="41"/>
  <c r="N349" i="41"/>
  <c r="N347" i="41"/>
  <c r="N359" i="41"/>
  <c r="N357" i="41"/>
  <c r="N355" i="41"/>
  <c r="N328" i="41"/>
  <c r="N325" i="41"/>
  <c r="N324" i="41"/>
  <c r="N322" i="41"/>
  <c r="N321" i="41"/>
  <c r="N337" i="41"/>
  <c r="N331" i="41"/>
  <c r="N330" i="41"/>
  <c r="N312" i="41"/>
  <c r="N309" i="41"/>
  <c r="N314" i="41"/>
  <c r="N299" i="41"/>
  <c r="N301" i="41"/>
  <c r="N298" i="41"/>
  <c r="N305" i="41"/>
  <c r="N297" i="41"/>
  <c r="N295" i="41"/>
  <c r="I269" i="41"/>
  <c r="N470" i="41"/>
  <c r="N468" i="41"/>
  <c r="N464" i="41"/>
  <c r="N462" i="41"/>
  <c r="N460" i="41"/>
  <c r="L466" i="41"/>
  <c r="M466" i="41"/>
  <c r="N897" i="41"/>
  <c r="L909" i="41"/>
  <c r="L1071" i="41" s="1"/>
  <c r="N268" i="41"/>
  <c r="L269" i="41"/>
  <c r="L539" i="41" s="1"/>
  <c r="L1064" i="41" s="1"/>
  <c r="M269" i="41"/>
  <c r="M539" i="41" s="1"/>
  <c r="M1064" i="41" s="1"/>
  <c r="N19" i="41"/>
  <c r="L125" i="41"/>
  <c r="L1062" i="41" s="1"/>
  <c r="N1055" i="41"/>
  <c r="N1042" i="41"/>
  <c r="N903" i="41"/>
  <c r="N899" i="41"/>
  <c r="N898" i="41"/>
  <c r="N882" i="41"/>
  <c r="N1069" i="41" s="1"/>
  <c r="N765" i="41"/>
  <c r="N763" i="41"/>
  <c r="N743" i="41"/>
  <c r="N1067" i="41" s="1"/>
  <c r="N326" i="41"/>
  <c r="N531" i="41"/>
  <c r="N525" i="41"/>
  <c r="N522" i="41"/>
  <c r="N521" i="41"/>
  <c r="N520" i="41"/>
  <c r="N518" i="41"/>
  <c r="N512" i="41"/>
  <c r="N510" i="41"/>
  <c r="N509" i="41"/>
  <c r="N508" i="41"/>
  <c r="N503" i="41"/>
  <c r="N500" i="41"/>
  <c r="N499" i="41"/>
  <c r="N497" i="41"/>
  <c r="N496" i="41"/>
  <c r="N494" i="41"/>
  <c r="N490" i="41"/>
  <c r="N489" i="41"/>
  <c r="N488" i="41"/>
  <c r="N487" i="41"/>
  <c r="N486" i="41"/>
  <c r="N480" i="41"/>
  <c r="N475" i="41"/>
  <c r="N472" i="41"/>
  <c r="N459" i="41"/>
  <c r="N456" i="41"/>
  <c r="N454" i="41"/>
  <c r="N450" i="41"/>
  <c r="N448" i="41"/>
  <c r="N444" i="41"/>
  <c r="N439" i="41"/>
  <c r="N367" i="41"/>
  <c r="N354" i="41"/>
  <c r="N484" i="41"/>
  <c r="N473" i="41"/>
  <c r="N471" i="41"/>
  <c r="N469" i="41"/>
  <c r="N467" i="41"/>
  <c r="N465" i="41"/>
  <c r="N463" i="41"/>
  <c r="N461" i="41"/>
  <c r="N446" i="41"/>
  <c r="N445" i="41"/>
  <c r="N443" i="41"/>
  <c r="N441" i="41"/>
  <c r="N350" i="41"/>
  <c r="N437" i="41"/>
  <c r="N436" i="41"/>
  <c r="N435" i="41"/>
  <c r="N434" i="41"/>
  <c r="N428" i="41"/>
  <c r="N426" i="41"/>
  <c r="N425" i="41"/>
  <c r="N424" i="41"/>
  <c r="N423" i="41"/>
  <c r="N422" i="41"/>
  <c r="N421" i="41"/>
  <c r="N420" i="41"/>
  <c r="N419" i="41"/>
  <c r="N418" i="41"/>
  <c r="N417" i="41"/>
  <c r="N416" i="41"/>
  <c r="N415" i="41"/>
  <c r="N414" i="41"/>
  <c r="N413" i="41"/>
  <c r="N412" i="41"/>
  <c r="N410" i="41"/>
  <c r="N409" i="41"/>
  <c r="N408" i="41"/>
  <c r="N405" i="41"/>
  <c r="N404" i="41"/>
  <c r="N402" i="41"/>
  <c r="N401" i="41"/>
  <c r="N400" i="41"/>
  <c r="N399" i="41"/>
  <c r="N398" i="41"/>
  <c r="N397" i="41"/>
  <c r="N396" i="41"/>
  <c r="N395" i="41"/>
  <c r="N394" i="41"/>
  <c r="N348" i="41"/>
  <c r="N345" i="41"/>
  <c r="N389" i="41"/>
  <c r="N388" i="41"/>
  <c r="N387" i="41"/>
  <c r="N377" i="41"/>
  <c r="N372" i="41"/>
  <c r="N369" i="41"/>
  <c r="N366" i="41"/>
  <c r="N344" i="41"/>
  <c r="N336" i="41"/>
  <c r="N323" i="41"/>
  <c r="N320" i="41"/>
  <c r="N318" i="41"/>
  <c r="N316" i="41"/>
  <c r="N308" i="41"/>
  <c r="N307" i="41"/>
  <c r="N302" i="41"/>
  <c r="N300" i="41"/>
  <c r="N292" i="41"/>
  <c r="N281" i="41"/>
  <c r="N280" i="41"/>
  <c r="N279" i="41"/>
  <c r="N278" i="41"/>
  <c r="N277" i="41"/>
  <c r="N276" i="41"/>
  <c r="N275" i="41"/>
  <c r="N274" i="41"/>
  <c r="N273" i="41"/>
  <c r="N272" i="41"/>
  <c r="N271" i="41"/>
  <c r="N270" i="41"/>
  <c r="N264" i="41"/>
  <c r="N1063" i="41" s="1"/>
  <c r="N123" i="41"/>
  <c r="N119" i="41"/>
  <c r="N114" i="41"/>
  <c r="N111" i="41"/>
  <c r="N106" i="41"/>
  <c r="N105" i="41"/>
  <c r="N102" i="41"/>
  <c r="N101" i="41"/>
  <c r="N99" i="41"/>
  <c r="N98" i="41"/>
  <c r="N38" i="41"/>
  <c r="N31" i="41"/>
  <c r="N25" i="41"/>
  <c r="N23" i="41"/>
  <c r="N20" i="41"/>
  <c r="N97" i="41"/>
  <c r="N91" i="41"/>
  <c r="N90" i="41"/>
  <c r="N89" i="41"/>
  <c r="N88" i="41"/>
  <c r="N85" i="41"/>
  <c r="N83" i="41"/>
  <c r="N80" i="41"/>
  <c r="N79" i="41"/>
  <c r="N78" i="41"/>
  <c r="N77" i="41"/>
  <c r="N76" i="41"/>
  <c r="N72" i="41"/>
  <c r="N71" i="41"/>
  <c r="N69" i="41"/>
  <c r="N68" i="41"/>
  <c r="N67" i="41"/>
  <c r="N66" i="41"/>
  <c r="N65" i="41"/>
  <c r="N61" i="41"/>
  <c r="N59" i="41"/>
  <c r="N57" i="41"/>
  <c r="N56" i="41"/>
  <c r="N54" i="41"/>
  <c r="N52" i="41"/>
  <c r="N50" i="41"/>
  <c r="N48" i="41"/>
  <c r="N47" i="41"/>
  <c r="N46" i="41"/>
  <c r="N44" i="41"/>
  <c r="N36" i="41"/>
  <c r="N34" i="41"/>
  <c r="N32" i="41"/>
  <c r="N21" i="41"/>
  <c r="N900" i="41"/>
  <c r="N770" i="41"/>
  <c r="N1068" i="41" s="1"/>
  <c r="I269" i="7"/>
  <c r="N1056" i="42" l="1"/>
  <c r="N1075" i="42" s="1"/>
  <c r="M1077" i="42"/>
  <c r="M1078" i="42" s="1"/>
  <c r="M1079" i="42" s="1"/>
  <c r="L1077" i="42"/>
  <c r="L1078" i="42" s="1"/>
  <c r="L1079" i="42" s="1"/>
  <c r="N539" i="42"/>
  <c r="N1064" i="42" s="1"/>
  <c r="N1077" i="42" s="1"/>
  <c r="N1078" i="42" s="1"/>
  <c r="N1079" i="42" s="1"/>
  <c r="N1056" i="41"/>
  <c r="N1075" i="41" s="1"/>
  <c r="M1077" i="41"/>
  <c r="M1078" i="41" s="1"/>
  <c r="M1079" i="41" s="1"/>
  <c r="L1077" i="41"/>
  <c r="L1078" i="41" s="1"/>
  <c r="L1079" i="41" s="1"/>
  <c r="N466" i="41"/>
  <c r="N125" i="41"/>
  <c r="N1062" i="41" s="1"/>
  <c r="N909" i="41"/>
  <c r="N1071" i="41" s="1"/>
  <c r="N269" i="41"/>
  <c r="N539" i="41" s="1"/>
  <c r="N1064" i="41" s="1"/>
  <c r="N1077" i="41" l="1"/>
  <c r="N1078" i="41" s="1"/>
  <c r="N1079" i="41" s="1"/>
  <c r="G831" i="20"/>
  <c r="L128" i="7" l="1"/>
  <c r="I865" i="12"/>
  <c r="I873" i="12"/>
  <c r="I801" i="12"/>
  <c r="I792" i="12"/>
  <c r="I783" i="12"/>
  <c r="I774" i="12"/>
  <c r="I757" i="12"/>
  <c r="I765" i="12"/>
  <c r="I749" i="12"/>
  <c r="I741" i="12"/>
  <c r="I733" i="12"/>
  <c r="I723" i="12"/>
  <c r="I713" i="12"/>
  <c r="I703" i="12"/>
  <c r="A129" i="7" l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J795" i="13"/>
  <c r="J783" i="13"/>
  <c r="J784" i="13" s="1"/>
  <c r="J760" i="13"/>
  <c r="J759" i="13"/>
  <c r="K759" i="13" s="1"/>
  <c r="K760" i="13" l="1"/>
  <c r="J772" i="13"/>
  <c r="J771" i="13"/>
  <c r="J249" i="21" l="1"/>
  <c r="J1093" i="14" l="1"/>
  <c r="J660" i="13"/>
  <c r="J18" i="26"/>
  <c r="J155" i="22"/>
  <c r="J150" i="17"/>
  <c r="J1026" i="14"/>
  <c r="J912" i="14"/>
  <c r="J928" i="14" s="1"/>
  <c r="J896" i="14"/>
  <c r="J880" i="14"/>
  <c r="J864" i="14"/>
  <c r="J913" i="14"/>
  <c r="J881" i="14"/>
  <c r="J865" i="14"/>
  <c r="J1024" i="14"/>
  <c r="J897" i="14"/>
  <c r="J80" i="14"/>
  <c r="J76" i="16"/>
  <c r="J310" i="14"/>
  <c r="J221" i="14"/>
  <c r="J245" i="14"/>
  <c r="J260" i="14" s="1"/>
  <c r="J275" i="14" s="1"/>
  <c r="J290" i="14" s="1"/>
  <c r="J305" i="14" s="1"/>
  <c r="J190" i="14"/>
  <c r="J277" i="14"/>
  <c r="J12" i="21"/>
  <c r="J25" i="21" s="1"/>
  <c r="J38" i="21" s="1"/>
  <c r="J51" i="21" s="1"/>
  <c r="J64" i="21" s="1"/>
  <c r="J77" i="21" s="1"/>
  <c r="J90" i="21" s="1"/>
  <c r="J103" i="21" s="1"/>
  <c r="J116" i="21" s="1"/>
  <c r="J129" i="21" s="1"/>
  <c r="J142" i="21" s="1"/>
  <c r="J944" i="14"/>
  <c r="J945" i="14" s="1"/>
  <c r="J785" i="14"/>
  <c r="J801" i="14" s="1"/>
  <c r="J817" i="14" s="1"/>
  <c r="J833" i="14" s="1"/>
  <c r="J849" i="14" s="1"/>
  <c r="J784" i="14"/>
  <c r="J800" i="14" s="1"/>
  <c r="J816" i="14" s="1"/>
  <c r="J832" i="14" s="1"/>
  <c r="J848" i="14" s="1"/>
  <c r="J77" i="22"/>
  <c r="J86" i="22" s="1"/>
  <c r="J95" i="22" s="1"/>
  <c r="J104" i="22" s="1"/>
  <c r="J113" i="22" s="1"/>
  <c r="J122" i="22" s="1"/>
  <c r="J131" i="22" s="1"/>
  <c r="J140" i="22" s="1"/>
  <c r="J149" i="22" s="1"/>
  <c r="J128" i="12"/>
  <c r="J44" i="13"/>
  <c r="J129" i="14"/>
  <c r="J60" i="16"/>
  <c r="J201" i="12"/>
  <c r="J421" i="21"/>
  <c r="J460" i="21" s="1"/>
  <c r="J408" i="21"/>
  <c r="J447" i="21"/>
  <c r="J172" i="21"/>
  <c r="J186" i="21" s="1"/>
  <c r="J200" i="21" s="1"/>
  <c r="J214" i="21" s="1"/>
  <c r="J228" i="21" s="1"/>
  <c r="J242" i="21" s="1"/>
  <c r="J256" i="21" s="1"/>
  <c r="J270" i="21" s="1"/>
  <c r="J284" i="21" s="1"/>
  <c r="J298" i="21" s="1"/>
  <c r="J312" i="21" s="1"/>
  <c r="J326" i="21" s="1"/>
  <c r="J146" i="14"/>
  <c r="J160" i="14" s="1"/>
  <c r="J174" i="14" s="1"/>
  <c r="J188" i="14" s="1"/>
  <c r="J189" i="14"/>
  <c r="J276" i="14"/>
  <c r="J453" i="14"/>
  <c r="J313" i="12"/>
  <c r="J19" i="16"/>
  <c r="J29" i="16" s="1"/>
  <c r="J39" i="16" s="1"/>
  <c r="J397" i="21" l="1"/>
  <c r="J410" i="21" s="1"/>
  <c r="J155" i="21"/>
  <c r="J168" i="21" s="1"/>
  <c r="J1040" i="14"/>
  <c r="J1056" i="14" s="1"/>
  <c r="J1072" i="14" s="1"/>
  <c r="J1088" i="14" s="1"/>
  <c r="J1025" i="14"/>
  <c r="J1041" i="14" s="1"/>
  <c r="J1057" i="14" s="1"/>
  <c r="J1073" i="14" s="1"/>
  <c r="J1089" i="14" s="1"/>
  <c r="L900" i="7" l="1"/>
  <c r="L903" i="7" l="1"/>
  <c r="L1055" i="7" l="1"/>
  <c r="L1054" i="7"/>
  <c r="L1052" i="7"/>
  <c r="L1051" i="7"/>
  <c r="L1050" i="7"/>
  <c r="L1049" i="7"/>
  <c r="L1048" i="7"/>
  <c r="L1047" i="7"/>
  <c r="L1046" i="7"/>
  <c r="L1045" i="7"/>
  <c r="L1044" i="7"/>
  <c r="L1043" i="7"/>
  <c r="L1042" i="7"/>
  <c r="L902" i="7"/>
  <c r="L899" i="7"/>
  <c r="L765" i="7"/>
  <c r="L762" i="7"/>
  <c r="L1053" i="7" l="1"/>
  <c r="L898" i="7"/>
  <c r="L897" i="7"/>
  <c r="L761" i="7"/>
  <c r="L763" i="7"/>
  <c r="L493" i="7" l="1"/>
  <c r="L492" i="7"/>
  <c r="L490" i="7"/>
  <c r="L489" i="7"/>
  <c r="L487" i="7"/>
  <c r="L484" i="7"/>
  <c r="M483" i="7"/>
  <c r="L483" i="7"/>
  <c r="L504" i="7"/>
  <c r="L503" i="7"/>
  <c r="L500" i="7"/>
  <c r="L498" i="7"/>
  <c r="L497" i="7"/>
  <c r="L496" i="7"/>
  <c r="M494" i="7"/>
  <c r="L494" i="7"/>
  <c r="L515" i="7"/>
  <c r="L513" i="7"/>
  <c r="L510" i="7"/>
  <c r="L509" i="7"/>
  <c r="L508" i="7"/>
  <c r="L507" i="7"/>
  <c r="M505" i="7"/>
  <c r="L526" i="7"/>
  <c r="L524" i="7"/>
  <c r="L523" i="7"/>
  <c r="L522" i="7"/>
  <c r="L521" i="7"/>
  <c r="L520" i="7"/>
  <c r="L519" i="7"/>
  <c r="L517" i="7"/>
  <c r="M516" i="7"/>
  <c r="L536" i="7"/>
  <c r="L535" i="7"/>
  <c r="L534" i="7"/>
  <c r="L533" i="7"/>
  <c r="L532" i="7"/>
  <c r="L530" i="7"/>
  <c r="L528" i="7"/>
  <c r="M527" i="7"/>
  <c r="L527" i="7"/>
  <c r="L314" i="7"/>
  <c r="L312" i="7"/>
  <c r="L311" i="7"/>
  <c r="L309" i="7"/>
  <c r="L306" i="7"/>
  <c r="L305" i="7"/>
  <c r="L304" i="7"/>
  <c r="L303" i="7"/>
  <c r="L300" i="7"/>
  <c r="L298" i="7"/>
  <c r="L297" i="7"/>
  <c r="L296" i="7"/>
  <c r="L295" i="7"/>
  <c r="L294" i="7"/>
  <c r="L293" i="7"/>
  <c r="M291" i="7"/>
  <c r="L291" i="7"/>
  <c r="L336" i="7"/>
  <c r="L335" i="7"/>
  <c r="L334" i="7"/>
  <c r="L333" i="7"/>
  <c r="L330" i="7"/>
  <c r="L328" i="7"/>
  <c r="L327" i="7"/>
  <c r="L326" i="7"/>
  <c r="L325" i="7"/>
  <c r="L324" i="7"/>
  <c r="L323" i="7"/>
  <c r="L321" i="7"/>
  <c r="L318" i="7"/>
  <c r="L317" i="7"/>
  <c r="L316" i="7"/>
  <c r="M315" i="7"/>
  <c r="L315" i="7"/>
  <c r="L362" i="7"/>
  <c r="L360" i="7"/>
  <c r="L358" i="7"/>
  <c r="L357" i="7"/>
  <c r="L356" i="7"/>
  <c r="L354" i="7"/>
  <c r="L353" i="7"/>
  <c r="L351" i="7"/>
  <c r="L348" i="7"/>
  <c r="L347" i="7"/>
  <c r="L346" i="7"/>
  <c r="L345" i="7"/>
  <c r="L342" i="7"/>
  <c r="L340" i="7"/>
  <c r="M339" i="7"/>
  <c r="L339" i="7"/>
  <c r="L386" i="7"/>
  <c r="L385" i="7"/>
  <c r="L384" i="7"/>
  <c r="L383" i="7"/>
  <c r="L381" i="7"/>
  <c r="L378" i="7"/>
  <c r="L377" i="7"/>
  <c r="L376" i="7"/>
  <c r="L375" i="7"/>
  <c r="L372" i="7"/>
  <c r="L370" i="7"/>
  <c r="L369" i="7"/>
  <c r="L368" i="7"/>
  <c r="L367" i="7"/>
  <c r="L366" i="7"/>
  <c r="L365" i="7"/>
  <c r="M363" i="7"/>
  <c r="L363" i="7"/>
  <c r="L408" i="7"/>
  <c r="L407" i="7"/>
  <c r="L406" i="7"/>
  <c r="L405" i="7"/>
  <c r="L404" i="7"/>
  <c r="L402" i="7"/>
  <c r="L400" i="7"/>
  <c r="L399" i="7"/>
  <c r="L398" i="7"/>
  <c r="L396" i="7"/>
  <c r="L395" i="7"/>
  <c r="L393" i="7"/>
  <c r="L390" i="7"/>
  <c r="L389" i="7"/>
  <c r="L388" i="7"/>
  <c r="M387" i="7"/>
  <c r="L387" i="7"/>
  <c r="L432" i="7"/>
  <c r="L430" i="7"/>
  <c r="L429" i="7"/>
  <c r="L428" i="7"/>
  <c r="L427" i="7"/>
  <c r="L426" i="7"/>
  <c r="L425" i="7"/>
  <c r="L423" i="7"/>
  <c r="L420" i="7"/>
  <c r="L419" i="7"/>
  <c r="L418" i="7"/>
  <c r="L417" i="7"/>
  <c r="L412" i="7"/>
  <c r="M411" i="7"/>
  <c r="L411" i="7"/>
  <c r="L458" i="7"/>
  <c r="L455" i="7"/>
  <c r="L453" i="7"/>
  <c r="L452" i="7"/>
  <c r="L451" i="7"/>
  <c r="L450" i="7"/>
  <c r="L445" i="7"/>
  <c r="L443" i="7"/>
  <c r="L442" i="7"/>
  <c r="L440" i="7"/>
  <c r="L438" i="7"/>
  <c r="L435" i="7"/>
  <c r="M435" i="7"/>
  <c r="L482" i="7"/>
  <c r="L481" i="7"/>
  <c r="L480" i="7"/>
  <c r="L478" i="7"/>
  <c r="L477" i="7"/>
  <c r="L475" i="7"/>
  <c r="L473" i="7"/>
  <c r="L470" i="7"/>
  <c r="L468" i="7"/>
  <c r="L467" i="7"/>
  <c r="L465" i="7"/>
  <c r="L464" i="7"/>
  <c r="L463" i="7"/>
  <c r="L462" i="7"/>
  <c r="M459" i="7"/>
  <c r="L289" i="7"/>
  <c r="L287" i="7"/>
  <c r="L286" i="7"/>
  <c r="L284" i="7"/>
  <c r="L283" i="7"/>
  <c r="L281" i="7"/>
  <c r="L280" i="7"/>
  <c r="L278" i="7"/>
  <c r="L277" i="7"/>
  <c r="L275" i="7"/>
  <c r="L274" i="7"/>
  <c r="L272" i="7"/>
  <c r="L271" i="7"/>
  <c r="L269" i="7"/>
  <c r="L268" i="7"/>
  <c r="N411" i="7" l="1"/>
  <c r="N291" i="7"/>
  <c r="N494" i="7"/>
  <c r="N387" i="7"/>
  <c r="N527" i="7"/>
  <c r="N363" i="7"/>
  <c r="N435" i="7"/>
  <c r="N483" i="7"/>
  <c r="N315" i="7"/>
  <c r="N339" i="7"/>
  <c r="L288" i="7"/>
  <c r="L397" i="7"/>
  <c r="L355" i="7"/>
  <c r="L313" i="7"/>
  <c r="L502" i="7"/>
  <c r="L472" i="7"/>
  <c r="L437" i="7"/>
  <c r="L447" i="7"/>
  <c r="L416" i="7"/>
  <c r="L374" i="7"/>
  <c r="L332" i="7"/>
  <c r="L506" i="7"/>
  <c r="L457" i="7"/>
  <c r="L479" i="7"/>
  <c r="L431" i="7"/>
  <c r="L341" i="7"/>
  <c r="L299" i="7"/>
  <c r="L499" i="7"/>
  <c r="L491" i="7"/>
  <c r="L495" i="7"/>
  <c r="L469" i="7"/>
  <c r="L459" i="7"/>
  <c r="N459" i="7" s="1"/>
  <c r="L371" i="7"/>
  <c r="L329" i="7"/>
  <c r="L525" i="7"/>
  <c r="L413" i="7"/>
  <c r="L434" i="7"/>
  <c r="L344" i="7"/>
  <c r="L302" i="7"/>
  <c r="L401" i="7"/>
  <c r="L359" i="7"/>
  <c r="L529" i="7"/>
  <c r="L444" i="7"/>
  <c r="L270" i="7"/>
  <c r="L273" i="7"/>
  <c r="L276" i="7"/>
  <c r="L279" i="7"/>
  <c r="L282" i="7"/>
  <c r="L285" i="7"/>
  <c r="L466" i="7"/>
  <c r="L476" i="7"/>
  <c r="L441" i="7"/>
  <c r="L454" i="7"/>
  <c r="L424" i="7"/>
  <c r="L394" i="7"/>
  <c r="L364" i="7"/>
  <c r="L382" i="7"/>
  <c r="L352" i="7"/>
  <c r="L322" i="7"/>
  <c r="L292" i="7"/>
  <c r="L310" i="7"/>
  <c r="L518" i="7"/>
  <c r="L514" i="7"/>
  <c r="L488" i="7"/>
  <c r="L460" i="7"/>
  <c r="L448" i="7"/>
  <c r="L414" i="7"/>
  <c r="L421" i="7"/>
  <c r="L391" i="7"/>
  <c r="L409" i="7"/>
  <c r="L379" i="7"/>
  <c r="L349" i="7"/>
  <c r="L319" i="7"/>
  <c r="L337" i="7"/>
  <c r="L307" i="7"/>
  <c r="L537" i="7"/>
  <c r="L511" i="7"/>
  <c r="L485" i="7"/>
  <c r="L461" i="7"/>
  <c r="L474" i="7"/>
  <c r="L439" i="7"/>
  <c r="L449" i="7"/>
  <c r="L422" i="7"/>
  <c r="L392" i="7"/>
  <c r="L410" i="7"/>
  <c r="L380" i="7"/>
  <c r="L350" i="7"/>
  <c r="L320" i="7"/>
  <c r="L338" i="7"/>
  <c r="L308" i="7"/>
  <c r="L516" i="7"/>
  <c r="N516" i="7" s="1"/>
  <c r="L512" i="7"/>
  <c r="L486" i="7"/>
  <c r="L290" i="7"/>
  <c r="L471" i="7"/>
  <c r="L436" i="7"/>
  <c r="L446" i="7"/>
  <c r="L456" i="7"/>
  <c r="L415" i="7"/>
  <c r="L433" i="7"/>
  <c r="L403" i="7"/>
  <c r="L373" i="7"/>
  <c r="L343" i="7"/>
  <c r="L361" i="7"/>
  <c r="L331" i="7"/>
  <c r="L301" i="7"/>
  <c r="L531" i="7"/>
  <c r="L505" i="7"/>
  <c r="N505" i="7" s="1"/>
  <c r="L501" i="7"/>
  <c r="L538" i="7"/>
  <c r="L539" i="7" l="1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M305" i="7" l="1"/>
  <c r="N305" i="7" s="1"/>
  <c r="M268" i="7"/>
  <c r="M306" i="7"/>
  <c r="N306" i="7" s="1"/>
  <c r="M307" i="7"/>
  <c r="N307" i="7" s="1"/>
  <c r="M296" i="7"/>
  <c r="N296" i="7" s="1"/>
  <c r="M485" i="7"/>
  <c r="N485" i="7" s="1"/>
  <c r="M309" i="7"/>
  <c r="N309" i="7" s="1"/>
  <c r="M284" i="7"/>
  <c r="N284" i="7" s="1"/>
  <c r="M310" i="7"/>
  <c r="N310" i="7" s="1"/>
  <c r="M487" i="7"/>
  <c r="N487" i="7" s="1"/>
  <c r="M273" i="7"/>
  <c r="N273" i="7" s="1"/>
  <c r="M311" i="7"/>
  <c r="N311" i="7" s="1"/>
  <c r="M274" i="7"/>
  <c r="N274" i="7" s="1"/>
  <c r="M286" i="7"/>
  <c r="N286" i="7" s="1"/>
  <c r="M323" i="7"/>
  <c r="N323" i="7" s="1"/>
  <c r="M335" i="7"/>
  <c r="N335" i="7" s="1"/>
  <c r="M300" i="7"/>
  <c r="N300" i="7" s="1"/>
  <c r="M312" i="7"/>
  <c r="N312" i="7" s="1"/>
  <c r="M537" i="7"/>
  <c r="N537" i="7" s="1"/>
  <c r="M507" i="7"/>
  <c r="N507" i="7" s="1"/>
  <c r="M499" i="7"/>
  <c r="N499" i="7" s="1"/>
  <c r="M489" i="7"/>
  <c r="N489" i="7" s="1"/>
  <c r="M328" i="7"/>
  <c r="N328" i="7" s="1"/>
  <c r="M530" i="7"/>
  <c r="N530" i="7" s="1"/>
  <c r="M317" i="7"/>
  <c r="N317" i="7" s="1"/>
  <c r="M513" i="7"/>
  <c r="N513" i="7" s="1"/>
  <c r="M330" i="7"/>
  <c r="N330" i="7" s="1"/>
  <c r="M532" i="7"/>
  <c r="N532" i="7" s="1"/>
  <c r="M319" i="7"/>
  <c r="N319" i="7" s="1"/>
  <c r="M515" i="7"/>
  <c r="N515" i="7" s="1"/>
  <c r="M320" i="7"/>
  <c r="N320" i="7" s="1"/>
  <c r="M525" i="7"/>
  <c r="N525" i="7" s="1"/>
  <c r="M321" i="7"/>
  <c r="N321" i="7" s="1"/>
  <c r="M526" i="7"/>
  <c r="N526" i="7" s="1"/>
  <c r="M322" i="7"/>
  <c r="N322" i="7" s="1"/>
  <c r="M506" i="7"/>
  <c r="N506" i="7" s="1"/>
  <c r="M275" i="7"/>
  <c r="N275" i="7" s="1"/>
  <c r="M287" i="7"/>
  <c r="N287" i="7" s="1"/>
  <c r="M324" i="7"/>
  <c r="N324" i="7" s="1"/>
  <c r="M336" i="7"/>
  <c r="N336" i="7" s="1"/>
  <c r="M301" i="7"/>
  <c r="N301" i="7" s="1"/>
  <c r="M313" i="7"/>
  <c r="N313" i="7" s="1"/>
  <c r="M517" i="7"/>
  <c r="N517" i="7" s="1"/>
  <c r="M508" i="7"/>
  <c r="N508" i="7" s="1"/>
  <c r="M500" i="7"/>
  <c r="N500" i="7" s="1"/>
  <c r="M490" i="7"/>
  <c r="N490" i="7" s="1"/>
  <c r="M279" i="7"/>
  <c r="N279" i="7" s="1"/>
  <c r="M512" i="7"/>
  <c r="N512" i="7" s="1"/>
  <c r="M280" i="7"/>
  <c r="N280" i="7" s="1"/>
  <c r="M531" i="7"/>
  <c r="N531" i="7" s="1"/>
  <c r="M281" i="7"/>
  <c r="N281" i="7" s="1"/>
  <c r="M484" i="7"/>
  <c r="N484" i="7" s="1"/>
  <c r="M282" i="7"/>
  <c r="N282" i="7" s="1"/>
  <c r="M533" i="7"/>
  <c r="N533" i="7" s="1"/>
  <c r="M332" i="7"/>
  <c r="N332" i="7" s="1"/>
  <c r="M496" i="7"/>
  <c r="N496" i="7" s="1"/>
  <c r="M272" i="7"/>
  <c r="N272" i="7" s="1"/>
  <c r="M535" i="7"/>
  <c r="N535" i="7" s="1"/>
  <c r="M334" i="7"/>
  <c r="N334" i="7" s="1"/>
  <c r="M536" i="7"/>
  <c r="N536" i="7" s="1"/>
  <c r="M276" i="7"/>
  <c r="N276" i="7" s="1"/>
  <c r="M288" i="7"/>
  <c r="N288" i="7" s="1"/>
  <c r="M325" i="7"/>
  <c r="N325" i="7" s="1"/>
  <c r="M337" i="7"/>
  <c r="N337" i="7" s="1"/>
  <c r="M302" i="7"/>
  <c r="N302" i="7" s="1"/>
  <c r="M314" i="7"/>
  <c r="N314" i="7" s="1"/>
  <c r="M518" i="7"/>
  <c r="N518" i="7" s="1"/>
  <c r="M509" i="7"/>
  <c r="N509" i="7" s="1"/>
  <c r="M501" i="7"/>
  <c r="N501" i="7" s="1"/>
  <c r="M491" i="7"/>
  <c r="N491" i="7" s="1"/>
  <c r="M316" i="7"/>
  <c r="N316" i="7" s="1"/>
  <c r="M521" i="7"/>
  <c r="N521" i="7" s="1"/>
  <c r="M294" i="7"/>
  <c r="N294" i="7" s="1"/>
  <c r="M522" i="7"/>
  <c r="N522" i="7" s="1"/>
  <c r="M318" i="7"/>
  <c r="N318" i="7" s="1"/>
  <c r="M514" i="7"/>
  <c r="N514" i="7" s="1"/>
  <c r="M331" i="7"/>
  <c r="N331" i="7" s="1"/>
  <c r="M524" i="7"/>
  <c r="N524" i="7" s="1"/>
  <c r="M271" i="7"/>
  <c r="N271" i="7" s="1"/>
  <c r="M534" i="7"/>
  <c r="N534" i="7" s="1"/>
  <c r="M333" i="7"/>
  <c r="N333" i="7" s="1"/>
  <c r="M497" i="7"/>
  <c r="N497" i="7" s="1"/>
  <c r="M285" i="7"/>
  <c r="N285" i="7" s="1"/>
  <c r="M488" i="7"/>
  <c r="N488" i="7" s="1"/>
  <c r="M277" i="7"/>
  <c r="N277" i="7" s="1"/>
  <c r="M289" i="7"/>
  <c r="N289" i="7" s="1"/>
  <c r="M326" i="7"/>
  <c r="N326" i="7" s="1"/>
  <c r="M338" i="7"/>
  <c r="N338" i="7" s="1"/>
  <c r="M303" i="7"/>
  <c r="N303" i="7" s="1"/>
  <c r="M528" i="7"/>
  <c r="N528" i="7" s="1"/>
  <c r="M519" i="7"/>
  <c r="N519" i="7" s="1"/>
  <c r="M510" i="7"/>
  <c r="N510" i="7" s="1"/>
  <c r="M502" i="7"/>
  <c r="N502" i="7" s="1"/>
  <c r="M492" i="7"/>
  <c r="N492" i="7" s="1"/>
  <c r="M293" i="7"/>
  <c r="N293" i="7" s="1"/>
  <c r="M504" i="7"/>
  <c r="N504" i="7" s="1"/>
  <c r="M329" i="7"/>
  <c r="N329" i="7" s="1"/>
  <c r="M495" i="7"/>
  <c r="N495" i="7" s="1"/>
  <c r="M269" i="7"/>
  <c r="N269" i="7" s="1"/>
  <c r="M295" i="7"/>
  <c r="N295" i="7" s="1"/>
  <c r="M523" i="7"/>
  <c r="N523" i="7" s="1"/>
  <c r="M270" i="7"/>
  <c r="N270" i="7" s="1"/>
  <c r="M308" i="7"/>
  <c r="N308" i="7" s="1"/>
  <c r="M283" i="7"/>
  <c r="N283" i="7" s="1"/>
  <c r="M297" i="7"/>
  <c r="N297" i="7" s="1"/>
  <c r="M486" i="7"/>
  <c r="N486" i="7" s="1"/>
  <c r="M298" i="7"/>
  <c r="N298" i="7" s="1"/>
  <c r="M299" i="7"/>
  <c r="N299" i="7" s="1"/>
  <c r="M498" i="7"/>
  <c r="N498" i="7" s="1"/>
  <c r="M278" i="7"/>
  <c r="N278" i="7" s="1"/>
  <c r="M290" i="7"/>
  <c r="N290" i="7" s="1"/>
  <c r="M327" i="7"/>
  <c r="N327" i="7" s="1"/>
  <c r="M292" i="7"/>
  <c r="N292" i="7" s="1"/>
  <c r="M304" i="7"/>
  <c r="N304" i="7" s="1"/>
  <c r="M529" i="7"/>
  <c r="N529" i="7" s="1"/>
  <c r="M520" i="7"/>
  <c r="N520" i="7" s="1"/>
  <c r="M511" i="7"/>
  <c r="N511" i="7" s="1"/>
  <c r="M503" i="7"/>
  <c r="N503" i="7" s="1"/>
  <c r="M493" i="7"/>
  <c r="N493" i="7" s="1"/>
  <c r="M454" i="7"/>
  <c r="N454" i="7" s="1"/>
  <c r="M397" i="7"/>
  <c r="N397" i="7" s="1"/>
  <c r="M421" i="7"/>
  <c r="N421" i="7" s="1"/>
  <c r="M422" i="7"/>
  <c r="N422" i="7" s="1"/>
  <c r="M399" i="7"/>
  <c r="N399" i="7" s="1"/>
  <c r="M376" i="7"/>
  <c r="N376" i="7" s="1"/>
  <c r="M341" i="7"/>
  <c r="N341" i="7" s="1"/>
  <c r="M353" i="7"/>
  <c r="N353" i="7" s="1"/>
  <c r="M408" i="7"/>
  <c r="N408" i="7" s="1"/>
  <c r="M432" i="7"/>
  <c r="N432" i="7" s="1"/>
  <c r="M456" i="7"/>
  <c r="N456" i="7" s="1"/>
  <c r="M468" i="7"/>
  <c r="N468" i="7" s="1"/>
  <c r="M434" i="7"/>
  <c r="N434" i="7" s="1"/>
  <c r="M364" i="7"/>
  <c r="N364" i="7" s="1"/>
  <c r="M469" i="7"/>
  <c r="N469" i="7" s="1"/>
  <c r="M481" i="7"/>
  <c r="N481" i="7" s="1"/>
  <c r="M446" i="7"/>
  <c r="N446" i="7" s="1"/>
  <c r="M458" i="7"/>
  <c r="N458" i="7" s="1"/>
  <c r="M423" i="7"/>
  <c r="N423" i="7" s="1"/>
  <c r="M388" i="7"/>
  <c r="N388" i="7" s="1"/>
  <c r="M400" i="7"/>
  <c r="N400" i="7" s="1"/>
  <c r="M365" i="7"/>
  <c r="N365" i="7" s="1"/>
  <c r="M377" i="7"/>
  <c r="N377" i="7" s="1"/>
  <c r="M342" i="7"/>
  <c r="N342" i="7" s="1"/>
  <c r="M354" i="7"/>
  <c r="N354" i="7" s="1"/>
  <c r="M373" i="7"/>
  <c r="N373" i="7" s="1"/>
  <c r="M386" i="7"/>
  <c r="N386" i="7" s="1"/>
  <c r="M378" i="7"/>
  <c r="N378" i="7" s="1"/>
  <c r="M431" i="7"/>
  <c r="N431" i="7" s="1"/>
  <c r="M443" i="7"/>
  <c r="N443" i="7" s="1"/>
  <c r="M410" i="7"/>
  <c r="N410" i="7" s="1"/>
  <c r="M445" i="7"/>
  <c r="N445" i="7" s="1"/>
  <c r="M412" i="7"/>
  <c r="N412" i="7" s="1"/>
  <c r="M343" i="7"/>
  <c r="N343" i="7" s="1"/>
  <c r="M471" i="7"/>
  <c r="N471" i="7" s="1"/>
  <c r="M448" i="7"/>
  <c r="N448" i="7" s="1"/>
  <c r="M413" i="7"/>
  <c r="N413" i="7" s="1"/>
  <c r="M425" i="7"/>
  <c r="N425" i="7" s="1"/>
  <c r="M390" i="7"/>
  <c r="N390" i="7" s="1"/>
  <c r="M402" i="7"/>
  <c r="N402" i="7" s="1"/>
  <c r="M367" i="7"/>
  <c r="N367" i="7" s="1"/>
  <c r="M379" i="7"/>
  <c r="N379" i="7" s="1"/>
  <c r="M344" i="7"/>
  <c r="N344" i="7" s="1"/>
  <c r="M356" i="7"/>
  <c r="N356" i="7" s="1"/>
  <c r="M465" i="7"/>
  <c r="N465" i="7" s="1"/>
  <c r="M350" i="7"/>
  <c r="N350" i="7" s="1"/>
  <c r="M374" i="7"/>
  <c r="N374" i="7" s="1"/>
  <c r="M433" i="7"/>
  <c r="N433" i="7" s="1"/>
  <c r="M480" i="7"/>
  <c r="N480" i="7" s="1"/>
  <c r="M447" i="7"/>
  <c r="N447" i="7" s="1"/>
  <c r="M366" i="7"/>
  <c r="N366" i="7" s="1"/>
  <c r="M460" i="7"/>
  <c r="M414" i="7"/>
  <c r="N414" i="7" s="1"/>
  <c r="M426" i="7"/>
  <c r="N426" i="7" s="1"/>
  <c r="M391" i="7"/>
  <c r="N391" i="7" s="1"/>
  <c r="M403" i="7"/>
  <c r="N403" i="7" s="1"/>
  <c r="M368" i="7"/>
  <c r="N368" i="7" s="1"/>
  <c r="M380" i="7"/>
  <c r="N380" i="7" s="1"/>
  <c r="M345" i="7"/>
  <c r="N345" i="7" s="1"/>
  <c r="M357" i="7"/>
  <c r="N357" i="7" s="1"/>
  <c r="M477" i="7"/>
  <c r="N477" i="7" s="1"/>
  <c r="M396" i="7"/>
  <c r="N396" i="7" s="1"/>
  <c r="M362" i="7"/>
  <c r="N362" i="7" s="1"/>
  <c r="M466" i="7"/>
  <c r="N466" i="7" s="1"/>
  <c r="M420" i="7"/>
  <c r="N420" i="7" s="1"/>
  <c r="M351" i="7"/>
  <c r="N351" i="7" s="1"/>
  <c r="M479" i="7"/>
  <c r="N479" i="7" s="1"/>
  <c r="M398" i="7"/>
  <c r="N398" i="7" s="1"/>
  <c r="M352" i="7"/>
  <c r="N352" i="7" s="1"/>
  <c r="M470" i="7"/>
  <c r="N470" i="7" s="1"/>
  <c r="M424" i="7"/>
  <c r="N424" i="7" s="1"/>
  <c r="M355" i="7"/>
  <c r="N355" i="7" s="1"/>
  <c r="M436" i="7"/>
  <c r="N436" i="7" s="1"/>
  <c r="M472" i="7"/>
  <c r="N472" i="7" s="1"/>
  <c r="M437" i="7"/>
  <c r="N437" i="7" s="1"/>
  <c r="M449" i="7"/>
  <c r="N449" i="7" s="1"/>
  <c r="M461" i="7"/>
  <c r="N461" i="7" s="1"/>
  <c r="M473" i="7"/>
  <c r="N473" i="7" s="1"/>
  <c r="M438" i="7"/>
  <c r="N438" i="7" s="1"/>
  <c r="M450" i="7"/>
  <c r="N450" i="7" s="1"/>
  <c r="M415" i="7"/>
  <c r="N415" i="7" s="1"/>
  <c r="M427" i="7"/>
  <c r="N427" i="7" s="1"/>
  <c r="M392" i="7"/>
  <c r="N392" i="7" s="1"/>
  <c r="M404" i="7"/>
  <c r="N404" i="7" s="1"/>
  <c r="M369" i="7"/>
  <c r="N369" i="7" s="1"/>
  <c r="M381" i="7"/>
  <c r="N381" i="7" s="1"/>
  <c r="M346" i="7"/>
  <c r="N346" i="7" s="1"/>
  <c r="M358" i="7"/>
  <c r="N358" i="7" s="1"/>
  <c r="M419" i="7"/>
  <c r="N419" i="7" s="1"/>
  <c r="M455" i="7"/>
  <c r="N455" i="7" s="1"/>
  <c r="M467" i="7"/>
  <c r="N467" i="7" s="1"/>
  <c r="M340" i="7"/>
  <c r="N340" i="7" s="1"/>
  <c r="M482" i="7"/>
  <c r="N482" i="7" s="1"/>
  <c r="M401" i="7"/>
  <c r="N401" i="7" s="1"/>
  <c r="M462" i="7"/>
  <c r="N462" i="7" s="1"/>
  <c r="M474" i="7"/>
  <c r="N474" i="7" s="1"/>
  <c r="M439" i="7"/>
  <c r="N439" i="7" s="1"/>
  <c r="M451" i="7"/>
  <c r="N451" i="7" s="1"/>
  <c r="M416" i="7"/>
  <c r="N416" i="7" s="1"/>
  <c r="M428" i="7"/>
  <c r="N428" i="7" s="1"/>
  <c r="M393" i="7"/>
  <c r="N393" i="7" s="1"/>
  <c r="M405" i="7"/>
  <c r="N405" i="7" s="1"/>
  <c r="M370" i="7"/>
  <c r="N370" i="7" s="1"/>
  <c r="M382" i="7"/>
  <c r="N382" i="7" s="1"/>
  <c r="M347" i="7"/>
  <c r="N347" i="7" s="1"/>
  <c r="M359" i="7"/>
  <c r="N359" i="7" s="1"/>
  <c r="M385" i="7"/>
  <c r="N385" i="7" s="1"/>
  <c r="M409" i="7"/>
  <c r="N409" i="7" s="1"/>
  <c r="M375" i="7"/>
  <c r="N375" i="7" s="1"/>
  <c r="M457" i="7"/>
  <c r="N457" i="7" s="1"/>
  <c r="M389" i="7"/>
  <c r="N389" i="7" s="1"/>
  <c r="M463" i="7"/>
  <c r="N463" i="7" s="1"/>
  <c r="M475" i="7"/>
  <c r="N475" i="7" s="1"/>
  <c r="M440" i="7"/>
  <c r="N440" i="7" s="1"/>
  <c r="M452" i="7"/>
  <c r="N452" i="7" s="1"/>
  <c r="M417" i="7"/>
  <c r="N417" i="7" s="1"/>
  <c r="M429" i="7"/>
  <c r="N429" i="7" s="1"/>
  <c r="M394" i="7"/>
  <c r="N394" i="7" s="1"/>
  <c r="M406" i="7"/>
  <c r="N406" i="7" s="1"/>
  <c r="M371" i="7"/>
  <c r="N371" i="7" s="1"/>
  <c r="M383" i="7"/>
  <c r="N383" i="7" s="1"/>
  <c r="M348" i="7"/>
  <c r="N348" i="7" s="1"/>
  <c r="M360" i="7"/>
  <c r="N360" i="7" s="1"/>
  <c r="M442" i="7"/>
  <c r="N442" i="7" s="1"/>
  <c r="M478" i="7"/>
  <c r="N478" i="7" s="1"/>
  <c r="M444" i="7"/>
  <c r="N444" i="7" s="1"/>
  <c r="M464" i="7"/>
  <c r="N464" i="7" s="1"/>
  <c r="M476" i="7"/>
  <c r="N476" i="7" s="1"/>
  <c r="M441" i="7"/>
  <c r="N441" i="7" s="1"/>
  <c r="M453" i="7"/>
  <c r="N453" i="7" s="1"/>
  <c r="M418" i="7"/>
  <c r="N418" i="7" s="1"/>
  <c r="M430" i="7"/>
  <c r="N430" i="7" s="1"/>
  <c r="M395" i="7"/>
  <c r="N395" i="7" s="1"/>
  <c r="M407" i="7"/>
  <c r="N407" i="7" s="1"/>
  <c r="M372" i="7"/>
  <c r="N372" i="7" s="1"/>
  <c r="M384" i="7"/>
  <c r="N384" i="7" s="1"/>
  <c r="M349" i="7"/>
  <c r="N349" i="7" s="1"/>
  <c r="M361" i="7"/>
  <c r="N361" i="7" s="1"/>
  <c r="I28" i="26"/>
  <c r="I11" i="26"/>
  <c r="I20" i="26" s="1"/>
  <c r="I29" i="26" s="1"/>
  <c r="I106" i="24"/>
  <c r="I115" i="24" s="1"/>
  <c r="I124" i="24" s="1"/>
  <c r="I133" i="24" s="1"/>
  <c r="I142" i="24" s="1"/>
  <c r="I151" i="24" s="1"/>
  <c r="I156" i="24" s="1"/>
  <c r="I161" i="24" s="1"/>
  <c r="N268" i="7" l="1"/>
  <c r="J8" i="24"/>
  <c r="K8" i="24" s="1"/>
  <c r="J38" i="24" s="1"/>
  <c r="J7" i="24"/>
  <c r="J8" i="26"/>
  <c r="N460" i="7"/>
  <c r="K7" i="24" l="1"/>
  <c r="I19" i="24"/>
  <c r="I23" i="24" s="1"/>
  <c r="I27" i="24" s="1"/>
  <c r="I31" i="24" s="1"/>
  <c r="I35" i="24" s="1"/>
  <c r="I39" i="24" s="1"/>
  <c r="I43" i="24" s="1"/>
  <c r="I15" i="24"/>
  <c r="L1064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J14" i="24" l="1"/>
  <c r="J18" i="24" s="1"/>
  <c r="J22" i="24" s="1"/>
  <c r="J26" i="24" s="1"/>
  <c r="J30" i="24" s="1"/>
  <c r="L125" i="7"/>
  <c r="L1062" i="7" l="1"/>
  <c r="I13" i="39" s="1"/>
  <c r="I19" i="39" s="1"/>
  <c r="J34" i="24"/>
  <c r="J42" i="24"/>
  <c r="J46" i="24" s="1"/>
  <c r="J50" i="24" s="1"/>
  <c r="J54" i="24" s="1"/>
  <c r="J58" i="24" s="1"/>
  <c r="K18" i="24"/>
  <c r="K14" i="24"/>
  <c r="K15" i="24" s="1"/>
  <c r="K16" i="24" s="1"/>
  <c r="K17" i="24" s="1"/>
  <c r="I20" i="39" l="1"/>
  <c r="I21" i="39" s="1"/>
  <c r="K34" i="24"/>
  <c r="K35" i="24" s="1"/>
  <c r="K36" i="24" s="1"/>
  <c r="K37" i="24" s="1"/>
  <c r="K26" i="24"/>
  <c r="K27" i="24" s="1"/>
  <c r="K28" i="24" s="1"/>
  <c r="K30" i="24"/>
  <c r="J1008" i="7"/>
  <c r="K22" i="24"/>
  <c r="K19" i="24"/>
  <c r="K20" i="24" s="1"/>
  <c r="K21" i="24" s="1"/>
  <c r="J1009" i="7" s="1"/>
  <c r="L1009" i="7" l="1"/>
  <c r="L1008" i="7"/>
  <c r="K29" i="24"/>
  <c r="J1011" i="7" s="1"/>
  <c r="I47" i="24"/>
  <c r="I51" i="24" s="1"/>
  <c r="I55" i="24" s="1"/>
  <c r="I59" i="24" s="1"/>
  <c r="I63" i="24" s="1"/>
  <c r="I67" i="24" s="1"/>
  <c r="J1013" i="7"/>
  <c r="K50" i="24"/>
  <c r="K42" i="24"/>
  <c r="K46" i="24"/>
  <c r="K54" i="24"/>
  <c r="K38" i="24"/>
  <c r="K31" i="24"/>
  <c r="K32" i="24" s="1"/>
  <c r="K33" i="24" s="1"/>
  <c r="J1012" i="7" s="1"/>
  <c r="K23" i="24"/>
  <c r="K24" i="24" s="1"/>
  <c r="K25" i="24" s="1"/>
  <c r="J1010" i="7" s="1"/>
  <c r="L1013" i="7" l="1"/>
  <c r="L1011" i="7"/>
  <c r="L1010" i="7"/>
  <c r="L1012" i="7"/>
  <c r="K55" i="24"/>
  <c r="K56" i="24" s="1"/>
  <c r="K57" i="24" s="1"/>
  <c r="J1018" i="7" s="1"/>
  <c r="K39" i="24"/>
  <c r="K40" i="24" s="1"/>
  <c r="K41" i="24" s="1"/>
  <c r="K47" i="24"/>
  <c r="K48" i="24" s="1"/>
  <c r="K49" i="24" s="1"/>
  <c r="K43" i="24"/>
  <c r="K44" i="24" s="1"/>
  <c r="K45" i="24" s="1"/>
  <c r="K51" i="24"/>
  <c r="K52" i="24" s="1"/>
  <c r="L1018" i="7" l="1"/>
  <c r="K53" i="24"/>
  <c r="J1017" i="7" s="1"/>
  <c r="I71" i="24"/>
  <c r="I75" i="24" s="1"/>
  <c r="I79" i="24" s="1"/>
  <c r="I83" i="24" s="1"/>
  <c r="I87" i="24" s="1"/>
  <c r="J1015" i="7"/>
  <c r="J1016" i="7"/>
  <c r="K58" i="24"/>
  <c r="K59" i="24" s="1"/>
  <c r="K60" i="24" s="1"/>
  <c r="K61" i="24" s="1"/>
  <c r="J1014" i="7"/>
  <c r="L1014" i="7" l="1"/>
  <c r="L1016" i="7"/>
  <c r="L1015" i="7"/>
  <c r="L1017" i="7"/>
  <c r="I91" i="24"/>
  <c r="J1019" i="7"/>
  <c r="L1019" i="7" l="1"/>
  <c r="A1009" i="7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J1004" i="7"/>
  <c r="A987" i="7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I15" i="22"/>
  <c r="A913" i="7"/>
  <c r="A914" i="7" s="1"/>
  <c r="A915" i="7" s="1"/>
  <c r="A916" i="7" s="1"/>
  <c r="A917" i="7" s="1"/>
  <c r="I26" i="22"/>
  <c r="I37" i="22" s="1"/>
  <c r="I59" i="22" s="1"/>
  <c r="A898" i="7"/>
  <c r="A899" i="7" s="1"/>
  <c r="I1100" i="14"/>
  <c r="J992" i="7" l="1"/>
  <c r="J994" i="7"/>
  <c r="L994" i="7" s="1"/>
  <c r="J1001" i="7"/>
  <c r="K150" i="17"/>
  <c r="J998" i="7"/>
  <c r="L998" i="7" s="1"/>
  <c r="J991" i="7"/>
  <c r="J10" i="24"/>
  <c r="K10" i="24" s="1"/>
  <c r="J26" i="26"/>
  <c r="K26" i="26" s="1"/>
  <c r="J999" i="7"/>
  <c r="L999" i="7" s="1"/>
  <c r="J11" i="24"/>
  <c r="K11" i="24" s="1"/>
  <c r="J990" i="7"/>
  <c r="J986" i="7"/>
  <c r="J995" i="7"/>
  <c r="J988" i="7"/>
  <c r="L988" i="7" s="1"/>
  <c r="J1002" i="7"/>
  <c r="L1002" i="7" s="1"/>
  <c r="J1000" i="7"/>
  <c r="L1000" i="7" s="1"/>
  <c r="J997" i="7"/>
  <c r="J987" i="7"/>
  <c r="J996" i="7"/>
  <c r="L996" i="7" s="1"/>
  <c r="J993" i="7"/>
  <c r="J989" i="7"/>
  <c r="J1003" i="7"/>
  <c r="L1003" i="7" s="1"/>
  <c r="A1037" i="7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900" i="7"/>
  <c r="A901" i="7" s="1"/>
  <c r="A902" i="7" s="1"/>
  <c r="L1004" i="7"/>
  <c r="I48" i="22"/>
  <c r="A918" i="7"/>
  <c r="A919" i="7" s="1"/>
  <c r="L259" i="7" l="1"/>
  <c r="L257" i="7"/>
  <c r="L254" i="7"/>
  <c r="L258" i="7"/>
  <c r="L260" i="7"/>
  <c r="L256" i="7"/>
  <c r="L261" i="7"/>
  <c r="L991" i="7"/>
  <c r="L997" i="7"/>
  <c r="L992" i="7"/>
  <c r="L993" i="7"/>
  <c r="J24" i="26"/>
  <c r="K24" i="26" s="1"/>
  <c r="L986" i="7"/>
  <c r="L995" i="7"/>
  <c r="L262" i="7"/>
  <c r="K18" i="26"/>
  <c r="L990" i="7"/>
  <c r="L255" i="7"/>
  <c r="J25" i="26"/>
  <c r="K25" i="26" s="1"/>
  <c r="J1104" i="14"/>
  <c r="J901" i="7"/>
  <c r="L989" i="7"/>
  <c r="L987" i="7"/>
  <c r="J76" i="22"/>
  <c r="K76" i="22" s="1"/>
  <c r="J12" i="24"/>
  <c r="K12" i="24" s="1"/>
  <c r="K13" i="24" s="1"/>
  <c r="J62" i="24" s="1"/>
  <c r="K62" i="24" s="1"/>
  <c r="K63" i="24" s="1"/>
  <c r="K64" i="24" s="1"/>
  <c r="K65" i="24" s="1"/>
  <c r="L1001" i="7"/>
  <c r="A903" i="7"/>
  <c r="A904" i="7" s="1"/>
  <c r="A905" i="7" s="1"/>
  <c r="A906" i="7" s="1"/>
  <c r="A907" i="7" s="1"/>
  <c r="A908" i="7" s="1"/>
  <c r="A920" i="7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I70" i="22"/>
  <c r="J85" i="22" l="1"/>
  <c r="J94" i="22" s="1"/>
  <c r="J103" i="22" s="1"/>
  <c r="J139" i="22" s="1"/>
  <c r="L252" i="7"/>
  <c r="L1005" i="7"/>
  <c r="L901" i="7"/>
  <c r="K27" i="26"/>
  <c r="J28" i="26" s="1"/>
  <c r="K28" i="26" s="1"/>
  <c r="K29" i="26" s="1"/>
  <c r="K30" i="26" s="1"/>
  <c r="K31" i="26" s="1"/>
  <c r="J908" i="7" s="1"/>
  <c r="J66" i="24"/>
  <c r="J70" i="24" s="1"/>
  <c r="L253" i="7"/>
  <c r="J1020" i="7"/>
  <c r="J1026" i="7"/>
  <c r="I106" i="22"/>
  <c r="I79" i="22"/>
  <c r="K94" i="22" l="1"/>
  <c r="J112" i="22"/>
  <c r="K112" i="22" s="1"/>
  <c r="K103" i="22"/>
  <c r="K85" i="22"/>
  <c r="L908" i="7"/>
  <c r="K66" i="24"/>
  <c r="L1020" i="7"/>
  <c r="L1026" i="7"/>
  <c r="J74" i="24"/>
  <c r="K70" i="24"/>
  <c r="K71" i="24" s="1"/>
  <c r="K72" i="24" s="1"/>
  <c r="K73" i="24" s="1"/>
  <c r="J148" i="22"/>
  <c r="K139" i="22"/>
  <c r="I142" i="22"/>
  <c r="I151" i="22" s="1"/>
  <c r="I158" i="22" s="1"/>
  <c r="I124" i="22"/>
  <c r="I88" i="22"/>
  <c r="J121" i="22" l="1"/>
  <c r="J130" i="22" s="1"/>
  <c r="K130" i="22" s="1"/>
  <c r="K67" i="24"/>
  <c r="K68" i="24" s="1"/>
  <c r="K69" i="24" s="1"/>
  <c r="J1027" i="7" s="1"/>
  <c r="J1022" i="7"/>
  <c r="J1028" i="7"/>
  <c r="J78" i="24"/>
  <c r="K74" i="24"/>
  <c r="K75" i="24" s="1"/>
  <c r="K76" i="24" s="1"/>
  <c r="K77" i="24" s="1"/>
  <c r="K148" i="22"/>
  <c r="I97" i="22"/>
  <c r="K121" i="22" l="1"/>
  <c r="L1027" i="7"/>
  <c r="J1021" i="7"/>
  <c r="L1022" i="7"/>
  <c r="J1023" i="7"/>
  <c r="J1029" i="7"/>
  <c r="L1028" i="7"/>
  <c r="J82" i="24"/>
  <c r="K78" i="24"/>
  <c r="K79" i="24" s="1"/>
  <c r="K80" i="24" s="1"/>
  <c r="K81" i="24" s="1"/>
  <c r="I115" i="22"/>
  <c r="L1021" i="7" l="1"/>
  <c r="J1024" i="7"/>
  <c r="J1030" i="7"/>
  <c r="L1023" i="7"/>
  <c r="L1029" i="7"/>
  <c r="J86" i="24"/>
  <c r="K82" i="24"/>
  <c r="K83" i="24" s="1"/>
  <c r="K84" i="24" s="1"/>
  <c r="K85" i="24" s="1"/>
  <c r="I133" i="22"/>
  <c r="J1025" i="7" l="1"/>
  <c r="J1031" i="7"/>
  <c r="L1024" i="7"/>
  <c r="L1030" i="7"/>
  <c r="J90" i="24"/>
  <c r="K90" i="24" s="1"/>
  <c r="K91" i="24" s="1"/>
  <c r="K92" i="24" s="1"/>
  <c r="K93" i="24" s="1"/>
  <c r="J1033" i="7" s="1"/>
  <c r="K86" i="24"/>
  <c r="K87" i="24" s="1"/>
  <c r="K88" i="24" s="1"/>
  <c r="K89" i="24" s="1"/>
  <c r="J1032" i="7" s="1"/>
  <c r="L1025" i="7" l="1"/>
  <c r="L1031" i="7"/>
  <c r="L1032" i="7"/>
  <c r="L1033" i="7"/>
  <c r="I152" i="17"/>
  <c r="I143" i="17"/>
  <c r="J830" i="12"/>
  <c r="J838" i="12" s="1"/>
  <c r="J846" i="12" s="1"/>
  <c r="J854" i="12" s="1"/>
  <c r="J95" i="24"/>
  <c r="K95" i="24" s="1"/>
  <c r="J96" i="24"/>
  <c r="J97" i="24"/>
  <c r="K97" i="24" s="1"/>
  <c r="J98" i="24"/>
  <c r="K98" i="24" s="1"/>
  <c r="L263" i="7" l="1"/>
  <c r="J141" i="17"/>
  <c r="K141" i="17" s="1"/>
  <c r="J9" i="26"/>
  <c r="L764" i="7"/>
  <c r="J905" i="7"/>
  <c r="J906" i="7"/>
  <c r="K96" i="24"/>
  <c r="K99" i="24" s="1"/>
  <c r="J148" i="17"/>
  <c r="K148" i="17" s="1"/>
  <c r="J147" i="17"/>
  <c r="J149" i="17"/>
  <c r="K149" i="17" s="1"/>
  <c r="J771" i="12"/>
  <c r="J780" i="12" s="1"/>
  <c r="J789" i="12" s="1"/>
  <c r="J798" i="12" s="1"/>
  <c r="K771" i="12" l="1"/>
  <c r="L768" i="7"/>
  <c r="L905" i="7"/>
  <c r="L767" i="7"/>
  <c r="L906" i="7"/>
  <c r="J121" i="24"/>
  <c r="J130" i="24" s="1"/>
  <c r="J139" i="24" s="1"/>
  <c r="J122" i="24"/>
  <c r="J131" i="24" s="1"/>
  <c r="J140" i="24" s="1"/>
  <c r="J120" i="24"/>
  <c r="J129" i="24" s="1"/>
  <c r="J138" i="24" s="1"/>
  <c r="J113" i="24"/>
  <c r="J111" i="24"/>
  <c r="J112" i="24"/>
  <c r="J104" i="24"/>
  <c r="K104" i="24" s="1"/>
  <c r="J102" i="24"/>
  <c r="K102" i="24" s="1"/>
  <c r="J103" i="24"/>
  <c r="K103" i="24" s="1"/>
  <c r="L247" i="7" l="1"/>
  <c r="K140" i="24"/>
  <c r="J149" i="24"/>
  <c r="K138" i="24"/>
  <c r="J147" i="24"/>
  <c r="K147" i="24" s="1"/>
  <c r="K139" i="24"/>
  <c r="J148" i="24"/>
  <c r="K105" i="24"/>
  <c r="K780" i="12"/>
  <c r="K789" i="12"/>
  <c r="K798" i="12"/>
  <c r="K141" i="24" l="1"/>
  <c r="K142" i="24" s="1"/>
  <c r="K143" i="24" s="1"/>
  <c r="K144" i="24" s="1"/>
  <c r="J1038" i="7" s="1"/>
  <c r="K148" i="24"/>
  <c r="J155" i="24"/>
  <c r="K155" i="24" s="1"/>
  <c r="K149" i="24"/>
  <c r="J160" i="24"/>
  <c r="K160" i="24" s="1"/>
  <c r="K106" i="24"/>
  <c r="K107" i="24" s="1"/>
  <c r="K108" i="24" s="1"/>
  <c r="L1038" i="7" l="1"/>
  <c r="K150" i="24"/>
  <c r="K151" i="24" s="1"/>
  <c r="K152" i="24" s="1"/>
  <c r="K161" i="24"/>
  <c r="K162" i="24" s="1"/>
  <c r="K163" i="24" s="1"/>
  <c r="K156" i="24"/>
  <c r="K157" i="24" s="1"/>
  <c r="K131" i="24"/>
  <c r="K129" i="24"/>
  <c r="K130" i="24"/>
  <c r="K120" i="24"/>
  <c r="K122" i="24"/>
  <c r="K121" i="24"/>
  <c r="K113" i="24"/>
  <c r="J1034" i="7"/>
  <c r="K112" i="24"/>
  <c r="K111" i="24"/>
  <c r="J1041" i="7" l="1"/>
  <c r="L1041" i="7" s="1"/>
  <c r="L1034" i="7"/>
  <c r="K114" i="24"/>
  <c r="K115" i="24" s="1"/>
  <c r="K116" i="24" s="1"/>
  <c r="K117" i="24" s="1"/>
  <c r="J1035" i="7" s="1"/>
  <c r="K153" i="24"/>
  <c r="J1039" i="7" s="1"/>
  <c r="K132" i="24"/>
  <c r="K123" i="24"/>
  <c r="L1039" i="7" l="1"/>
  <c r="L1035" i="7"/>
  <c r="K158" i="24"/>
  <c r="J1040" i="7" s="1"/>
  <c r="K133" i="24"/>
  <c r="K134" i="24" s="1"/>
  <c r="K135" i="24" s="1"/>
  <c r="J1037" i="7" s="1"/>
  <c r="K124" i="24"/>
  <c r="K125" i="24" s="1"/>
  <c r="K126" i="24" s="1"/>
  <c r="J1036" i="7" s="1"/>
  <c r="L1036" i="7" l="1"/>
  <c r="L1037" i="7"/>
  <c r="L1040" i="7"/>
  <c r="L1056" i="7" l="1"/>
  <c r="I17" i="21"/>
  <c r="I30" i="21" s="1"/>
  <c r="I43" i="21" s="1"/>
  <c r="I56" i="21" s="1"/>
  <c r="I69" i="21" s="1"/>
  <c r="I82" i="21" s="1"/>
  <c r="I95" i="21" s="1"/>
  <c r="I108" i="21" s="1"/>
  <c r="I121" i="21" s="1"/>
  <c r="I134" i="21" s="1"/>
  <c r="I147" i="21" s="1"/>
  <c r="I160" i="21" s="1"/>
  <c r="I336" i="21" s="1"/>
  <c r="I328" i="21"/>
  <c r="I314" i="21"/>
  <c r="I300" i="21"/>
  <c r="I293" i="21"/>
  <c r="I286" i="21"/>
  <c r="I279" i="21"/>
  <c r="I272" i="21"/>
  <c r="I265" i="21"/>
  <c r="I258" i="21"/>
  <c r="I251" i="21"/>
  <c r="I244" i="21"/>
  <c r="I230" i="21"/>
  <c r="I216" i="21"/>
  <c r="I209" i="21"/>
  <c r="I202" i="21"/>
  <c r="I195" i="21"/>
  <c r="I188" i="21"/>
  <c r="I181" i="21"/>
  <c r="I174" i="21"/>
  <c r="I167" i="21"/>
  <c r="I379" i="21" l="1"/>
  <c r="I389" i="21" s="1"/>
  <c r="I402" i="21" s="1"/>
  <c r="I415" i="21" s="1"/>
  <c r="I428" i="21" s="1"/>
  <c r="I441" i="21" s="1"/>
  <c r="I454" i="21" s="1"/>
  <c r="I467" i="21" s="1"/>
  <c r="I347" i="21"/>
  <c r="I358" i="21" s="1"/>
  <c r="I369" i="21" s="1"/>
  <c r="I318" i="12"/>
  <c r="J140" i="17"/>
  <c r="J408" i="14"/>
  <c r="J426" i="14" s="1"/>
  <c r="J444" i="14" s="1"/>
  <c r="J462" i="14" s="1"/>
  <c r="J480" i="14" s="1"/>
  <c r="J498" i="14" s="1"/>
  <c r="J61" i="16"/>
  <c r="J893" i="7"/>
  <c r="J49" i="16"/>
  <c r="K8" i="26"/>
  <c r="L164" i="7" l="1"/>
  <c r="J10" i="13"/>
  <c r="J528" i="13"/>
  <c r="J9" i="22"/>
  <c r="J343" i="21"/>
  <c r="J354" i="21" s="1"/>
  <c r="J365" i="21" s="1"/>
  <c r="K365" i="21" s="1"/>
  <c r="J342" i="21"/>
  <c r="J353" i="21" s="1"/>
  <c r="J364" i="21" s="1"/>
  <c r="K364" i="21" s="1"/>
  <c r="J132" i="13"/>
  <c r="J341" i="21"/>
  <c r="J352" i="21" s="1"/>
  <c r="J363" i="21" s="1"/>
  <c r="K363" i="21" s="1"/>
  <c r="J133" i="12"/>
  <c r="L893" i="7"/>
  <c r="K830" i="12"/>
  <c r="K147" i="17"/>
  <c r="K151" i="17" s="1"/>
  <c r="K9" i="26"/>
  <c r="K10" i="26" s="1"/>
  <c r="K11" i="26" s="1"/>
  <c r="K12" i="26" s="1"/>
  <c r="K13" i="26" s="1"/>
  <c r="J904" i="7" s="1"/>
  <c r="K12" i="21"/>
  <c r="J458" i="13"/>
  <c r="J42" i="13"/>
  <c r="J457" i="13"/>
  <c r="J41" i="13"/>
  <c r="L146" i="7" l="1"/>
  <c r="L177" i="7"/>
  <c r="L137" i="7"/>
  <c r="L163" i="7"/>
  <c r="L147" i="7"/>
  <c r="L191" i="7"/>
  <c r="L162" i="7"/>
  <c r="L136" i="7"/>
  <c r="L144" i="7"/>
  <c r="L190" i="7"/>
  <c r="L145" i="7"/>
  <c r="J169" i="21"/>
  <c r="J183" i="21" s="1"/>
  <c r="J11" i="22"/>
  <c r="K11" i="22" s="1"/>
  <c r="J20" i="22"/>
  <c r="K20" i="22" s="1"/>
  <c r="J13" i="21"/>
  <c r="J91" i="21" s="1"/>
  <c r="L139" i="7"/>
  <c r="J88" i="13"/>
  <c r="K341" i="21"/>
  <c r="L176" i="7"/>
  <c r="J596" i="13"/>
  <c r="J21" i="22"/>
  <c r="J32" i="22" s="1"/>
  <c r="J167" i="21"/>
  <c r="K167" i="21" s="1"/>
  <c r="J10" i="22"/>
  <c r="J43" i="22" s="1"/>
  <c r="K43" i="22" s="1"/>
  <c r="J1105" i="14"/>
  <c r="J11" i="21"/>
  <c r="J89" i="21" s="1"/>
  <c r="K353" i="21"/>
  <c r="L251" i="7"/>
  <c r="J10" i="16"/>
  <c r="L175" i="7"/>
  <c r="J11" i="16"/>
  <c r="J13" i="22"/>
  <c r="J46" i="22" s="1"/>
  <c r="K46" i="22" s="1"/>
  <c r="J23" i="22"/>
  <c r="J56" i="22" s="1"/>
  <c r="K56" i="22" s="1"/>
  <c r="J12" i="22"/>
  <c r="J45" i="22" s="1"/>
  <c r="K45" i="22" s="1"/>
  <c r="J52" i="16"/>
  <c r="J53" i="16"/>
  <c r="K342" i="21"/>
  <c r="J22" i="22"/>
  <c r="K22" i="22" s="1"/>
  <c r="J12" i="16"/>
  <c r="J14" i="21"/>
  <c r="K14" i="21" s="1"/>
  <c r="J170" i="21"/>
  <c r="J184" i="21" s="1"/>
  <c r="J24" i="22"/>
  <c r="K24" i="22" s="1"/>
  <c r="K354" i="21"/>
  <c r="J148" i="12"/>
  <c r="J193" i="12"/>
  <c r="J582" i="12" s="1"/>
  <c r="L904" i="7"/>
  <c r="L168" i="7"/>
  <c r="L166" i="7"/>
  <c r="L160" i="7"/>
  <c r="L143" i="7"/>
  <c r="L165" i="7"/>
  <c r="L167" i="7"/>
  <c r="L159" i="7"/>
  <c r="L174" i="7"/>
  <c r="K352" i="21"/>
  <c r="J42" i="22"/>
  <c r="K42" i="22" s="1"/>
  <c r="K9" i="22"/>
  <c r="K838" i="12"/>
  <c r="K152" i="17"/>
  <c r="K153" i="17" s="1"/>
  <c r="K154" i="17" s="1"/>
  <c r="J769" i="7" s="1"/>
  <c r="J68" i="16"/>
  <c r="J345" i="21"/>
  <c r="K172" i="21"/>
  <c r="J15" i="21"/>
  <c r="K169" i="21" l="1"/>
  <c r="J253" i="21"/>
  <c r="K253" i="21" s="1"/>
  <c r="L138" i="7"/>
  <c r="K10" i="22"/>
  <c r="K21" i="22"/>
  <c r="J54" i="22"/>
  <c r="K54" i="22" s="1"/>
  <c r="J26" i="21"/>
  <c r="J39" i="21" s="1"/>
  <c r="J53" i="22"/>
  <c r="K53" i="22" s="1"/>
  <c r="K13" i="21"/>
  <c r="J31" i="22"/>
  <c r="J64" i="22" s="1"/>
  <c r="K64" i="22" s="1"/>
  <c r="J34" i="22"/>
  <c r="J67" i="22" s="1"/>
  <c r="K67" i="22" s="1"/>
  <c r="K11" i="21"/>
  <c r="J24" i="21"/>
  <c r="K24" i="21" s="1"/>
  <c r="J181" i="21"/>
  <c r="K181" i="21" s="1"/>
  <c r="K12" i="22"/>
  <c r="J44" i="22"/>
  <c r="K44" i="22" s="1"/>
  <c r="L148" i="7"/>
  <c r="J251" i="21"/>
  <c r="K251" i="21" s="1"/>
  <c r="K23" i="22"/>
  <c r="J460" i="13"/>
  <c r="K13" i="22"/>
  <c r="J27" i="21"/>
  <c r="J40" i="21" s="1"/>
  <c r="J92" i="21"/>
  <c r="K92" i="21" s="1"/>
  <c r="J57" i="22"/>
  <c r="K57" i="22" s="1"/>
  <c r="J35" i="22"/>
  <c r="J68" i="22" s="1"/>
  <c r="K68" i="22" s="1"/>
  <c r="J735" i="13"/>
  <c r="K170" i="21"/>
  <c r="J55" i="22"/>
  <c r="K55" i="22" s="1"/>
  <c r="J254" i="21"/>
  <c r="J268" i="21" s="1"/>
  <c r="J33" i="22"/>
  <c r="K33" i="22" s="1"/>
  <c r="J163" i="12"/>
  <c r="J208" i="12"/>
  <c r="L161" i="7"/>
  <c r="L769" i="7"/>
  <c r="K345" i="21"/>
  <c r="J356" i="21"/>
  <c r="J367" i="21" s="1"/>
  <c r="K367" i="21" s="1"/>
  <c r="J65" i="22"/>
  <c r="K65" i="22" s="1"/>
  <c r="K32" i="22"/>
  <c r="K854" i="12"/>
  <c r="K25" i="21"/>
  <c r="K90" i="21"/>
  <c r="J197" i="21"/>
  <c r="K183" i="21"/>
  <c r="J198" i="21"/>
  <c r="K184" i="21"/>
  <c r="K168" i="21"/>
  <c r="J182" i="21"/>
  <c r="J196" i="21" s="1"/>
  <c r="J93" i="21"/>
  <c r="J28" i="21"/>
  <c r="K15" i="21"/>
  <c r="K89" i="21"/>
  <c r="J102" i="21"/>
  <c r="K186" i="21"/>
  <c r="K256" i="21"/>
  <c r="K91" i="21"/>
  <c r="J104" i="21"/>
  <c r="J267" i="21" l="1"/>
  <c r="K267" i="21" s="1"/>
  <c r="K26" i="21"/>
  <c r="K31" i="22"/>
  <c r="K34" i="22"/>
  <c r="J37" i="21"/>
  <c r="K37" i="21" s="1"/>
  <c r="J195" i="21"/>
  <c r="J209" i="21" s="1"/>
  <c r="J265" i="21"/>
  <c r="K265" i="21" s="1"/>
  <c r="K27" i="21"/>
  <c r="J105" i="21"/>
  <c r="J118" i="21" s="1"/>
  <c r="K35" i="22"/>
  <c r="K254" i="21"/>
  <c r="J66" i="22"/>
  <c r="K66" i="22" s="1"/>
  <c r="L169" i="7"/>
  <c r="L171" i="7"/>
  <c r="L158" i="7"/>
  <c r="J119" i="17"/>
  <c r="J223" i="12"/>
  <c r="J598" i="12" s="1"/>
  <c r="J178" i="12"/>
  <c r="J238" i="12"/>
  <c r="K356" i="21"/>
  <c r="K846" i="12"/>
  <c r="K103" i="21"/>
  <c r="K38" i="21"/>
  <c r="J115" i="21"/>
  <c r="K102" i="21"/>
  <c r="J211" i="21"/>
  <c r="K197" i="21"/>
  <c r="K268" i="21"/>
  <c r="J282" i="21"/>
  <c r="K39" i="21"/>
  <c r="J52" i="21"/>
  <c r="K28" i="21"/>
  <c r="J41" i="21"/>
  <c r="K104" i="21"/>
  <c r="J117" i="21"/>
  <c r="K200" i="21"/>
  <c r="K270" i="21"/>
  <c r="K93" i="21"/>
  <c r="J106" i="21"/>
  <c r="J53" i="21"/>
  <c r="K40" i="21"/>
  <c r="K182" i="21"/>
  <c r="K198" i="21"/>
  <c r="J212" i="21"/>
  <c r="J281" i="21" l="1"/>
  <c r="K281" i="21" s="1"/>
  <c r="J279" i="21"/>
  <c r="K279" i="21" s="1"/>
  <c r="K195" i="21"/>
  <c r="J50" i="21"/>
  <c r="J63" i="21" s="1"/>
  <c r="K105" i="21"/>
  <c r="L170" i="7"/>
  <c r="J618" i="14"/>
  <c r="J166" i="21"/>
  <c r="J616" i="14"/>
  <c r="J703" i="14"/>
  <c r="J699" i="14"/>
  <c r="J617" i="14"/>
  <c r="J307" i="13"/>
  <c r="J614" i="14"/>
  <c r="J26" i="12"/>
  <c r="J459" i="13"/>
  <c r="J630" i="12"/>
  <c r="J614" i="12"/>
  <c r="J314" i="12"/>
  <c r="J253" i="12"/>
  <c r="J566" i="12"/>
  <c r="L140" i="7"/>
  <c r="L141" i="7"/>
  <c r="L142" i="7"/>
  <c r="K77" i="22"/>
  <c r="K51" i="21"/>
  <c r="K116" i="21"/>
  <c r="K53" i="21"/>
  <c r="J66" i="21"/>
  <c r="K282" i="21"/>
  <c r="J296" i="21"/>
  <c r="K196" i="21"/>
  <c r="J210" i="21"/>
  <c r="J224" i="21" s="1"/>
  <c r="K52" i="21"/>
  <c r="J65" i="21"/>
  <c r="J9" i="21"/>
  <c r="J165" i="21"/>
  <c r="J48" i="21"/>
  <c r="K284" i="21"/>
  <c r="J223" i="21"/>
  <c r="K209" i="21"/>
  <c r="J54" i="21"/>
  <c r="K41" i="21"/>
  <c r="K106" i="21"/>
  <c r="J119" i="21"/>
  <c r="K214" i="21"/>
  <c r="J130" i="21"/>
  <c r="K117" i="21"/>
  <c r="J131" i="21"/>
  <c r="K118" i="21"/>
  <c r="J225" i="21"/>
  <c r="K211" i="21"/>
  <c r="J226" i="21"/>
  <c r="K212" i="21"/>
  <c r="K115" i="21"/>
  <c r="J128" i="21"/>
  <c r="J396" i="21"/>
  <c r="J129" i="12"/>
  <c r="J189" i="12" s="1"/>
  <c r="J578" i="12" s="1"/>
  <c r="J295" i="21" l="1"/>
  <c r="J293" i="21"/>
  <c r="J307" i="21" s="1"/>
  <c r="K50" i="21"/>
  <c r="L172" i="7"/>
  <c r="J10" i="21"/>
  <c r="K10" i="21" s="1"/>
  <c r="J861" i="12"/>
  <c r="K861" i="12" s="1"/>
  <c r="J49" i="21"/>
  <c r="K49" i="21" s="1"/>
  <c r="J43" i="16"/>
  <c r="J248" i="12"/>
  <c r="J263" i="12" s="1"/>
  <c r="J173" i="12"/>
  <c r="J561" i="12" s="1"/>
  <c r="J747" i="13"/>
  <c r="J130" i="17"/>
  <c r="J701" i="14"/>
  <c r="J249" i="12"/>
  <c r="J264" i="12" s="1"/>
  <c r="J174" i="12"/>
  <c r="J562" i="12" s="1"/>
  <c r="J144" i="12"/>
  <c r="J204" i="12" s="1"/>
  <c r="J375" i="21"/>
  <c r="J385" i="21" s="1"/>
  <c r="K385" i="21" s="1"/>
  <c r="J188" i="12"/>
  <c r="J577" i="12" s="1"/>
  <c r="J143" i="12"/>
  <c r="J43" i="13"/>
  <c r="J645" i="12"/>
  <c r="J268" i="12"/>
  <c r="J331" i="12"/>
  <c r="J348" i="12" s="1"/>
  <c r="J365" i="12" s="1"/>
  <c r="J382" i="12"/>
  <c r="J399" i="12" s="1"/>
  <c r="J416" i="12" s="1"/>
  <c r="J433" i="12" s="1"/>
  <c r="J39" i="12"/>
  <c r="J91" i="12"/>
  <c r="J104" i="12" s="1"/>
  <c r="J117" i="12" s="1"/>
  <c r="K86" i="22"/>
  <c r="K129" i="21"/>
  <c r="K77" i="21"/>
  <c r="K64" i="21"/>
  <c r="K226" i="21"/>
  <c r="J240" i="21"/>
  <c r="K240" i="21" s="1"/>
  <c r="K119" i="21"/>
  <c r="J132" i="21"/>
  <c r="K65" i="21"/>
  <c r="J78" i="21"/>
  <c r="K78" i="21" s="1"/>
  <c r="K210" i="21"/>
  <c r="J179" i="21"/>
  <c r="K165" i="21"/>
  <c r="K9" i="21"/>
  <c r="J22" i="21"/>
  <c r="K225" i="21"/>
  <c r="J239" i="21"/>
  <c r="K239" i="21" s="1"/>
  <c r="K295" i="21"/>
  <c r="J309" i="21"/>
  <c r="J409" i="21"/>
  <c r="K396" i="21"/>
  <c r="J144" i="21"/>
  <c r="K131" i="21"/>
  <c r="K128" i="21"/>
  <c r="J141" i="21"/>
  <c r="K54" i="21"/>
  <c r="J67" i="21"/>
  <c r="J180" i="21"/>
  <c r="J250" i="21"/>
  <c r="K166" i="21"/>
  <c r="J88" i="21"/>
  <c r="J23" i="21"/>
  <c r="K223" i="21"/>
  <c r="J237" i="21"/>
  <c r="K237" i="21" s="1"/>
  <c r="J310" i="21"/>
  <c r="K296" i="21"/>
  <c r="K63" i="21"/>
  <c r="J76" i="21"/>
  <c r="K76" i="21" s="1"/>
  <c r="J143" i="21"/>
  <c r="K130" i="21"/>
  <c r="K298" i="21"/>
  <c r="J79" i="21"/>
  <c r="K79" i="21" s="1"/>
  <c r="K66" i="21"/>
  <c r="K242" i="21"/>
  <c r="K228" i="21"/>
  <c r="K48" i="21"/>
  <c r="J61" i="21"/>
  <c r="K293" i="21" l="1"/>
  <c r="J159" i="12"/>
  <c r="J219" i="12" s="1"/>
  <c r="J594" i="12" s="1"/>
  <c r="J640" i="12"/>
  <c r="J62" i="21"/>
  <c r="K62" i="21" s="1"/>
  <c r="J641" i="12"/>
  <c r="J702" i="14"/>
  <c r="J1027" i="14"/>
  <c r="L173" i="7"/>
  <c r="K375" i="21"/>
  <c r="J158" i="12"/>
  <c r="J203" i="12"/>
  <c r="J450" i="12"/>
  <c r="J467" i="12" s="1"/>
  <c r="J484" i="12" s="1"/>
  <c r="J501" i="12" s="1"/>
  <c r="J518" i="12"/>
  <c r="J534" i="12" s="1"/>
  <c r="J550" i="12" s="1"/>
  <c r="J283" i="12"/>
  <c r="J660" i="12"/>
  <c r="J656" i="12"/>
  <c r="J279" i="12"/>
  <c r="J361" i="12"/>
  <c r="J446" i="12" s="1"/>
  <c r="J463" i="12" s="1"/>
  <c r="J480" i="12" s="1"/>
  <c r="J497" i="12" s="1"/>
  <c r="J655" i="12"/>
  <c r="J278" i="12"/>
  <c r="K95" i="22"/>
  <c r="K142" i="21"/>
  <c r="J193" i="21"/>
  <c r="K179" i="21"/>
  <c r="K61" i="21"/>
  <c r="J333" i="21"/>
  <c r="K333" i="21" s="1"/>
  <c r="J74" i="21"/>
  <c r="K309" i="21"/>
  <c r="J323" i="21"/>
  <c r="K323" i="21" s="1"/>
  <c r="J321" i="21"/>
  <c r="K321" i="21" s="1"/>
  <c r="K307" i="21"/>
  <c r="K180" i="21"/>
  <c r="J194" i="21"/>
  <c r="J263" i="21"/>
  <c r="J156" i="21"/>
  <c r="K143" i="21"/>
  <c r="J422" i="21"/>
  <c r="K409" i="21"/>
  <c r="J264" i="21"/>
  <c r="K250" i="21"/>
  <c r="K326" i="21"/>
  <c r="K312" i="21"/>
  <c r="J36" i="21"/>
  <c r="K36" i="21" s="1"/>
  <c r="K23" i="21"/>
  <c r="K144" i="21"/>
  <c r="J157" i="21"/>
  <c r="J101" i="21"/>
  <c r="K88" i="21"/>
  <c r="K224" i="21"/>
  <c r="J238" i="21"/>
  <c r="K67" i="21"/>
  <c r="J80" i="21"/>
  <c r="K80" i="21" s="1"/>
  <c r="J145" i="21"/>
  <c r="K132" i="21"/>
  <c r="K343" i="21"/>
  <c r="K22" i="21"/>
  <c r="J35" i="21"/>
  <c r="K35" i="21" s="1"/>
  <c r="K310" i="21"/>
  <c r="J324" i="21"/>
  <c r="K324" i="21" s="1"/>
  <c r="K141" i="21"/>
  <c r="J154" i="21"/>
  <c r="K154" i="21" s="1"/>
  <c r="J75" i="21" l="1"/>
  <c r="K75" i="21" s="1"/>
  <c r="K238" i="21"/>
  <c r="J252" i="21"/>
  <c r="J234" i="12"/>
  <c r="J626" i="12" s="1"/>
  <c r="J294" i="12"/>
  <c r="J686" i="12" s="1"/>
  <c r="J671" i="12"/>
  <c r="J675" i="12"/>
  <c r="J298" i="12"/>
  <c r="J690" i="12" s="1"/>
  <c r="J360" i="12"/>
  <c r="J445" i="12" s="1"/>
  <c r="J462" i="12" s="1"/>
  <c r="J479" i="12" s="1"/>
  <c r="J496" i="12" s="1"/>
  <c r="J293" i="12"/>
  <c r="J685" i="12" s="1"/>
  <c r="J670" i="12"/>
  <c r="J233" i="12"/>
  <c r="J218" i="12"/>
  <c r="J593" i="12" s="1"/>
  <c r="K113" i="22"/>
  <c r="K104" i="22"/>
  <c r="K155" i="21"/>
  <c r="K397" i="21"/>
  <c r="J207" i="21"/>
  <c r="K193" i="21"/>
  <c r="K194" i="21"/>
  <c r="J208" i="21"/>
  <c r="K145" i="21"/>
  <c r="J158" i="21"/>
  <c r="K158" i="21" s="1"/>
  <c r="J278" i="21"/>
  <c r="K264" i="21"/>
  <c r="J394" i="21"/>
  <c r="K74" i="21"/>
  <c r="J374" i="21"/>
  <c r="K374" i="21" s="1"/>
  <c r="K422" i="21"/>
  <c r="J435" i="21"/>
  <c r="J448" i="21" s="1"/>
  <c r="J114" i="21"/>
  <c r="K101" i="21"/>
  <c r="J398" i="21"/>
  <c r="K156" i="21"/>
  <c r="J399" i="21"/>
  <c r="K157" i="21"/>
  <c r="J277" i="21"/>
  <c r="J610" i="12" l="1"/>
  <c r="J266" i="21"/>
  <c r="K252" i="21"/>
  <c r="J310" i="12"/>
  <c r="J327" i="12" s="1"/>
  <c r="J344" i="12" s="1"/>
  <c r="J625" i="12"/>
  <c r="J309" i="12"/>
  <c r="J609" i="12"/>
  <c r="K149" i="22"/>
  <c r="K140" i="22"/>
  <c r="K131" i="22"/>
  <c r="K122" i="22"/>
  <c r="J423" i="21"/>
  <c r="J436" i="21" s="1"/>
  <c r="J449" i="21" s="1"/>
  <c r="J462" i="21" s="1"/>
  <c r="K410" i="21"/>
  <c r="J221" i="21"/>
  <c r="K207" i="21"/>
  <c r="J291" i="21"/>
  <c r="K399" i="21"/>
  <c r="J412" i="21"/>
  <c r="K394" i="21"/>
  <c r="J407" i="21"/>
  <c r="K398" i="21"/>
  <c r="J411" i="21"/>
  <c r="J292" i="21"/>
  <c r="K278" i="21"/>
  <c r="K114" i="21"/>
  <c r="J127" i="21"/>
  <c r="K208" i="21"/>
  <c r="J222" i="21"/>
  <c r="K435" i="21"/>
  <c r="J280" i="21" l="1"/>
  <c r="K266" i="21"/>
  <c r="J378" i="12"/>
  <c r="J395" i="12" s="1"/>
  <c r="J412" i="12" s="1"/>
  <c r="J429" i="12" s="1"/>
  <c r="J514" i="12" s="1"/>
  <c r="J530" i="12" s="1"/>
  <c r="J546" i="12" s="1"/>
  <c r="J377" i="12"/>
  <c r="J394" i="12" s="1"/>
  <c r="J411" i="12" s="1"/>
  <c r="J428" i="12" s="1"/>
  <c r="J513" i="12" s="1"/>
  <c r="J529" i="12" s="1"/>
  <c r="J545" i="12" s="1"/>
  <c r="J326" i="12"/>
  <c r="J343" i="12" s="1"/>
  <c r="K423" i="21"/>
  <c r="K407" i="21"/>
  <c r="J420" i="21"/>
  <c r="K420" i="21" s="1"/>
  <c r="J461" i="21"/>
  <c r="K461" i="21" s="1"/>
  <c r="K448" i="21"/>
  <c r="J306" i="21"/>
  <c r="K292" i="21"/>
  <c r="J424" i="21"/>
  <c r="K411" i="21"/>
  <c r="K412" i="21"/>
  <c r="J425" i="21"/>
  <c r="J236" i="21"/>
  <c r="K236" i="21" s="1"/>
  <c r="K222" i="21"/>
  <c r="J305" i="21"/>
  <c r="J140" i="21"/>
  <c r="K127" i="21"/>
  <c r="J235" i="21"/>
  <c r="K235" i="21" s="1"/>
  <c r="K221" i="21"/>
  <c r="J294" i="21" l="1"/>
  <c r="K280" i="21"/>
  <c r="K436" i="21"/>
  <c r="J438" i="21"/>
  <c r="K425" i="21"/>
  <c r="K424" i="21"/>
  <c r="J437" i="21"/>
  <c r="K306" i="21"/>
  <c r="J320" i="21"/>
  <c r="K320" i="21" s="1"/>
  <c r="J153" i="21"/>
  <c r="K153" i="21" s="1"/>
  <c r="K140" i="21"/>
  <c r="J319" i="21"/>
  <c r="J308" i="21" l="1"/>
  <c r="J376" i="21"/>
  <c r="K294" i="21"/>
  <c r="K462" i="21"/>
  <c r="K449" i="21"/>
  <c r="K438" i="21"/>
  <c r="J451" i="21"/>
  <c r="K437" i="21"/>
  <c r="J450" i="21"/>
  <c r="J322" i="21" l="1"/>
  <c r="K322" i="21" s="1"/>
  <c r="K308" i="21"/>
  <c r="J386" i="21"/>
  <c r="K386" i="21" s="1"/>
  <c r="K376" i="21"/>
  <c r="J463" i="21"/>
  <c r="K463" i="21" s="1"/>
  <c r="K450" i="21"/>
  <c r="K451" i="21"/>
  <c r="J464" i="21"/>
  <c r="K464" i="21" s="1"/>
  <c r="K76" i="16" l="1"/>
  <c r="I79" i="16"/>
  <c r="J69" i="16"/>
  <c r="J77" i="16" s="1"/>
  <c r="K77" i="16" s="1"/>
  <c r="I71" i="16"/>
  <c r="I63" i="16"/>
  <c r="I809" i="12"/>
  <c r="I817" i="12" s="1"/>
  <c r="A659" i="7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I136" i="17"/>
  <c r="K130" i="17"/>
  <c r="I125" i="17"/>
  <c r="K119" i="17"/>
  <c r="I114" i="17"/>
  <c r="I103" i="17"/>
  <c r="I92" i="17"/>
  <c r="I81" i="17"/>
  <c r="I70" i="17"/>
  <c r="I59" i="17"/>
  <c r="I48" i="17"/>
  <c r="I37" i="17"/>
  <c r="I26" i="17"/>
  <c r="I15" i="17"/>
  <c r="I55" i="16"/>
  <c r="I45" i="16"/>
  <c r="K43" i="16"/>
  <c r="I34" i="16"/>
  <c r="I24" i="16"/>
  <c r="I14" i="16"/>
  <c r="J22" i="16"/>
  <c r="I284" i="15"/>
  <c r="I274" i="15"/>
  <c r="I264" i="15"/>
  <c r="I254" i="15"/>
  <c r="I244" i="15"/>
  <c r="I234" i="15"/>
  <c r="I224" i="15"/>
  <c r="I214" i="15"/>
  <c r="I204" i="15"/>
  <c r="I190" i="15"/>
  <c r="I176" i="15"/>
  <c r="I162" i="15"/>
  <c r="I148" i="15"/>
  <c r="I134" i="15"/>
  <c r="I120" i="15"/>
  <c r="I106" i="15"/>
  <c r="I92" i="15"/>
  <c r="I82" i="15"/>
  <c r="I72" i="15"/>
  <c r="I62" i="15"/>
  <c r="I52" i="15"/>
  <c r="I40" i="15"/>
  <c r="I28" i="15"/>
  <c r="I16" i="15"/>
  <c r="I1084" i="14"/>
  <c r="I1107" i="14" s="1"/>
  <c r="I1068" i="14"/>
  <c r="I1052" i="14"/>
  <c r="I1036" i="14"/>
  <c r="K1027" i="14"/>
  <c r="J1042" i="14"/>
  <c r="I1020" i="14"/>
  <c r="I1004" i="14"/>
  <c r="I988" i="14"/>
  <c r="I972" i="14"/>
  <c r="I956" i="14"/>
  <c r="I940" i="14"/>
  <c r="I924" i="14"/>
  <c r="I908" i="14"/>
  <c r="I892" i="14"/>
  <c r="I876" i="14"/>
  <c r="I860" i="14"/>
  <c r="I844" i="14"/>
  <c r="I828" i="14"/>
  <c r="I812" i="14"/>
  <c r="I796" i="14"/>
  <c r="I780" i="14"/>
  <c r="I763" i="14"/>
  <c r="I746" i="14"/>
  <c r="I729" i="14"/>
  <c r="I712" i="14"/>
  <c r="J720" i="14"/>
  <c r="K720" i="14" s="1"/>
  <c r="J719" i="14"/>
  <c r="K701" i="14"/>
  <c r="J700" i="14"/>
  <c r="K700" i="14" s="1"/>
  <c r="I695" i="14"/>
  <c r="I678" i="14"/>
  <c r="I661" i="14"/>
  <c r="I644" i="14"/>
  <c r="I627" i="14"/>
  <c r="K617" i="14"/>
  <c r="J633" i="14"/>
  <c r="I610" i="14"/>
  <c r="I600" i="14"/>
  <c r="I590" i="14"/>
  <c r="I580" i="14"/>
  <c r="I570" i="14"/>
  <c r="I560" i="14"/>
  <c r="I550" i="14"/>
  <c r="I540" i="14"/>
  <c r="I530" i="14"/>
  <c r="I520" i="14"/>
  <c r="I510" i="14"/>
  <c r="I500" i="14"/>
  <c r="K498" i="14"/>
  <c r="I482" i="14"/>
  <c r="K480" i="14"/>
  <c r="I464" i="14"/>
  <c r="K462" i="14"/>
  <c r="I446" i="14"/>
  <c r="K444" i="14"/>
  <c r="I428" i="14"/>
  <c r="K426" i="14"/>
  <c r="I410" i="14"/>
  <c r="K408" i="14"/>
  <c r="I392" i="14"/>
  <c r="I379" i="14"/>
  <c r="I366" i="14"/>
  <c r="I353" i="14"/>
  <c r="I340" i="14"/>
  <c r="I327" i="14"/>
  <c r="I314" i="14"/>
  <c r="I299" i="14"/>
  <c r="I284" i="14"/>
  <c r="I269" i="14"/>
  <c r="I254" i="14"/>
  <c r="I239" i="14"/>
  <c r="I224" i="14"/>
  <c r="I210" i="14"/>
  <c r="I196" i="14"/>
  <c r="I182" i="14"/>
  <c r="I168" i="14"/>
  <c r="I154" i="14"/>
  <c r="I140" i="14"/>
  <c r="I132" i="14"/>
  <c r="I124" i="14"/>
  <c r="I116" i="14"/>
  <c r="I108" i="14"/>
  <c r="I100" i="14"/>
  <c r="I92" i="14"/>
  <c r="I84" i="14"/>
  <c r="I76" i="14"/>
  <c r="I68" i="14"/>
  <c r="I60" i="14"/>
  <c r="I52" i="14"/>
  <c r="I44" i="14"/>
  <c r="I34" i="14"/>
  <c r="I24" i="14"/>
  <c r="I14" i="14"/>
  <c r="I800" i="13"/>
  <c r="I788" i="13"/>
  <c r="I776" i="13"/>
  <c r="I764" i="13"/>
  <c r="I752" i="13"/>
  <c r="I740" i="13"/>
  <c r="I728" i="13"/>
  <c r="I716" i="13"/>
  <c r="I704" i="13"/>
  <c r="I692" i="13"/>
  <c r="I680" i="13"/>
  <c r="I668" i="13"/>
  <c r="I656" i="13"/>
  <c r="I639" i="13"/>
  <c r="I622" i="13"/>
  <c r="I605" i="13"/>
  <c r="K596" i="13"/>
  <c r="I588" i="13"/>
  <c r="I571" i="13"/>
  <c r="I554" i="13"/>
  <c r="I537" i="13"/>
  <c r="I520" i="13"/>
  <c r="I503" i="13"/>
  <c r="I486" i="13"/>
  <c r="I469" i="13"/>
  <c r="K460" i="13"/>
  <c r="J476" i="13"/>
  <c r="J493" i="13" s="1"/>
  <c r="I452" i="13"/>
  <c r="I442" i="13"/>
  <c r="I432" i="13"/>
  <c r="I422" i="13"/>
  <c r="I412" i="13"/>
  <c r="I403" i="13"/>
  <c r="I394" i="13"/>
  <c r="I385" i="13"/>
  <c r="I376" i="13"/>
  <c r="I366" i="13"/>
  <c r="I356" i="13"/>
  <c r="I346" i="13"/>
  <c r="I336" i="13"/>
  <c r="I327" i="13"/>
  <c r="I318" i="13"/>
  <c r="I309" i="13"/>
  <c r="J316" i="13"/>
  <c r="I300" i="13"/>
  <c r="I289" i="13"/>
  <c r="I278" i="13"/>
  <c r="I267" i="13"/>
  <c r="I256" i="13"/>
  <c r="I245" i="13"/>
  <c r="I234" i="13"/>
  <c r="I223" i="13"/>
  <c r="I212" i="13"/>
  <c r="I201" i="13"/>
  <c r="I190" i="13"/>
  <c r="I179" i="13"/>
  <c r="I168" i="13"/>
  <c r="I157" i="13"/>
  <c r="I146" i="13"/>
  <c r="I135" i="13"/>
  <c r="J143" i="13"/>
  <c r="K143" i="13" s="1"/>
  <c r="I124" i="13"/>
  <c r="I113" i="13"/>
  <c r="I102" i="13"/>
  <c r="I91" i="13"/>
  <c r="I80" i="13"/>
  <c r="I69" i="13"/>
  <c r="I58" i="13"/>
  <c r="I47" i="13"/>
  <c r="J55" i="13"/>
  <c r="K55" i="13" s="1"/>
  <c r="J54" i="13"/>
  <c r="I36" i="13"/>
  <c r="I28" i="13"/>
  <c r="I20" i="13"/>
  <c r="I12" i="13"/>
  <c r="I693" i="12"/>
  <c r="I682" i="12"/>
  <c r="I678" i="12"/>
  <c r="I667" i="12"/>
  <c r="I663" i="12"/>
  <c r="I652" i="12"/>
  <c r="I648" i="12"/>
  <c r="I637" i="12"/>
  <c r="I633" i="12"/>
  <c r="I621" i="12"/>
  <c r="I617" i="12"/>
  <c r="I605" i="12"/>
  <c r="I601" i="12"/>
  <c r="I589" i="12"/>
  <c r="C589" i="12"/>
  <c r="I585" i="12"/>
  <c r="I573" i="12"/>
  <c r="I569" i="12"/>
  <c r="I557" i="12"/>
  <c r="I553" i="12"/>
  <c r="I541" i="12"/>
  <c r="I537" i="12"/>
  <c r="I525" i="12"/>
  <c r="I521" i="12"/>
  <c r="I509" i="12"/>
  <c r="I505" i="12"/>
  <c r="I488" i="12"/>
  <c r="I471" i="12"/>
  <c r="I454" i="12"/>
  <c r="I437" i="12"/>
  <c r="I420" i="12"/>
  <c r="I403" i="12"/>
  <c r="I386" i="12"/>
  <c r="I369" i="12"/>
  <c r="I352" i="12"/>
  <c r="I335" i="12"/>
  <c r="I301" i="12"/>
  <c r="I286" i="12"/>
  <c r="I271" i="12"/>
  <c r="I256" i="12"/>
  <c r="K641" i="12"/>
  <c r="K655" i="12"/>
  <c r="I241" i="12"/>
  <c r="I226" i="12"/>
  <c r="I211" i="12"/>
  <c r="I196" i="12"/>
  <c r="I181" i="12"/>
  <c r="K562" i="12"/>
  <c r="K561" i="12"/>
  <c r="I166" i="12"/>
  <c r="I151" i="12"/>
  <c r="I136" i="12"/>
  <c r="K577" i="12"/>
  <c r="I121" i="12"/>
  <c r="I108" i="12"/>
  <c r="I95" i="12"/>
  <c r="I82" i="12"/>
  <c r="I69" i="12"/>
  <c r="I56" i="12"/>
  <c r="I43" i="12"/>
  <c r="I30" i="12"/>
  <c r="K39" i="12"/>
  <c r="I17" i="12"/>
  <c r="K69" i="16" l="1"/>
  <c r="I825" i="12"/>
  <c r="K68" i="16"/>
  <c r="K640" i="12"/>
  <c r="K78" i="16"/>
  <c r="K79" i="16" s="1"/>
  <c r="K188" i="12"/>
  <c r="K104" i="12"/>
  <c r="K12" i="16"/>
  <c r="K22" i="16"/>
  <c r="J32" i="16"/>
  <c r="J737" i="14"/>
  <c r="J754" i="14" s="1"/>
  <c r="K703" i="14"/>
  <c r="J634" i="14"/>
  <c r="K634" i="14" s="1"/>
  <c r="J716" i="14"/>
  <c r="J717" i="14"/>
  <c r="J734" i="14" s="1"/>
  <c r="J751" i="14" s="1"/>
  <c r="J768" i="14" s="1"/>
  <c r="K768" i="14" s="1"/>
  <c r="J787" i="14"/>
  <c r="J803" i="14" s="1"/>
  <c r="J718" i="14"/>
  <c r="J735" i="14" s="1"/>
  <c r="K616" i="14"/>
  <c r="J786" i="14"/>
  <c r="J802" i="14" s="1"/>
  <c r="J1043" i="14"/>
  <c r="J635" i="14"/>
  <c r="K618" i="14"/>
  <c r="J736" i="14"/>
  <c r="K719" i="14"/>
  <c r="J615" i="14"/>
  <c r="K614" i="14"/>
  <c r="J631" i="14"/>
  <c r="K702" i="14"/>
  <c r="K1042" i="14"/>
  <c r="J1058" i="14"/>
  <c r="J650" i="14"/>
  <c r="K633" i="14"/>
  <c r="K699" i="14"/>
  <c r="K1026" i="14"/>
  <c r="J383" i="13"/>
  <c r="K383" i="13" s="1"/>
  <c r="K307" i="13"/>
  <c r="J613" i="13"/>
  <c r="J630" i="13" s="1"/>
  <c r="K630" i="13" s="1"/>
  <c r="K43" i="13"/>
  <c r="J545" i="13"/>
  <c r="K528" i="13"/>
  <c r="J18" i="13"/>
  <c r="K10" i="13"/>
  <c r="J66" i="13"/>
  <c r="J99" i="13"/>
  <c r="J220" i="13"/>
  <c r="K88" i="13"/>
  <c r="J98" i="13"/>
  <c r="J65" i="13"/>
  <c r="K54" i="13"/>
  <c r="J175" i="13"/>
  <c r="J87" i="13"/>
  <c r="K44" i="13"/>
  <c r="J176" i="13"/>
  <c r="J275" i="13"/>
  <c r="K275" i="13" s="1"/>
  <c r="J154" i="13"/>
  <c r="J325" i="13"/>
  <c r="J392" i="13"/>
  <c r="K392" i="13" s="1"/>
  <c r="K316" i="13"/>
  <c r="J264" i="13"/>
  <c r="K264" i="13" s="1"/>
  <c r="K132" i="13"/>
  <c r="J510" i="13"/>
  <c r="K493" i="13"/>
  <c r="K459" i="13"/>
  <c r="K476" i="13"/>
  <c r="J477" i="13"/>
  <c r="K174" i="12"/>
  <c r="K129" i="12"/>
  <c r="K263" i="12"/>
  <c r="K26" i="12"/>
  <c r="K128" i="12"/>
  <c r="K173" i="12"/>
  <c r="K249" i="12"/>
  <c r="K248" i="12"/>
  <c r="K70" i="16" l="1"/>
  <c r="K71" i="16" s="1"/>
  <c r="K72" i="16" s="1"/>
  <c r="K73" i="16" s="1"/>
  <c r="J891" i="7" s="1"/>
  <c r="K510" i="13"/>
  <c r="J527" i="13"/>
  <c r="I833" i="12"/>
  <c r="I841" i="12" s="1"/>
  <c r="I849" i="12" s="1"/>
  <c r="I857" i="12" s="1"/>
  <c r="K80" i="16"/>
  <c r="K81" i="16" s="1"/>
  <c r="J892" i="7" s="1"/>
  <c r="K91" i="12"/>
  <c r="K117" i="12"/>
  <c r="J42" i="16"/>
  <c r="K42" i="16" s="1"/>
  <c r="K32" i="16"/>
  <c r="K737" i="14"/>
  <c r="K785" i="14"/>
  <c r="K751" i="14"/>
  <c r="K734" i="14"/>
  <c r="K717" i="14"/>
  <c r="K787" i="14"/>
  <c r="J651" i="14"/>
  <c r="J668" i="14" s="1"/>
  <c r="K786" i="14"/>
  <c r="J733" i="14"/>
  <c r="K716" i="14"/>
  <c r="K718" i="14"/>
  <c r="K1043" i="14"/>
  <c r="J1059" i="14"/>
  <c r="K1058" i="14"/>
  <c r="J1074" i="14"/>
  <c r="K615" i="14"/>
  <c r="J632" i="14"/>
  <c r="J771" i="14"/>
  <c r="K771" i="14" s="1"/>
  <c r="K754" i="14"/>
  <c r="K802" i="14"/>
  <c r="J818" i="14"/>
  <c r="K635" i="14"/>
  <c r="J652" i="14"/>
  <c r="J819" i="14"/>
  <c r="K803" i="14"/>
  <c r="K735" i="14"/>
  <c r="J752" i="14"/>
  <c r="J866" i="14" s="1"/>
  <c r="J753" i="14"/>
  <c r="J867" i="14" s="1"/>
  <c r="K736" i="14"/>
  <c r="K650" i="14"/>
  <c r="J667" i="14"/>
  <c r="J648" i="14"/>
  <c r="K631" i="14"/>
  <c r="K613" i="13"/>
  <c r="J647" i="13"/>
  <c r="K647" i="13" s="1"/>
  <c r="J26" i="13"/>
  <c r="K18" i="13"/>
  <c r="J77" i="13"/>
  <c r="K77" i="13" s="1"/>
  <c r="K66" i="13"/>
  <c r="K545" i="13"/>
  <c r="J562" i="13"/>
  <c r="J219" i="13"/>
  <c r="K219" i="13" s="1"/>
  <c r="J131" i="13"/>
  <c r="K87" i="13"/>
  <c r="K175" i="13"/>
  <c r="J186" i="13"/>
  <c r="K176" i="13"/>
  <c r="J187" i="13"/>
  <c r="J231" i="13"/>
  <c r="K231" i="13" s="1"/>
  <c r="K220" i="13"/>
  <c r="K99" i="13"/>
  <c r="J110" i="13"/>
  <c r="J401" i="13"/>
  <c r="K401" i="13" s="1"/>
  <c r="K325" i="13"/>
  <c r="J334" i="13"/>
  <c r="J494" i="13"/>
  <c r="K477" i="13"/>
  <c r="J165" i="13"/>
  <c r="K154" i="13"/>
  <c r="J286" i="13"/>
  <c r="K286" i="13" s="1"/>
  <c r="J76" i="13"/>
  <c r="K65" i="13"/>
  <c r="J109" i="13"/>
  <c r="K98" i="13"/>
  <c r="J142" i="13"/>
  <c r="K189" i="12"/>
  <c r="K578" i="12"/>
  <c r="K656" i="12"/>
  <c r="K264" i="12"/>
  <c r="K143" i="12"/>
  <c r="K203" i="12"/>
  <c r="K670" i="12"/>
  <c r="K278" i="12"/>
  <c r="K144" i="12"/>
  <c r="K204" i="12"/>
  <c r="L892" i="7" l="1"/>
  <c r="L891" i="7"/>
  <c r="J1090" i="14"/>
  <c r="K1090" i="14" s="1"/>
  <c r="K866" i="14"/>
  <c r="J882" i="14"/>
  <c r="J883" i="14"/>
  <c r="K867" i="14"/>
  <c r="J595" i="13"/>
  <c r="K595" i="13" s="1"/>
  <c r="J544" i="13"/>
  <c r="K527" i="13"/>
  <c r="K60" i="16"/>
  <c r="K651" i="14"/>
  <c r="J750" i="14"/>
  <c r="K733" i="14"/>
  <c r="J1075" i="14"/>
  <c r="K1059" i="14"/>
  <c r="J770" i="14"/>
  <c r="K770" i="14" s="1"/>
  <c r="K753" i="14"/>
  <c r="J835" i="14"/>
  <c r="K819" i="14"/>
  <c r="J834" i="14"/>
  <c r="K818" i="14"/>
  <c r="J685" i="14"/>
  <c r="K685" i="14" s="1"/>
  <c r="K668" i="14"/>
  <c r="K632" i="14"/>
  <c r="J649" i="14"/>
  <c r="J684" i="14"/>
  <c r="K684" i="14" s="1"/>
  <c r="K667" i="14"/>
  <c r="K1074" i="14"/>
  <c r="J769" i="14"/>
  <c r="K769" i="14" s="1"/>
  <c r="K752" i="14"/>
  <c r="K652" i="14"/>
  <c r="J669" i="14"/>
  <c r="J665" i="14"/>
  <c r="K648" i="14"/>
  <c r="K26" i="13"/>
  <c r="J34" i="13"/>
  <c r="K34" i="13" s="1"/>
  <c r="K562" i="13"/>
  <c r="J579" i="13"/>
  <c r="K579" i="13" s="1"/>
  <c r="J297" i="13"/>
  <c r="K297" i="13" s="1"/>
  <c r="K165" i="13"/>
  <c r="J410" i="13"/>
  <c r="K410" i="13" s="1"/>
  <c r="K334" i="13"/>
  <c r="J274" i="13"/>
  <c r="K274" i="13" s="1"/>
  <c r="K142" i="13"/>
  <c r="K187" i="13"/>
  <c r="J198" i="13"/>
  <c r="K131" i="13"/>
  <c r="J263" i="13"/>
  <c r="K263" i="13" s="1"/>
  <c r="J241" i="13"/>
  <c r="K241" i="13" s="1"/>
  <c r="J153" i="13"/>
  <c r="K109" i="13"/>
  <c r="J120" i="13"/>
  <c r="K76" i="13"/>
  <c r="J511" i="13"/>
  <c r="K511" i="13" s="1"/>
  <c r="K494" i="13"/>
  <c r="J242" i="13"/>
  <c r="K242" i="13" s="1"/>
  <c r="K110" i="13"/>
  <c r="J121" i="13"/>
  <c r="J197" i="13"/>
  <c r="J230" i="13"/>
  <c r="K230" i="13" s="1"/>
  <c r="K186" i="13"/>
  <c r="K361" i="12"/>
  <c r="K159" i="12"/>
  <c r="K671" i="12"/>
  <c r="K279" i="12"/>
  <c r="K158" i="12"/>
  <c r="K360" i="12"/>
  <c r="K685" i="12"/>
  <c r="K293" i="12"/>
  <c r="J1091" i="14" l="1"/>
  <c r="K1091" i="14" s="1"/>
  <c r="J899" i="14"/>
  <c r="K883" i="14"/>
  <c r="J898" i="14"/>
  <c r="K882" i="14"/>
  <c r="J612" i="13"/>
  <c r="K612" i="13" s="1"/>
  <c r="K544" i="13"/>
  <c r="J561" i="13"/>
  <c r="K750" i="14"/>
  <c r="J767" i="14"/>
  <c r="K1075" i="14"/>
  <c r="K665" i="14"/>
  <c r="J682" i="14"/>
  <c r="K682" i="14" s="1"/>
  <c r="K835" i="14"/>
  <c r="J851" i="14"/>
  <c r="J686" i="14"/>
  <c r="K686" i="14" s="1"/>
  <c r="K669" i="14"/>
  <c r="K649" i="14"/>
  <c r="J666" i="14"/>
  <c r="J850" i="14"/>
  <c r="K834" i="14"/>
  <c r="J164" i="13"/>
  <c r="K120" i="13"/>
  <c r="J252" i="13"/>
  <c r="K252" i="13" s="1"/>
  <c r="J208" i="13"/>
  <c r="K208" i="13" s="1"/>
  <c r="K197" i="13"/>
  <c r="K121" i="13"/>
  <c r="J253" i="13"/>
  <c r="K253" i="13" s="1"/>
  <c r="J285" i="13"/>
  <c r="K285" i="13" s="1"/>
  <c r="K153" i="13"/>
  <c r="J209" i="13"/>
  <c r="K209" i="13" s="1"/>
  <c r="K198" i="13"/>
  <c r="K594" i="12"/>
  <c r="K219" i="12"/>
  <c r="K445" i="12"/>
  <c r="K233" i="12"/>
  <c r="K609" i="12"/>
  <c r="K625" i="12"/>
  <c r="K610" i="12"/>
  <c r="K626" i="12"/>
  <c r="K234" i="12"/>
  <c r="K446" i="12"/>
  <c r="K593" i="12"/>
  <c r="K218" i="12"/>
  <c r="K294" i="12"/>
  <c r="K686" i="12"/>
  <c r="K850" i="14" l="1"/>
  <c r="J946" i="14"/>
  <c r="K851" i="14"/>
  <c r="J947" i="14"/>
  <c r="J914" i="14"/>
  <c r="K898" i="14"/>
  <c r="J915" i="14"/>
  <c r="K899" i="14"/>
  <c r="J578" i="13"/>
  <c r="J629" i="13"/>
  <c r="K629" i="13" s="1"/>
  <c r="K561" i="13"/>
  <c r="K767" i="14"/>
  <c r="J683" i="14"/>
  <c r="K683" i="14" s="1"/>
  <c r="K666" i="14"/>
  <c r="J296" i="13"/>
  <c r="K296" i="13" s="1"/>
  <c r="K164" i="13"/>
  <c r="K309" i="12"/>
  <c r="K462" i="12"/>
  <c r="K310" i="12"/>
  <c r="K463" i="12"/>
  <c r="J931" i="14" l="1"/>
  <c r="K931" i="14" s="1"/>
  <c r="K915" i="14"/>
  <c r="K914" i="14"/>
  <c r="J930" i="14"/>
  <c r="K930" i="14" s="1"/>
  <c r="J963" i="14"/>
  <c r="K947" i="14"/>
  <c r="J962" i="14"/>
  <c r="K946" i="14"/>
  <c r="J646" i="13"/>
  <c r="K646" i="13" s="1"/>
  <c r="K578" i="13"/>
  <c r="K784" i="14"/>
  <c r="K377" i="12"/>
  <c r="K496" i="12"/>
  <c r="K479" i="12"/>
  <c r="K497" i="12"/>
  <c r="K480" i="12"/>
  <c r="K344" i="12"/>
  <c r="K327" i="12"/>
  <c r="K326" i="12"/>
  <c r="K343" i="12"/>
  <c r="K962" i="14" l="1"/>
  <c r="J978" i="14"/>
  <c r="K963" i="14"/>
  <c r="J979" i="14"/>
  <c r="K800" i="14"/>
  <c r="K801" i="14"/>
  <c r="K394" i="12"/>
  <c r="K378" i="12"/>
  <c r="J994" i="14" l="1"/>
  <c r="K978" i="14"/>
  <c r="J995" i="14"/>
  <c r="K979" i="14"/>
  <c r="K816" i="14"/>
  <c r="K817" i="14"/>
  <c r="K395" i="12"/>
  <c r="K411" i="12"/>
  <c r="J1011" i="14" l="1"/>
  <c r="K1011" i="14" s="1"/>
  <c r="K995" i="14"/>
  <c r="J1010" i="14"/>
  <c r="K1010" i="14" s="1"/>
  <c r="K994" i="14"/>
  <c r="K832" i="14"/>
  <c r="K833" i="14"/>
  <c r="K428" i="12"/>
  <c r="K412" i="12"/>
  <c r="K849" i="14" l="1"/>
  <c r="K848" i="14"/>
  <c r="K429" i="12"/>
  <c r="K513" i="12"/>
  <c r="K864" i="14" l="1"/>
  <c r="K865" i="14"/>
  <c r="K529" i="12"/>
  <c r="K545" i="12"/>
  <c r="K514" i="12"/>
  <c r="K881" i="14" l="1"/>
  <c r="K880" i="14"/>
  <c r="K546" i="12"/>
  <c r="K530" i="12"/>
  <c r="K897" i="14" l="1"/>
  <c r="K896" i="14"/>
  <c r="K913" i="14" l="1"/>
  <c r="K912" i="14"/>
  <c r="J20" i="16" l="1"/>
  <c r="K10" i="16"/>
  <c r="K928" i="14"/>
  <c r="J929" i="14"/>
  <c r="K929" i="14" s="1"/>
  <c r="K20" i="16" l="1"/>
  <c r="J30" i="16"/>
  <c r="K944" i="14"/>
  <c r="J960" i="14"/>
  <c r="J976" i="14" s="1"/>
  <c r="J992" i="14" s="1"/>
  <c r="J1008" i="14" s="1"/>
  <c r="K945" i="14"/>
  <c r="J40" i="16" l="1"/>
  <c r="K30" i="16"/>
  <c r="K960" i="14"/>
  <c r="J961" i="14"/>
  <c r="K961" i="14" l="1"/>
  <c r="J977" i="14"/>
  <c r="J993" i="14" s="1"/>
  <c r="J1009" i="14" s="1"/>
  <c r="K40" i="16"/>
  <c r="J50" i="16"/>
  <c r="K50" i="16" s="1"/>
  <c r="K976" i="14"/>
  <c r="K977" i="14" l="1"/>
  <c r="K993" i="14"/>
  <c r="K992" i="14"/>
  <c r="K1008" i="14" l="1"/>
  <c r="K1009" i="14"/>
  <c r="K52" i="16" l="1"/>
  <c r="K61" i="16"/>
  <c r="K62" i="16" s="1"/>
  <c r="K1024" i="14"/>
  <c r="K1025" i="14"/>
  <c r="K63" i="16" l="1"/>
  <c r="K64" i="16" s="1"/>
  <c r="K65" i="16" s="1"/>
  <c r="J890" i="7" s="1"/>
  <c r="K1041" i="14"/>
  <c r="K1040" i="14"/>
  <c r="L890" i="7" l="1"/>
  <c r="K1057" i="14"/>
  <c r="K1056" i="14"/>
  <c r="K1088" i="14" l="1"/>
  <c r="K1072" i="14"/>
  <c r="K1073" i="14" l="1"/>
  <c r="K1089" i="14"/>
  <c r="J769" i="12" l="1"/>
  <c r="J778" i="12" s="1"/>
  <c r="J787" i="12" s="1"/>
  <c r="J796" i="12" s="1"/>
  <c r="J340" i="21"/>
  <c r="K340" i="21" s="1"/>
  <c r="J503" i="12"/>
  <c r="K503" i="12" s="1"/>
  <c r="K133" i="12"/>
  <c r="J100" i="15"/>
  <c r="J134" i="12"/>
  <c r="J132" i="12"/>
  <c r="J147" i="12" s="1"/>
  <c r="L249" i="7" l="1"/>
  <c r="L250" i="7"/>
  <c r="J344" i="13"/>
  <c r="K344" i="13" s="1"/>
  <c r="J130" i="12"/>
  <c r="J145" i="12" s="1"/>
  <c r="J160" i="12" s="1"/>
  <c r="J175" i="12" s="1"/>
  <c r="J316" i="12"/>
  <c r="K316" i="12" s="1"/>
  <c r="J452" i="12"/>
  <c r="J469" i="12" s="1"/>
  <c r="J486" i="12" s="1"/>
  <c r="J177" i="12"/>
  <c r="K177" i="12" s="1"/>
  <c r="J252" i="12"/>
  <c r="J125" i="12"/>
  <c r="J185" i="12" s="1"/>
  <c r="J573" i="12" s="1"/>
  <c r="J305" i="12"/>
  <c r="J322" i="12" s="1"/>
  <c r="J339" i="12" s="1"/>
  <c r="J356" i="12" s="1"/>
  <c r="J373" i="12" s="1"/>
  <c r="J390" i="12" s="1"/>
  <c r="J407" i="12" s="1"/>
  <c r="J424" i="12" s="1"/>
  <c r="J441" i="12" s="1"/>
  <c r="J458" i="12" s="1"/>
  <c r="J475" i="12" s="1"/>
  <c r="J492" i="12" s="1"/>
  <c r="J509" i="12" s="1"/>
  <c r="J525" i="12" s="1"/>
  <c r="J541" i="12" s="1"/>
  <c r="J557" i="12" s="1"/>
  <c r="J192" i="12"/>
  <c r="K192" i="12" s="1"/>
  <c r="J351" i="21"/>
  <c r="J362" i="21" s="1"/>
  <c r="K362" i="21" s="1"/>
  <c r="J343" i="13"/>
  <c r="K343" i="13" s="1"/>
  <c r="J131" i="12"/>
  <c r="K131" i="12" s="1"/>
  <c r="K778" i="12"/>
  <c r="J449" i="12"/>
  <c r="J466" i="12" s="1"/>
  <c r="J483" i="12" s="1"/>
  <c r="J500" i="12" s="1"/>
  <c r="J364" i="12"/>
  <c r="K364" i="12" s="1"/>
  <c r="J644" i="12"/>
  <c r="J659" i="12" s="1"/>
  <c r="J674" i="12" s="1"/>
  <c r="J689" i="12" s="1"/>
  <c r="J565" i="12"/>
  <c r="K565" i="12" s="1"/>
  <c r="J297" i="12"/>
  <c r="K297" i="12" s="1"/>
  <c r="J149" i="12"/>
  <c r="J194" i="12"/>
  <c r="J583" i="12" s="1"/>
  <c r="J13" i="12"/>
  <c r="K13" i="12" s="1"/>
  <c r="J52" i="12"/>
  <c r="J65" i="12" s="1"/>
  <c r="J78" i="12" s="1"/>
  <c r="J381" i="12"/>
  <c r="J398" i="12" s="1"/>
  <c r="J415" i="12" s="1"/>
  <c r="J432" i="12" s="1"/>
  <c r="J517" i="12" s="1"/>
  <c r="J533" i="12" s="1"/>
  <c r="J549" i="12" s="1"/>
  <c r="J581" i="12" s="1"/>
  <c r="J597" i="12" s="1"/>
  <c r="J613" i="12" s="1"/>
  <c r="J629" i="12" s="1"/>
  <c r="J330" i="12"/>
  <c r="J347" i="12" s="1"/>
  <c r="J207" i="12"/>
  <c r="J162" i="12"/>
  <c r="K787" i="12"/>
  <c r="K796" i="12"/>
  <c r="J101" i="15"/>
  <c r="J115" i="15" s="1"/>
  <c r="J12" i="15"/>
  <c r="K208" i="12"/>
  <c r="K148" i="12"/>
  <c r="K582" i="12"/>
  <c r="K193" i="12"/>
  <c r="K100" i="15"/>
  <c r="J114" i="15"/>
  <c r="K134" i="12"/>
  <c r="K313" i="12"/>
  <c r="K132" i="12"/>
  <c r="J333" i="12" l="1"/>
  <c r="J350" i="12" s="1"/>
  <c r="J367" i="12" s="1"/>
  <c r="J353" i="13"/>
  <c r="K353" i="13" s="1"/>
  <c r="K130" i="12"/>
  <c r="K305" i="12"/>
  <c r="J384" i="12"/>
  <c r="J401" i="12" s="1"/>
  <c r="J418" i="12" s="1"/>
  <c r="J435" i="12" s="1"/>
  <c r="K452" i="12"/>
  <c r="K125" i="12"/>
  <c r="K644" i="12"/>
  <c r="J267" i="12"/>
  <c r="K252" i="12"/>
  <c r="J354" i="13"/>
  <c r="J364" i="13" s="1"/>
  <c r="L248" i="7"/>
  <c r="J209" i="12"/>
  <c r="K209" i="12" s="1"/>
  <c r="J164" i="12"/>
  <c r="J140" i="12"/>
  <c r="J155" i="12" s="1"/>
  <c r="J191" i="12"/>
  <c r="J580" i="12" s="1"/>
  <c r="K580" i="12" s="1"/>
  <c r="J146" i="12"/>
  <c r="K449" i="12"/>
  <c r="K351" i="21"/>
  <c r="J190" i="12"/>
  <c r="J563" i="12"/>
  <c r="J222" i="12"/>
  <c r="J237" i="12"/>
  <c r="K101" i="15"/>
  <c r="J24" i="15"/>
  <c r="K12" i="15"/>
  <c r="K163" i="12"/>
  <c r="K114" i="15"/>
  <c r="J170" i="15"/>
  <c r="K170" i="15" s="1"/>
  <c r="J128" i="15"/>
  <c r="K115" i="15"/>
  <c r="J171" i="15"/>
  <c r="K171" i="15" s="1"/>
  <c r="J129" i="15"/>
  <c r="K149" i="12"/>
  <c r="K194" i="12"/>
  <c r="K583" i="12"/>
  <c r="K466" i="12"/>
  <c r="K659" i="12"/>
  <c r="K347" i="12"/>
  <c r="K330" i="12"/>
  <c r="K381" i="12"/>
  <c r="K147" i="12"/>
  <c r="K207" i="12"/>
  <c r="K145" i="12"/>
  <c r="K573" i="12"/>
  <c r="K185" i="12"/>
  <c r="K322" i="12"/>
  <c r="K52" i="12"/>
  <c r="K486" i="12"/>
  <c r="K469" i="12"/>
  <c r="K384" i="12" l="1"/>
  <c r="K333" i="12"/>
  <c r="J363" i="13"/>
  <c r="K363" i="13" s="1"/>
  <c r="K354" i="13"/>
  <c r="K140" i="12"/>
  <c r="J206" i="12"/>
  <c r="K206" i="12" s="1"/>
  <c r="J161" i="12"/>
  <c r="K161" i="12" s="1"/>
  <c r="J200" i="12"/>
  <c r="K200" i="12" s="1"/>
  <c r="J239" i="12"/>
  <c r="J224" i="12"/>
  <c r="J599" i="12" s="1"/>
  <c r="J179" i="12"/>
  <c r="K146" i="12"/>
  <c r="K191" i="12"/>
  <c r="J579" i="12"/>
  <c r="J205" i="12"/>
  <c r="J220" i="12" s="1"/>
  <c r="J282" i="12"/>
  <c r="K282" i="12" s="1"/>
  <c r="K267" i="12"/>
  <c r="J215" i="12"/>
  <c r="J589" i="12" s="1"/>
  <c r="J170" i="12"/>
  <c r="K170" i="12" s="1"/>
  <c r="J230" i="12"/>
  <c r="K24" i="15"/>
  <c r="J36" i="15"/>
  <c r="K223" i="12"/>
  <c r="K598" i="12"/>
  <c r="K614" i="12"/>
  <c r="K238" i="12"/>
  <c r="K630" i="12"/>
  <c r="K566" i="12"/>
  <c r="K178" i="12"/>
  <c r="K128" i="15"/>
  <c r="J184" i="15"/>
  <c r="K184" i="15" s="1"/>
  <c r="J142" i="15"/>
  <c r="J156" i="15" s="1"/>
  <c r="K156" i="15" s="1"/>
  <c r="K129" i="15"/>
  <c r="J143" i="15"/>
  <c r="J157" i="15" s="1"/>
  <c r="K157" i="15" s="1"/>
  <c r="J185" i="15"/>
  <c r="K185" i="15" s="1"/>
  <c r="K164" i="12"/>
  <c r="K483" i="12"/>
  <c r="K500" i="12"/>
  <c r="K689" i="12"/>
  <c r="K674" i="12"/>
  <c r="K398" i="12"/>
  <c r="K237" i="12"/>
  <c r="K222" i="12"/>
  <c r="K162" i="12"/>
  <c r="K160" i="12"/>
  <c r="J374" i="13"/>
  <c r="K364" i="13"/>
  <c r="K339" i="12"/>
  <c r="K155" i="12"/>
  <c r="K401" i="12"/>
  <c r="K65" i="12"/>
  <c r="K78" i="12"/>
  <c r="K367" i="12"/>
  <c r="K350" i="12"/>
  <c r="J373" i="13" l="1"/>
  <c r="K373" i="13" s="1"/>
  <c r="J254" i="12"/>
  <c r="J567" i="12"/>
  <c r="K567" i="12" s="1"/>
  <c r="J315" i="12"/>
  <c r="J631" i="12"/>
  <c r="K631" i="12" s="1"/>
  <c r="J615" i="12"/>
  <c r="K615" i="12" s="1"/>
  <c r="J235" i="12"/>
  <c r="J595" i="12"/>
  <c r="J176" i="12"/>
  <c r="J221" i="12"/>
  <c r="J596" i="12" s="1"/>
  <c r="K596" i="12" s="1"/>
  <c r="J236" i="12"/>
  <c r="K236" i="12" s="1"/>
  <c r="J605" i="12"/>
  <c r="K605" i="12" s="1"/>
  <c r="J621" i="12"/>
  <c r="K621" i="12" s="1"/>
  <c r="J245" i="12"/>
  <c r="K374" i="13"/>
  <c r="J420" i="13"/>
  <c r="K36" i="15"/>
  <c r="J48" i="15"/>
  <c r="K48" i="15" s="1"/>
  <c r="K645" i="12"/>
  <c r="K253" i="12"/>
  <c r="K314" i="12"/>
  <c r="K142" i="15"/>
  <c r="J198" i="15"/>
  <c r="K143" i="15"/>
  <c r="J199" i="15"/>
  <c r="K199" i="15" s="1"/>
  <c r="K239" i="12"/>
  <c r="K179" i="12"/>
  <c r="K599" i="12"/>
  <c r="K224" i="12"/>
  <c r="K415" i="12"/>
  <c r="K563" i="12"/>
  <c r="K175" i="12"/>
  <c r="K230" i="12"/>
  <c r="K215" i="12"/>
  <c r="K589" i="12"/>
  <c r="K356" i="12"/>
  <c r="K418" i="12"/>
  <c r="K435" i="12"/>
  <c r="J419" i="13" l="1"/>
  <c r="K221" i="12"/>
  <c r="J564" i="12"/>
  <c r="K564" i="12" s="1"/>
  <c r="J251" i="12"/>
  <c r="K251" i="12" s="1"/>
  <c r="J627" i="12"/>
  <c r="J250" i="12"/>
  <c r="J611" i="12"/>
  <c r="J311" i="12"/>
  <c r="J328" i="12" s="1"/>
  <c r="J383" i="12"/>
  <c r="J400" i="12" s="1"/>
  <c r="J417" i="12" s="1"/>
  <c r="J434" i="12" s="1"/>
  <c r="J332" i="12"/>
  <c r="J349" i="12" s="1"/>
  <c r="J366" i="12" s="1"/>
  <c r="K176" i="12"/>
  <c r="J312" i="12"/>
  <c r="K312" i="12" s="1"/>
  <c r="J628" i="12"/>
  <c r="K628" i="12" s="1"/>
  <c r="J612" i="12"/>
  <c r="K612" i="12" s="1"/>
  <c r="J646" i="12"/>
  <c r="K646" i="12" s="1"/>
  <c r="J269" i="12"/>
  <c r="J637" i="12"/>
  <c r="K637" i="12" s="1"/>
  <c r="J260" i="12"/>
  <c r="K198" i="15"/>
  <c r="J210" i="15"/>
  <c r="J430" i="13"/>
  <c r="K420" i="13"/>
  <c r="K660" i="12"/>
  <c r="K268" i="12"/>
  <c r="K331" i="12"/>
  <c r="K382" i="12"/>
  <c r="K254" i="12"/>
  <c r="K315" i="12"/>
  <c r="K432" i="12"/>
  <c r="K190" i="12"/>
  <c r="K579" i="12"/>
  <c r="K373" i="12"/>
  <c r="K245" i="12"/>
  <c r="J379" i="12" l="1"/>
  <c r="J396" i="12" s="1"/>
  <c r="J413" i="12" s="1"/>
  <c r="J430" i="12" s="1"/>
  <c r="J515" i="12" s="1"/>
  <c r="J531" i="12" s="1"/>
  <c r="J547" i="12" s="1"/>
  <c r="J345" i="12"/>
  <c r="J362" i="12" s="1"/>
  <c r="J447" i="12" s="1"/>
  <c r="J464" i="12" s="1"/>
  <c r="J481" i="12" s="1"/>
  <c r="J498" i="12" s="1"/>
  <c r="J265" i="12"/>
  <c r="J642" i="12"/>
  <c r="J380" i="12"/>
  <c r="J397" i="12" s="1"/>
  <c r="J414" i="12" s="1"/>
  <c r="J431" i="12" s="1"/>
  <c r="J329" i="12"/>
  <c r="J346" i="12" s="1"/>
  <c r="J363" i="12" s="1"/>
  <c r="J451" i="12"/>
  <c r="J468" i="12" s="1"/>
  <c r="J485" i="12" s="1"/>
  <c r="J502" i="12" s="1"/>
  <c r="J519" i="12"/>
  <c r="J535" i="12" s="1"/>
  <c r="J551" i="12" s="1"/>
  <c r="J661" i="12"/>
  <c r="K661" i="12" s="1"/>
  <c r="J284" i="12"/>
  <c r="J266" i="12"/>
  <c r="J643" i="12"/>
  <c r="K643" i="12" s="1"/>
  <c r="J652" i="12"/>
  <c r="K652" i="12" s="1"/>
  <c r="J275" i="12"/>
  <c r="K210" i="15"/>
  <c r="J250" i="15"/>
  <c r="J220" i="15"/>
  <c r="J440" i="13"/>
  <c r="K430" i="13"/>
  <c r="K399" i="12"/>
  <c r="K365" i="12"/>
  <c r="K348" i="12"/>
  <c r="K675" i="12"/>
  <c r="K283" i="12"/>
  <c r="K383" i="12"/>
  <c r="K332" i="12"/>
  <c r="K269" i="12"/>
  <c r="K517" i="12"/>
  <c r="K205" i="12"/>
  <c r="K260" i="12"/>
  <c r="K390" i="12"/>
  <c r="K380" i="12" l="1"/>
  <c r="J658" i="12"/>
  <c r="K658" i="12" s="1"/>
  <c r="J281" i="12"/>
  <c r="K281" i="12" s="1"/>
  <c r="J299" i="12"/>
  <c r="J691" i="12" s="1"/>
  <c r="J676" i="12"/>
  <c r="K676" i="12" s="1"/>
  <c r="J448" i="12"/>
  <c r="J465" i="12" s="1"/>
  <c r="J482" i="12" s="1"/>
  <c r="J499" i="12" s="1"/>
  <c r="J516" i="12"/>
  <c r="J532" i="12" s="1"/>
  <c r="J548" i="12" s="1"/>
  <c r="K266" i="12"/>
  <c r="J280" i="12"/>
  <c r="J657" i="12"/>
  <c r="K329" i="12"/>
  <c r="J667" i="12"/>
  <c r="K667" i="12" s="1"/>
  <c r="J290" i="12"/>
  <c r="J682" i="12" s="1"/>
  <c r="J260" i="15"/>
  <c r="K250" i="15"/>
  <c r="K440" i="13"/>
  <c r="J450" i="13"/>
  <c r="K450" i="13" s="1"/>
  <c r="J230" i="15"/>
  <c r="K220" i="15"/>
  <c r="K416" i="12"/>
  <c r="K690" i="12"/>
  <c r="K298" i="12"/>
  <c r="K346" i="12"/>
  <c r="K363" i="12"/>
  <c r="K397" i="12"/>
  <c r="K284" i="12"/>
  <c r="K349" i="12"/>
  <c r="K366" i="12"/>
  <c r="K400" i="12"/>
  <c r="K533" i="12"/>
  <c r="K220" i="12"/>
  <c r="K595" i="12"/>
  <c r="K407" i="12"/>
  <c r="K275" i="12"/>
  <c r="J672" i="12" l="1"/>
  <c r="J295" i="12"/>
  <c r="J687" i="12" s="1"/>
  <c r="J673" i="12"/>
  <c r="K673" i="12" s="1"/>
  <c r="J296" i="12"/>
  <c r="J688" i="12" s="1"/>
  <c r="J270" i="15"/>
  <c r="K260" i="15"/>
  <c r="J240" i="15"/>
  <c r="K240" i="15" s="1"/>
  <c r="K230" i="15"/>
  <c r="K414" i="12"/>
  <c r="K688" i="12"/>
  <c r="J402" i="14"/>
  <c r="K433" i="12"/>
  <c r="K417" i="12"/>
  <c r="K691" i="12"/>
  <c r="K299" i="12"/>
  <c r="K549" i="12"/>
  <c r="K611" i="12"/>
  <c r="K235" i="12"/>
  <c r="K627" i="12"/>
  <c r="K290" i="12"/>
  <c r="K682" i="12"/>
  <c r="K424" i="12"/>
  <c r="K296" i="12" l="1"/>
  <c r="K270" i="15"/>
  <c r="J280" i="15"/>
  <c r="K280" i="15" s="1"/>
  <c r="K450" i="12"/>
  <c r="K518" i="12"/>
  <c r="J438" i="14"/>
  <c r="J420" i="14"/>
  <c r="K420" i="14" s="1"/>
  <c r="K402" i="14"/>
  <c r="K431" i="12"/>
  <c r="K434" i="12"/>
  <c r="K581" i="12"/>
  <c r="K311" i="12"/>
  <c r="K642" i="12"/>
  <c r="K250" i="12"/>
  <c r="K441" i="12"/>
  <c r="K516" i="12" l="1"/>
  <c r="K448" i="12"/>
  <c r="J456" i="14"/>
  <c r="K438" i="14"/>
  <c r="K534" i="12"/>
  <c r="K550" i="12"/>
  <c r="K467" i="12"/>
  <c r="K519" i="12"/>
  <c r="K451" i="12"/>
  <c r="K597" i="12"/>
  <c r="K657" i="12"/>
  <c r="K265" i="12"/>
  <c r="K328" i="12"/>
  <c r="K458" i="12"/>
  <c r="J474" i="14" l="1"/>
  <c r="K456" i="14"/>
  <c r="K465" i="12"/>
  <c r="K484" i="12"/>
  <c r="K501" i="12"/>
  <c r="K548" i="12"/>
  <c r="K532" i="12"/>
  <c r="K468" i="12"/>
  <c r="K551" i="12"/>
  <c r="K535" i="12"/>
  <c r="K613" i="12"/>
  <c r="K629" i="12"/>
  <c r="K345" i="12"/>
  <c r="K379" i="12"/>
  <c r="K280" i="12"/>
  <c r="K672" i="12"/>
  <c r="K475" i="12"/>
  <c r="K482" i="12" l="1"/>
  <c r="K499" i="12"/>
  <c r="K474" i="14"/>
  <c r="J492" i="14"/>
  <c r="K492" i="14" s="1"/>
  <c r="K502" i="12"/>
  <c r="K485" i="12"/>
  <c r="K396" i="12"/>
  <c r="K362" i="12"/>
  <c r="K687" i="12"/>
  <c r="K295" i="12"/>
  <c r="K492" i="12"/>
  <c r="K447" i="12" l="1"/>
  <c r="K413" i="12"/>
  <c r="K509" i="12"/>
  <c r="K464" i="12" l="1"/>
  <c r="K430" i="12"/>
  <c r="K525" i="12"/>
  <c r="K515" i="12" l="1"/>
  <c r="K481" i="12"/>
  <c r="K498" i="12"/>
  <c r="K541" i="12"/>
  <c r="K557" i="12"/>
  <c r="K547" i="12" l="1"/>
  <c r="K531" i="12"/>
  <c r="A544" i="7" l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J8" i="16"/>
  <c r="J342" i="13"/>
  <c r="J306" i="13"/>
  <c r="J806" i="12"/>
  <c r="J814" i="12" s="1"/>
  <c r="J822" i="12" s="1"/>
  <c r="J9" i="16"/>
  <c r="J16" i="26"/>
  <c r="K16" i="26" s="1"/>
  <c r="L184" i="7" l="1"/>
  <c r="J17" i="26"/>
  <c r="K17" i="26" s="1"/>
  <c r="J147" i="22"/>
  <c r="K147" i="22" s="1"/>
  <c r="J15" i="26"/>
  <c r="K15" i="26" s="1"/>
  <c r="L134" i="7"/>
  <c r="L133" i="7"/>
  <c r="L204" i="7"/>
  <c r="L208" i="7"/>
  <c r="L132" i="7"/>
  <c r="L206" i="7"/>
  <c r="L210" i="7"/>
  <c r="L207" i="7"/>
  <c r="L205" i="7"/>
  <c r="L209" i="7"/>
  <c r="L135" i="7"/>
  <c r="A606" i="7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J18" i="16"/>
  <c r="J315" i="13"/>
  <c r="J382" i="13"/>
  <c r="K382" i="13" s="1"/>
  <c r="K306" i="13"/>
  <c r="J352" i="13"/>
  <c r="K342" i="13"/>
  <c r="K806" i="12"/>
  <c r="J404" i="14"/>
  <c r="J43" i="17"/>
  <c r="J44" i="17" s="1"/>
  <c r="J152" i="15"/>
  <c r="K152" i="15" s="1"/>
  <c r="J14" i="12"/>
  <c r="J27" i="12" s="1"/>
  <c r="J40" i="12" s="1"/>
  <c r="J53" i="12" s="1"/>
  <c r="J66" i="12" s="1"/>
  <c r="J79" i="12" s="1"/>
  <c r="J92" i="12" s="1"/>
  <c r="J105" i="12" s="1"/>
  <c r="J118" i="12" s="1"/>
  <c r="J405" i="14"/>
  <c r="J770" i="12"/>
  <c r="J234" i="14"/>
  <c r="J60" i="12"/>
  <c r="J73" i="12" s="1"/>
  <c r="K129" i="14"/>
  <c r="J464" i="13"/>
  <c r="J467" i="13"/>
  <c r="J98" i="17"/>
  <c r="J109" i="17" s="1"/>
  <c r="K9" i="16"/>
  <c r="J323" i="14"/>
  <c r="J462" i="13"/>
  <c r="J662" i="13"/>
  <c r="J8" i="17"/>
  <c r="J104" i="15"/>
  <c r="J118" i="15" s="1"/>
  <c r="J401" i="14"/>
  <c r="J52" i="17"/>
  <c r="J788" i="12"/>
  <c r="J10" i="17"/>
  <c r="J23" i="17"/>
  <c r="J99" i="17"/>
  <c r="K99" i="17" s="1"/>
  <c r="K8" i="16"/>
  <c r="K49" i="16"/>
  <c r="J797" i="12"/>
  <c r="J708" i="14"/>
  <c r="J96" i="17"/>
  <c r="J11" i="17"/>
  <c r="J111" i="17"/>
  <c r="K111" i="17" s="1"/>
  <c r="J12" i="17"/>
  <c r="J131" i="17"/>
  <c r="K53" i="16"/>
  <c r="A936" i="7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626" i="7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L198" i="7" l="1"/>
  <c r="L232" i="7"/>
  <c r="L231" i="7"/>
  <c r="L154" i="7"/>
  <c r="L149" i="7"/>
  <c r="L227" i="7"/>
  <c r="L183" i="7"/>
  <c r="L213" i="7"/>
  <c r="L229" i="7"/>
  <c r="L185" i="7"/>
  <c r="L223" i="7"/>
  <c r="L228" i="7"/>
  <c r="L221" i="7"/>
  <c r="L186" i="7"/>
  <c r="L217" i="7"/>
  <c r="L211" i="7"/>
  <c r="L214" i="7"/>
  <c r="L230" i="7"/>
  <c r="L156" i="7"/>
  <c r="L155" i="7"/>
  <c r="L151" i="7"/>
  <c r="L150" i="7"/>
  <c r="L196" i="7"/>
  <c r="L157" i="7"/>
  <c r="L188" i="7"/>
  <c r="L187" i="7"/>
  <c r="L225" i="7"/>
  <c r="L152" i="7"/>
  <c r="L153" i="7"/>
  <c r="L195" i="7"/>
  <c r="L224" i="7"/>
  <c r="L215" i="7"/>
  <c r="L182" i="7"/>
  <c r="L189" i="7"/>
  <c r="L181" i="7"/>
  <c r="L197" i="7"/>
  <c r="L212" i="7"/>
  <c r="L226" i="7"/>
  <c r="L200" i="7"/>
  <c r="K19" i="26"/>
  <c r="K20" i="26" s="1"/>
  <c r="K21" i="26" s="1"/>
  <c r="K22" i="26" s="1"/>
  <c r="J907" i="7" s="1"/>
  <c r="L222" i="7"/>
  <c r="L199" i="7"/>
  <c r="J718" i="12"/>
  <c r="K718" i="12" s="1"/>
  <c r="J754" i="12"/>
  <c r="K754" i="12" s="1"/>
  <c r="J86" i="12"/>
  <c r="K86" i="12" s="1"/>
  <c r="J728" i="12"/>
  <c r="K728" i="12" s="1"/>
  <c r="J762" i="12"/>
  <c r="K762" i="12" s="1"/>
  <c r="J15" i="12"/>
  <c r="J28" i="12" s="1"/>
  <c r="J41" i="12" s="1"/>
  <c r="J54" i="12" s="1"/>
  <c r="J67" i="12" s="1"/>
  <c r="J80" i="12" s="1"/>
  <c r="J93" i="12" s="1"/>
  <c r="J106" i="12" s="1"/>
  <c r="J772" i="12"/>
  <c r="J781" i="12" s="1"/>
  <c r="J790" i="12" s="1"/>
  <c r="J799" i="12" s="1"/>
  <c r="J699" i="12"/>
  <c r="J862" i="12"/>
  <c r="K862" i="12" s="1"/>
  <c r="J779" i="12"/>
  <c r="J99" i="12"/>
  <c r="K99" i="12" s="1"/>
  <c r="J8" i="12"/>
  <c r="K8" i="12" s="1"/>
  <c r="J737" i="12"/>
  <c r="K737" i="12" s="1"/>
  <c r="J697" i="12"/>
  <c r="J869" i="12"/>
  <c r="K869" i="12" s="1"/>
  <c r="J11" i="14"/>
  <c r="J21" i="14" s="1"/>
  <c r="J700" i="12"/>
  <c r="J47" i="12"/>
  <c r="K47" i="12" s="1"/>
  <c r="K797" i="12"/>
  <c r="L202" i="7"/>
  <c r="L193" i="7"/>
  <c r="L246" i="7"/>
  <c r="L192" i="7"/>
  <c r="L242" i="7"/>
  <c r="L178" i="7"/>
  <c r="L219" i="7"/>
  <c r="L240" i="7"/>
  <c r="L243" i="7"/>
  <c r="L180" i="7"/>
  <c r="L233" i="7"/>
  <c r="L245" i="7"/>
  <c r="L234" i="7"/>
  <c r="L236" i="7"/>
  <c r="L239" i="7"/>
  <c r="L179" i="7"/>
  <c r="L235" i="7"/>
  <c r="L203" i="7"/>
  <c r="L220" i="7"/>
  <c r="L241" i="7"/>
  <c r="L194" i="7"/>
  <c r="L237" i="7"/>
  <c r="L244" i="7"/>
  <c r="L238" i="7"/>
  <c r="L201" i="7"/>
  <c r="L216" i="7"/>
  <c r="J400" i="21"/>
  <c r="K400" i="21" s="1"/>
  <c r="J334" i="21"/>
  <c r="K334" i="21" s="1"/>
  <c r="J344" i="21"/>
  <c r="L130" i="7"/>
  <c r="L129" i="7"/>
  <c r="J101" i="22"/>
  <c r="K101" i="22" s="1"/>
  <c r="J74" i="22"/>
  <c r="J29" i="14"/>
  <c r="K29" i="14" s="1"/>
  <c r="K788" i="12"/>
  <c r="J8" i="14"/>
  <c r="K8" i="14" s="1"/>
  <c r="J132" i="17"/>
  <c r="K132" i="17" s="1"/>
  <c r="J14" i="15"/>
  <c r="J26" i="15" s="1"/>
  <c r="J236" i="14"/>
  <c r="J266" i="14" s="1"/>
  <c r="J507" i="14"/>
  <c r="K507" i="14" s="1"/>
  <c r="J624" i="14"/>
  <c r="J793" i="14" s="1"/>
  <c r="J406" i="14"/>
  <c r="J424" i="14" s="1"/>
  <c r="K424" i="14" s="1"/>
  <c r="J665" i="13"/>
  <c r="J713" i="13" s="1"/>
  <c r="J13" i="17"/>
  <c r="J57" i="17" s="1"/>
  <c r="K57" i="17" s="1"/>
  <c r="J664" i="13"/>
  <c r="J20" i="17"/>
  <c r="J32" i="17" s="1"/>
  <c r="J45" i="17" s="1"/>
  <c r="J403" i="14"/>
  <c r="J439" i="14" s="1"/>
  <c r="J150" i="14"/>
  <c r="K150" i="14" s="1"/>
  <c r="J712" i="13"/>
  <c r="J723" i="13" s="1"/>
  <c r="J724" i="13" s="1"/>
  <c r="K724" i="13" s="1"/>
  <c r="J108" i="17"/>
  <c r="J164" i="21"/>
  <c r="J8" i="21"/>
  <c r="J100" i="17"/>
  <c r="K100" i="17" s="1"/>
  <c r="J711" i="13"/>
  <c r="K711" i="13" s="1"/>
  <c r="J97" i="17"/>
  <c r="K97" i="17" s="1"/>
  <c r="J319" i="14"/>
  <c r="J332" i="14" s="1"/>
  <c r="J230" i="14"/>
  <c r="K245" i="14" s="1"/>
  <c r="J144" i="14"/>
  <c r="K144" i="14" s="1"/>
  <c r="J228" i="14"/>
  <c r="J273" i="14" s="1"/>
  <c r="J397" i="14"/>
  <c r="K397" i="14" s="1"/>
  <c r="J237" i="14"/>
  <c r="J508" i="14"/>
  <c r="K508" i="14" s="1"/>
  <c r="J10" i="14"/>
  <c r="J20" i="14" s="1"/>
  <c r="J152" i="14"/>
  <c r="J194" i="14" s="1"/>
  <c r="J625" i="14"/>
  <c r="J794" i="14" s="1"/>
  <c r="J407" i="14"/>
  <c r="J208" i="15"/>
  <c r="J248" i="15" s="1"/>
  <c r="J396" i="14"/>
  <c r="K396" i="14" s="1"/>
  <c r="J554" i="14"/>
  <c r="K554" i="14" s="1"/>
  <c r="J952" i="14"/>
  <c r="J968" i="14" s="1"/>
  <c r="J623" i="14"/>
  <c r="J792" i="14" s="1"/>
  <c r="J233" i="14"/>
  <c r="J263" i="14" s="1"/>
  <c r="J149" i="14"/>
  <c r="J191" i="14" s="1"/>
  <c r="J151" i="14"/>
  <c r="J165" i="14" s="1"/>
  <c r="J179" i="14" s="1"/>
  <c r="J235" i="14"/>
  <c r="J265" i="14" s="1"/>
  <c r="J687" i="13"/>
  <c r="J688" i="13" s="1"/>
  <c r="K688" i="13" s="1"/>
  <c r="J31" i="17"/>
  <c r="K31" i="17" s="1"/>
  <c r="J463" i="13"/>
  <c r="J480" i="13" s="1"/>
  <c r="J398" i="14"/>
  <c r="K398" i="14" s="1"/>
  <c r="J663" i="13"/>
  <c r="K663" i="13" s="1"/>
  <c r="J9" i="17"/>
  <c r="J53" i="17" s="1"/>
  <c r="K53" i="17" s="1"/>
  <c r="J171" i="21"/>
  <c r="J332" i="21"/>
  <c r="K332" i="21" s="1"/>
  <c r="J699" i="13"/>
  <c r="J700" i="13" s="1"/>
  <c r="K700" i="13" s="1"/>
  <c r="J42" i="17"/>
  <c r="J86" i="17" s="1"/>
  <c r="K86" i="17" s="1"/>
  <c r="J145" i="14"/>
  <c r="J187" i="14" s="1"/>
  <c r="J619" i="14"/>
  <c r="J788" i="14" s="1"/>
  <c r="J229" i="14"/>
  <c r="K229" i="14" s="1"/>
  <c r="J504" i="14"/>
  <c r="K504" i="14" s="1"/>
  <c r="K98" i="17"/>
  <c r="J745" i="13"/>
  <c r="K745" i="13" s="1"/>
  <c r="J39" i="14"/>
  <c r="K104" i="15"/>
  <c r="J697" i="13"/>
  <c r="K697" i="13" s="1"/>
  <c r="J45" i="15"/>
  <c r="K45" i="15" s="1"/>
  <c r="J87" i="15"/>
  <c r="K87" i="15" s="1"/>
  <c r="J77" i="15"/>
  <c r="K77" i="15" s="1"/>
  <c r="J685" i="13"/>
  <c r="K685" i="13" s="1"/>
  <c r="J33" i="15"/>
  <c r="K33" i="15" s="1"/>
  <c r="J666" i="13"/>
  <c r="K666" i="13" s="1"/>
  <c r="J13" i="15"/>
  <c r="K13" i="15" s="1"/>
  <c r="J466" i="13"/>
  <c r="K466" i="13" s="1"/>
  <c r="J9" i="13"/>
  <c r="K9" i="13" s="1"/>
  <c r="J239" i="15"/>
  <c r="J139" i="15"/>
  <c r="J195" i="15" s="1"/>
  <c r="K195" i="15" s="1"/>
  <c r="K660" i="13"/>
  <c r="J8" i="15"/>
  <c r="K8" i="15" s="1"/>
  <c r="K352" i="13"/>
  <c r="J362" i="13"/>
  <c r="J11" i="15"/>
  <c r="K11" i="15" s="1"/>
  <c r="J461" i="13"/>
  <c r="K461" i="13" s="1"/>
  <c r="J324" i="13"/>
  <c r="K315" i="13"/>
  <c r="J391" i="13"/>
  <c r="K391" i="13" s="1"/>
  <c r="K814" i="12"/>
  <c r="K822" i="12"/>
  <c r="K18" i="16"/>
  <c r="J28" i="16"/>
  <c r="J437" i="14"/>
  <c r="J419" i="14"/>
  <c r="K419" i="14" s="1"/>
  <c r="K401" i="14"/>
  <c r="J264" i="14"/>
  <c r="J249" i="14"/>
  <c r="K249" i="14" s="1"/>
  <c r="K234" i="14"/>
  <c r="J279" i="14"/>
  <c r="K80" i="14"/>
  <c r="J88" i="14"/>
  <c r="K12" i="17"/>
  <c r="J56" i="17"/>
  <c r="K56" i="17" s="1"/>
  <c r="J55" i="17"/>
  <c r="K55" i="17" s="1"/>
  <c r="K11" i="17"/>
  <c r="J725" i="14"/>
  <c r="K708" i="14"/>
  <c r="J475" i="13"/>
  <c r="K458" i="13"/>
  <c r="J440" i="14"/>
  <c r="J422" i="14"/>
  <c r="K422" i="14" s="1"/>
  <c r="K404" i="14"/>
  <c r="K8" i="17"/>
  <c r="J19" i="17"/>
  <c r="J336" i="14"/>
  <c r="K323" i="14"/>
  <c r="J484" i="13"/>
  <c r="K467" i="13"/>
  <c r="K42" i="13"/>
  <c r="J174" i="13"/>
  <c r="J86" i="13"/>
  <c r="J53" i="13"/>
  <c r="J481" i="13"/>
  <c r="K464" i="13"/>
  <c r="J479" i="13"/>
  <c r="K462" i="13"/>
  <c r="K146" i="14"/>
  <c r="K160" i="14"/>
  <c r="J423" i="14"/>
  <c r="K423" i="14" s="1"/>
  <c r="K405" i="14"/>
  <c r="J441" i="14"/>
  <c r="K769" i="12"/>
  <c r="J21" i="16"/>
  <c r="K11" i="16"/>
  <c r="K13" i="16" s="1"/>
  <c r="K14" i="16" s="1"/>
  <c r="K15" i="16" s="1"/>
  <c r="K16" i="16" s="1"/>
  <c r="J885" i="7" s="1"/>
  <c r="J736" i="13"/>
  <c r="K736" i="13" s="1"/>
  <c r="K735" i="13"/>
  <c r="K131" i="17"/>
  <c r="K23" i="17"/>
  <c r="J67" i="17"/>
  <c r="K67" i="17" s="1"/>
  <c r="J429" i="13"/>
  <c r="K419" i="13"/>
  <c r="K52" i="17"/>
  <c r="J63" i="17"/>
  <c r="K457" i="13"/>
  <c r="J474" i="13"/>
  <c r="K10" i="17"/>
  <c r="J54" i="17"/>
  <c r="K54" i="17" s="1"/>
  <c r="J21" i="17"/>
  <c r="J34" i="17" s="1"/>
  <c r="J78" i="17" s="1"/>
  <c r="K78" i="17" s="1"/>
  <c r="K14" i="12"/>
  <c r="K772" i="13"/>
  <c r="K771" i="13"/>
  <c r="J132" i="15"/>
  <c r="K118" i="15"/>
  <c r="K19" i="16"/>
  <c r="K53" i="12"/>
  <c r="J87" i="17"/>
  <c r="K87" i="17" s="1"/>
  <c r="K43" i="17"/>
  <c r="J173" i="13"/>
  <c r="J85" i="13"/>
  <c r="K41" i="13"/>
  <c r="J52" i="13"/>
  <c r="J674" i="13"/>
  <c r="K662" i="13"/>
  <c r="J710" i="13"/>
  <c r="K44" i="17"/>
  <c r="J88" i="17"/>
  <c r="K88" i="17" s="1"/>
  <c r="K60" i="12"/>
  <c r="K73" i="12"/>
  <c r="J107" i="17"/>
  <c r="K96" i="17"/>
  <c r="J748" i="13"/>
  <c r="K748" i="13" s="1"/>
  <c r="K747" i="13"/>
  <c r="J110" i="17"/>
  <c r="K109" i="17"/>
  <c r="L131" i="7" l="1"/>
  <c r="J675" i="13"/>
  <c r="J676" i="13" s="1"/>
  <c r="K676" i="13" s="1"/>
  <c r="K664" i="13"/>
  <c r="K11" i="14"/>
  <c r="L907" i="7"/>
  <c r="L909" i="7" s="1"/>
  <c r="J48" i="12"/>
  <c r="J476" i="12"/>
  <c r="J276" i="12"/>
  <c r="K772" i="12"/>
  <c r="J738" i="12"/>
  <c r="K738" i="12" s="1"/>
  <c r="J710" i="12"/>
  <c r="K710" i="12" s="1"/>
  <c r="J720" i="12"/>
  <c r="J730" i="12" s="1"/>
  <c r="K730" i="12" s="1"/>
  <c r="J709" i="12"/>
  <c r="K709" i="12" s="1"/>
  <c r="J747" i="12"/>
  <c r="J707" i="12"/>
  <c r="K707" i="12" s="1"/>
  <c r="J745" i="12"/>
  <c r="J119" i="12"/>
  <c r="J127" i="12" s="1"/>
  <c r="J187" i="12" s="1"/>
  <c r="J576" i="12" s="1"/>
  <c r="J142" i="12"/>
  <c r="J413" i="21"/>
  <c r="J426" i="21" s="1"/>
  <c r="K335" i="21"/>
  <c r="K336" i="21" s="1"/>
  <c r="K337" i="21" s="1"/>
  <c r="K338" i="21" s="1"/>
  <c r="J967" i="7" s="1"/>
  <c r="J18" i="14"/>
  <c r="K18" i="14" s="1"/>
  <c r="L218" i="7"/>
  <c r="J355" i="21"/>
  <c r="J366" i="21" s="1"/>
  <c r="K366" i="21" s="1"/>
  <c r="K368" i="21" s="1"/>
  <c r="K344" i="21"/>
  <c r="K346" i="21" s="1"/>
  <c r="K347" i="21" s="1"/>
  <c r="K348" i="21" s="1"/>
  <c r="K349" i="21" s="1"/>
  <c r="J968" i="7" s="1"/>
  <c r="J137" i="22"/>
  <c r="J146" i="22" s="1"/>
  <c r="K155" i="22" s="1"/>
  <c r="K157" i="22" s="1"/>
  <c r="K158" i="22" s="1"/>
  <c r="K159" i="22" s="1"/>
  <c r="K160" i="22" s="1"/>
  <c r="J931" i="7" s="1"/>
  <c r="J97" i="14"/>
  <c r="K97" i="14" s="1"/>
  <c r="J65" i="14"/>
  <c r="K65" i="14" s="1"/>
  <c r="K74" i="22"/>
  <c r="J83" i="22"/>
  <c r="J1094" i="14"/>
  <c r="K1094" i="14" s="1"/>
  <c r="J138" i="22"/>
  <c r="K138" i="22" s="1"/>
  <c r="K779" i="12"/>
  <c r="J166" i="14"/>
  <c r="K166" i="14" s="1"/>
  <c r="K235" i="14"/>
  <c r="J159" i="14"/>
  <c r="K159" i="14" s="1"/>
  <c r="K145" i="14"/>
  <c r="J180" i="14"/>
  <c r="K180" i="14" s="1"/>
  <c r="K781" i="12"/>
  <c r="J250" i="14"/>
  <c r="K250" i="14" s="1"/>
  <c r="K152" i="14"/>
  <c r="K712" i="13"/>
  <c r="K723" i="13"/>
  <c r="J258" i="14"/>
  <c r="K258" i="14" s="1"/>
  <c r="J243" i="14"/>
  <c r="K243" i="14" s="1"/>
  <c r="K623" i="14"/>
  <c r="K14" i="15"/>
  <c r="J640" i="14"/>
  <c r="K640" i="14" s="1"/>
  <c r="K228" i="14"/>
  <c r="J158" i="14"/>
  <c r="K158" i="14" s="1"/>
  <c r="J518" i="14"/>
  <c r="K518" i="14" s="1"/>
  <c r="J280" i="14"/>
  <c r="K280" i="14" s="1"/>
  <c r="J281" i="14"/>
  <c r="K281" i="14" s="1"/>
  <c r="J733" i="13"/>
  <c r="K733" i="13" s="1"/>
  <c r="J642" i="14"/>
  <c r="K642" i="14" s="1"/>
  <c r="J442" i="14"/>
  <c r="J460" i="14" s="1"/>
  <c r="K236" i="14"/>
  <c r="K665" i="13"/>
  <c r="K233" i="14"/>
  <c r="K406" i="14"/>
  <c r="J251" i="14"/>
  <c r="K251" i="14" s="1"/>
  <c r="K42" i="17"/>
  <c r="K625" i="14"/>
  <c r="K10" i="14"/>
  <c r="K13" i="17"/>
  <c r="K208" i="15"/>
  <c r="K619" i="14"/>
  <c r="J636" i="14"/>
  <c r="J653" i="14" s="1"/>
  <c r="J75" i="17"/>
  <c r="K75" i="17" s="1"/>
  <c r="J514" i="14"/>
  <c r="J524" i="14" s="1"/>
  <c r="J33" i="17"/>
  <c r="J77" i="17" s="1"/>
  <c r="K77" i="17" s="1"/>
  <c r="K700" i="12"/>
  <c r="K9" i="17"/>
  <c r="J259" i="14"/>
  <c r="K259" i="14" s="1"/>
  <c r="J433" i="14"/>
  <c r="J451" i="14" s="1"/>
  <c r="J415" i="14"/>
  <c r="K415" i="14" s="1"/>
  <c r="J278" i="14"/>
  <c r="J308" i="14" s="1"/>
  <c r="K308" i="14" s="1"/>
  <c r="J248" i="14"/>
  <c r="K248" i="14" s="1"/>
  <c r="J678" i="13"/>
  <c r="J690" i="13" s="1"/>
  <c r="J163" i="14"/>
  <c r="K163" i="14" s="1"/>
  <c r="K319" i="14"/>
  <c r="J714" i="13"/>
  <c r="J726" i="13" s="1"/>
  <c r="J414" i="14"/>
  <c r="K414" i="14" s="1"/>
  <c r="J421" i="14"/>
  <c r="K421" i="14" s="1"/>
  <c r="J432" i="14"/>
  <c r="J450" i="14" s="1"/>
  <c r="J478" i="13"/>
  <c r="J495" i="13" s="1"/>
  <c r="K463" i="13"/>
  <c r="J677" i="13"/>
  <c r="J773" i="13" s="1"/>
  <c r="K773" i="13" s="1"/>
  <c r="J177" i="14"/>
  <c r="K177" i="14" s="1"/>
  <c r="J173" i="14"/>
  <c r="K173" i="14" s="1"/>
  <c r="J24" i="17"/>
  <c r="J35" i="17" s="1"/>
  <c r="J64" i="17"/>
  <c r="K64" i="17" s="1"/>
  <c r="J76" i="17"/>
  <c r="K76" i="17" s="1"/>
  <c r="J207" i="14"/>
  <c r="K207" i="14" s="1"/>
  <c r="K179" i="14"/>
  <c r="J172" i="14"/>
  <c r="J200" i="14" s="1"/>
  <c r="K200" i="14" s="1"/>
  <c r="J164" i="14"/>
  <c r="K164" i="14" s="1"/>
  <c r="K290" i="14"/>
  <c r="K403" i="14"/>
  <c r="J178" i="14"/>
  <c r="J206" i="14" s="1"/>
  <c r="K206" i="14" s="1"/>
  <c r="K952" i="14"/>
  <c r="J416" i="14"/>
  <c r="K416" i="14" s="1"/>
  <c r="K305" i="14"/>
  <c r="J564" i="14"/>
  <c r="K564" i="14" s="1"/>
  <c r="K151" i="14"/>
  <c r="J192" i="14"/>
  <c r="K192" i="14" s="1"/>
  <c r="J274" i="14"/>
  <c r="J304" i="14" s="1"/>
  <c r="K304" i="14" s="1"/>
  <c r="J517" i="14"/>
  <c r="K517" i="14" s="1"/>
  <c r="J434" i="14"/>
  <c r="K434" i="14" s="1"/>
  <c r="K230" i="14"/>
  <c r="K149" i="14"/>
  <c r="K784" i="13"/>
  <c r="K783" i="13"/>
  <c r="J73" i="14"/>
  <c r="K39" i="14"/>
  <c r="J689" i="14"/>
  <c r="J854" i="14" s="1"/>
  <c r="J545" i="14"/>
  <c r="J546" i="14" s="1"/>
  <c r="K546" i="14" s="1"/>
  <c r="J1014" i="14"/>
  <c r="K1014" i="14" s="1"/>
  <c r="J244" i="14"/>
  <c r="K244" i="14" s="1"/>
  <c r="K699" i="13"/>
  <c r="J186" i="14"/>
  <c r="K186" i="14" s="1"/>
  <c r="K110" i="17"/>
  <c r="J122" i="17"/>
  <c r="K122" i="17" s="1"/>
  <c r="K20" i="17"/>
  <c r="J86" i="21"/>
  <c r="K8" i="21"/>
  <c r="J21" i="21"/>
  <c r="K164" i="21"/>
  <c r="J248" i="21"/>
  <c r="J178" i="21"/>
  <c r="J793" i="13"/>
  <c r="K793" i="13" s="1"/>
  <c r="K34" i="17"/>
  <c r="J218" i="15"/>
  <c r="J228" i="15" s="1"/>
  <c r="K624" i="14"/>
  <c r="J120" i="17"/>
  <c r="K108" i="17"/>
  <c r="J25" i="15"/>
  <c r="K25" i="15" s="1"/>
  <c r="J641" i="14"/>
  <c r="J658" i="14" s="1"/>
  <c r="J185" i="21"/>
  <c r="J255" i="21"/>
  <c r="K171" i="21"/>
  <c r="K687" i="13"/>
  <c r="K32" i="17"/>
  <c r="K139" i="15"/>
  <c r="J483" i="13"/>
  <c r="J500" i="13" s="1"/>
  <c r="J17" i="13"/>
  <c r="K17" i="13" s="1"/>
  <c r="J20" i="15"/>
  <c r="K20" i="15" s="1"/>
  <c r="J279" i="15"/>
  <c r="K279" i="15" s="1"/>
  <c r="K239" i="15"/>
  <c r="J125" i="15"/>
  <c r="K125" i="15" s="1"/>
  <c r="J229" i="15"/>
  <c r="J400" i="13"/>
  <c r="K400" i="13" s="1"/>
  <c r="K324" i="13"/>
  <c r="J333" i="13"/>
  <c r="J23" i="15"/>
  <c r="K23" i="15" s="1"/>
  <c r="J57" i="15"/>
  <c r="K57" i="15" s="1"/>
  <c r="J661" i="13"/>
  <c r="J709" i="13" s="1"/>
  <c r="J9" i="15"/>
  <c r="K9" i="15" s="1"/>
  <c r="J672" i="13"/>
  <c r="J684" i="13" s="1"/>
  <c r="K362" i="13"/>
  <c r="J372" i="13"/>
  <c r="K15" i="12"/>
  <c r="K697" i="12"/>
  <c r="K699" i="12"/>
  <c r="K710" i="13"/>
  <c r="J722" i="13"/>
  <c r="K475" i="13"/>
  <c r="J492" i="13"/>
  <c r="K39" i="16"/>
  <c r="K29" i="16"/>
  <c r="K441" i="14"/>
  <c r="J459" i="14"/>
  <c r="J258" i="15"/>
  <c r="K248" i="15"/>
  <c r="K429" i="13"/>
  <c r="J439" i="13"/>
  <c r="K21" i="14"/>
  <c r="J31" i="14"/>
  <c r="K474" i="13"/>
  <c r="J491" i="13"/>
  <c r="J345" i="14"/>
  <c r="K332" i="14"/>
  <c r="J868" i="14"/>
  <c r="K788" i="14"/>
  <c r="J804" i="14"/>
  <c r="J193" i="14"/>
  <c r="K193" i="14" s="1"/>
  <c r="K165" i="14"/>
  <c r="J457" i="14"/>
  <c r="K439" i="14"/>
  <c r="K174" i="14"/>
  <c r="J202" i="14"/>
  <c r="K273" i="14"/>
  <c r="J303" i="14"/>
  <c r="J38" i="16"/>
  <c r="K38" i="16" s="1"/>
  <c r="K28" i="16"/>
  <c r="J293" i="14"/>
  <c r="K293" i="14" s="1"/>
  <c r="K263" i="14"/>
  <c r="J874" i="14"/>
  <c r="K794" i="14"/>
  <c r="J810" i="14"/>
  <c r="J501" i="13"/>
  <c r="K484" i="13"/>
  <c r="J31" i="16"/>
  <c r="K21" i="16"/>
  <c r="K23" i="16" s="1"/>
  <c r="K24" i="16" s="1"/>
  <c r="K25" i="16" s="1"/>
  <c r="K26" i="16" s="1"/>
  <c r="J886" i="7" s="1"/>
  <c r="K188" i="14"/>
  <c r="K28" i="12"/>
  <c r="K41" i="12"/>
  <c r="J349" i="14"/>
  <c r="K336" i="14"/>
  <c r="J742" i="14"/>
  <c r="K725" i="14"/>
  <c r="J294" i="14"/>
  <c r="K294" i="14" s="1"/>
  <c r="K264" i="14"/>
  <c r="J496" i="13"/>
  <c r="K479" i="13"/>
  <c r="K45" i="17"/>
  <c r="J89" i="17"/>
  <c r="K89" i="17" s="1"/>
  <c r="J686" i="13"/>
  <c r="K674" i="13"/>
  <c r="J770" i="13"/>
  <c r="K770" i="13" s="1"/>
  <c r="J309" i="14"/>
  <c r="K309" i="14" s="1"/>
  <c r="K279" i="14"/>
  <c r="J796" i="13"/>
  <c r="K796" i="13" s="1"/>
  <c r="K795" i="13"/>
  <c r="K27" i="12"/>
  <c r="K40" i="12"/>
  <c r="K713" i="13"/>
  <c r="J725" i="13"/>
  <c r="J30" i="17"/>
  <c r="K19" i="17"/>
  <c r="K20" i="14"/>
  <c r="J30" i="14"/>
  <c r="K107" i="17"/>
  <c r="J118" i="17"/>
  <c r="K437" i="14"/>
  <c r="J455" i="14"/>
  <c r="J63" i="13"/>
  <c r="K52" i="13"/>
  <c r="J96" i="13"/>
  <c r="J984" i="14"/>
  <c r="K968" i="14"/>
  <c r="K53" i="13"/>
  <c r="J64" i="13"/>
  <c r="J97" i="13"/>
  <c r="K266" i="14"/>
  <c r="J296" i="14"/>
  <c r="K296" i="14" s="1"/>
  <c r="K21" i="17"/>
  <c r="J22" i="17"/>
  <c r="J65" i="17"/>
  <c r="K65" i="17" s="1"/>
  <c r="K793" i="14"/>
  <c r="J809" i="14"/>
  <c r="J873" i="14"/>
  <c r="J222" i="14"/>
  <c r="K194" i="14"/>
  <c r="K63" i="17"/>
  <c r="J74" i="17"/>
  <c r="K85" i="13"/>
  <c r="J129" i="13"/>
  <c r="J217" i="13"/>
  <c r="K217" i="13" s="1"/>
  <c r="J146" i="15"/>
  <c r="K132" i="15"/>
  <c r="K58" i="17"/>
  <c r="K86" i="13"/>
  <c r="J130" i="13"/>
  <c r="J218" i="13"/>
  <c r="K218" i="13" s="1"/>
  <c r="J458" i="14"/>
  <c r="K440" i="14"/>
  <c r="K187" i="14"/>
  <c r="J215" i="14"/>
  <c r="K215" i="14" s="1"/>
  <c r="J497" i="13"/>
  <c r="K480" i="13"/>
  <c r="K173" i="13"/>
  <c r="J184" i="13"/>
  <c r="K66" i="12"/>
  <c r="J295" i="14"/>
  <c r="K265" i="14"/>
  <c r="K792" i="14"/>
  <c r="J808" i="14"/>
  <c r="K26" i="15"/>
  <c r="J38" i="15"/>
  <c r="K481" i="13"/>
  <c r="J498" i="13"/>
  <c r="J185" i="13"/>
  <c r="K174" i="13"/>
  <c r="J219" i="14"/>
  <c r="K219" i="14" s="1"/>
  <c r="K191" i="14"/>
  <c r="K88" i="14"/>
  <c r="J96" i="14"/>
  <c r="A774" i="7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L264" i="7" l="1"/>
  <c r="L1071" i="7"/>
  <c r="K675" i="13"/>
  <c r="K16" i="21"/>
  <c r="K17" i="21" s="1"/>
  <c r="K18" i="21" s="1"/>
  <c r="K19" i="21" s="1"/>
  <c r="J935" i="7" s="1"/>
  <c r="L967" i="7"/>
  <c r="K202" i="14"/>
  <c r="J216" i="14"/>
  <c r="K216" i="14" s="1"/>
  <c r="J21" i="12"/>
  <c r="J34" i="12" s="1"/>
  <c r="K34" i="12" s="1"/>
  <c r="J698" i="12"/>
  <c r="K698" i="12" s="1"/>
  <c r="J9" i="14"/>
  <c r="J49" i="14" s="1"/>
  <c r="K49" i="14" s="1"/>
  <c r="J870" i="12"/>
  <c r="K870" i="12" s="1"/>
  <c r="J668" i="12"/>
  <c r="K668" i="12" s="1"/>
  <c r="J291" i="12"/>
  <c r="K276" i="12"/>
  <c r="J30" i="22"/>
  <c r="K30" i="22" s="1"/>
  <c r="K36" i="22" s="1"/>
  <c r="K37" i="22" s="1"/>
  <c r="K38" i="22" s="1"/>
  <c r="K39" i="22" s="1"/>
  <c r="J915" i="7" s="1"/>
  <c r="J493" i="12"/>
  <c r="K493" i="12" s="1"/>
  <c r="K476" i="12"/>
  <c r="J49" i="12"/>
  <c r="K49" i="12" s="1"/>
  <c r="K48" i="12"/>
  <c r="J477" i="12"/>
  <c r="J494" i="12" s="1"/>
  <c r="K494" i="12" s="1"/>
  <c r="J442" i="12"/>
  <c r="K442" i="12" s="1"/>
  <c r="J246" i="12"/>
  <c r="J261" i="12" s="1"/>
  <c r="J653" i="12" s="1"/>
  <c r="J459" i="12"/>
  <c r="K459" i="12" s="1"/>
  <c r="J717" i="12"/>
  <c r="J727" i="12" s="1"/>
  <c r="J753" i="12"/>
  <c r="J761" i="12" s="1"/>
  <c r="J719" i="12"/>
  <c r="J729" i="12" s="1"/>
  <c r="J739" i="12" s="1"/>
  <c r="J755" i="12"/>
  <c r="J763" i="12" s="1"/>
  <c r="J807" i="12" s="1"/>
  <c r="J815" i="12" s="1"/>
  <c r="J823" i="12" s="1"/>
  <c r="J831" i="12" s="1"/>
  <c r="J839" i="12" s="1"/>
  <c r="J847" i="12" s="1"/>
  <c r="J855" i="12" s="1"/>
  <c r="J863" i="12" s="1"/>
  <c r="J871" i="12" s="1"/>
  <c r="J61" i="12"/>
  <c r="K61" i="12" s="1"/>
  <c r="J51" i="12"/>
  <c r="K51" i="12" s="1"/>
  <c r="J202" i="12"/>
  <c r="J157" i="12"/>
  <c r="K413" i="21"/>
  <c r="K146" i="22"/>
  <c r="K150" i="22" s="1"/>
  <c r="K151" i="22" s="1"/>
  <c r="K152" i="22" s="1"/>
  <c r="K153" i="22" s="1"/>
  <c r="J930" i="7" s="1"/>
  <c r="J28" i="14"/>
  <c r="K28" i="14" s="1"/>
  <c r="J288" i="14"/>
  <c r="K288" i="14" s="1"/>
  <c r="J208" i="14"/>
  <c r="K208" i="14" s="1"/>
  <c r="A801" i="7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L931" i="7"/>
  <c r="L968" i="7"/>
  <c r="K369" i="21"/>
  <c r="K370" i="21" s="1"/>
  <c r="K371" i="21" s="1"/>
  <c r="J970" i="7" s="1"/>
  <c r="K137" i="22"/>
  <c r="K141" i="22" s="1"/>
  <c r="K142" i="22" s="1"/>
  <c r="K143" i="22" s="1"/>
  <c r="K144" i="22" s="1"/>
  <c r="J928" i="7" s="1"/>
  <c r="K355" i="21"/>
  <c r="K357" i="21" s="1"/>
  <c r="K358" i="21" s="1"/>
  <c r="K359" i="21" s="1"/>
  <c r="K360" i="21" s="1"/>
  <c r="J659" i="14"/>
  <c r="J676" i="14" s="1"/>
  <c r="J1095" i="14"/>
  <c r="K1095" i="14" s="1"/>
  <c r="J92" i="22"/>
  <c r="K83" i="22"/>
  <c r="K782" i="12"/>
  <c r="K783" i="12" s="1"/>
  <c r="K784" i="12" s="1"/>
  <c r="K785" i="12" s="1"/>
  <c r="J606" i="7" s="1"/>
  <c r="K278" i="14"/>
  <c r="J68" i="17"/>
  <c r="K68" i="17" s="1"/>
  <c r="K641" i="14"/>
  <c r="K790" i="12"/>
  <c r="K799" i="12"/>
  <c r="J781" i="13"/>
  <c r="K781" i="13" s="1"/>
  <c r="J657" i="14"/>
  <c r="J674" i="14" s="1"/>
  <c r="K442" i="14"/>
  <c r="K636" i="14"/>
  <c r="K310" i="14"/>
  <c r="J528" i="14"/>
  <c r="J538" i="14" s="1"/>
  <c r="K514" i="14"/>
  <c r="J311" i="14"/>
  <c r="K311" i="14" s="1"/>
  <c r="K221" i="14"/>
  <c r="K720" i="12"/>
  <c r="J452" i="14"/>
  <c r="K452" i="14" s="1"/>
  <c r="K24" i="17"/>
  <c r="K33" i="17"/>
  <c r="K14" i="17"/>
  <c r="K15" i="17" s="1"/>
  <c r="K16" i="17" s="1"/>
  <c r="K17" i="17" s="1"/>
  <c r="J746" i="7" s="1"/>
  <c r="J32" i="15"/>
  <c r="J44" i="15" s="1"/>
  <c r="J774" i="14"/>
  <c r="K774" i="14" s="1"/>
  <c r="J690" i="14"/>
  <c r="K690" i="14" s="1"/>
  <c r="K432" i="14"/>
  <c r="K172" i="14"/>
  <c r="K478" i="13"/>
  <c r="K433" i="14"/>
  <c r="J527" i="14"/>
  <c r="K527" i="14" s="1"/>
  <c r="K218" i="15"/>
  <c r="K260" i="14"/>
  <c r="K689" i="14"/>
  <c r="J220" i="14"/>
  <c r="K220" i="14" s="1"/>
  <c r="K545" i="14"/>
  <c r="J1015" i="14"/>
  <c r="K1015" i="14" s="1"/>
  <c r="J289" i="14"/>
  <c r="K289" i="14" s="1"/>
  <c r="J574" i="14"/>
  <c r="J584" i="14" s="1"/>
  <c r="K274" i="14"/>
  <c r="J201" i="14"/>
  <c r="K201" i="14" s="1"/>
  <c r="J689" i="13"/>
  <c r="J701" i="13" s="1"/>
  <c r="K701" i="13" s="1"/>
  <c r="J37" i="15"/>
  <c r="J80" i="15" s="1"/>
  <c r="K714" i="13"/>
  <c r="J181" i="15"/>
  <c r="K181" i="15" s="1"/>
  <c r="J774" i="13"/>
  <c r="K774" i="13" s="1"/>
  <c r="J25" i="13"/>
  <c r="J33" i="13" s="1"/>
  <c r="K678" i="13"/>
  <c r="K677" i="13"/>
  <c r="J205" i="14"/>
  <c r="K205" i="14" s="1"/>
  <c r="J214" i="14"/>
  <c r="K214" i="14" s="1"/>
  <c r="K178" i="14"/>
  <c r="K483" i="13"/>
  <c r="K178" i="21"/>
  <c r="J192" i="21"/>
  <c r="J105" i="14"/>
  <c r="K73" i="14"/>
  <c r="J269" i="21"/>
  <c r="K255" i="21"/>
  <c r="K248" i="21"/>
  <c r="J262" i="21"/>
  <c r="J199" i="21"/>
  <c r="K185" i="21"/>
  <c r="K173" i="21"/>
  <c r="K174" i="21" s="1"/>
  <c r="K175" i="21" s="1"/>
  <c r="K176" i="21" s="1"/>
  <c r="J951" i="7" s="1"/>
  <c r="J34" i="21"/>
  <c r="K21" i="21"/>
  <c r="K29" i="21" s="1"/>
  <c r="K30" i="21" s="1"/>
  <c r="K31" i="21" s="1"/>
  <c r="K32" i="21" s="1"/>
  <c r="J936" i="7" s="1"/>
  <c r="K86" i="21"/>
  <c r="K94" i="21" s="1"/>
  <c r="K95" i="21" s="1"/>
  <c r="K96" i="21" s="1"/>
  <c r="K97" i="21" s="1"/>
  <c r="J943" i="7" s="1"/>
  <c r="J99" i="21"/>
  <c r="K275" i="14"/>
  <c r="J489" i="14"/>
  <c r="K489" i="14" s="1"/>
  <c r="J385" i="14"/>
  <c r="K385" i="14" s="1"/>
  <c r="J217" i="14"/>
  <c r="K217" i="14" s="1"/>
  <c r="J306" i="14"/>
  <c r="K306" i="14" s="1"/>
  <c r="J121" i="17"/>
  <c r="K121" i="17" s="1"/>
  <c r="J133" i="17"/>
  <c r="K133" i="17" s="1"/>
  <c r="K120" i="17"/>
  <c r="J439" i="21"/>
  <c r="K426" i="21"/>
  <c r="K672" i="13"/>
  <c r="J35" i="15"/>
  <c r="K35" i="15" s="1"/>
  <c r="K661" i="13"/>
  <c r="J409" i="13"/>
  <c r="K409" i="13" s="1"/>
  <c r="K333" i="13"/>
  <c r="K372" i="13"/>
  <c r="J418" i="13"/>
  <c r="K146" i="15"/>
  <c r="J160" i="15"/>
  <c r="J269" i="15"/>
  <c r="K269" i="15" s="1"/>
  <c r="K229" i="15"/>
  <c r="J153" i="15"/>
  <c r="K153" i="15" s="1"/>
  <c r="J97" i="15"/>
  <c r="K97" i="15" s="1"/>
  <c r="J209" i="15"/>
  <c r="J249" i="15" s="1"/>
  <c r="K249" i="15" s="1"/>
  <c r="K745" i="12"/>
  <c r="K747" i="12"/>
  <c r="K808" i="14"/>
  <c r="J824" i="14"/>
  <c r="K459" i="14"/>
  <c r="J477" i="14"/>
  <c r="K303" i="14"/>
  <c r="J318" i="14"/>
  <c r="J670" i="14"/>
  <c r="K653" i="14"/>
  <c r="J698" i="13"/>
  <c r="K698" i="13" s="1"/>
  <c r="K686" i="13"/>
  <c r="K495" i="13"/>
  <c r="J512" i="13"/>
  <c r="K501" i="13"/>
  <c r="J518" i="13"/>
  <c r="J759" i="14"/>
  <c r="K742" i="14"/>
  <c r="K222" i="14"/>
  <c r="K97" i="13"/>
  <c r="J141" i="13"/>
  <c r="K524" i="14"/>
  <c r="J534" i="14"/>
  <c r="J890" i="14"/>
  <c r="K874" i="14"/>
  <c r="J508" i="13"/>
  <c r="K491" i="13"/>
  <c r="J268" i="15"/>
  <c r="K258" i="15"/>
  <c r="J478" i="14"/>
  <c r="K460" i="14"/>
  <c r="K79" i="12"/>
  <c r="K22" i="17"/>
  <c r="J66" i="17"/>
  <c r="K66" i="17" s="1"/>
  <c r="K184" i="13"/>
  <c r="J228" i="13"/>
  <c r="K228" i="13" s="1"/>
  <c r="J195" i="13"/>
  <c r="J261" i="13"/>
  <c r="K261" i="13" s="1"/>
  <c r="K129" i="13"/>
  <c r="K709" i="13"/>
  <c r="J757" i="13"/>
  <c r="K757" i="13" s="1"/>
  <c r="J675" i="14"/>
  <c r="K658" i="14"/>
  <c r="J889" i="14"/>
  <c r="K873" i="14"/>
  <c r="J108" i="13"/>
  <c r="K64" i="13"/>
  <c r="J75" i="13"/>
  <c r="J40" i="14"/>
  <c r="K30" i="14"/>
  <c r="K804" i="14"/>
  <c r="J820" i="14"/>
  <c r="J196" i="13"/>
  <c r="J229" i="13"/>
  <c r="K229" i="13" s="1"/>
  <c r="K185" i="13"/>
  <c r="J702" i="13"/>
  <c r="K702" i="13" s="1"/>
  <c r="K690" i="13"/>
  <c r="K30" i="17"/>
  <c r="J41" i="17"/>
  <c r="K41" i="17" s="1"/>
  <c r="K54" i="12"/>
  <c r="K59" i="17"/>
  <c r="K60" i="17" s="1"/>
  <c r="K61" i="17" s="1"/>
  <c r="J751" i="7" s="1"/>
  <c r="J826" i="14"/>
  <c r="K810" i="14"/>
  <c r="K809" i="14"/>
  <c r="J825" i="14"/>
  <c r="J1000" i="14"/>
  <c r="K984" i="14"/>
  <c r="J473" i="14"/>
  <c r="K455" i="14"/>
  <c r="J469" i="14"/>
  <c r="K451" i="14"/>
  <c r="K31" i="14"/>
  <c r="J41" i="14"/>
  <c r="K41" i="14" s="1"/>
  <c r="J738" i="13"/>
  <c r="K726" i="13"/>
  <c r="J515" i="13"/>
  <c r="K498" i="13"/>
  <c r="J262" i="13"/>
  <c r="K262" i="13" s="1"/>
  <c r="K130" i="13"/>
  <c r="J46" i="17"/>
  <c r="J79" i="17"/>
  <c r="K79" i="17" s="1"/>
  <c r="K35" i="17"/>
  <c r="J737" i="13"/>
  <c r="K725" i="13"/>
  <c r="K31" i="16"/>
  <c r="K33" i="16" s="1"/>
  <c r="K34" i="16" s="1"/>
  <c r="K35" i="16" s="1"/>
  <c r="K36" i="16" s="1"/>
  <c r="J887" i="7" s="1"/>
  <c r="J41" i="16"/>
  <c r="J884" i="14"/>
  <c r="K868" i="14"/>
  <c r="K450" i="14"/>
  <c r="J468" i="14"/>
  <c r="J734" i="13"/>
  <c r="K722" i="13"/>
  <c r="J107" i="13"/>
  <c r="J74" i="13"/>
  <c r="K63" i="13"/>
  <c r="J509" i="13"/>
  <c r="K492" i="13"/>
  <c r="K118" i="17"/>
  <c r="J129" i="17"/>
  <c r="K684" i="13"/>
  <c r="J696" i="13"/>
  <c r="K38" i="15"/>
  <c r="J50" i="15"/>
  <c r="K497" i="13"/>
  <c r="J514" i="13"/>
  <c r="J85" i="17"/>
  <c r="K85" i="17" s="1"/>
  <c r="K74" i="17"/>
  <c r="J140" i="13"/>
  <c r="K96" i="13"/>
  <c r="K496" i="13"/>
  <c r="J513" i="13"/>
  <c r="J449" i="13"/>
  <c r="K449" i="13" s="1"/>
  <c r="K439" i="13"/>
  <c r="J517" i="13"/>
  <c r="K500" i="13"/>
  <c r="J104" i="14"/>
  <c r="K96" i="14"/>
  <c r="J324" i="14"/>
  <c r="K295" i="14"/>
  <c r="K458" i="14"/>
  <c r="J476" i="14"/>
  <c r="K228" i="15"/>
  <c r="J238" i="15"/>
  <c r="K238" i="15" s="1"/>
  <c r="K854" i="14"/>
  <c r="J934" i="14"/>
  <c r="K934" i="14" s="1"/>
  <c r="J362" i="14"/>
  <c r="K349" i="14"/>
  <c r="J475" i="14"/>
  <c r="K457" i="14"/>
  <c r="J358" i="14"/>
  <c r="K345" i="14"/>
  <c r="L1063" i="7" l="1"/>
  <c r="K667" i="13"/>
  <c r="L935" i="7"/>
  <c r="K21" i="12"/>
  <c r="K696" i="13"/>
  <c r="J708" i="13"/>
  <c r="K9" i="14"/>
  <c r="J63" i="22"/>
  <c r="K63" i="22" s="1"/>
  <c r="K69" i="22" s="1"/>
  <c r="K70" i="22" s="1"/>
  <c r="K71" i="22" s="1"/>
  <c r="K72" i="22" s="1"/>
  <c r="J919" i="7" s="1"/>
  <c r="K246" i="12"/>
  <c r="J638" i="12"/>
  <c r="K638" i="12" s="1"/>
  <c r="J746" i="12"/>
  <c r="K746" i="12" s="1"/>
  <c r="K748" i="12" s="1"/>
  <c r="K749" i="12" s="1"/>
  <c r="K750" i="12" s="1"/>
  <c r="K751" i="12" s="1"/>
  <c r="J601" i="7" s="1"/>
  <c r="J708" i="12"/>
  <c r="K708" i="12" s="1"/>
  <c r="J112" i="12"/>
  <c r="K112" i="12" s="1"/>
  <c r="J67" i="15"/>
  <c r="K67" i="15" s="1"/>
  <c r="J129" i="22"/>
  <c r="K129" i="22" s="1"/>
  <c r="J535" i="14"/>
  <c r="J1078" i="14"/>
  <c r="J998" i="14"/>
  <c r="J673" i="13"/>
  <c r="J672" i="14"/>
  <c r="J21" i="15"/>
  <c r="K21" i="15" s="1"/>
  <c r="J19" i="14"/>
  <c r="J683" i="12"/>
  <c r="K683" i="12" s="1"/>
  <c r="K291" i="12"/>
  <c r="J19" i="22"/>
  <c r="K19" i="22" s="1"/>
  <c r="K25" i="22" s="1"/>
  <c r="K26" i="22" s="1"/>
  <c r="K27" i="22" s="1"/>
  <c r="K28" i="22" s="1"/>
  <c r="K477" i="12"/>
  <c r="J232" i="12"/>
  <c r="J217" i="12"/>
  <c r="J592" i="12" s="1"/>
  <c r="J172" i="12"/>
  <c r="J74" i="12"/>
  <c r="K74" i="12" s="1"/>
  <c r="J62" i="12"/>
  <c r="J75" i="12" s="1"/>
  <c r="K75" i="12" s="1"/>
  <c r="K25" i="13"/>
  <c r="L970" i="7"/>
  <c r="J38" i="14"/>
  <c r="K38" i="14" s="1"/>
  <c r="K659" i="14"/>
  <c r="K69" i="17"/>
  <c r="K70" i="17" s="1"/>
  <c r="K71" i="17" s="1"/>
  <c r="K72" i="17" s="1"/>
  <c r="J752" i="7" s="1"/>
  <c r="L936" i="7"/>
  <c r="L951" i="7"/>
  <c r="L746" i="7"/>
  <c r="L928" i="7"/>
  <c r="L915" i="7"/>
  <c r="L606" i="7"/>
  <c r="L751" i="7"/>
  <c r="L943" i="7"/>
  <c r="L930" i="7"/>
  <c r="J969" i="7"/>
  <c r="J929" i="7"/>
  <c r="K92" i="22"/>
  <c r="J110" i="22"/>
  <c r="K32" i="15"/>
  <c r="K25" i="17"/>
  <c r="K26" i="17" s="1"/>
  <c r="K27" i="17" s="1"/>
  <c r="K28" i="17" s="1"/>
  <c r="J747" i="7" s="1"/>
  <c r="K528" i="14"/>
  <c r="K657" i="14"/>
  <c r="K800" i="12"/>
  <c r="K801" i="12" s="1"/>
  <c r="K802" i="12" s="1"/>
  <c r="K803" i="12" s="1"/>
  <c r="J609" i="7" s="1"/>
  <c r="K791" i="12"/>
  <c r="K792" i="12" s="1"/>
  <c r="K793" i="12" s="1"/>
  <c r="K794" i="12" s="1"/>
  <c r="J470" i="14"/>
  <c r="J488" i="14" s="1"/>
  <c r="K488" i="14" s="1"/>
  <c r="K129" i="17"/>
  <c r="K140" i="17"/>
  <c r="K574" i="14"/>
  <c r="J537" i="14"/>
  <c r="K537" i="14" s="1"/>
  <c r="J775" i="14"/>
  <c r="K775" i="14" s="1"/>
  <c r="J855" i="14"/>
  <c r="K855" i="14" s="1"/>
  <c r="K689" i="13"/>
  <c r="J49" i="15"/>
  <c r="J60" i="15" s="1"/>
  <c r="K37" i="15"/>
  <c r="K257" i="21"/>
  <c r="K258" i="21" s="1"/>
  <c r="K259" i="21" s="1"/>
  <c r="K260" i="21" s="1"/>
  <c r="J959" i="7" s="1"/>
  <c r="J452" i="21"/>
  <c r="K439" i="21"/>
  <c r="K199" i="21"/>
  <c r="J213" i="21"/>
  <c r="J276" i="21"/>
  <c r="K262" i="21"/>
  <c r="K99" i="21"/>
  <c r="K107" i="21" s="1"/>
  <c r="K108" i="21" s="1"/>
  <c r="K109" i="21" s="1"/>
  <c r="K110" i="21" s="1"/>
  <c r="J944" i="7" s="1"/>
  <c r="J112" i="21"/>
  <c r="J283" i="21"/>
  <c r="K269" i="21"/>
  <c r="J137" i="14"/>
  <c r="K137" i="14" s="1"/>
  <c r="K105" i="14"/>
  <c r="J206" i="21"/>
  <c r="K192" i="21"/>
  <c r="J47" i="21"/>
  <c r="K34" i="21"/>
  <c r="K42" i="21" s="1"/>
  <c r="K187" i="21"/>
  <c r="K188" i="21" s="1"/>
  <c r="K189" i="21" s="1"/>
  <c r="K190" i="21" s="1"/>
  <c r="J952" i="7" s="1"/>
  <c r="J47" i="15"/>
  <c r="J59" i="15" s="1"/>
  <c r="K59" i="15" s="1"/>
  <c r="K209" i="15"/>
  <c r="K518" i="13"/>
  <c r="J535" i="13"/>
  <c r="K513" i="13"/>
  <c r="J530" i="13"/>
  <c r="J428" i="13"/>
  <c r="K418" i="13"/>
  <c r="K517" i="13"/>
  <c r="J534" i="13"/>
  <c r="K512" i="13"/>
  <c r="J529" i="13"/>
  <c r="K514" i="13"/>
  <c r="J531" i="13"/>
  <c r="J174" i="15"/>
  <c r="K160" i="15"/>
  <c r="K509" i="13"/>
  <c r="J526" i="13"/>
  <c r="K508" i="13"/>
  <c r="J525" i="13"/>
  <c r="K515" i="13"/>
  <c r="J532" i="13"/>
  <c r="K33" i="13"/>
  <c r="J45" i="13"/>
  <c r="K755" i="12"/>
  <c r="K719" i="12"/>
  <c r="K753" i="12"/>
  <c r="K761" i="12"/>
  <c r="K717" i="12"/>
  <c r="K727" i="12"/>
  <c r="K237" i="14"/>
  <c r="J267" i="14"/>
  <c r="J282" i="14"/>
  <c r="J252" i="14"/>
  <c r="K252" i="14" s="1"/>
  <c r="J841" i="14"/>
  <c r="K825" i="14"/>
  <c r="J836" i="14"/>
  <c r="K820" i="14"/>
  <c r="J821" i="12"/>
  <c r="K80" i="15"/>
  <c r="J90" i="15"/>
  <c r="K478" i="14"/>
  <c r="J496" i="14"/>
  <c r="K496" i="14" s="1"/>
  <c r="J687" i="14"/>
  <c r="K670" i="14"/>
  <c r="J495" i="14"/>
  <c r="K495" i="14" s="1"/>
  <c r="K477" i="14"/>
  <c r="K826" i="14"/>
  <c r="J842" i="14"/>
  <c r="K476" i="14"/>
  <c r="J494" i="14"/>
  <c r="K494" i="14" s="1"/>
  <c r="J90" i="17"/>
  <c r="K46" i="17"/>
  <c r="K47" i="17" s="1"/>
  <c r="K48" i="17" s="1"/>
  <c r="K49" i="17" s="1"/>
  <c r="K50" i="17" s="1"/>
  <c r="J750" i="7" s="1"/>
  <c r="K41" i="16"/>
  <c r="K44" i="16" s="1"/>
  <c r="K45" i="16" s="1"/>
  <c r="K46" i="16" s="1"/>
  <c r="K47" i="16" s="1"/>
  <c r="J888" i="7" s="1"/>
  <c r="J51" i="16"/>
  <c r="K51" i="16" s="1"/>
  <c r="K54" i="16" s="1"/>
  <c r="K55" i="16" s="1"/>
  <c r="K56" i="16" s="1"/>
  <c r="K57" i="16" s="1"/>
  <c r="J889" i="7" s="1"/>
  <c r="J692" i="14"/>
  <c r="K675" i="14"/>
  <c r="K538" i="14"/>
  <c r="J548" i="14"/>
  <c r="J776" i="14"/>
  <c r="K759" i="14"/>
  <c r="K50" i="15"/>
  <c r="J103" i="15"/>
  <c r="J371" i="14"/>
  <c r="K358" i="14"/>
  <c r="K475" i="14"/>
  <c r="J493" i="14"/>
  <c r="K493" i="14" s="1"/>
  <c r="J337" i="14"/>
  <c r="K324" i="14"/>
  <c r="K80" i="17"/>
  <c r="K81" i="17" s="1"/>
  <c r="K82" i="17" s="1"/>
  <c r="K83" i="17" s="1"/>
  <c r="J786" i="13"/>
  <c r="K786" i="13" s="1"/>
  <c r="J750" i="13"/>
  <c r="K738" i="13"/>
  <c r="K469" i="14"/>
  <c r="J487" i="14"/>
  <c r="K487" i="14" s="1"/>
  <c r="K676" i="14"/>
  <c r="J693" i="14"/>
  <c r="J273" i="13"/>
  <c r="K273" i="13" s="1"/>
  <c r="K141" i="13"/>
  <c r="K824" i="14"/>
  <c r="J840" i="14"/>
  <c r="K74" i="13"/>
  <c r="J118" i="13"/>
  <c r="K584" i="14"/>
  <c r="J594" i="14"/>
  <c r="K362" i="14"/>
  <c r="J375" i="14"/>
  <c r="K734" i="13"/>
  <c r="J782" i="13"/>
  <c r="K782" i="13" s="1"/>
  <c r="J746" i="13"/>
  <c r="K92" i="12"/>
  <c r="J906" i="14"/>
  <c r="K890" i="14"/>
  <c r="J491" i="14"/>
  <c r="K491" i="14" s="1"/>
  <c r="K473" i="14"/>
  <c r="K195" i="13"/>
  <c r="J206" i="13"/>
  <c r="K206" i="13" s="1"/>
  <c r="K40" i="14"/>
  <c r="J82" i="14"/>
  <c r="J50" i="14"/>
  <c r="J486" i="14"/>
  <c r="K486" i="14" s="1"/>
  <c r="K468" i="14"/>
  <c r="K674" i="14"/>
  <c r="J691" i="14"/>
  <c r="K691" i="14" s="1"/>
  <c r="J119" i="13"/>
  <c r="K75" i="13"/>
  <c r="K261" i="12"/>
  <c r="K653" i="12"/>
  <c r="J900" i="14"/>
  <c r="K884" i="14"/>
  <c r="K889" i="14"/>
  <c r="J905" i="14"/>
  <c r="K1000" i="14"/>
  <c r="J1016" i="14"/>
  <c r="K1016" i="14" s="1"/>
  <c r="J112" i="14"/>
  <c r="K104" i="14"/>
  <c r="J272" i="13"/>
  <c r="K272" i="13" s="1"/>
  <c r="K140" i="13"/>
  <c r="J56" i="15"/>
  <c r="K44" i="15"/>
  <c r="K67" i="12"/>
  <c r="K737" i="13"/>
  <c r="J785" i="13"/>
  <c r="K785" i="13" s="1"/>
  <c r="J749" i="13"/>
  <c r="J761" i="13" s="1"/>
  <c r="K761" i="13" s="1"/>
  <c r="K36" i="17"/>
  <c r="K37" i="17" s="1"/>
  <c r="K38" i="17" s="1"/>
  <c r="K39" i="17" s="1"/>
  <c r="J331" i="14"/>
  <c r="K318" i="14"/>
  <c r="K107" i="13"/>
  <c r="J239" i="13"/>
  <c r="K239" i="13" s="1"/>
  <c r="J151" i="13"/>
  <c r="J207" i="13"/>
  <c r="K207" i="13" s="1"/>
  <c r="K196" i="13"/>
  <c r="J240" i="13"/>
  <c r="K240" i="13" s="1"/>
  <c r="J152" i="13"/>
  <c r="K108" i="13"/>
  <c r="K268" i="15"/>
  <c r="J278" i="15"/>
  <c r="K278" i="15" s="1"/>
  <c r="J544" i="14"/>
  <c r="K544" i="14" s="1"/>
  <c r="K534" i="14"/>
  <c r="J607" i="7" l="1"/>
  <c r="J608" i="7"/>
  <c r="J754" i="7"/>
  <c r="J753" i="7"/>
  <c r="J748" i="7"/>
  <c r="J749" i="7"/>
  <c r="K703" i="13"/>
  <c r="K704" i="13" s="1"/>
  <c r="K691" i="13"/>
  <c r="K668" i="13"/>
  <c r="L919" i="7"/>
  <c r="J720" i="13"/>
  <c r="K708" i="13"/>
  <c r="J46" i="15"/>
  <c r="K46" i="15" s="1"/>
  <c r="J688" i="14"/>
  <c r="J757" i="14"/>
  <c r="K757" i="14" s="1"/>
  <c r="J838" i="14"/>
  <c r="J673" i="14"/>
  <c r="K672" i="14"/>
  <c r="J721" i="13"/>
  <c r="K721" i="13" s="1"/>
  <c r="K673" i="13"/>
  <c r="J769" i="13"/>
  <c r="K769" i="13" s="1"/>
  <c r="J1013" i="14"/>
  <c r="K1013" i="14" s="1"/>
  <c r="K998" i="14"/>
  <c r="J999" i="14"/>
  <c r="K999" i="14" s="1"/>
  <c r="J1079" i="14"/>
  <c r="K1079" i="14" s="1"/>
  <c r="K1078" i="14"/>
  <c r="K535" i="14"/>
  <c r="J536" i="14"/>
  <c r="K536" i="14" s="1"/>
  <c r="J605" i="14"/>
  <c r="K62" i="12"/>
  <c r="J102" i="22"/>
  <c r="K102" i="22" s="1"/>
  <c r="K105" i="22" s="1"/>
  <c r="K106" i="22" s="1"/>
  <c r="K107" i="22" s="1"/>
  <c r="K108" i="22" s="1"/>
  <c r="J923" i="7" s="1"/>
  <c r="J52" i="22"/>
  <c r="K52" i="22" s="1"/>
  <c r="K58" i="22" s="1"/>
  <c r="K59" i="22" s="1"/>
  <c r="K60" i="22" s="1"/>
  <c r="K61" i="22" s="1"/>
  <c r="J918" i="7" s="1"/>
  <c r="J57" i="14"/>
  <c r="K57" i="14" s="1"/>
  <c r="J81" i="14"/>
  <c r="K19" i="14"/>
  <c r="J50" i="12"/>
  <c r="K50" i="12" s="1"/>
  <c r="K55" i="12" s="1"/>
  <c r="K56" i="12" s="1"/>
  <c r="K57" i="12" s="1"/>
  <c r="K58" i="12" s="1"/>
  <c r="J560" i="12"/>
  <c r="J247" i="12"/>
  <c r="J624" i="12"/>
  <c r="J608" i="12"/>
  <c r="L752" i="7"/>
  <c r="J48" i="14"/>
  <c r="K48" i="14" s="1"/>
  <c r="K470" i="14"/>
  <c r="L952" i="7"/>
  <c r="L944" i="7"/>
  <c r="L959" i="7"/>
  <c r="L929" i="7"/>
  <c r="L750" i="7"/>
  <c r="L747" i="7"/>
  <c r="L969" i="7"/>
  <c r="L609" i="7"/>
  <c r="L601" i="7"/>
  <c r="K110" i="22"/>
  <c r="J119" i="22"/>
  <c r="J914" i="7"/>
  <c r="J913" i="7"/>
  <c r="J547" i="14"/>
  <c r="K547" i="14" s="1"/>
  <c r="J935" i="14"/>
  <c r="K935" i="14" s="1"/>
  <c r="K49" i="15"/>
  <c r="J99" i="15"/>
  <c r="K99" i="15" s="1"/>
  <c r="K47" i="15"/>
  <c r="K271" i="21"/>
  <c r="K272" i="21" s="1"/>
  <c r="K273" i="21" s="1"/>
  <c r="K274" i="21" s="1"/>
  <c r="J960" i="7" s="1"/>
  <c r="K201" i="21"/>
  <c r="K202" i="21" s="1"/>
  <c r="K203" i="21" s="1"/>
  <c r="K204" i="21" s="1"/>
  <c r="J954" i="7" s="1"/>
  <c r="K206" i="21"/>
  <c r="J220" i="21"/>
  <c r="K43" i="21"/>
  <c r="J290" i="21"/>
  <c r="K276" i="21"/>
  <c r="J297" i="21"/>
  <c r="K283" i="21"/>
  <c r="K213" i="21"/>
  <c r="J227" i="21"/>
  <c r="J471" i="14"/>
  <c r="K471" i="14" s="1"/>
  <c r="J372" i="14"/>
  <c r="K372" i="14" s="1"/>
  <c r="J203" i="14"/>
  <c r="K203" i="14" s="1"/>
  <c r="J291" i="14"/>
  <c r="K291" i="14" s="1"/>
  <c r="K47" i="21"/>
  <c r="K55" i="21" s="1"/>
  <c r="K56" i="21" s="1"/>
  <c r="K57" i="21" s="1"/>
  <c r="K58" i="21" s="1"/>
  <c r="J939" i="7" s="1"/>
  <c r="J60" i="21"/>
  <c r="K112" i="21"/>
  <c r="K120" i="21" s="1"/>
  <c r="K121" i="21" s="1"/>
  <c r="K122" i="21" s="1"/>
  <c r="K123" i="21" s="1"/>
  <c r="J125" i="21"/>
  <c r="J465" i="21"/>
  <c r="K465" i="21" s="1"/>
  <c r="K452" i="21"/>
  <c r="K776" i="14"/>
  <c r="J872" i="14"/>
  <c r="K548" i="14"/>
  <c r="J558" i="14"/>
  <c r="K687" i="14"/>
  <c r="J704" i="14"/>
  <c r="J69" i="15"/>
  <c r="K69" i="15" s="1"/>
  <c r="K756" i="12"/>
  <c r="K757" i="12" s="1"/>
  <c r="K758" i="12" s="1"/>
  <c r="K759" i="12" s="1"/>
  <c r="K532" i="13"/>
  <c r="J549" i="13"/>
  <c r="J600" i="13"/>
  <c r="K600" i="13" s="1"/>
  <c r="K821" i="12"/>
  <c r="J111" i="15"/>
  <c r="J167" i="15" s="1"/>
  <c r="K167" i="15" s="1"/>
  <c r="J219" i="15"/>
  <c r="K525" i="13"/>
  <c r="J542" i="13"/>
  <c r="J593" i="13"/>
  <c r="K593" i="13" s="1"/>
  <c r="J546" i="13"/>
  <c r="K529" i="13"/>
  <c r="J597" i="13"/>
  <c r="K597" i="13" s="1"/>
  <c r="J551" i="13"/>
  <c r="K534" i="13"/>
  <c r="J602" i="13"/>
  <c r="K602" i="13" s="1"/>
  <c r="K526" i="13"/>
  <c r="J594" i="13"/>
  <c r="K594" i="13" s="1"/>
  <c r="J543" i="13"/>
  <c r="K90" i="15"/>
  <c r="J102" i="15"/>
  <c r="K428" i="13"/>
  <c r="J438" i="13"/>
  <c r="K530" i="13"/>
  <c r="J598" i="13"/>
  <c r="K598" i="13" s="1"/>
  <c r="J547" i="13"/>
  <c r="J89" i="13"/>
  <c r="J56" i="13"/>
  <c r="K45" i="13"/>
  <c r="J177" i="13"/>
  <c r="K174" i="15"/>
  <c r="J188" i="15"/>
  <c r="K535" i="13"/>
  <c r="J552" i="13"/>
  <c r="J603" i="13"/>
  <c r="J599" i="13"/>
  <c r="K599" i="13" s="1"/>
  <c r="K531" i="13"/>
  <c r="J548" i="13"/>
  <c r="K729" i="12"/>
  <c r="K739" i="12"/>
  <c r="K740" i="12" s="1"/>
  <c r="K741" i="12" s="1"/>
  <c r="K742" i="12" s="1"/>
  <c r="K743" i="12" s="1"/>
  <c r="J600" i="7" s="1"/>
  <c r="K763" i="12"/>
  <c r="K764" i="12" s="1"/>
  <c r="K765" i="12" s="1"/>
  <c r="K766" i="12" s="1"/>
  <c r="K767" i="12" s="1"/>
  <c r="J604" i="7" s="1"/>
  <c r="J922" i="14"/>
  <c r="K906" i="14"/>
  <c r="J163" i="13"/>
  <c r="K119" i="13"/>
  <c r="J251" i="13"/>
  <c r="K251" i="13" s="1"/>
  <c r="K375" i="14"/>
  <c r="J388" i="14"/>
  <c r="K388" i="14" s="1"/>
  <c r="K841" i="14"/>
  <c r="J857" i="14"/>
  <c r="K857" i="14" s="1"/>
  <c r="J794" i="13"/>
  <c r="K794" i="13" s="1"/>
  <c r="J758" i="13"/>
  <c r="K758" i="13" s="1"/>
  <c r="K746" i="13"/>
  <c r="J101" i="17"/>
  <c r="K90" i="17"/>
  <c r="K91" i="17" s="1"/>
  <c r="K92" i="17" s="1"/>
  <c r="K93" i="17" s="1"/>
  <c r="K94" i="17" s="1"/>
  <c r="J755" i="7" s="1"/>
  <c r="K50" i="14"/>
  <c r="J58" i="14"/>
  <c r="J604" i="14"/>
  <c r="K604" i="14" s="1"/>
  <c r="K594" i="14"/>
  <c r="J283" i="13"/>
  <c r="K283" i="13" s="1"/>
  <c r="K151" i="13"/>
  <c r="K60" i="15"/>
  <c r="J70" i="15"/>
  <c r="K70" i="15" s="1"/>
  <c r="J916" i="14"/>
  <c r="K900" i="14"/>
  <c r="J384" i="14"/>
  <c r="K384" i="14" s="1"/>
  <c r="K371" i="14"/>
  <c r="J344" i="14"/>
  <c r="K331" i="14"/>
  <c r="K692" i="14"/>
  <c r="J709" i="14"/>
  <c r="K836" i="14"/>
  <c r="J852" i="14"/>
  <c r="K852" i="14" s="1"/>
  <c r="K82" i="14"/>
  <c r="J90" i="14"/>
  <c r="J284" i="13"/>
  <c r="K284" i="13" s="1"/>
  <c r="K152" i="13"/>
  <c r="J350" i="14"/>
  <c r="K337" i="14"/>
  <c r="J117" i="15"/>
  <c r="K103" i="15"/>
  <c r="J312" i="14"/>
  <c r="K282" i="14"/>
  <c r="J797" i="13"/>
  <c r="K797" i="13" s="1"/>
  <c r="K749" i="13"/>
  <c r="K56" i="15"/>
  <c r="J66" i="15"/>
  <c r="J297" i="14"/>
  <c r="K297" i="14" s="1"/>
  <c r="K267" i="14"/>
  <c r="K905" i="14"/>
  <c r="J921" i="14"/>
  <c r="J710" i="14"/>
  <c r="K693" i="14"/>
  <c r="K750" i="13"/>
  <c r="J762" i="13"/>
  <c r="K762" i="13" s="1"/>
  <c r="J798" i="13"/>
  <c r="K798" i="13" s="1"/>
  <c r="J858" i="14"/>
  <c r="K858" i="14" s="1"/>
  <c r="K842" i="14"/>
  <c r="K80" i="12"/>
  <c r="K118" i="12"/>
  <c r="K105" i="12"/>
  <c r="J120" i="14"/>
  <c r="K112" i="14"/>
  <c r="K118" i="13"/>
  <c r="J162" i="13"/>
  <c r="J250" i="13"/>
  <c r="K250" i="13" s="1"/>
  <c r="J856" i="14"/>
  <c r="K856" i="14" s="1"/>
  <c r="K840" i="14"/>
  <c r="A952" i="7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J548" i="7" l="1"/>
  <c r="J549" i="7"/>
  <c r="J602" i="7"/>
  <c r="J603" i="7"/>
  <c r="K44" i="21"/>
  <c r="K45" i="21" s="1"/>
  <c r="K669" i="13"/>
  <c r="K692" i="13"/>
  <c r="K705" i="13"/>
  <c r="K679" i="13"/>
  <c r="K715" i="13"/>
  <c r="J732" i="13"/>
  <c r="K720" i="13"/>
  <c r="K539" i="14"/>
  <c r="K540" i="14" s="1"/>
  <c r="K541" i="14" s="1"/>
  <c r="K542" i="14" s="1"/>
  <c r="J822" i="7" s="1"/>
  <c r="J88" i="15"/>
  <c r="K88" i="15" s="1"/>
  <c r="J205" i="13"/>
  <c r="J249" i="13" s="1"/>
  <c r="J293" i="13" s="1"/>
  <c r="K293" i="13" s="1"/>
  <c r="J87" i="12"/>
  <c r="J88" i="12" s="1"/>
  <c r="K88" i="12" s="1"/>
  <c r="J425" i="12"/>
  <c r="K425" i="12" s="1"/>
  <c r="J64" i="12"/>
  <c r="K64" i="12" s="1"/>
  <c r="J231" i="12"/>
  <c r="J606" i="12" s="1"/>
  <c r="K606" i="12" s="1"/>
  <c r="J460" i="12"/>
  <c r="K460" i="12" s="1"/>
  <c r="J140" i="15"/>
  <c r="J917" i="7"/>
  <c r="J56" i="14"/>
  <c r="K56" i="14" s="1"/>
  <c r="J606" i="14"/>
  <c r="K606" i="14" s="1"/>
  <c r="K605" i="14"/>
  <c r="J839" i="14"/>
  <c r="J758" i="14"/>
  <c r="K758" i="14" s="1"/>
  <c r="K673" i="14"/>
  <c r="K838" i="14"/>
  <c r="J918" i="14"/>
  <c r="K918" i="14" s="1"/>
  <c r="J89" i="14"/>
  <c r="K81" i="14"/>
  <c r="K83" i="14" s="1"/>
  <c r="K84" i="14" s="1"/>
  <c r="K85" i="14" s="1"/>
  <c r="K86" i="14" s="1"/>
  <c r="J783" i="7" s="1"/>
  <c r="L923" i="7"/>
  <c r="K688" i="14"/>
  <c r="K694" i="14" s="1"/>
  <c r="K695" i="14" s="1"/>
  <c r="K696" i="14" s="1"/>
  <c r="K697" i="14" s="1"/>
  <c r="J840" i="7" s="1"/>
  <c r="J773" i="14"/>
  <c r="K773" i="14" s="1"/>
  <c r="J853" i="14"/>
  <c r="M128" i="7"/>
  <c r="J639" i="12"/>
  <c r="J262" i="12"/>
  <c r="J507" i="13"/>
  <c r="K201" i="12"/>
  <c r="L603" i="7"/>
  <c r="L754" i="7"/>
  <c r="L748" i="7"/>
  <c r="L749" i="7"/>
  <c r="L608" i="7"/>
  <c r="L755" i="7"/>
  <c r="L960" i="7"/>
  <c r="L914" i="7"/>
  <c r="L954" i="7"/>
  <c r="L918" i="7"/>
  <c r="L604" i="7"/>
  <c r="L607" i="7"/>
  <c r="L753" i="7"/>
  <c r="L939" i="7"/>
  <c r="L600" i="7"/>
  <c r="L913" i="7"/>
  <c r="J128" i="22"/>
  <c r="K128" i="22" s="1"/>
  <c r="K132" i="22" s="1"/>
  <c r="K133" i="22" s="1"/>
  <c r="K134" i="22" s="1"/>
  <c r="K135" i="22" s="1"/>
  <c r="J927" i="7" s="1"/>
  <c r="K119" i="22"/>
  <c r="K51" i="15"/>
  <c r="K52" i="15" s="1"/>
  <c r="K53" i="15" s="1"/>
  <c r="K54" i="15" s="1"/>
  <c r="J629" i="7" s="1"/>
  <c r="J113" i="15"/>
  <c r="J169" i="15" s="1"/>
  <c r="K169" i="15" s="1"/>
  <c r="J557" i="14"/>
  <c r="J567" i="14" s="1"/>
  <c r="K549" i="14"/>
  <c r="K550" i="14" s="1"/>
  <c r="K551" i="14" s="1"/>
  <c r="K552" i="14" s="1"/>
  <c r="J824" i="7" s="1"/>
  <c r="J953" i="7"/>
  <c r="K215" i="21"/>
  <c r="K216" i="21" s="1"/>
  <c r="K217" i="21" s="1"/>
  <c r="K218" i="21" s="1"/>
  <c r="J955" i="7" s="1"/>
  <c r="J79" i="15"/>
  <c r="J89" i="15" s="1"/>
  <c r="K89" i="15" s="1"/>
  <c r="J937" i="7"/>
  <c r="J938" i="7"/>
  <c r="J138" i="21"/>
  <c r="K125" i="21"/>
  <c r="K133" i="21" s="1"/>
  <c r="K134" i="21" s="1"/>
  <c r="K135" i="21" s="1"/>
  <c r="K136" i="21" s="1"/>
  <c r="J947" i="7" s="1"/>
  <c r="J946" i="7"/>
  <c r="J945" i="7"/>
  <c r="J241" i="21"/>
  <c r="K241" i="21" s="1"/>
  <c r="K227" i="21"/>
  <c r="K220" i="21"/>
  <c r="J234" i="21"/>
  <c r="K234" i="21" s="1"/>
  <c r="J73" i="21"/>
  <c r="K73" i="21" s="1"/>
  <c r="K81" i="21" s="1"/>
  <c r="K82" i="21" s="1"/>
  <c r="K60" i="21"/>
  <c r="K68" i="21" s="1"/>
  <c r="K69" i="21" s="1"/>
  <c r="J311" i="21"/>
  <c r="K297" i="21"/>
  <c r="K285" i="21"/>
  <c r="K286" i="21" s="1"/>
  <c r="K287" i="21" s="1"/>
  <c r="K288" i="21" s="1"/>
  <c r="J304" i="21"/>
  <c r="K290" i="21"/>
  <c r="K558" i="14"/>
  <c r="J568" i="14"/>
  <c r="J888" i="14"/>
  <c r="K872" i="14"/>
  <c r="J721" i="14"/>
  <c r="K704" i="14"/>
  <c r="K111" i="15"/>
  <c r="J116" i="15"/>
  <c r="K102" i="15"/>
  <c r="J560" i="13"/>
  <c r="K543" i="13"/>
  <c r="J611" i="13"/>
  <c r="K611" i="13" s="1"/>
  <c r="J563" i="13"/>
  <c r="K546" i="13"/>
  <c r="J614" i="13"/>
  <c r="K614" i="13" s="1"/>
  <c r="K56" i="13"/>
  <c r="J67" i="13"/>
  <c r="J100" i="13"/>
  <c r="J188" i="13"/>
  <c r="K177" i="13"/>
  <c r="J221" i="13"/>
  <c r="K221" i="13" s="1"/>
  <c r="K89" i="13"/>
  <c r="J133" i="13"/>
  <c r="K542" i="13"/>
  <c r="J610" i="13"/>
  <c r="K610" i="13" s="1"/>
  <c r="J559" i="13"/>
  <c r="K548" i="13"/>
  <c r="J616" i="13"/>
  <c r="K616" i="13" s="1"/>
  <c r="J565" i="13"/>
  <c r="J259" i="15"/>
  <c r="K259" i="15" s="1"/>
  <c r="K219" i="15"/>
  <c r="J620" i="13"/>
  <c r="K620" i="13" s="1"/>
  <c r="K603" i="13"/>
  <c r="J564" i="13"/>
  <c r="J615" i="13"/>
  <c r="K615" i="13" s="1"/>
  <c r="K547" i="13"/>
  <c r="K552" i="13"/>
  <c r="J569" i="13"/>
  <c r="K438" i="13"/>
  <c r="J448" i="13"/>
  <c r="K448" i="13" s="1"/>
  <c r="K549" i="13"/>
  <c r="J617" i="13"/>
  <c r="K617" i="13" s="1"/>
  <c r="J566" i="13"/>
  <c r="J202" i="15"/>
  <c r="K188" i="15"/>
  <c r="K551" i="13"/>
  <c r="J568" i="13"/>
  <c r="J619" i="13"/>
  <c r="K619" i="13" s="1"/>
  <c r="K807" i="12"/>
  <c r="J76" i="15"/>
  <c r="K66" i="15"/>
  <c r="J726" i="14"/>
  <c r="K709" i="14"/>
  <c r="K162" i="13"/>
  <c r="J294" i="13"/>
  <c r="K294" i="13" s="1"/>
  <c r="J128" i="14"/>
  <c r="K120" i="14"/>
  <c r="J727" i="14"/>
  <c r="K710" i="14"/>
  <c r="K350" i="14"/>
  <c r="J363" i="14"/>
  <c r="K90" i="14"/>
  <c r="J98" i="14"/>
  <c r="J295" i="13"/>
  <c r="K295" i="13" s="1"/>
  <c r="K163" i="13"/>
  <c r="J131" i="15"/>
  <c r="K117" i="15"/>
  <c r="J173" i="15"/>
  <c r="K173" i="15" s="1"/>
  <c r="J937" i="14"/>
  <c r="K921" i="14"/>
  <c r="K312" i="14"/>
  <c r="J325" i="14"/>
  <c r="J66" i="14"/>
  <c r="K58" i="14"/>
  <c r="K93" i="12"/>
  <c r="K51" i="14"/>
  <c r="K52" i="14" s="1"/>
  <c r="K53" i="14" s="1"/>
  <c r="K54" i="14" s="1"/>
  <c r="J778" i="7" s="1"/>
  <c r="J932" i="14"/>
  <c r="K916" i="14"/>
  <c r="J112" i="17"/>
  <c r="K101" i="17"/>
  <c r="K102" i="17" s="1"/>
  <c r="K103" i="17" s="1"/>
  <c r="K104" i="17" s="1"/>
  <c r="K105" i="17" s="1"/>
  <c r="J756" i="7" s="1"/>
  <c r="J357" i="14"/>
  <c r="K344" i="14"/>
  <c r="K922" i="14"/>
  <c r="J938" i="14"/>
  <c r="A886" i="7"/>
  <c r="A887" i="7" s="1"/>
  <c r="A888" i="7" s="1"/>
  <c r="A889" i="7" s="1"/>
  <c r="A890" i="7" s="1"/>
  <c r="A891" i="7" s="1"/>
  <c r="A892" i="7" s="1"/>
  <c r="A893" i="7" s="1"/>
  <c r="A967" i="7"/>
  <c r="A968" i="7" s="1"/>
  <c r="A747" i="7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K716" i="13" l="1"/>
  <c r="K706" i="13"/>
  <c r="J732" i="7" s="1"/>
  <c r="K693" i="13"/>
  <c r="K727" i="13"/>
  <c r="K680" i="13"/>
  <c r="K670" i="13"/>
  <c r="J728" i="7" s="1"/>
  <c r="J823" i="7"/>
  <c r="L823" i="7" s="1"/>
  <c r="L783" i="7"/>
  <c r="J744" i="13"/>
  <c r="K732" i="13"/>
  <c r="K249" i="13"/>
  <c r="K205" i="13"/>
  <c r="K87" i="12"/>
  <c r="J331" i="13"/>
  <c r="K331" i="13" s="1"/>
  <c r="J196" i="15"/>
  <c r="K196" i="15" s="1"/>
  <c r="K140" i="15"/>
  <c r="K231" i="12"/>
  <c r="J622" i="12"/>
  <c r="K622" i="12" s="1"/>
  <c r="L917" i="7"/>
  <c r="J32" i="13"/>
  <c r="K32" i="13" s="1"/>
  <c r="J73" i="13"/>
  <c r="J117" i="13" s="1"/>
  <c r="J64" i="14"/>
  <c r="K64" i="14" s="1"/>
  <c r="J575" i="13"/>
  <c r="J584" i="13" s="1"/>
  <c r="J370" i="13"/>
  <c r="K370" i="13" s="1"/>
  <c r="J9" i="12"/>
  <c r="K9" i="12" s="1"/>
  <c r="J919" i="14"/>
  <c r="K919" i="14" s="1"/>
  <c r="K839" i="14"/>
  <c r="J8" i="22"/>
  <c r="J41" i="22" s="1"/>
  <c r="K41" i="22" s="1"/>
  <c r="K47" i="22" s="1"/>
  <c r="K48" i="22" s="1"/>
  <c r="K49" i="22" s="1"/>
  <c r="K50" i="22" s="1"/>
  <c r="J916" i="7" s="1"/>
  <c r="L548" i="7"/>
  <c r="J78" i="15"/>
  <c r="K78" i="15" s="1"/>
  <c r="J443" i="12"/>
  <c r="K443" i="12" s="1"/>
  <c r="J216" i="12"/>
  <c r="J590" i="12" s="1"/>
  <c r="K590" i="12" s="1"/>
  <c r="J357" i="12"/>
  <c r="K357" i="12" s="1"/>
  <c r="J171" i="12"/>
  <c r="J391" i="12"/>
  <c r="J408" i="12" s="1"/>
  <c r="K408" i="12" s="1"/>
  <c r="J1047" i="14"/>
  <c r="K1047" i="14" s="1"/>
  <c r="J639" i="14"/>
  <c r="J967" i="14"/>
  <c r="K967" i="14" s="1"/>
  <c r="K89" i="14"/>
  <c r="K91" i="14" s="1"/>
  <c r="K92" i="14" s="1"/>
  <c r="K93" i="14" s="1"/>
  <c r="K94" i="14" s="1"/>
  <c r="J784" i="7" s="1"/>
  <c r="J113" i="14"/>
  <c r="J933" i="14"/>
  <c r="K933" i="14" s="1"/>
  <c r="K853" i="14"/>
  <c r="K859" i="14" s="1"/>
  <c r="K860" i="14" s="1"/>
  <c r="K861" i="14" s="1"/>
  <c r="K862" i="14" s="1"/>
  <c r="J856" i="7" s="1"/>
  <c r="J42" i="14"/>
  <c r="K42" i="14" s="1"/>
  <c r="K43" i="14" s="1"/>
  <c r="K44" i="14" s="1"/>
  <c r="K45" i="14" s="1"/>
  <c r="K46" i="14" s="1"/>
  <c r="J777" i="7" s="1"/>
  <c r="J731" i="12"/>
  <c r="K731" i="12" s="1"/>
  <c r="K732" i="12" s="1"/>
  <c r="K733" i="12" s="1"/>
  <c r="K734" i="12" s="1"/>
  <c r="K735" i="12" s="1"/>
  <c r="J599" i="7" s="1"/>
  <c r="J607" i="12"/>
  <c r="J623" i="12" s="1"/>
  <c r="K623" i="12" s="1"/>
  <c r="M19" i="7"/>
  <c r="M1042" i="7"/>
  <c r="N1042" i="7" s="1"/>
  <c r="N128" i="7"/>
  <c r="J34" i="15"/>
  <c r="K34" i="15" s="1"/>
  <c r="K39" i="15" s="1"/>
  <c r="K40" i="15" s="1"/>
  <c r="K41" i="15" s="1"/>
  <c r="K42" i="15" s="1"/>
  <c r="J126" i="15"/>
  <c r="K126" i="15" s="1"/>
  <c r="J194" i="13"/>
  <c r="J77" i="12"/>
  <c r="K77" i="12" s="1"/>
  <c r="J10" i="12"/>
  <c r="K10" i="12" s="1"/>
  <c r="J100" i="12"/>
  <c r="J426" i="12"/>
  <c r="K426" i="12" s="1"/>
  <c r="J654" i="12"/>
  <c r="J277" i="12"/>
  <c r="L549" i="7"/>
  <c r="K557" i="14"/>
  <c r="J127" i="15"/>
  <c r="J141" i="15" s="1"/>
  <c r="J155" i="15" s="1"/>
  <c r="K155" i="15" s="1"/>
  <c r="A766" i="7"/>
  <c r="A767" i="7" s="1"/>
  <c r="A768" i="7" s="1"/>
  <c r="A769" i="7" s="1"/>
  <c r="L629" i="7"/>
  <c r="L927" i="7"/>
  <c r="L822" i="7"/>
  <c r="L946" i="7"/>
  <c r="L602" i="7"/>
  <c r="L947" i="7"/>
  <c r="L953" i="7"/>
  <c r="L945" i="7"/>
  <c r="L824" i="7"/>
  <c r="L938" i="7"/>
  <c r="L937" i="7"/>
  <c r="L756" i="7"/>
  <c r="L955" i="7"/>
  <c r="L840" i="7"/>
  <c r="L778" i="7"/>
  <c r="A969" i="7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K113" i="15"/>
  <c r="K79" i="15"/>
  <c r="K70" i="21"/>
  <c r="K71" i="21" s="1"/>
  <c r="J940" i="7" s="1"/>
  <c r="K83" i="21"/>
  <c r="K84" i="21" s="1"/>
  <c r="J942" i="7" s="1"/>
  <c r="J962" i="7"/>
  <c r="J961" i="7"/>
  <c r="K138" i="21"/>
  <c r="K146" i="21" s="1"/>
  <c r="K147" i="21" s="1"/>
  <c r="K148" i="21" s="1"/>
  <c r="K149" i="21" s="1"/>
  <c r="J948" i="7" s="1"/>
  <c r="J151" i="21"/>
  <c r="K299" i="21"/>
  <c r="K300" i="21" s="1"/>
  <c r="K301" i="21" s="1"/>
  <c r="K302" i="21" s="1"/>
  <c r="J963" i="7" s="1"/>
  <c r="K311" i="21"/>
  <c r="J325" i="21"/>
  <c r="K304" i="21"/>
  <c r="J318" i="21"/>
  <c r="K318" i="21" s="1"/>
  <c r="K243" i="21"/>
  <c r="K244" i="21" s="1"/>
  <c r="K245" i="21" s="1"/>
  <c r="K246" i="21" s="1"/>
  <c r="K229" i="21"/>
  <c r="K230" i="21" s="1"/>
  <c r="K231" i="21" s="1"/>
  <c r="K232" i="21" s="1"/>
  <c r="J956" i="7" s="1"/>
  <c r="J577" i="14"/>
  <c r="K567" i="14"/>
  <c r="J904" i="14"/>
  <c r="K888" i="14"/>
  <c r="K937" i="14"/>
  <c r="J953" i="14"/>
  <c r="K938" i="14"/>
  <c r="J954" i="14"/>
  <c r="K932" i="14"/>
  <c r="J948" i="14"/>
  <c r="K568" i="14"/>
  <c r="J578" i="14"/>
  <c r="K721" i="14"/>
  <c r="J738" i="14"/>
  <c r="K202" i="15"/>
  <c r="J212" i="15"/>
  <c r="K564" i="13"/>
  <c r="J632" i="13"/>
  <c r="K632" i="13" s="1"/>
  <c r="J581" i="13"/>
  <c r="J582" i="13"/>
  <c r="J633" i="13"/>
  <c r="K633" i="13" s="1"/>
  <c r="K565" i="13"/>
  <c r="J130" i="15"/>
  <c r="K116" i="15"/>
  <c r="K566" i="13"/>
  <c r="J583" i="13"/>
  <c r="J634" i="13"/>
  <c r="K634" i="13" s="1"/>
  <c r="J111" i="13"/>
  <c r="J78" i="13"/>
  <c r="K67" i="13"/>
  <c r="J576" i="13"/>
  <c r="K559" i="13"/>
  <c r="J627" i="13"/>
  <c r="K627" i="13" s="1"/>
  <c r="J631" i="13"/>
  <c r="K631" i="13" s="1"/>
  <c r="J580" i="13"/>
  <c r="K563" i="13"/>
  <c r="J265" i="13"/>
  <c r="K265" i="13" s="1"/>
  <c r="K133" i="13"/>
  <c r="J637" i="13"/>
  <c r="K637" i="13" s="1"/>
  <c r="J586" i="13"/>
  <c r="K569" i="13"/>
  <c r="J199" i="13"/>
  <c r="K188" i="13"/>
  <c r="J232" i="13"/>
  <c r="K232" i="13" s="1"/>
  <c r="J577" i="13"/>
  <c r="J628" i="13"/>
  <c r="K628" i="13" s="1"/>
  <c r="K560" i="13"/>
  <c r="J636" i="13"/>
  <c r="K636" i="13" s="1"/>
  <c r="J585" i="13"/>
  <c r="K568" i="13"/>
  <c r="K100" i="13"/>
  <c r="J144" i="13"/>
  <c r="K815" i="12"/>
  <c r="K76" i="15"/>
  <c r="J86" i="15"/>
  <c r="K363" i="14"/>
  <c r="J376" i="14"/>
  <c r="K128" i="14"/>
  <c r="J136" i="14"/>
  <c r="K136" i="14" s="1"/>
  <c r="J425" i="14"/>
  <c r="J461" i="14"/>
  <c r="K407" i="14"/>
  <c r="K727" i="14"/>
  <c r="J744" i="14"/>
  <c r="K59" i="14"/>
  <c r="K60" i="14" s="1"/>
  <c r="K61" i="14" s="1"/>
  <c r="K62" i="14" s="1"/>
  <c r="J779" i="7" s="1"/>
  <c r="J516" i="13"/>
  <c r="K516" i="13" s="1"/>
  <c r="K507" i="13"/>
  <c r="J74" i="14"/>
  <c r="K74" i="14" s="1"/>
  <c r="K66" i="14"/>
  <c r="J123" i="17"/>
  <c r="K112" i="17"/>
  <c r="K113" i="17" s="1"/>
  <c r="K114" i="17" s="1"/>
  <c r="K115" i="17" s="1"/>
  <c r="K116" i="17" s="1"/>
  <c r="J757" i="7" s="1"/>
  <c r="K726" i="14"/>
  <c r="J743" i="14"/>
  <c r="J145" i="15"/>
  <c r="J159" i="15" s="1"/>
  <c r="K159" i="15" s="1"/>
  <c r="J187" i="15"/>
  <c r="K187" i="15" s="1"/>
  <c r="K131" i="15"/>
  <c r="K106" i="12"/>
  <c r="K325" i="14"/>
  <c r="J338" i="14"/>
  <c r="J370" i="14"/>
  <c r="K357" i="14"/>
  <c r="J106" i="14"/>
  <c r="K98" i="14"/>
  <c r="K99" i="14" s="1"/>
  <c r="K100" i="14" s="1"/>
  <c r="K101" i="14" s="1"/>
  <c r="K102" i="14" s="1"/>
  <c r="J627" i="7" l="1"/>
  <c r="L627" i="7" s="1"/>
  <c r="J628" i="7"/>
  <c r="K728" i="13"/>
  <c r="K681" i="13"/>
  <c r="K694" i="13"/>
  <c r="K35" i="13"/>
  <c r="K739" i="13"/>
  <c r="J407" i="13"/>
  <c r="K407" i="13" s="1"/>
  <c r="K717" i="13"/>
  <c r="N19" i="7"/>
  <c r="J756" i="13"/>
  <c r="K756" i="13" s="1"/>
  <c r="K744" i="13"/>
  <c r="K73" i="13"/>
  <c r="J72" i="14"/>
  <c r="K72" i="14" s="1"/>
  <c r="K75" i="14" s="1"/>
  <c r="K76" i="14" s="1"/>
  <c r="K77" i="14" s="1"/>
  <c r="K78" i="14" s="1"/>
  <c r="J782" i="7" s="1"/>
  <c r="J643" i="13"/>
  <c r="K643" i="13" s="1"/>
  <c r="K575" i="13"/>
  <c r="K8" i="22"/>
  <c r="K607" i="12"/>
  <c r="L856" i="7"/>
  <c r="J182" i="15"/>
  <c r="K182" i="15" s="1"/>
  <c r="K391" i="12"/>
  <c r="K216" i="12"/>
  <c r="L599" i="7"/>
  <c r="L777" i="7"/>
  <c r="J120" i="22"/>
  <c r="K120" i="22" s="1"/>
  <c r="K123" i="22" s="1"/>
  <c r="K124" i="22" s="1"/>
  <c r="K125" i="22" s="1"/>
  <c r="K126" i="22" s="1"/>
  <c r="J595" i="14"/>
  <c r="J1062" i="14"/>
  <c r="J655" i="14"/>
  <c r="J982" i="14"/>
  <c r="J983" i="14"/>
  <c r="K983" i="14" s="1"/>
  <c r="K171" i="12"/>
  <c r="J558" i="12"/>
  <c r="K558" i="12" s="1"/>
  <c r="L784" i="7"/>
  <c r="J724" i="14"/>
  <c r="K724" i="14" s="1"/>
  <c r="J807" i="14"/>
  <c r="K639" i="14"/>
  <c r="K113" i="14"/>
  <c r="J121" i="14"/>
  <c r="K121" i="14" s="1"/>
  <c r="L628" i="7"/>
  <c r="J172" i="13"/>
  <c r="J216" i="13" s="1"/>
  <c r="J260" i="13" s="1"/>
  <c r="K260" i="13" s="1"/>
  <c r="M1026" i="7"/>
  <c r="N1026" i="7" s="1"/>
  <c r="M1018" i="7"/>
  <c r="N1018" i="7" s="1"/>
  <c r="M1024" i="7"/>
  <c r="N1024" i="7" s="1"/>
  <c r="M131" i="7"/>
  <c r="N131" i="7" s="1"/>
  <c r="M1025" i="7"/>
  <c r="N1025" i="7" s="1"/>
  <c r="M1016" i="7"/>
  <c r="N1016" i="7" s="1"/>
  <c r="M1019" i="7"/>
  <c r="N1019" i="7" s="1"/>
  <c r="M1012" i="7"/>
  <c r="N1012" i="7" s="1"/>
  <c r="M1029" i="7"/>
  <c r="N1029" i="7" s="1"/>
  <c r="M130" i="7"/>
  <c r="N130" i="7" s="1"/>
  <c r="M1014" i="7"/>
  <c r="N1014" i="7" s="1"/>
  <c r="M1043" i="7"/>
  <c r="N1043" i="7" s="1"/>
  <c r="M1011" i="7"/>
  <c r="N1011" i="7" s="1"/>
  <c r="M1021" i="7"/>
  <c r="N1021" i="7" s="1"/>
  <c r="M1020" i="7"/>
  <c r="N1020" i="7" s="1"/>
  <c r="M129" i="7"/>
  <c r="M1015" i="7"/>
  <c r="N1015" i="7" s="1"/>
  <c r="M1017" i="7"/>
  <c r="N1017" i="7" s="1"/>
  <c r="M135" i="7"/>
  <c r="N135" i="7" s="1"/>
  <c r="M1013" i="7"/>
  <c r="N1013" i="7" s="1"/>
  <c r="M1030" i="7"/>
  <c r="N1030" i="7" s="1"/>
  <c r="M133" i="7"/>
  <c r="N133" i="7" s="1"/>
  <c r="M1009" i="7"/>
  <c r="N1009" i="7" s="1"/>
  <c r="M1022" i="7"/>
  <c r="N1022" i="7" s="1"/>
  <c r="M134" i="7"/>
  <c r="N134" i="7" s="1"/>
  <c r="M1027" i="7"/>
  <c r="N1027" i="7" s="1"/>
  <c r="M1010" i="7"/>
  <c r="N1010" i="7" s="1"/>
  <c r="M1028" i="7"/>
  <c r="N1028" i="7" s="1"/>
  <c r="M1023" i="7"/>
  <c r="N1023" i="7" s="1"/>
  <c r="M1008" i="7"/>
  <c r="M1031" i="7"/>
  <c r="N1031" i="7" s="1"/>
  <c r="M1032" i="7"/>
  <c r="N1032" i="7" s="1"/>
  <c r="M132" i="7"/>
  <c r="N132" i="7" s="1"/>
  <c r="J292" i="12"/>
  <c r="J669" i="12"/>
  <c r="J90" i="12"/>
  <c r="K90" i="12" s="1"/>
  <c r="J63" i="12"/>
  <c r="J76" i="12" s="1"/>
  <c r="K76" i="12" s="1"/>
  <c r="K81" i="12" s="1"/>
  <c r="K82" i="12" s="1"/>
  <c r="K83" i="12" s="1"/>
  <c r="K84" i="12" s="1"/>
  <c r="J551" i="7" s="1"/>
  <c r="J853" i="12"/>
  <c r="K853" i="12" s="1"/>
  <c r="K127" i="15"/>
  <c r="J101" i="12"/>
  <c r="K101" i="12" s="1"/>
  <c r="K100" i="12"/>
  <c r="J183" i="15"/>
  <c r="K183" i="15" s="1"/>
  <c r="J238" i="13"/>
  <c r="K194" i="13"/>
  <c r="L948" i="7"/>
  <c r="L962" i="7"/>
  <c r="L963" i="7"/>
  <c r="L916" i="7"/>
  <c r="L956" i="7"/>
  <c r="L961" i="7"/>
  <c r="L757" i="7"/>
  <c r="L779" i="7"/>
  <c r="L942" i="7"/>
  <c r="L940" i="7"/>
  <c r="K81" i="15"/>
  <c r="K82" i="15" s="1"/>
  <c r="K83" i="15" s="1"/>
  <c r="K84" i="15" s="1"/>
  <c r="K313" i="21"/>
  <c r="K314" i="21" s="1"/>
  <c r="K315" i="21" s="1"/>
  <c r="K316" i="21" s="1"/>
  <c r="J964" i="7" s="1"/>
  <c r="J941" i="7"/>
  <c r="J958" i="7"/>
  <c r="J957" i="7"/>
  <c r="K151" i="21"/>
  <c r="K159" i="21" s="1"/>
  <c r="K160" i="21" s="1"/>
  <c r="K161" i="21" s="1"/>
  <c r="K162" i="21" s="1"/>
  <c r="J373" i="21"/>
  <c r="J377" i="21"/>
  <c r="K325" i="21"/>
  <c r="K327" i="21" s="1"/>
  <c r="K328" i="21" s="1"/>
  <c r="K329" i="21" s="1"/>
  <c r="K330" i="21" s="1"/>
  <c r="J346" i="14"/>
  <c r="K346" i="14" s="1"/>
  <c r="J435" i="14"/>
  <c r="K435" i="14" s="1"/>
  <c r="J175" i="14"/>
  <c r="K175" i="14" s="1"/>
  <c r="J261" i="14"/>
  <c r="K261" i="14" s="1"/>
  <c r="J964" i="14"/>
  <c r="K948" i="14"/>
  <c r="J970" i="14"/>
  <c r="K954" i="14"/>
  <c r="J786" i="7"/>
  <c r="J785" i="7"/>
  <c r="J969" i="14"/>
  <c r="K953" i="14"/>
  <c r="K904" i="14"/>
  <c r="J920" i="14"/>
  <c r="K578" i="14"/>
  <c r="J588" i="14"/>
  <c r="J587" i="14"/>
  <c r="K577" i="14"/>
  <c r="J755" i="14"/>
  <c r="K738" i="14"/>
  <c r="K583" i="13"/>
  <c r="J651" i="13"/>
  <c r="K651" i="13" s="1"/>
  <c r="K580" i="13"/>
  <c r="J648" i="13"/>
  <c r="K648" i="13" s="1"/>
  <c r="J144" i="15"/>
  <c r="K130" i="15"/>
  <c r="K144" i="13"/>
  <c r="J276" i="13"/>
  <c r="K276" i="13" s="1"/>
  <c r="K582" i="13"/>
  <c r="J650" i="13"/>
  <c r="K650" i="13" s="1"/>
  <c r="J210" i="13"/>
  <c r="K210" i="13" s="1"/>
  <c r="K199" i="13"/>
  <c r="K576" i="13"/>
  <c r="J644" i="13"/>
  <c r="K644" i="13" s="1"/>
  <c r="K581" i="13"/>
  <c r="J649" i="13"/>
  <c r="K649" i="13" s="1"/>
  <c r="K585" i="13"/>
  <c r="J653" i="13"/>
  <c r="K653" i="13" s="1"/>
  <c r="J122" i="13"/>
  <c r="K78" i="13"/>
  <c r="K577" i="13"/>
  <c r="J645" i="13"/>
  <c r="K645" i="13" s="1"/>
  <c r="J654" i="13"/>
  <c r="K654" i="13" s="1"/>
  <c r="K586" i="13"/>
  <c r="K111" i="13"/>
  <c r="J155" i="13"/>
  <c r="J243" i="13"/>
  <c r="K243" i="13" s="1"/>
  <c r="J252" i="15"/>
  <c r="J222" i="15"/>
  <c r="K212" i="15"/>
  <c r="K823" i="12"/>
  <c r="K824" i="12" s="1"/>
  <c r="K825" i="12" s="1"/>
  <c r="K826" i="12" s="1"/>
  <c r="K827" i="12" s="1"/>
  <c r="J614" i="7" s="1"/>
  <c r="K67" i="14"/>
  <c r="K68" i="14" s="1"/>
  <c r="K69" i="14" s="1"/>
  <c r="K70" i="14" s="1"/>
  <c r="K461" i="14"/>
  <c r="J479" i="14"/>
  <c r="K145" i="15"/>
  <c r="J201" i="15"/>
  <c r="J443" i="14"/>
  <c r="K443" i="14" s="1"/>
  <c r="K425" i="14"/>
  <c r="K123" i="17"/>
  <c r="K124" i="17" s="1"/>
  <c r="K125" i="17" s="1"/>
  <c r="K126" i="17" s="1"/>
  <c r="K127" i="17" s="1"/>
  <c r="J134" i="17"/>
  <c r="K142" i="12"/>
  <c r="K202" i="12"/>
  <c r="K210" i="12" s="1"/>
  <c r="K211" i="12" s="1"/>
  <c r="K212" i="12" s="1"/>
  <c r="K213" i="12" s="1"/>
  <c r="J562" i="7" s="1"/>
  <c r="K770" i="12"/>
  <c r="K773" i="12" s="1"/>
  <c r="K119" i="12"/>
  <c r="J760" i="14"/>
  <c r="K743" i="14"/>
  <c r="J161" i="13"/>
  <c r="K161" i="13" s="1"/>
  <c r="K117" i="13"/>
  <c r="J761" i="14"/>
  <c r="K744" i="14"/>
  <c r="J197" i="15"/>
  <c r="K197" i="15" s="1"/>
  <c r="K141" i="15"/>
  <c r="J813" i="12"/>
  <c r="K338" i="14"/>
  <c r="J351" i="14"/>
  <c r="K376" i="14"/>
  <c r="J389" i="14"/>
  <c r="K389" i="14" s="1"/>
  <c r="J652" i="13"/>
  <c r="K652" i="13" s="1"/>
  <c r="K584" i="13"/>
  <c r="J96" i="15"/>
  <c r="K86" i="15"/>
  <c r="K91" i="15" s="1"/>
  <c r="K92" i="15" s="1"/>
  <c r="K93" i="15" s="1"/>
  <c r="K94" i="15" s="1"/>
  <c r="J634" i="7" s="1"/>
  <c r="K370" i="14"/>
  <c r="J383" i="14"/>
  <c r="K383" i="14" s="1"/>
  <c r="K106" i="14"/>
  <c r="K107" i="14" s="1"/>
  <c r="K108" i="14" s="1"/>
  <c r="K109" i="14" s="1"/>
  <c r="K110" i="14" s="1"/>
  <c r="J787" i="7" s="1"/>
  <c r="J114" i="14"/>
  <c r="K519" i="13"/>
  <c r="J731" i="7" l="1"/>
  <c r="J730" i="7"/>
  <c r="J632" i="7"/>
  <c r="J633" i="7"/>
  <c r="J759" i="7"/>
  <c r="J758" i="7"/>
  <c r="J446" i="13"/>
  <c r="K446" i="13" s="1"/>
  <c r="K718" i="13"/>
  <c r="J733" i="7" s="1"/>
  <c r="K682" i="13"/>
  <c r="J729" i="7" s="1"/>
  <c r="K740" i="13"/>
  <c r="K211" i="13"/>
  <c r="K266" i="13"/>
  <c r="K751" i="13"/>
  <c r="L728" i="7"/>
  <c r="K729" i="13"/>
  <c r="K36" i="13"/>
  <c r="L732" i="7"/>
  <c r="K14" i="22"/>
  <c r="K15" i="22" s="1"/>
  <c r="K16" i="22" s="1"/>
  <c r="K17" i="22" s="1"/>
  <c r="J912" i="7" s="1"/>
  <c r="L912" i="7" s="1"/>
  <c r="K79" i="13"/>
  <c r="K520" i="13"/>
  <c r="J768" i="13"/>
  <c r="K763" i="13"/>
  <c r="K216" i="13"/>
  <c r="K200" i="13"/>
  <c r="J23" i="12"/>
  <c r="J36" i="12" s="1"/>
  <c r="K36" i="12" s="1"/>
  <c r="J358" i="12"/>
  <c r="K358" i="12" s="1"/>
  <c r="J997" i="14"/>
  <c r="K997" i="14" s="1"/>
  <c r="K982" i="14"/>
  <c r="K172" i="13"/>
  <c r="J671" i="14"/>
  <c r="J822" i="14"/>
  <c r="J656" i="14"/>
  <c r="J740" i="14"/>
  <c r="K740" i="14" s="1"/>
  <c r="K655" i="14"/>
  <c r="J1077" i="14"/>
  <c r="K1062" i="14"/>
  <c r="J1063" i="14"/>
  <c r="K1063" i="14" s="1"/>
  <c r="J925" i="7"/>
  <c r="J926" i="7"/>
  <c r="J966" i="14"/>
  <c r="K966" i="14" s="1"/>
  <c r="J1046" i="14"/>
  <c r="K1046" i="14" s="1"/>
  <c r="J638" i="14"/>
  <c r="K63" i="12"/>
  <c r="K68" i="12" s="1"/>
  <c r="K69" i="12" s="1"/>
  <c r="K70" i="12" s="1"/>
  <c r="K71" i="12" s="1"/>
  <c r="J550" i="7" s="1"/>
  <c r="J154" i="15"/>
  <c r="K154" i="15" s="1"/>
  <c r="J58" i="15"/>
  <c r="K58" i="15" s="1"/>
  <c r="K61" i="15" s="1"/>
  <c r="K62" i="15" s="1"/>
  <c r="K63" i="15" s="1"/>
  <c r="K64" i="15" s="1"/>
  <c r="J630" i="7" s="1"/>
  <c r="J98" i="15"/>
  <c r="K98" i="15" s="1"/>
  <c r="J10" i="15"/>
  <c r="K10" i="15" s="1"/>
  <c r="J32" i="14"/>
  <c r="K32" i="14" s="1"/>
  <c r="K33" i="14" s="1"/>
  <c r="K34" i="14" s="1"/>
  <c r="K35" i="14" s="1"/>
  <c r="K36" i="14" s="1"/>
  <c r="J775" i="7" s="1"/>
  <c r="J721" i="12"/>
  <c r="K721" i="12" s="1"/>
  <c r="K722" i="12" s="1"/>
  <c r="K723" i="12" s="1"/>
  <c r="K724" i="12" s="1"/>
  <c r="K725" i="12" s="1"/>
  <c r="J591" i="12"/>
  <c r="K591" i="12" s="1"/>
  <c r="J559" i="12"/>
  <c r="K559" i="12" s="1"/>
  <c r="K595" i="14"/>
  <c r="J596" i="14"/>
  <c r="K596" i="14" s="1"/>
  <c r="K807" i="14"/>
  <c r="J887" i="14"/>
  <c r="K887" i="14" s="1"/>
  <c r="M156" i="7"/>
  <c r="N156" i="7" s="1"/>
  <c r="M157" i="7"/>
  <c r="N157" i="7" s="1"/>
  <c r="N129" i="7"/>
  <c r="M152" i="7"/>
  <c r="N152" i="7" s="1"/>
  <c r="M21" i="7"/>
  <c r="N21" i="7" s="1"/>
  <c r="M155" i="7"/>
  <c r="N155" i="7" s="1"/>
  <c r="M154" i="7"/>
  <c r="N154" i="7" s="1"/>
  <c r="M20" i="7"/>
  <c r="M153" i="7"/>
  <c r="N153" i="7" s="1"/>
  <c r="N1008" i="7"/>
  <c r="M1033" i="7"/>
  <c r="J360" i="13"/>
  <c r="K360" i="13" s="1"/>
  <c r="J322" i="13"/>
  <c r="J398" i="13" s="1"/>
  <c r="J282" i="13"/>
  <c r="K282" i="13" s="1"/>
  <c r="K238" i="13"/>
  <c r="J62" i="13"/>
  <c r="K62" i="13" s="1"/>
  <c r="J490" i="13"/>
  <c r="J499" i="13" s="1"/>
  <c r="K499" i="13" s="1"/>
  <c r="J24" i="13"/>
  <c r="K24" i="13" s="1"/>
  <c r="J558" i="13"/>
  <c r="J567" i="13" s="1"/>
  <c r="J635" i="13" s="1"/>
  <c r="K635" i="13" s="1"/>
  <c r="J68" i="15"/>
  <c r="K68" i="15" s="1"/>
  <c r="K71" i="15" s="1"/>
  <c r="K72" i="15" s="1"/>
  <c r="K73" i="15" s="1"/>
  <c r="K74" i="15" s="1"/>
  <c r="J631" i="7" s="1"/>
  <c r="J684" i="12"/>
  <c r="J308" i="12"/>
  <c r="J376" i="12" s="1"/>
  <c r="J325" i="12"/>
  <c r="J342" i="12" s="1"/>
  <c r="J359" i="12" s="1"/>
  <c r="J393" i="12" s="1"/>
  <c r="J410" i="12" s="1"/>
  <c r="J427" i="12" s="1"/>
  <c r="J444" i="12" s="1"/>
  <c r="J461" i="12" s="1"/>
  <c r="J478" i="12" s="1"/>
  <c r="J495" i="12" s="1"/>
  <c r="L785" i="7"/>
  <c r="L786" i="7"/>
  <c r="L551" i="7"/>
  <c r="L957" i="7"/>
  <c r="L958" i="7"/>
  <c r="L614" i="7"/>
  <c r="L782" i="7"/>
  <c r="L941" i="7"/>
  <c r="L964" i="7"/>
  <c r="L634" i="7"/>
  <c r="L633" i="7"/>
  <c r="L562" i="7"/>
  <c r="L787" i="7"/>
  <c r="K774" i="12"/>
  <c r="K775" i="12" s="1"/>
  <c r="K776" i="12" s="1"/>
  <c r="J605" i="7" s="1"/>
  <c r="K134" i="17"/>
  <c r="K135" i="17" s="1"/>
  <c r="K136" i="17" s="1"/>
  <c r="K137" i="17" s="1"/>
  <c r="K138" i="17" s="1"/>
  <c r="J760" i="7" s="1"/>
  <c r="K142" i="17"/>
  <c r="K377" i="21"/>
  <c r="J387" i="21"/>
  <c r="K387" i="21" s="1"/>
  <c r="J966" i="7"/>
  <c r="J965" i="7"/>
  <c r="J383" i="21"/>
  <c r="K373" i="21"/>
  <c r="J950" i="7"/>
  <c r="J949" i="7"/>
  <c r="K813" i="12"/>
  <c r="K816" i="12" s="1"/>
  <c r="K817" i="12" s="1"/>
  <c r="K818" i="12" s="1"/>
  <c r="K819" i="12" s="1"/>
  <c r="J246" i="14"/>
  <c r="K246" i="14" s="1"/>
  <c r="J161" i="14"/>
  <c r="K161" i="14" s="1"/>
  <c r="J359" i="14"/>
  <c r="K359" i="14" s="1"/>
  <c r="J417" i="14"/>
  <c r="K417" i="14" s="1"/>
  <c r="J333" i="14"/>
  <c r="K333" i="14" s="1"/>
  <c r="K969" i="14"/>
  <c r="J985" i="14"/>
  <c r="J781" i="7"/>
  <c r="J780" i="7"/>
  <c r="K587" i="14"/>
  <c r="J597" i="14"/>
  <c r="J1032" i="14"/>
  <c r="J936" i="14"/>
  <c r="K936" i="14" s="1"/>
  <c r="K939" i="14" s="1"/>
  <c r="K940" i="14" s="1"/>
  <c r="K941" i="14" s="1"/>
  <c r="K942" i="14" s="1"/>
  <c r="J864" i="7" s="1"/>
  <c r="K920" i="14"/>
  <c r="K970" i="14"/>
  <c r="J986" i="14"/>
  <c r="K588" i="14"/>
  <c r="J598" i="14"/>
  <c r="J980" i="14"/>
  <c r="K964" i="14"/>
  <c r="K755" i="14"/>
  <c r="J772" i="14"/>
  <c r="K772" i="14" s="1"/>
  <c r="K655" i="13"/>
  <c r="J232" i="15"/>
  <c r="K222" i="15"/>
  <c r="J22" i="15"/>
  <c r="K22" i="15" s="1"/>
  <c r="K27" i="15" s="1"/>
  <c r="K28" i="15" s="1"/>
  <c r="K29" i="15" s="1"/>
  <c r="K30" i="15" s="1"/>
  <c r="J626" i="7" s="1"/>
  <c r="J112" i="15"/>
  <c r="K252" i="15"/>
  <c r="J262" i="15"/>
  <c r="K587" i="13"/>
  <c r="K201" i="15"/>
  <c r="J211" i="15"/>
  <c r="J166" i="13"/>
  <c r="K122" i="13"/>
  <c r="J254" i="13"/>
  <c r="K254" i="13" s="1"/>
  <c r="K155" i="13"/>
  <c r="J287" i="13"/>
  <c r="K287" i="13" s="1"/>
  <c r="K144" i="15"/>
  <c r="J158" i="15"/>
  <c r="K831" i="12"/>
  <c r="K127" i="12"/>
  <c r="J364" i="14"/>
  <c r="K351" i="14"/>
  <c r="K761" i="14"/>
  <c r="J778" i="14"/>
  <c r="K778" i="14" s="1"/>
  <c r="K157" i="12"/>
  <c r="K96" i="15"/>
  <c r="J110" i="15"/>
  <c r="J122" i="14"/>
  <c r="K114" i="14"/>
  <c r="K115" i="14" s="1"/>
  <c r="K116" i="14" s="1"/>
  <c r="K117" i="14" s="1"/>
  <c r="K118" i="14" s="1"/>
  <c r="J788" i="7" s="1"/>
  <c r="J497" i="14"/>
  <c r="K497" i="14" s="1"/>
  <c r="K479" i="14"/>
  <c r="K760" i="14"/>
  <c r="J777" i="14"/>
  <c r="K777" i="14" s="1"/>
  <c r="J598" i="7" l="1"/>
  <c r="J597" i="7"/>
  <c r="J613" i="7"/>
  <c r="J612" i="7"/>
  <c r="N20" i="7"/>
  <c r="N1033" i="7"/>
  <c r="M146" i="7"/>
  <c r="N146" i="7" s="1"/>
  <c r="M138" i="7"/>
  <c r="N138" i="7" s="1"/>
  <c r="M141" i="7"/>
  <c r="N141" i="7" s="1"/>
  <c r="M144" i="7"/>
  <c r="N144" i="7" s="1"/>
  <c r="M142" i="7"/>
  <c r="N142" i="7" s="1"/>
  <c r="M147" i="7"/>
  <c r="N147" i="7" s="1"/>
  <c r="M139" i="7"/>
  <c r="N139" i="7" s="1"/>
  <c r="M140" i="7"/>
  <c r="N140" i="7" s="1"/>
  <c r="M143" i="7"/>
  <c r="N143" i="7" s="1"/>
  <c r="K23" i="12"/>
  <c r="L731" i="7"/>
  <c r="K212" i="13"/>
  <c r="K178" i="13"/>
  <c r="K521" i="13"/>
  <c r="K37" i="13"/>
  <c r="K201" i="13"/>
  <c r="K222" i="13"/>
  <c r="K752" i="13"/>
  <c r="L730" i="7"/>
  <c r="K123" i="13"/>
  <c r="K267" i="13"/>
  <c r="K27" i="13"/>
  <c r="K68" i="13"/>
  <c r="K741" i="13"/>
  <c r="K244" i="13"/>
  <c r="K80" i="13"/>
  <c r="K730" i="13"/>
  <c r="J734" i="7" s="1"/>
  <c r="K15" i="15"/>
  <c r="K16" i="15" s="1"/>
  <c r="K17" i="15" s="1"/>
  <c r="K18" i="15" s="1"/>
  <c r="J625" i="7" s="1"/>
  <c r="K588" i="13"/>
  <c r="K255" i="13"/>
  <c r="K656" i="13"/>
  <c r="K764" i="13"/>
  <c r="L550" i="7"/>
  <c r="M22" i="7"/>
  <c r="J780" i="13"/>
  <c r="K768" i="13"/>
  <c r="K567" i="13"/>
  <c r="K288" i="13"/>
  <c r="J106" i="13"/>
  <c r="K106" i="13" s="1"/>
  <c r="K322" i="13"/>
  <c r="K490" i="13"/>
  <c r="L630" i="7"/>
  <c r="K105" i="15"/>
  <c r="K106" i="15" s="1"/>
  <c r="K107" i="15" s="1"/>
  <c r="K108" i="15" s="1"/>
  <c r="J635" i="7" s="1"/>
  <c r="L635" i="7" s="1"/>
  <c r="J741" i="14"/>
  <c r="K741" i="14" s="1"/>
  <c r="J823" i="14"/>
  <c r="K656" i="14"/>
  <c r="J374" i="12"/>
  <c r="K374" i="12" s="1"/>
  <c r="J306" i="12"/>
  <c r="J510" i="12" s="1"/>
  <c r="J526" i="12" s="1"/>
  <c r="J542" i="12" s="1"/>
  <c r="J126" i="12"/>
  <c r="J141" i="12" s="1"/>
  <c r="J156" i="12" s="1"/>
  <c r="J392" i="12"/>
  <c r="J409" i="12" s="1"/>
  <c r="K409" i="12" s="1"/>
  <c r="J902" i="14"/>
  <c r="K902" i="14" s="1"/>
  <c r="K822" i="14"/>
  <c r="J776" i="7"/>
  <c r="J622" i="14"/>
  <c r="J1031" i="14"/>
  <c r="K1031" i="14" s="1"/>
  <c r="J951" i="14"/>
  <c r="K951" i="14" s="1"/>
  <c r="J576" i="14"/>
  <c r="K576" i="14" s="1"/>
  <c r="K671" i="14"/>
  <c r="K677" i="14" s="1"/>
  <c r="K678" i="14" s="1"/>
  <c r="K679" i="14" s="1"/>
  <c r="K680" i="14" s="1"/>
  <c r="J756" i="14"/>
  <c r="K756" i="14" s="1"/>
  <c r="K762" i="14" s="1"/>
  <c r="K763" i="14" s="1"/>
  <c r="K764" i="14" s="1"/>
  <c r="K765" i="14" s="1"/>
  <c r="J837" i="14"/>
  <c r="L926" i="7"/>
  <c r="J723" i="14"/>
  <c r="K723" i="14" s="1"/>
  <c r="J806" i="14"/>
  <c r="K638" i="14"/>
  <c r="L925" i="7"/>
  <c r="J386" i="14"/>
  <c r="J387" i="14" s="1"/>
  <c r="J183" i="13"/>
  <c r="J227" i="13" s="1"/>
  <c r="K1077" i="14"/>
  <c r="K1093" i="14"/>
  <c r="L632" i="7"/>
  <c r="M150" i="7"/>
  <c r="N150" i="7" s="1"/>
  <c r="M136" i="7"/>
  <c r="M1034" i="7"/>
  <c r="M149" i="7"/>
  <c r="N149" i="7" s="1"/>
  <c r="M151" i="7"/>
  <c r="N151" i="7" s="1"/>
  <c r="M137" i="7"/>
  <c r="N137" i="7" s="1"/>
  <c r="M145" i="7"/>
  <c r="N145" i="7" s="1"/>
  <c r="M148" i="7"/>
  <c r="N148" i="7" s="1"/>
  <c r="M1044" i="7"/>
  <c r="N1044" i="7" s="1"/>
  <c r="K558" i="13"/>
  <c r="J626" i="13"/>
  <c r="K626" i="13" s="1"/>
  <c r="J512" i="12"/>
  <c r="J528" i="12"/>
  <c r="J544" i="12" s="1"/>
  <c r="J12" i="12"/>
  <c r="J22" i="12" s="1"/>
  <c r="J35" i="12" s="1"/>
  <c r="K35" i="12" s="1"/>
  <c r="J845" i="12"/>
  <c r="K845" i="12" s="1"/>
  <c r="J89" i="12"/>
  <c r="K89" i="12" s="1"/>
  <c r="K94" i="12" s="1"/>
  <c r="K95" i="12" s="1"/>
  <c r="K96" i="12" s="1"/>
  <c r="K97" i="12" s="1"/>
  <c r="J552" i="7" s="1"/>
  <c r="J103" i="12"/>
  <c r="K103" i="12" s="1"/>
  <c r="J113" i="12"/>
  <c r="J114" i="12" s="1"/>
  <c r="K114" i="12" s="1"/>
  <c r="L864" i="7"/>
  <c r="L605" i="7"/>
  <c r="L780" i="7"/>
  <c r="L775" i="7"/>
  <c r="L965" i="7"/>
  <c r="L949" i="7"/>
  <c r="L760" i="7"/>
  <c r="L631" i="7"/>
  <c r="L966" i="7"/>
  <c r="L612" i="7"/>
  <c r="L626" i="7"/>
  <c r="L759" i="7"/>
  <c r="L950" i="7"/>
  <c r="L758" i="7"/>
  <c r="L788" i="7"/>
  <c r="L781" i="7"/>
  <c r="L598" i="7"/>
  <c r="K143" i="17"/>
  <c r="K144" i="17" s="1"/>
  <c r="K145" i="17" s="1"/>
  <c r="J766" i="7" s="1"/>
  <c r="K855" i="12"/>
  <c r="K856" i="12" s="1"/>
  <c r="K857" i="12" s="1"/>
  <c r="K858" i="12" s="1"/>
  <c r="K859" i="12" s="1"/>
  <c r="J619" i="7" s="1"/>
  <c r="K378" i="21"/>
  <c r="K379" i="21" s="1"/>
  <c r="K380" i="21" s="1"/>
  <c r="K381" i="21" s="1"/>
  <c r="J971" i="7" s="1"/>
  <c r="K383" i="21"/>
  <c r="K388" i="21" s="1"/>
  <c r="K389" i="21" s="1"/>
  <c r="K390" i="21" s="1"/>
  <c r="K391" i="21" s="1"/>
  <c r="J972" i="7" s="1"/>
  <c r="J393" i="21"/>
  <c r="J147" i="14"/>
  <c r="K147" i="14" s="1"/>
  <c r="J399" i="14"/>
  <c r="K399" i="14" s="1"/>
  <c r="J320" i="14"/>
  <c r="K320" i="14" s="1"/>
  <c r="J231" i="14"/>
  <c r="K231" i="14" s="1"/>
  <c r="K986" i="14"/>
  <c r="J1002" i="14"/>
  <c r="J1048" i="14"/>
  <c r="K1032" i="14"/>
  <c r="J607" i="14"/>
  <c r="K607" i="14" s="1"/>
  <c r="K597" i="14"/>
  <c r="J996" i="14"/>
  <c r="K980" i="14"/>
  <c r="J1001" i="14"/>
  <c r="K985" i="14"/>
  <c r="J608" i="14"/>
  <c r="K608" i="14" s="1"/>
  <c r="K598" i="14"/>
  <c r="J172" i="15"/>
  <c r="K158" i="15"/>
  <c r="K161" i="15" s="1"/>
  <c r="K162" i="15" s="1"/>
  <c r="K163" i="15" s="1"/>
  <c r="K164" i="15" s="1"/>
  <c r="J640" i="7" s="1"/>
  <c r="J221" i="15"/>
  <c r="K211" i="15"/>
  <c r="K213" i="15" s="1"/>
  <c r="K214" i="15" s="1"/>
  <c r="K215" i="15" s="1"/>
  <c r="K216" i="15" s="1"/>
  <c r="J645" i="7" s="1"/>
  <c r="J251" i="15"/>
  <c r="J272" i="15"/>
  <c r="K262" i="15"/>
  <c r="K398" i="13"/>
  <c r="J436" i="13"/>
  <c r="K436" i="13" s="1"/>
  <c r="K166" i="13"/>
  <c r="J298" i="13"/>
  <c r="K232" i="15"/>
  <c r="J242" i="15"/>
  <c r="K242" i="15" s="1"/>
  <c r="K839" i="12"/>
  <c r="K847" i="12"/>
  <c r="K779" i="14"/>
  <c r="K780" i="14" s="1"/>
  <c r="K781" i="14" s="1"/>
  <c r="K782" i="14" s="1"/>
  <c r="J848" i="7" s="1"/>
  <c r="J124" i="15"/>
  <c r="J166" i="15"/>
  <c r="K166" i="15" s="1"/>
  <c r="K110" i="15"/>
  <c r="J168" i="15"/>
  <c r="K168" i="15" s="1"/>
  <c r="K112" i="15"/>
  <c r="K576" i="12"/>
  <c r="K187" i="12"/>
  <c r="K624" i="12"/>
  <c r="K632" i="12" s="1"/>
  <c r="K633" i="12" s="1"/>
  <c r="K634" i="12" s="1"/>
  <c r="K635" i="12" s="1"/>
  <c r="J590" i="7" s="1"/>
  <c r="K232" i="12"/>
  <c r="K240" i="12" s="1"/>
  <c r="K608" i="12"/>
  <c r="K616" i="12" s="1"/>
  <c r="K617" i="12" s="1"/>
  <c r="K618" i="12" s="1"/>
  <c r="K619" i="12" s="1"/>
  <c r="J589" i="7" s="1"/>
  <c r="K592" i="12"/>
  <c r="K600" i="12" s="1"/>
  <c r="K601" i="12" s="1"/>
  <c r="K602" i="12" s="1"/>
  <c r="K603" i="12" s="1"/>
  <c r="J588" i="7" s="1"/>
  <c r="K217" i="12"/>
  <c r="K225" i="12" s="1"/>
  <c r="K226" i="12" s="1"/>
  <c r="K227" i="12" s="1"/>
  <c r="K228" i="12" s="1"/>
  <c r="J563" i="7" s="1"/>
  <c r="K560" i="12"/>
  <c r="K568" i="12" s="1"/>
  <c r="K569" i="12" s="1"/>
  <c r="K570" i="12" s="1"/>
  <c r="K571" i="12" s="1"/>
  <c r="J586" i="7" s="1"/>
  <c r="K172" i="12"/>
  <c r="K180" i="12" s="1"/>
  <c r="K181" i="12" s="1"/>
  <c r="K182" i="12" s="1"/>
  <c r="K183" i="12" s="1"/>
  <c r="J560" i="7" s="1"/>
  <c r="J377" i="14"/>
  <c r="K364" i="14"/>
  <c r="J130" i="14"/>
  <c r="K122" i="14"/>
  <c r="K123" i="14" s="1"/>
  <c r="K124" i="14" s="1"/>
  <c r="K125" i="14" s="1"/>
  <c r="K126" i="14" s="1"/>
  <c r="J789" i="7" s="1"/>
  <c r="N22" i="7" l="1"/>
  <c r="N1034" i="7"/>
  <c r="L625" i="7"/>
  <c r="L766" i="7"/>
  <c r="K256" i="13"/>
  <c r="K245" i="13"/>
  <c r="L729" i="7"/>
  <c r="K179" i="13"/>
  <c r="K202" i="13"/>
  <c r="K167" i="13"/>
  <c r="K289" i="13"/>
  <c r="K38" i="13"/>
  <c r="J662" i="7" s="1"/>
  <c r="K502" i="13"/>
  <c r="K775" i="13"/>
  <c r="K776" i="13" s="1"/>
  <c r="K742" i="13"/>
  <c r="K112" i="13"/>
  <c r="K753" i="13"/>
  <c r="K213" i="13"/>
  <c r="K81" i="13"/>
  <c r="K522" i="13"/>
  <c r="J717" i="7" s="1"/>
  <c r="K589" i="13"/>
  <c r="K69" i="13"/>
  <c r="K268" i="13"/>
  <c r="K124" i="13"/>
  <c r="K223" i="13"/>
  <c r="K657" i="13"/>
  <c r="K638" i="13"/>
  <c r="L733" i="7"/>
  <c r="K28" i="13"/>
  <c r="K765" i="13"/>
  <c r="M543" i="7"/>
  <c r="M544" i="7"/>
  <c r="M546" i="7"/>
  <c r="M547" i="7"/>
  <c r="M545" i="7"/>
  <c r="L776" i="7"/>
  <c r="L597" i="7"/>
  <c r="L552" i="7"/>
  <c r="K570" i="13"/>
  <c r="J792" i="13"/>
  <c r="K792" i="13" s="1"/>
  <c r="K780" i="13"/>
  <c r="J490" i="14"/>
  <c r="K490" i="14" s="1"/>
  <c r="K499" i="14" s="1"/>
  <c r="K500" i="14" s="1"/>
  <c r="K501" i="14" s="1"/>
  <c r="K502" i="14" s="1"/>
  <c r="J816" i="7" s="1"/>
  <c r="J307" i="14"/>
  <c r="K307" i="14" s="1"/>
  <c r="K313" i="14" s="1"/>
  <c r="K314" i="14" s="1"/>
  <c r="K315" i="14" s="1"/>
  <c r="K316" i="14" s="1"/>
  <c r="J150" i="13"/>
  <c r="K150" i="13" s="1"/>
  <c r="J340" i="13"/>
  <c r="K340" i="13" s="1"/>
  <c r="J8" i="13"/>
  <c r="K8" i="13" s="1"/>
  <c r="J524" i="13"/>
  <c r="J592" i="13" s="1"/>
  <c r="K592" i="13" s="1"/>
  <c r="J40" i="13"/>
  <c r="K22" i="12"/>
  <c r="K183" i="13"/>
  <c r="K12" i="12"/>
  <c r="J186" i="12"/>
  <c r="J574" i="12" s="1"/>
  <c r="K574" i="12" s="1"/>
  <c r="K126" i="12"/>
  <c r="K135" i="12" s="1"/>
  <c r="K136" i="12" s="1"/>
  <c r="K137" i="12" s="1"/>
  <c r="K138" i="12" s="1"/>
  <c r="J556" i="7" s="1"/>
  <c r="K113" i="12"/>
  <c r="J323" i="12"/>
  <c r="J340" i="12" s="1"/>
  <c r="K340" i="12" s="1"/>
  <c r="J456" i="13"/>
  <c r="K456" i="13" s="1"/>
  <c r="J218" i="14"/>
  <c r="K218" i="14" s="1"/>
  <c r="K223" i="14" s="1"/>
  <c r="K224" i="14" s="1"/>
  <c r="K225" i="14" s="1"/>
  <c r="K226" i="14" s="1"/>
  <c r="J800" i="7" s="1"/>
  <c r="K848" i="12"/>
  <c r="K849" i="12" s="1"/>
  <c r="K850" i="12" s="1"/>
  <c r="K851" i="12" s="1"/>
  <c r="K306" i="12"/>
  <c r="J304" i="13"/>
  <c r="J380" i="13" s="1"/>
  <c r="K392" i="12"/>
  <c r="J93" i="22"/>
  <c r="K93" i="22" s="1"/>
  <c r="K96" i="22" s="1"/>
  <c r="K97" i="22" s="1"/>
  <c r="K98" i="22" s="1"/>
  <c r="K99" i="22" s="1"/>
  <c r="J922" i="7" s="1"/>
  <c r="J621" i="14"/>
  <c r="J950" i="14"/>
  <c r="K950" i="14" s="1"/>
  <c r="J1030" i="14"/>
  <c r="K1030" i="14" s="1"/>
  <c r="J516" i="14"/>
  <c r="J838" i="7"/>
  <c r="J839" i="7"/>
  <c r="J917" i="14"/>
  <c r="K917" i="14" s="1"/>
  <c r="K923" i="14" s="1"/>
  <c r="K924" i="14" s="1"/>
  <c r="K925" i="14" s="1"/>
  <c r="K926" i="14" s="1"/>
  <c r="K837" i="14"/>
  <c r="K843" i="14" s="1"/>
  <c r="K844" i="14" s="1"/>
  <c r="K845" i="14" s="1"/>
  <c r="K846" i="14" s="1"/>
  <c r="J707" i="14"/>
  <c r="K707" i="14" s="1"/>
  <c r="K622" i="14"/>
  <c r="J791" i="14"/>
  <c r="K806" i="14"/>
  <c r="J886" i="14"/>
  <c r="K886" i="14" s="1"/>
  <c r="K823" i="14"/>
  <c r="J903" i="14"/>
  <c r="K903" i="14" s="1"/>
  <c r="M23" i="7"/>
  <c r="N23" i="7" s="1"/>
  <c r="M1045" i="7"/>
  <c r="N1045" i="7" s="1"/>
  <c r="M1035" i="7"/>
  <c r="M162" i="7"/>
  <c r="N162" i="7" s="1"/>
  <c r="N136" i="7"/>
  <c r="M158" i="7"/>
  <c r="M164" i="7"/>
  <c r="N164" i="7" s="1"/>
  <c r="M163" i="7"/>
  <c r="N163" i="7" s="1"/>
  <c r="M159" i="7"/>
  <c r="N159" i="7" s="1"/>
  <c r="M160" i="7"/>
  <c r="N160" i="7" s="1"/>
  <c r="M1046" i="7"/>
  <c r="N1046" i="7" s="1"/>
  <c r="M161" i="7"/>
  <c r="N161" i="7" s="1"/>
  <c r="J11" i="12"/>
  <c r="K11" i="12" s="1"/>
  <c r="L589" i="7"/>
  <c r="L590" i="7"/>
  <c r="L972" i="7"/>
  <c r="L588" i="7"/>
  <c r="L560" i="7"/>
  <c r="L645" i="7"/>
  <c r="L613" i="7"/>
  <c r="L586" i="7"/>
  <c r="L619" i="7"/>
  <c r="L848" i="7"/>
  <c r="L789" i="7"/>
  <c r="L640" i="7"/>
  <c r="L563" i="7"/>
  <c r="L971" i="7"/>
  <c r="K863" i="12"/>
  <c r="K864" i="12" s="1"/>
  <c r="K871" i="12"/>
  <c r="K872" i="12" s="1"/>
  <c r="K189" i="14"/>
  <c r="K276" i="14"/>
  <c r="K453" i="14"/>
  <c r="K393" i="21"/>
  <c r="J406" i="21"/>
  <c r="K599" i="14"/>
  <c r="K600" i="14" s="1"/>
  <c r="K601" i="14" s="1"/>
  <c r="K602" i="14" s="1"/>
  <c r="K609" i="14"/>
  <c r="K610" i="14" s="1"/>
  <c r="K611" i="14" s="1"/>
  <c r="K612" i="14" s="1"/>
  <c r="J832" i="7" s="1"/>
  <c r="K1048" i="14"/>
  <c r="J1064" i="14"/>
  <c r="J1017" i="14"/>
  <c r="K1001" i="14"/>
  <c r="K1002" i="14"/>
  <c r="J1018" i="14"/>
  <c r="J847" i="7"/>
  <c r="J846" i="7"/>
  <c r="J1012" i="14"/>
  <c r="K996" i="14"/>
  <c r="J282" i="15"/>
  <c r="K282" i="15" s="1"/>
  <c r="K272" i="15"/>
  <c r="J231" i="15"/>
  <c r="K221" i="15"/>
  <c r="K223" i="15" s="1"/>
  <c r="K224" i="15" s="1"/>
  <c r="K225" i="15" s="1"/>
  <c r="K226" i="15" s="1"/>
  <c r="J646" i="7" s="1"/>
  <c r="K298" i="13"/>
  <c r="J305" i="13"/>
  <c r="J186" i="15"/>
  <c r="K172" i="15"/>
  <c r="K175" i="15" s="1"/>
  <c r="K176" i="15" s="1"/>
  <c r="K177" i="15" s="1"/>
  <c r="K178" i="15" s="1"/>
  <c r="J641" i="7" s="1"/>
  <c r="J271" i="13"/>
  <c r="K271" i="13" s="1"/>
  <c r="K227" i="13"/>
  <c r="J261" i="15"/>
  <c r="K251" i="15"/>
  <c r="K253" i="15" s="1"/>
  <c r="K254" i="15" s="1"/>
  <c r="K255" i="15" s="1"/>
  <c r="K256" i="15" s="1"/>
  <c r="J650" i="7" s="1"/>
  <c r="K387" i="14"/>
  <c r="K386" i="14"/>
  <c r="K130" i="14"/>
  <c r="K131" i="14" s="1"/>
  <c r="K132" i="14" s="1"/>
  <c r="K133" i="14" s="1"/>
  <c r="K134" i="14" s="1"/>
  <c r="J138" i="14"/>
  <c r="K138" i="14" s="1"/>
  <c r="K139" i="14" s="1"/>
  <c r="K140" i="14" s="1"/>
  <c r="K141" i="14" s="1"/>
  <c r="K142" i="14" s="1"/>
  <c r="J792" i="7" s="1"/>
  <c r="K141" i="12"/>
  <c r="K150" i="12" s="1"/>
  <c r="K151" i="12" s="1"/>
  <c r="K152" i="12" s="1"/>
  <c r="K153" i="12" s="1"/>
  <c r="J557" i="7" s="1"/>
  <c r="K156" i="12"/>
  <c r="K165" i="12" s="1"/>
  <c r="K166" i="12" s="1"/>
  <c r="K167" i="12" s="1"/>
  <c r="K168" i="12" s="1"/>
  <c r="K510" i="12"/>
  <c r="K241" i="12"/>
  <c r="K242" i="12" s="1"/>
  <c r="K243" i="12" s="1"/>
  <c r="J564" i="7" s="1"/>
  <c r="K247" i="12"/>
  <c r="K255" i="12" s="1"/>
  <c r="K256" i="12" s="1"/>
  <c r="K257" i="12" s="1"/>
  <c r="K258" i="12" s="1"/>
  <c r="J565" i="7" s="1"/>
  <c r="K639" i="12"/>
  <c r="K647" i="12" s="1"/>
  <c r="K648" i="12" s="1"/>
  <c r="K649" i="12" s="1"/>
  <c r="K650" i="12" s="1"/>
  <c r="J591" i="7" s="1"/>
  <c r="J138" i="15"/>
  <c r="K124" i="15"/>
  <c r="K133" i="15" s="1"/>
  <c r="K134" i="15" s="1"/>
  <c r="K135" i="15" s="1"/>
  <c r="K136" i="15" s="1"/>
  <c r="J180" i="15"/>
  <c r="K180" i="15" s="1"/>
  <c r="K377" i="14"/>
  <c r="J390" i="14"/>
  <c r="K390" i="14" s="1"/>
  <c r="K119" i="15"/>
  <c r="K120" i="15" s="1"/>
  <c r="K121" i="15" s="1"/>
  <c r="K122" i="15" s="1"/>
  <c r="J636" i="7" s="1"/>
  <c r="J736" i="7" l="1"/>
  <c r="J735" i="7"/>
  <c r="J618" i="7"/>
  <c r="J617" i="7"/>
  <c r="J559" i="7"/>
  <c r="J558" i="7"/>
  <c r="J637" i="7"/>
  <c r="J638" i="7"/>
  <c r="N158" i="7"/>
  <c r="K658" i="13"/>
  <c r="J727" i="7" s="1"/>
  <c r="K224" i="13"/>
  <c r="K233" i="13"/>
  <c r="L734" i="7"/>
  <c r="K503" i="13"/>
  <c r="K799" i="13"/>
  <c r="K180" i="13"/>
  <c r="K787" i="13"/>
  <c r="K788" i="13" s="1"/>
  <c r="K125" i="13"/>
  <c r="K189" i="13"/>
  <c r="K571" i="13"/>
  <c r="K269" i="13"/>
  <c r="J688" i="7" s="1"/>
  <c r="K214" i="13"/>
  <c r="J682" i="7" s="1"/>
  <c r="K277" i="13"/>
  <c r="K246" i="13"/>
  <c r="K299" i="13"/>
  <c r="K70" i="13"/>
  <c r="K754" i="13"/>
  <c r="J737" i="7" s="1"/>
  <c r="K290" i="13"/>
  <c r="K156" i="13"/>
  <c r="K203" i="13"/>
  <c r="K29" i="13"/>
  <c r="K257" i="13"/>
  <c r="K11" i="13"/>
  <c r="K639" i="13"/>
  <c r="K590" i="13"/>
  <c r="J722" i="7" s="1"/>
  <c r="K113" i="13"/>
  <c r="K168" i="13"/>
  <c r="K82" i="13"/>
  <c r="J667" i="7" s="1"/>
  <c r="K777" i="13"/>
  <c r="K766" i="13"/>
  <c r="J738" i="7" s="1"/>
  <c r="M548" i="7"/>
  <c r="K323" i="12"/>
  <c r="L800" i="7"/>
  <c r="K524" i="13"/>
  <c r="L816" i="7"/>
  <c r="K186" i="12"/>
  <c r="K195" i="12" s="1"/>
  <c r="K196" i="12" s="1"/>
  <c r="K197" i="12" s="1"/>
  <c r="K198" i="12" s="1"/>
  <c r="J561" i="7" s="1"/>
  <c r="L556" i="7"/>
  <c r="K16" i="12"/>
  <c r="K17" i="12" s="1"/>
  <c r="K18" i="12" s="1"/>
  <c r="K19" i="12" s="1"/>
  <c r="J543" i="7" s="1"/>
  <c r="K304" i="13"/>
  <c r="L838" i="7"/>
  <c r="J566" i="14"/>
  <c r="K516" i="14"/>
  <c r="K791" i="14"/>
  <c r="J871" i="14"/>
  <c r="K871" i="14" s="1"/>
  <c r="K621" i="14"/>
  <c r="J790" i="14"/>
  <c r="J706" i="14"/>
  <c r="K706" i="14" s="1"/>
  <c r="L922" i="7"/>
  <c r="J855" i="7"/>
  <c r="J854" i="7"/>
  <c r="J1045" i="14"/>
  <c r="J506" i="14"/>
  <c r="K506" i="14" s="1"/>
  <c r="J637" i="14"/>
  <c r="J556" i="14"/>
  <c r="J515" i="14"/>
  <c r="J111" i="22"/>
  <c r="K111" i="22" s="1"/>
  <c r="K114" i="22" s="1"/>
  <c r="K115" i="22" s="1"/>
  <c r="K116" i="22" s="1"/>
  <c r="K117" i="22" s="1"/>
  <c r="J924" i="7" s="1"/>
  <c r="J965" i="14"/>
  <c r="J84" i="22"/>
  <c r="K84" i="22" s="1"/>
  <c r="K87" i="22" s="1"/>
  <c r="K88" i="22" s="1"/>
  <c r="K89" i="22" s="1"/>
  <c r="K90" i="22" s="1"/>
  <c r="J921" i="7" s="1"/>
  <c r="J862" i="7"/>
  <c r="J863" i="7"/>
  <c r="L839" i="7"/>
  <c r="M24" i="7"/>
  <c r="M167" i="7"/>
  <c r="N167" i="7" s="1"/>
  <c r="M1049" i="7"/>
  <c r="N1049" i="7" s="1"/>
  <c r="M170" i="7"/>
  <c r="N170" i="7" s="1"/>
  <c r="M166" i="7"/>
  <c r="N166" i="7" s="1"/>
  <c r="M173" i="7"/>
  <c r="N173" i="7" s="1"/>
  <c r="M168" i="7"/>
  <c r="N168" i="7" s="1"/>
  <c r="M169" i="7"/>
  <c r="N169" i="7" s="1"/>
  <c r="M171" i="7"/>
  <c r="N171" i="7" s="1"/>
  <c r="M172" i="7"/>
  <c r="N172" i="7" s="1"/>
  <c r="M174" i="7"/>
  <c r="N174" i="7" s="1"/>
  <c r="M165" i="7"/>
  <c r="N165" i="7" s="1"/>
  <c r="N1035" i="7"/>
  <c r="M1048" i="7"/>
  <c r="N1048" i="7" s="1"/>
  <c r="M175" i="7"/>
  <c r="N175" i="7" s="1"/>
  <c r="J533" i="13"/>
  <c r="L591" i="7"/>
  <c r="L792" i="7"/>
  <c r="L564" i="7"/>
  <c r="L646" i="7"/>
  <c r="L846" i="7"/>
  <c r="L641" i="7"/>
  <c r="L565" i="7"/>
  <c r="L636" i="7"/>
  <c r="L770" i="7"/>
  <c r="L847" i="7"/>
  <c r="L557" i="7"/>
  <c r="L650" i="7"/>
  <c r="L832" i="7"/>
  <c r="K873" i="12"/>
  <c r="K874" i="12" s="1"/>
  <c r="K875" i="12" s="1"/>
  <c r="J621" i="7" s="1"/>
  <c r="K865" i="12"/>
  <c r="K866" i="12" s="1"/>
  <c r="K867" i="12" s="1"/>
  <c r="J620" i="7" s="1"/>
  <c r="J419" i="21"/>
  <c r="K406" i="21"/>
  <c r="J1033" i="14"/>
  <c r="K1017" i="14"/>
  <c r="J790" i="7"/>
  <c r="J791" i="7"/>
  <c r="K1003" i="14"/>
  <c r="K1004" i="14" s="1"/>
  <c r="K1005" i="14" s="1"/>
  <c r="K1006" i="14" s="1"/>
  <c r="K1064" i="14"/>
  <c r="J1080" i="14"/>
  <c r="J831" i="7"/>
  <c r="J830" i="7"/>
  <c r="K1012" i="14"/>
  <c r="J1028" i="14"/>
  <c r="J1034" i="14"/>
  <c r="K1018" i="14"/>
  <c r="K186" i="15"/>
  <c r="K189" i="15" s="1"/>
  <c r="K190" i="15" s="1"/>
  <c r="K191" i="15" s="1"/>
  <c r="K192" i="15" s="1"/>
  <c r="J200" i="15"/>
  <c r="K200" i="15" s="1"/>
  <c r="K261" i="15"/>
  <c r="K263" i="15" s="1"/>
  <c r="K264" i="15" s="1"/>
  <c r="K265" i="15" s="1"/>
  <c r="K266" i="15" s="1"/>
  <c r="J651" i="7" s="1"/>
  <c r="J271" i="15"/>
  <c r="J241" i="15"/>
  <c r="K241" i="15" s="1"/>
  <c r="K243" i="15" s="1"/>
  <c r="K244" i="15" s="1"/>
  <c r="K245" i="15" s="1"/>
  <c r="K246" i="15" s="1"/>
  <c r="J649" i="7" s="1"/>
  <c r="K231" i="15"/>
  <c r="K233" i="15" s="1"/>
  <c r="K234" i="15" s="1"/>
  <c r="K235" i="15" s="1"/>
  <c r="K236" i="15" s="1"/>
  <c r="J381" i="13"/>
  <c r="J341" i="13"/>
  <c r="K305" i="13"/>
  <c r="J314" i="13"/>
  <c r="J194" i="15"/>
  <c r="K194" i="15" s="1"/>
  <c r="K138" i="15"/>
  <c r="K147" i="15" s="1"/>
  <c r="K148" i="15" s="1"/>
  <c r="K149" i="15" s="1"/>
  <c r="K150" i="15" s="1"/>
  <c r="J639" i="7" s="1"/>
  <c r="K654" i="12"/>
  <c r="K662" i="12" s="1"/>
  <c r="K663" i="12" s="1"/>
  <c r="K664" i="12" s="1"/>
  <c r="K665" i="12" s="1"/>
  <c r="J592" i="7" s="1"/>
  <c r="K262" i="12"/>
  <c r="K270" i="12" s="1"/>
  <c r="K271" i="12" s="1"/>
  <c r="K272" i="12" s="1"/>
  <c r="K273" i="12" s="1"/>
  <c r="J566" i="7" s="1"/>
  <c r="K391" i="14"/>
  <c r="K392" i="14" s="1"/>
  <c r="K393" i="14" s="1"/>
  <c r="K394" i="14" s="1"/>
  <c r="J808" i="7" s="1"/>
  <c r="J84" i="13"/>
  <c r="K40" i="13"/>
  <c r="K380" i="13"/>
  <c r="J416" i="13"/>
  <c r="K416" i="13" s="1"/>
  <c r="K526" i="12"/>
  <c r="K542" i="12"/>
  <c r="J680" i="7" l="1"/>
  <c r="J681" i="7"/>
  <c r="J642" i="7"/>
  <c r="J643" i="7"/>
  <c r="J647" i="7"/>
  <c r="J648" i="7"/>
  <c r="N548" i="7"/>
  <c r="N24" i="7"/>
  <c r="L1068" i="7"/>
  <c r="K800" i="13"/>
  <c r="K801" i="13" s="1"/>
  <c r="M1047" i="7"/>
  <c r="N1047" i="7" s="1"/>
  <c r="K291" i="13"/>
  <c r="K190" i="13"/>
  <c r="L735" i="7"/>
  <c r="L717" i="7"/>
  <c r="K126" i="13"/>
  <c r="J672" i="7" s="1"/>
  <c r="K640" i="13"/>
  <c r="L736" i="7"/>
  <c r="K12" i="13"/>
  <c r="K258" i="13"/>
  <c r="J687" i="7" s="1"/>
  <c r="K71" i="13"/>
  <c r="K234" i="13"/>
  <c r="K46" i="13"/>
  <c r="K157" i="13"/>
  <c r="K572" i="13"/>
  <c r="L662" i="7"/>
  <c r="K169" i="13"/>
  <c r="K30" i="13"/>
  <c r="K300" i="13"/>
  <c r="K225" i="13"/>
  <c r="J683" i="7" s="1"/>
  <c r="K181" i="13"/>
  <c r="J678" i="7" s="1"/>
  <c r="K114" i="13"/>
  <c r="K247" i="13"/>
  <c r="K278" i="13"/>
  <c r="K504" i="13"/>
  <c r="K789" i="13"/>
  <c r="K778" i="13"/>
  <c r="J739" i="7" s="1"/>
  <c r="M550" i="7"/>
  <c r="N550" i="7" s="1"/>
  <c r="M549" i="7"/>
  <c r="M552" i="7"/>
  <c r="N552" i="7" s="1"/>
  <c r="M553" i="7"/>
  <c r="M554" i="7"/>
  <c r="M555" i="7"/>
  <c r="M551" i="7"/>
  <c r="N551" i="7" s="1"/>
  <c r="L561" i="7"/>
  <c r="L543" i="7"/>
  <c r="N543" i="7" s="1"/>
  <c r="J465" i="13"/>
  <c r="J482" i="13" s="1"/>
  <c r="K482" i="13" s="1"/>
  <c r="K308" i="13"/>
  <c r="J51" i="13"/>
  <c r="K51" i="13" s="1"/>
  <c r="L924" i="7"/>
  <c r="J16" i="13"/>
  <c r="K16" i="13" s="1"/>
  <c r="K515" i="14"/>
  <c r="K519" i="14" s="1"/>
  <c r="K520" i="14" s="1"/>
  <c r="K521" i="14" s="1"/>
  <c r="K522" i="14" s="1"/>
  <c r="J525" i="14"/>
  <c r="J541" i="13"/>
  <c r="J550" i="13" s="1"/>
  <c r="K556" i="14"/>
  <c r="J565" i="14"/>
  <c r="J981" i="14"/>
  <c r="K981" i="14" s="1"/>
  <c r="K987" i="14" s="1"/>
  <c r="K988" i="14" s="1"/>
  <c r="K989" i="14" s="1"/>
  <c r="K990" i="14" s="1"/>
  <c r="J869" i="7" s="1"/>
  <c r="K965" i="14"/>
  <c r="K971" i="14" s="1"/>
  <c r="K972" i="14" s="1"/>
  <c r="K973" i="14" s="1"/>
  <c r="K974" i="14" s="1"/>
  <c r="J1061" i="14"/>
  <c r="K1061" i="14" s="1"/>
  <c r="K1045" i="14"/>
  <c r="J575" i="14"/>
  <c r="K575" i="14" s="1"/>
  <c r="K579" i="14" s="1"/>
  <c r="K580" i="14" s="1"/>
  <c r="K581" i="14" s="1"/>
  <c r="K582" i="14" s="1"/>
  <c r="K566" i="14"/>
  <c r="J654" i="14"/>
  <c r="J805" i="14"/>
  <c r="J722" i="14"/>
  <c r="K722" i="14" s="1"/>
  <c r="K728" i="14" s="1"/>
  <c r="K729" i="14" s="1"/>
  <c r="K730" i="14" s="1"/>
  <c r="K731" i="14" s="1"/>
  <c r="K637" i="14"/>
  <c r="K643" i="14" s="1"/>
  <c r="K644" i="14" s="1"/>
  <c r="K645" i="14" s="1"/>
  <c r="K646" i="14" s="1"/>
  <c r="J870" i="14"/>
  <c r="K870" i="14" s="1"/>
  <c r="K790" i="14"/>
  <c r="J575" i="12"/>
  <c r="K575" i="12" s="1"/>
  <c r="K584" i="12" s="1"/>
  <c r="K585" i="12" s="1"/>
  <c r="K586" i="12" s="1"/>
  <c r="K587" i="12" s="1"/>
  <c r="J587" i="7" s="1"/>
  <c r="J511" i="12"/>
  <c r="J527" i="12" s="1"/>
  <c r="J543" i="12" s="1"/>
  <c r="J350" i="13"/>
  <c r="K350" i="13" s="1"/>
  <c r="J373" i="14"/>
  <c r="J374" i="14" s="1"/>
  <c r="K374" i="14" s="1"/>
  <c r="L854" i="7"/>
  <c r="J472" i="14"/>
  <c r="K472" i="14" s="1"/>
  <c r="K481" i="14" s="1"/>
  <c r="K482" i="14" s="1"/>
  <c r="K483" i="14" s="1"/>
  <c r="K484" i="14" s="1"/>
  <c r="J815" i="7" s="1"/>
  <c r="L862" i="7"/>
  <c r="L855" i="7"/>
  <c r="J204" i="14"/>
  <c r="K204" i="14" s="1"/>
  <c r="K209" i="14" s="1"/>
  <c r="K210" i="14" s="1"/>
  <c r="K211" i="14" s="1"/>
  <c r="K212" i="14" s="1"/>
  <c r="J799" i="7" s="1"/>
  <c r="L863" i="7"/>
  <c r="J12" i="14"/>
  <c r="J22" i="14" s="1"/>
  <c r="K22" i="14" s="1"/>
  <c r="K23" i="14" s="1"/>
  <c r="K24" i="14" s="1"/>
  <c r="K25" i="14" s="1"/>
  <c r="K26" i="14" s="1"/>
  <c r="J774" i="7" s="1"/>
  <c r="J75" i="22"/>
  <c r="K75" i="22" s="1"/>
  <c r="J620" i="14"/>
  <c r="J1029" i="14"/>
  <c r="K1029" i="14" s="1"/>
  <c r="J949" i="14"/>
  <c r="K949" i="14" s="1"/>
  <c r="K955" i="14" s="1"/>
  <c r="K956" i="14" s="1"/>
  <c r="K957" i="14" s="1"/>
  <c r="K958" i="14" s="1"/>
  <c r="J505" i="14"/>
  <c r="K505" i="14" s="1"/>
  <c r="K509" i="14" s="1"/>
  <c r="K510" i="14" s="1"/>
  <c r="K511" i="14" s="1"/>
  <c r="K512" i="14" s="1"/>
  <c r="J817" i="7" s="1"/>
  <c r="J555" i="14"/>
  <c r="K555" i="14" s="1"/>
  <c r="J292" i="14"/>
  <c r="K292" i="14" s="1"/>
  <c r="K298" i="14" s="1"/>
  <c r="K299" i="14" s="1"/>
  <c r="K300" i="14" s="1"/>
  <c r="K301" i="14" s="1"/>
  <c r="J313" i="13"/>
  <c r="J389" i="13" s="1"/>
  <c r="L921" i="7"/>
  <c r="M25" i="7"/>
  <c r="N25" i="7" s="1"/>
  <c r="M231" i="7"/>
  <c r="N231" i="7" s="1"/>
  <c r="M227" i="7"/>
  <c r="N227" i="7" s="1"/>
  <c r="M211" i="7"/>
  <c r="N211" i="7" s="1"/>
  <c r="M229" i="7"/>
  <c r="N229" i="7" s="1"/>
  <c r="M230" i="7"/>
  <c r="N230" i="7" s="1"/>
  <c r="M215" i="7"/>
  <c r="N215" i="7" s="1"/>
  <c r="M214" i="7"/>
  <c r="N214" i="7" s="1"/>
  <c r="M222" i="7"/>
  <c r="N222" i="7" s="1"/>
  <c r="M212" i="7"/>
  <c r="N212" i="7" s="1"/>
  <c r="M228" i="7"/>
  <c r="N228" i="7" s="1"/>
  <c r="M1036" i="7"/>
  <c r="M223" i="7"/>
  <c r="N223" i="7" s="1"/>
  <c r="M232" i="7"/>
  <c r="N232" i="7" s="1"/>
  <c r="M221" i="7"/>
  <c r="N221" i="7" s="1"/>
  <c r="M217" i="7"/>
  <c r="N217" i="7" s="1"/>
  <c r="M224" i="7"/>
  <c r="N224" i="7" s="1"/>
  <c r="M1038" i="7"/>
  <c r="N1038" i="7" s="1"/>
  <c r="M225" i="7"/>
  <c r="N225" i="7" s="1"/>
  <c r="M213" i="7"/>
  <c r="N213" i="7" s="1"/>
  <c r="M218" i="7"/>
  <c r="N218" i="7" s="1"/>
  <c r="M220" i="7"/>
  <c r="N220" i="7" s="1"/>
  <c r="M1037" i="7"/>
  <c r="N1037" i="7" s="1"/>
  <c r="M219" i="7"/>
  <c r="N219" i="7" s="1"/>
  <c r="M216" i="7"/>
  <c r="N216" i="7" s="1"/>
  <c r="M226" i="7"/>
  <c r="N226" i="7" s="1"/>
  <c r="J805" i="12"/>
  <c r="K805" i="12" s="1"/>
  <c r="K808" i="12" s="1"/>
  <c r="K809" i="12" s="1"/>
  <c r="K810" i="12" s="1"/>
  <c r="K811" i="12" s="1"/>
  <c r="J711" i="12"/>
  <c r="K711" i="12" s="1"/>
  <c r="K712" i="12" s="1"/>
  <c r="K713" i="12" s="1"/>
  <c r="K714" i="12" s="1"/>
  <c r="K715" i="12" s="1"/>
  <c r="J596" i="7" s="1"/>
  <c r="J701" i="12"/>
  <c r="K701" i="12" s="1"/>
  <c r="K702" i="12" s="1"/>
  <c r="K703" i="12" s="1"/>
  <c r="K704" i="12" s="1"/>
  <c r="K705" i="12" s="1"/>
  <c r="J595" i="7" s="1"/>
  <c r="L790" i="7"/>
  <c r="L620" i="7"/>
  <c r="L621" i="7"/>
  <c r="L808" i="7"/>
  <c r="L831" i="7"/>
  <c r="L649" i="7"/>
  <c r="L617" i="7"/>
  <c r="L559" i="7"/>
  <c r="L637" i="7"/>
  <c r="L566" i="7"/>
  <c r="L791" i="7"/>
  <c r="L638" i="7"/>
  <c r="L558" i="7"/>
  <c r="L618" i="7"/>
  <c r="L830" i="7"/>
  <c r="L592" i="7"/>
  <c r="L639" i="7"/>
  <c r="L651" i="7"/>
  <c r="J1096" i="14"/>
  <c r="K1096" i="14" s="1"/>
  <c r="J432" i="21"/>
  <c r="K419" i="21"/>
  <c r="J1050" i="14"/>
  <c r="K1034" i="14"/>
  <c r="K1080" i="14"/>
  <c r="K1028" i="14"/>
  <c r="J1044" i="14"/>
  <c r="K1019" i="14"/>
  <c r="K1020" i="14" s="1"/>
  <c r="K1021" i="14" s="1"/>
  <c r="K1022" i="14" s="1"/>
  <c r="J872" i="7" s="1"/>
  <c r="J871" i="7"/>
  <c r="J870" i="7"/>
  <c r="J1049" i="14"/>
  <c r="K1033" i="14"/>
  <c r="K203" i="15"/>
  <c r="K204" i="15" s="1"/>
  <c r="K205" i="15" s="1"/>
  <c r="K206" i="15" s="1"/>
  <c r="J644" i="7" s="1"/>
  <c r="J390" i="13"/>
  <c r="K390" i="13" s="1"/>
  <c r="K314" i="13"/>
  <c r="J323" i="13"/>
  <c r="K341" i="13"/>
  <c r="J351" i="13"/>
  <c r="J417" i="13"/>
  <c r="K381" i="13"/>
  <c r="J281" i="15"/>
  <c r="K281" i="15" s="1"/>
  <c r="K283" i="15" s="1"/>
  <c r="K284" i="15" s="1"/>
  <c r="K285" i="15" s="1"/>
  <c r="K286" i="15" s="1"/>
  <c r="J654" i="7" s="1"/>
  <c r="K271" i="15"/>
  <c r="K273" i="15" s="1"/>
  <c r="K274" i="15" s="1"/>
  <c r="K275" i="15" s="1"/>
  <c r="K276" i="15" s="1"/>
  <c r="J601" i="13"/>
  <c r="K601" i="13" s="1"/>
  <c r="K533" i="13"/>
  <c r="K669" i="12"/>
  <c r="K677" i="12" s="1"/>
  <c r="K678" i="12" s="1"/>
  <c r="K679" i="12" s="1"/>
  <c r="K680" i="12" s="1"/>
  <c r="J593" i="7" s="1"/>
  <c r="K277" i="12"/>
  <c r="K285" i="12" s="1"/>
  <c r="K286" i="12" s="1"/>
  <c r="K287" i="12" s="1"/>
  <c r="K288" i="12" s="1"/>
  <c r="J567" i="7" s="1"/>
  <c r="K84" i="13"/>
  <c r="J128" i="13"/>
  <c r="K128" i="13" s="1"/>
  <c r="J690" i="7" l="1"/>
  <c r="J691" i="7"/>
  <c r="J666" i="7"/>
  <c r="J665" i="7"/>
  <c r="J661" i="7"/>
  <c r="J660" i="7"/>
  <c r="J685" i="7"/>
  <c r="J686" i="7"/>
  <c r="J611" i="7"/>
  <c r="J610" i="7"/>
  <c r="J652" i="7"/>
  <c r="J653" i="7"/>
  <c r="N549" i="7"/>
  <c r="K301" i="13"/>
  <c r="L722" i="7"/>
  <c r="K505" i="13"/>
  <c r="K170" i="13"/>
  <c r="J677" i="7" s="1"/>
  <c r="K47" i="13"/>
  <c r="K158" i="13"/>
  <c r="L654" i="7"/>
  <c r="K384" i="13"/>
  <c r="K279" i="13"/>
  <c r="L667" i="7"/>
  <c r="L737" i="7"/>
  <c r="K57" i="13"/>
  <c r="L680" i="7"/>
  <c r="K309" i="13"/>
  <c r="L688" i="7"/>
  <c r="K13" i="13"/>
  <c r="K115" i="13"/>
  <c r="K235" i="13"/>
  <c r="K19" i="13"/>
  <c r="L727" i="7"/>
  <c r="L682" i="7"/>
  <c r="K191" i="13"/>
  <c r="K345" i="13"/>
  <c r="K134" i="13"/>
  <c r="K78" i="22"/>
  <c r="K79" i="22" s="1"/>
  <c r="K80" i="22" s="1"/>
  <c r="K81" i="22" s="1"/>
  <c r="J920" i="7" s="1"/>
  <c r="K536" i="13"/>
  <c r="K641" i="13"/>
  <c r="K604" i="13"/>
  <c r="K90" i="13"/>
  <c r="L681" i="7"/>
  <c r="K573" i="13"/>
  <c r="K802" i="13"/>
  <c r="J742" i="7" s="1"/>
  <c r="K790" i="13"/>
  <c r="L738" i="7"/>
  <c r="M563" i="7"/>
  <c r="N563" i="7" s="1"/>
  <c r="M564" i="7"/>
  <c r="N564" i="7" s="1"/>
  <c r="M562" i="7"/>
  <c r="N562" i="7" s="1"/>
  <c r="M556" i="7"/>
  <c r="M561" i="7"/>
  <c r="N561" i="7" s="1"/>
  <c r="M558" i="7"/>
  <c r="N558" i="7" s="1"/>
  <c r="M557" i="7"/>
  <c r="N557" i="7" s="1"/>
  <c r="M559" i="7"/>
  <c r="N559" i="7" s="1"/>
  <c r="K465" i="13"/>
  <c r="J473" i="13"/>
  <c r="K473" i="13" s="1"/>
  <c r="J95" i="13"/>
  <c r="J139" i="13" s="1"/>
  <c r="K139" i="13" s="1"/>
  <c r="K373" i="14"/>
  <c r="K378" i="14" s="1"/>
  <c r="K379" i="14" s="1"/>
  <c r="K380" i="14" s="1"/>
  <c r="K381" i="14" s="1"/>
  <c r="J798" i="7"/>
  <c r="L798" i="7" s="1"/>
  <c r="K541" i="13"/>
  <c r="J814" i="7"/>
  <c r="L814" i="7" s="1"/>
  <c r="K559" i="14"/>
  <c r="K560" i="14" s="1"/>
  <c r="K561" i="14" s="1"/>
  <c r="K562" i="14" s="1"/>
  <c r="J825" i="7" s="1"/>
  <c r="K313" i="13"/>
  <c r="L595" i="7"/>
  <c r="L596" i="7"/>
  <c r="J867" i="7"/>
  <c r="J868" i="7"/>
  <c r="L869" i="7"/>
  <c r="J609" i="13"/>
  <c r="K609" i="13" s="1"/>
  <c r="K12" i="14"/>
  <c r="L817" i="7"/>
  <c r="K805" i="14"/>
  <c r="K811" i="14" s="1"/>
  <c r="K812" i="14" s="1"/>
  <c r="K813" i="14" s="1"/>
  <c r="K814" i="14" s="1"/>
  <c r="J885" i="14"/>
  <c r="K885" i="14" s="1"/>
  <c r="K891" i="14" s="1"/>
  <c r="K892" i="14" s="1"/>
  <c r="K893" i="14" s="1"/>
  <c r="K894" i="14" s="1"/>
  <c r="J836" i="7"/>
  <c r="J835" i="7"/>
  <c r="J865" i="7"/>
  <c r="J866" i="7"/>
  <c r="J818" i="7"/>
  <c r="J820" i="7"/>
  <c r="J819" i="7"/>
  <c r="J739" i="14"/>
  <c r="K739" i="14" s="1"/>
  <c r="K745" i="14" s="1"/>
  <c r="K746" i="14" s="1"/>
  <c r="K747" i="14" s="1"/>
  <c r="K748" i="14" s="1"/>
  <c r="J845" i="7" s="1"/>
  <c r="K654" i="14"/>
  <c r="K660" i="14" s="1"/>
  <c r="K661" i="14" s="1"/>
  <c r="K662" i="14" s="1"/>
  <c r="K663" i="14" s="1"/>
  <c r="J837" i="7" s="1"/>
  <c r="J821" i="14"/>
  <c r="L587" i="7"/>
  <c r="J375" i="12"/>
  <c r="K375" i="12" s="1"/>
  <c r="J307" i="12"/>
  <c r="J324" i="12" s="1"/>
  <c r="J341" i="12" s="1"/>
  <c r="J347" i="14"/>
  <c r="K347" i="14" s="1"/>
  <c r="J526" i="14"/>
  <c r="K526" i="14" s="1"/>
  <c r="K525" i="14"/>
  <c r="J585" i="14"/>
  <c r="K565" i="14"/>
  <c r="K569" i="14" s="1"/>
  <c r="K570" i="14" s="1"/>
  <c r="K571" i="14" s="1"/>
  <c r="K572" i="14" s="1"/>
  <c r="J826" i="7" s="1"/>
  <c r="J705" i="14"/>
  <c r="K705" i="14" s="1"/>
  <c r="K711" i="14" s="1"/>
  <c r="K712" i="14" s="1"/>
  <c r="K713" i="14" s="1"/>
  <c r="K714" i="14" s="1"/>
  <c r="K620" i="14"/>
  <c r="K626" i="14" s="1"/>
  <c r="K627" i="14" s="1"/>
  <c r="K628" i="14" s="1"/>
  <c r="K629" i="14" s="1"/>
  <c r="J789" i="14"/>
  <c r="J828" i="7"/>
  <c r="J827" i="7"/>
  <c r="K511" i="12"/>
  <c r="J843" i="7"/>
  <c r="J844" i="7"/>
  <c r="J25" i="12"/>
  <c r="J38" i="12" s="1"/>
  <c r="M182" i="7"/>
  <c r="N182" i="7" s="1"/>
  <c r="M189" i="7"/>
  <c r="N189" i="7" s="1"/>
  <c r="M195" i="7"/>
  <c r="N195" i="7" s="1"/>
  <c r="M1050" i="7"/>
  <c r="N1050" i="7" s="1"/>
  <c r="M1051" i="7"/>
  <c r="N1051" i="7" s="1"/>
  <c r="M176" i="7"/>
  <c r="N176" i="7" s="1"/>
  <c r="M194" i="7"/>
  <c r="N194" i="7" s="1"/>
  <c r="M201" i="7"/>
  <c r="N201" i="7" s="1"/>
  <c r="M197" i="7"/>
  <c r="N197" i="7" s="1"/>
  <c r="M206" i="7"/>
  <c r="N206" i="7" s="1"/>
  <c r="M180" i="7"/>
  <c r="N180" i="7" s="1"/>
  <c r="M208" i="7"/>
  <c r="N208" i="7" s="1"/>
  <c r="M185" i="7"/>
  <c r="N185" i="7" s="1"/>
  <c r="M207" i="7"/>
  <c r="N207" i="7" s="1"/>
  <c r="M1039" i="7"/>
  <c r="N1039" i="7" s="1"/>
  <c r="M204" i="7"/>
  <c r="N204" i="7" s="1"/>
  <c r="M210" i="7"/>
  <c r="N210" i="7" s="1"/>
  <c r="M179" i="7"/>
  <c r="N179" i="7" s="1"/>
  <c r="M187" i="7"/>
  <c r="N187" i="7" s="1"/>
  <c r="M186" i="7"/>
  <c r="N186" i="7" s="1"/>
  <c r="M203" i="7"/>
  <c r="N203" i="7" s="1"/>
  <c r="M190" i="7"/>
  <c r="N190" i="7" s="1"/>
  <c r="M538" i="7"/>
  <c r="M539" i="7" s="1"/>
  <c r="M178" i="7"/>
  <c r="N178" i="7" s="1"/>
  <c r="M193" i="7"/>
  <c r="N193" i="7" s="1"/>
  <c r="M209" i="7"/>
  <c r="N209" i="7" s="1"/>
  <c r="M198" i="7"/>
  <c r="N198" i="7" s="1"/>
  <c r="M183" i="7"/>
  <c r="N183" i="7" s="1"/>
  <c r="M188" i="7"/>
  <c r="N188" i="7" s="1"/>
  <c r="N1036" i="7"/>
  <c r="M177" i="7"/>
  <c r="N177" i="7" s="1"/>
  <c r="M199" i="7"/>
  <c r="N199" i="7" s="1"/>
  <c r="M191" i="7"/>
  <c r="N191" i="7" s="1"/>
  <c r="M184" i="7"/>
  <c r="N184" i="7" s="1"/>
  <c r="M205" i="7"/>
  <c r="N205" i="7" s="1"/>
  <c r="M196" i="7"/>
  <c r="N196" i="7" s="1"/>
  <c r="M26" i="7"/>
  <c r="N26" i="7" s="1"/>
  <c r="M202" i="7"/>
  <c r="N202" i="7" s="1"/>
  <c r="M181" i="7"/>
  <c r="N181" i="7" s="1"/>
  <c r="M1052" i="7"/>
  <c r="N1052" i="7" s="1"/>
  <c r="M200" i="7"/>
  <c r="N200" i="7" s="1"/>
  <c r="M192" i="7"/>
  <c r="N192" i="7" s="1"/>
  <c r="J102" i="12"/>
  <c r="K102" i="12" s="1"/>
  <c r="K107" i="12" s="1"/>
  <c r="K108" i="12" s="1"/>
  <c r="K109" i="12" s="1"/>
  <c r="K110" i="12" s="1"/>
  <c r="J116" i="12"/>
  <c r="K116" i="12" s="1"/>
  <c r="J837" i="12"/>
  <c r="K837" i="12" s="1"/>
  <c r="K840" i="12" s="1"/>
  <c r="K841" i="12" s="1"/>
  <c r="K842" i="12" s="1"/>
  <c r="K843" i="12" s="1"/>
  <c r="J616" i="7" s="1"/>
  <c r="L642" i="7"/>
  <c r="L644" i="7"/>
  <c r="L870" i="7"/>
  <c r="L647" i="7"/>
  <c r="L774" i="7"/>
  <c r="L871" i="7"/>
  <c r="L643" i="7"/>
  <c r="L815" i="7"/>
  <c r="L648" i="7"/>
  <c r="L567" i="7"/>
  <c r="L593" i="7"/>
  <c r="L799" i="7"/>
  <c r="L872" i="7"/>
  <c r="K432" i="21"/>
  <c r="J445" i="21"/>
  <c r="J1065" i="14"/>
  <c r="K1049" i="14"/>
  <c r="K1050" i="14"/>
  <c r="J1066" i="14"/>
  <c r="J1060" i="14"/>
  <c r="K1044" i="14"/>
  <c r="K1035" i="14"/>
  <c r="K1036" i="14" s="1"/>
  <c r="K1037" i="14" s="1"/>
  <c r="K1038" i="14" s="1"/>
  <c r="J427" i="13"/>
  <c r="K417" i="13"/>
  <c r="J332" i="13"/>
  <c r="J399" i="13"/>
  <c r="K399" i="13" s="1"/>
  <c r="K323" i="13"/>
  <c r="J361" i="13"/>
  <c r="K351" i="13"/>
  <c r="J618" i="13"/>
  <c r="K618" i="13" s="1"/>
  <c r="K550" i="13"/>
  <c r="K292" i="12"/>
  <c r="K300" i="12" s="1"/>
  <c r="K301" i="12" s="1"/>
  <c r="K302" i="12" s="1"/>
  <c r="K303" i="12" s="1"/>
  <c r="J568" i="7" s="1"/>
  <c r="K684" i="12"/>
  <c r="K692" i="12" s="1"/>
  <c r="K693" i="12" s="1"/>
  <c r="K694" i="12" s="1"/>
  <c r="K695" i="12" s="1"/>
  <c r="J594" i="7" s="1"/>
  <c r="K527" i="12"/>
  <c r="K543" i="12"/>
  <c r="K389" i="13"/>
  <c r="J426" i="13"/>
  <c r="K426" i="13" s="1"/>
  <c r="J715" i="7" l="1"/>
  <c r="J716" i="7"/>
  <c r="J670" i="7"/>
  <c r="J671" i="7"/>
  <c r="J726" i="7"/>
  <c r="J725" i="7"/>
  <c r="J720" i="7"/>
  <c r="J721" i="7"/>
  <c r="J741" i="7"/>
  <c r="J740" i="7"/>
  <c r="J553" i="7"/>
  <c r="J554" i="7"/>
  <c r="N556" i="7"/>
  <c r="L920" i="7"/>
  <c r="L932" i="7" s="1"/>
  <c r="K485" i="13"/>
  <c r="K486" i="13" s="1"/>
  <c r="K135" i="13"/>
  <c r="K310" i="13"/>
  <c r="K91" i="13"/>
  <c r="L678" i="7"/>
  <c r="K605" i="13"/>
  <c r="L691" i="7"/>
  <c r="K346" i="13"/>
  <c r="K236" i="13"/>
  <c r="J684" i="7" s="1"/>
  <c r="K280" i="13"/>
  <c r="J689" i="7" s="1"/>
  <c r="L690" i="7"/>
  <c r="K20" i="13"/>
  <c r="K402" i="13"/>
  <c r="M1053" i="7"/>
  <c r="N1053" i="7" s="1"/>
  <c r="K421" i="13"/>
  <c r="K145" i="13"/>
  <c r="L687" i="7"/>
  <c r="L660" i="7"/>
  <c r="L661" i="7"/>
  <c r="L666" i="7"/>
  <c r="K326" i="13"/>
  <c r="L672" i="7"/>
  <c r="K192" i="13"/>
  <c r="J679" i="7" s="1"/>
  <c r="K58" i="13"/>
  <c r="K385" i="13"/>
  <c r="K393" i="13"/>
  <c r="L685" i="7"/>
  <c r="K48" i="13"/>
  <c r="K468" i="13"/>
  <c r="L686" i="7"/>
  <c r="K355" i="13"/>
  <c r="L665" i="7"/>
  <c r="L616" i="7"/>
  <c r="K14" i="13"/>
  <c r="J658" i="7" s="1"/>
  <c r="K537" i="13"/>
  <c r="L683" i="7"/>
  <c r="K13" i="14"/>
  <c r="K14" i="14" s="1"/>
  <c r="K15" i="14" s="1"/>
  <c r="K16" i="14" s="1"/>
  <c r="J773" i="7" s="1"/>
  <c r="L773" i="7" s="1"/>
  <c r="K317" i="13"/>
  <c r="K159" i="13"/>
  <c r="K302" i="13"/>
  <c r="J692" i="7" s="1"/>
  <c r="L739" i="7"/>
  <c r="M560" i="7"/>
  <c r="N560" i="7" s="1"/>
  <c r="M566" i="7"/>
  <c r="N566" i="7" s="1"/>
  <c r="M567" i="7"/>
  <c r="N567" i="7" s="1"/>
  <c r="L610" i="7"/>
  <c r="L611" i="7"/>
  <c r="K95" i="13"/>
  <c r="L825" i="7"/>
  <c r="K553" i="13"/>
  <c r="K529" i="14"/>
  <c r="K530" i="14" s="1"/>
  <c r="K531" i="14" s="1"/>
  <c r="K532" i="14" s="1"/>
  <c r="J821" i="7" s="1"/>
  <c r="J833" i="7"/>
  <c r="J834" i="7"/>
  <c r="J901" i="14"/>
  <c r="K901" i="14" s="1"/>
  <c r="K907" i="14" s="1"/>
  <c r="K908" i="14" s="1"/>
  <c r="K909" i="14" s="1"/>
  <c r="K910" i="14" s="1"/>
  <c r="J861" i="7" s="1"/>
  <c r="K821" i="14"/>
  <c r="K827" i="14" s="1"/>
  <c r="K828" i="14" s="1"/>
  <c r="K829" i="14" s="1"/>
  <c r="K830" i="14" s="1"/>
  <c r="J853" i="7" s="1"/>
  <c r="J842" i="7"/>
  <c r="J841" i="7"/>
  <c r="L837" i="7"/>
  <c r="J869" i="14"/>
  <c r="K869" i="14" s="1"/>
  <c r="K875" i="14" s="1"/>
  <c r="K876" i="14" s="1"/>
  <c r="K877" i="14" s="1"/>
  <c r="K878" i="14" s="1"/>
  <c r="K789" i="14"/>
  <c r="K795" i="14" s="1"/>
  <c r="K796" i="14" s="1"/>
  <c r="K797" i="14" s="1"/>
  <c r="K798" i="14" s="1"/>
  <c r="L845" i="7"/>
  <c r="L835" i="7"/>
  <c r="L866" i="7"/>
  <c r="L826" i="7"/>
  <c r="L836" i="7"/>
  <c r="L818" i="7"/>
  <c r="L827" i="7"/>
  <c r="K307" i="12"/>
  <c r="J860" i="7"/>
  <c r="J859" i="7"/>
  <c r="L865" i="7"/>
  <c r="K585" i="14"/>
  <c r="J586" i="14"/>
  <c r="K586" i="14" s="1"/>
  <c r="L843" i="7"/>
  <c r="J852" i="7"/>
  <c r="J851" i="7"/>
  <c r="L828" i="7"/>
  <c r="J418" i="14"/>
  <c r="K418" i="14" s="1"/>
  <c r="K427" i="14" s="1"/>
  <c r="K428" i="14" s="1"/>
  <c r="K429" i="14" s="1"/>
  <c r="K430" i="14" s="1"/>
  <c r="J810" i="7" s="1"/>
  <c r="J24" i="12"/>
  <c r="J37" i="12" s="1"/>
  <c r="K621" i="13"/>
  <c r="J436" i="14"/>
  <c r="K436" i="14" s="1"/>
  <c r="K445" i="14" s="1"/>
  <c r="K446" i="14" s="1"/>
  <c r="K447" i="14" s="1"/>
  <c r="K448" i="14" s="1"/>
  <c r="J812" i="7" s="1"/>
  <c r="L819" i="7"/>
  <c r="L868" i="7"/>
  <c r="L844" i="7"/>
  <c r="L820" i="7"/>
  <c r="L867" i="7"/>
  <c r="M241" i="7"/>
  <c r="N241" i="7" s="1"/>
  <c r="M242" i="7"/>
  <c r="N242" i="7" s="1"/>
  <c r="M240" i="7"/>
  <c r="N240" i="7" s="1"/>
  <c r="M238" i="7"/>
  <c r="N238" i="7" s="1"/>
  <c r="M234" i="7"/>
  <c r="N234" i="7" s="1"/>
  <c r="M239" i="7"/>
  <c r="N239" i="7" s="1"/>
  <c r="M243" i="7"/>
  <c r="N243" i="7" s="1"/>
  <c r="M236" i="7"/>
  <c r="N236" i="7" s="1"/>
  <c r="M237" i="7"/>
  <c r="N237" i="7" s="1"/>
  <c r="M1041" i="7"/>
  <c r="N1041" i="7" s="1"/>
  <c r="M27" i="7"/>
  <c r="N27" i="7" s="1"/>
  <c r="M247" i="7"/>
  <c r="N247" i="7" s="1"/>
  <c r="M246" i="7"/>
  <c r="N246" i="7" s="1"/>
  <c r="M244" i="7"/>
  <c r="N244" i="7" s="1"/>
  <c r="M233" i="7"/>
  <c r="N233" i="7" s="1"/>
  <c r="M1040" i="7"/>
  <c r="N1040" i="7" s="1"/>
  <c r="M235" i="7"/>
  <c r="N235" i="7" s="1"/>
  <c r="M245" i="7"/>
  <c r="N245" i="7" s="1"/>
  <c r="L568" i="7"/>
  <c r="L653" i="7"/>
  <c r="L594" i="7"/>
  <c r="L652" i="7"/>
  <c r="L554" i="7"/>
  <c r="N554" i="7" s="1"/>
  <c r="K445" i="21"/>
  <c r="J458" i="21"/>
  <c r="K458" i="21" s="1"/>
  <c r="K1051" i="14"/>
  <c r="K1052" i="14" s="1"/>
  <c r="K1053" i="14" s="1"/>
  <c r="K1054" i="14" s="1"/>
  <c r="J1081" i="14"/>
  <c r="J1097" i="14" s="1"/>
  <c r="K1065" i="14"/>
  <c r="J873" i="7"/>
  <c r="J874" i="7"/>
  <c r="J807" i="7"/>
  <c r="J806" i="7"/>
  <c r="J1076" i="14"/>
  <c r="K1060" i="14"/>
  <c r="J1082" i="14"/>
  <c r="J1098" i="14" s="1"/>
  <c r="K1066" i="14"/>
  <c r="J371" i="13"/>
  <c r="K371" i="13" s="1"/>
  <c r="K361" i="13"/>
  <c r="K332" i="13"/>
  <c r="J408" i="13"/>
  <c r="K408" i="13" s="1"/>
  <c r="J437" i="13"/>
  <c r="K427" i="13"/>
  <c r="K341" i="12"/>
  <c r="K324" i="12"/>
  <c r="K376" i="12"/>
  <c r="K385" i="12" s="1"/>
  <c r="K386" i="12" s="1"/>
  <c r="K387" i="12" s="1"/>
  <c r="K388" i="12" s="1"/>
  <c r="J574" i="7" s="1"/>
  <c r="K308" i="12"/>
  <c r="K25" i="12"/>
  <c r="K38" i="12"/>
  <c r="K325" i="12"/>
  <c r="J675" i="7" l="1"/>
  <c r="J676" i="7"/>
  <c r="L1072" i="7"/>
  <c r="M1055" i="7"/>
  <c r="K394" i="13"/>
  <c r="K386" i="13"/>
  <c r="L726" i="7"/>
  <c r="K431" i="13"/>
  <c r="K49" i="13"/>
  <c r="J663" i="7" s="1"/>
  <c r="K59" i="13"/>
  <c r="L720" i="7"/>
  <c r="K538" i="13"/>
  <c r="K606" i="13"/>
  <c r="K318" i="13"/>
  <c r="K101" i="13"/>
  <c r="K487" i="13"/>
  <c r="K411" i="13"/>
  <c r="L671" i="7"/>
  <c r="L715" i="7"/>
  <c r="K403" i="13"/>
  <c r="K469" i="13"/>
  <c r="L716" i="7"/>
  <c r="K327" i="13"/>
  <c r="K347" i="13"/>
  <c r="K311" i="13"/>
  <c r="J693" i="7" s="1"/>
  <c r="K21" i="13"/>
  <c r="K554" i="13"/>
  <c r="K146" i="13"/>
  <c r="L721" i="7"/>
  <c r="L677" i="7"/>
  <c r="L725" i="7"/>
  <c r="K622" i="13"/>
  <c r="K422" i="13"/>
  <c r="L670" i="7"/>
  <c r="K92" i="13"/>
  <c r="K335" i="13"/>
  <c r="K365" i="13"/>
  <c r="K375" i="13"/>
  <c r="K356" i="13"/>
  <c r="K136" i="13"/>
  <c r="L742" i="7"/>
  <c r="L740" i="7"/>
  <c r="L741" i="7"/>
  <c r="M28" i="7"/>
  <c r="N28" i="7" s="1"/>
  <c r="J811" i="7"/>
  <c r="L553" i="7"/>
  <c r="N553" i="7" s="1"/>
  <c r="L821" i="7"/>
  <c r="J858" i="7"/>
  <c r="J857" i="7"/>
  <c r="L842" i="7"/>
  <c r="L860" i="7"/>
  <c r="J262" i="14"/>
  <c r="K262" i="14" s="1"/>
  <c r="K268" i="14" s="1"/>
  <c r="K269" i="14" s="1"/>
  <c r="K270" i="14" s="1"/>
  <c r="K271" i="14" s="1"/>
  <c r="L853" i="7"/>
  <c r="J176" i="14"/>
  <c r="K176" i="14" s="1"/>
  <c r="K181" i="14" s="1"/>
  <c r="K182" i="14" s="1"/>
  <c r="K183" i="14" s="1"/>
  <c r="K184" i="14" s="1"/>
  <c r="J796" i="7" s="1"/>
  <c r="L851" i="7"/>
  <c r="L861" i="7"/>
  <c r="J334" i="14"/>
  <c r="K334" i="14" s="1"/>
  <c r="J829" i="12"/>
  <c r="K829" i="12" s="1"/>
  <c r="K832" i="12" s="1"/>
  <c r="K833" i="12" s="1"/>
  <c r="K834" i="12" s="1"/>
  <c r="K835" i="12" s="1"/>
  <c r="J615" i="7" s="1"/>
  <c r="L852" i="7"/>
  <c r="L834" i="7"/>
  <c r="J850" i="7"/>
  <c r="J849" i="7"/>
  <c r="J360" i="14"/>
  <c r="J361" i="14" s="1"/>
  <c r="K589" i="14"/>
  <c r="K590" i="14" s="1"/>
  <c r="K591" i="14" s="1"/>
  <c r="K592" i="14" s="1"/>
  <c r="J829" i="7" s="1"/>
  <c r="L841" i="7"/>
  <c r="L859" i="7"/>
  <c r="L833" i="7"/>
  <c r="M248" i="7"/>
  <c r="N248" i="7" s="1"/>
  <c r="M249" i="7"/>
  <c r="N249" i="7" s="1"/>
  <c r="M250" i="7"/>
  <c r="N250" i="7" s="1"/>
  <c r="N538" i="7"/>
  <c r="N539" i="7" s="1"/>
  <c r="N1064" i="7" s="1"/>
  <c r="M1064" i="7"/>
  <c r="M1054" i="7"/>
  <c r="N1054" i="7" s="1"/>
  <c r="M251" i="7"/>
  <c r="N251" i="7" s="1"/>
  <c r="L807" i="7"/>
  <c r="L812" i="7"/>
  <c r="L574" i="7"/>
  <c r="L810" i="7"/>
  <c r="L873" i="7"/>
  <c r="L655" i="7"/>
  <c r="L874" i="7"/>
  <c r="L806" i="7"/>
  <c r="J1092" i="14"/>
  <c r="K1092" i="14" s="1"/>
  <c r="K1105" i="14"/>
  <c r="K1098" i="14"/>
  <c r="K1104" i="14"/>
  <c r="K1097" i="14"/>
  <c r="K1067" i="14"/>
  <c r="K1068" i="14" s="1"/>
  <c r="K1069" i="14" s="1"/>
  <c r="K1070" i="14" s="1"/>
  <c r="J877" i="7" s="1"/>
  <c r="K1082" i="14"/>
  <c r="K1076" i="14"/>
  <c r="K1081" i="14"/>
  <c r="J876" i="7"/>
  <c r="J875" i="7"/>
  <c r="J447" i="13"/>
  <c r="K447" i="13" s="1"/>
  <c r="K437" i="13"/>
  <c r="K334" i="12"/>
  <c r="K335" i="12" s="1"/>
  <c r="K336" i="12" s="1"/>
  <c r="K337" i="12" s="1"/>
  <c r="J570" i="7" s="1"/>
  <c r="K317" i="12"/>
  <c r="K318" i="12" s="1"/>
  <c r="K319" i="12" s="1"/>
  <c r="K320" i="12" s="1"/>
  <c r="J569" i="7" s="1"/>
  <c r="K342" i="12"/>
  <c r="K351" i="12" s="1"/>
  <c r="K352" i="12" s="1"/>
  <c r="K353" i="12" s="1"/>
  <c r="K354" i="12" s="1"/>
  <c r="K37" i="12"/>
  <c r="K42" i="12" s="1"/>
  <c r="K43" i="12" s="1"/>
  <c r="K44" i="12" s="1"/>
  <c r="K45" i="12" s="1"/>
  <c r="K24" i="12"/>
  <c r="J571" i="7" l="1"/>
  <c r="J572" i="7"/>
  <c r="J547" i="7"/>
  <c r="J546" i="7"/>
  <c r="M1056" i="7"/>
  <c r="L679" i="7"/>
  <c r="L676" i="7"/>
  <c r="L658" i="7"/>
  <c r="K607" i="13"/>
  <c r="J723" i="7" s="1"/>
  <c r="K29" i="12"/>
  <c r="K30" i="12" s="1"/>
  <c r="K31" i="12" s="1"/>
  <c r="K32" i="12" s="1"/>
  <c r="K423" i="13"/>
  <c r="K22" i="13"/>
  <c r="J659" i="7" s="1"/>
  <c r="K470" i="13"/>
  <c r="K488" i="13"/>
  <c r="J714" i="7" s="1"/>
  <c r="K539" i="13"/>
  <c r="J718" i="7" s="1"/>
  <c r="K555" i="13"/>
  <c r="K412" i="13"/>
  <c r="K376" i="13"/>
  <c r="K357" i="13"/>
  <c r="L692" i="7"/>
  <c r="K432" i="13"/>
  <c r="K404" i="13"/>
  <c r="K102" i="13"/>
  <c r="K366" i="13"/>
  <c r="K387" i="13"/>
  <c r="J703" i="7" s="1"/>
  <c r="L684" i="7"/>
  <c r="K348" i="13"/>
  <c r="J698" i="7" s="1"/>
  <c r="L689" i="7"/>
  <c r="K93" i="13"/>
  <c r="J668" i="7" s="1"/>
  <c r="K623" i="13"/>
  <c r="K441" i="13"/>
  <c r="K336" i="13"/>
  <c r="K395" i="13"/>
  <c r="K451" i="13"/>
  <c r="K137" i="13"/>
  <c r="J673" i="7" s="1"/>
  <c r="L675" i="7"/>
  <c r="K147" i="13"/>
  <c r="K328" i="13"/>
  <c r="K319" i="13"/>
  <c r="K60" i="13"/>
  <c r="J664" i="7" s="1"/>
  <c r="M565" i="7"/>
  <c r="N565" i="7" s="1"/>
  <c r="L811" i="7"/>
  <c r="J348" i="14"/>
  <c r="K348" i="14" s="1"/>
  <c r="K352" i="14" s="1"/>
  <c r="K353" i="14" s="1"/>
  <c r="K354" i="14" s="1"/>
  <c r="K355" i="14" s="1"/>
  <c r="J803" i="7" s="1"/>
  <c r="J321" i="14"/>
  <c r="K321" i="14" s="1"/>
  <c r="J247" i="14"/>
  <c r="K247" i="14" s="1"/>
  <c r="K253" i="14" s="1"/>
  <c r="K254" i="14" s="1"/>
  <c r="K255" i="14" s="1"/>
  <c r="K256" i="14" s="1"/>
  <c r="J162" i="14"/>
  <c r="K162" i="14" s="1"/>
  <c r="K167" i="14" s="1"/>
  <c r="K168" i="14" s="1"/>
  <c r="K169" i="14" s="1"/>
  <c r="K170" i="14" s="1"/>
  <c r="J794" i="7" s="1"/>
  <c r="J400" i="14"/>
  <c r="K400" i="14" s="1"/>
  <c r="K409" i="14" s="1"/>
  <c r="K410" i="14" s="1"/>
  <c r="K411" i="14" s="1"/>
  <c r="K412" i="14" s="1"/>
  <c r="J809" i="7" s="1"/>
  <c r="L849" i="7"/>
  <c r="J148" i="14"/>
  <c r="L850" i="7"/>
  <c r="J795" i="7"/>
  <c r="L829" i="7"/>
  <c r="L857" i="7"/>
  <c r="L858" i="7"/>
  <c r="M29" i="7"/>
  <c r="N29" i="7" s="1"/>
  <c r="M252" i="7"/>
  <c r="N252" i="7" s="1"/>
  <c r="M253" i="7"/>
  <c r="N253" i="7" s="1"/>
  <c r="N1055" i="7"/>
  <c r="N1056" i="7" s="1"/>
  <c r="N1075" i="7" s="1"/>
  <c r="M255" i="7"/>
  <c r="N255" i="7" s="1"/>
  <c r="M254" i="7"/>
  <c r="N254" i="7" s="1"/>
  <c r="K1106" i="14"/>
  <c r="K1107" i="14" s="1"/>
  <c r="K1108" i="14" s="1"/>
  <c r="K1109" i="14" s="1"/>
  <c r="L569" i="7"/>
  <c r="L615" i="7"/>
  <c r="L570" i="7"/>
  <c r="L876" i="7"/>
  <c r="L796" i="7"/>
  <c r="L877" i="7"/>
  <c r="L875" i="7"/>
  <c r="K1099" i="14"/>
  <c r="K1100" i="14" s="1"/>
  <c r="K1101" i="14" s="1"/>
  <c r="K1102" i="14" s="1"/>
  <c r="J880" i="7" s="1"/>
  <c r="K1083" i="14"/>
  <c r="K1084" i="14" s="1"/>
  <c r="K1085" i="14" s="1"/>
  <c r="K1086" i="14" s="1"/>
  <c r="K361" i="14"/>
  <c r="K360" i="14"/>
  <c r="K359" i="12"/>
  <c r="K368" i="12" s="1"/>
  <c r="K369" i="12" s="1"/>
  <c r="K370" i="12" s="1"/>
  <c r="K371" i="12" s="1"/>
  <c r="J573" i="7" s="1"/>
  <c r="J544" i="7" l="1"/>
  <c r="J545" i="7"/>
  <c r="M1075" i="7"/>
  <c r="M263" i="7"/>
  <c r="K329" i="13"/>
  <c r="L663" i="7"/>
  <c r="K471" i="13"/>
  <c r="J713" i="7" s="1"/>
  <c r="J881" i="7"/>
  <c r="K367" i="13"/>
  <c r="K103" i="13"/>
  <c r="L545" i="7"/>
  <c r="N545" i="7" s="1"/>
  <c r="K337" i="13"/>
  <c r="K405" i="13"/>
  <c r="K148" i="13"/>
  <c r="J674" i="7" s="1"/>
  <c r="K377" i="13"/>
  <c r="K442" i="13"/>
  <c r="L693" i="7"/>
  <c r="K452" i="13"/>
  <c r="K320" i="13"/>
  <c r="J694" i="7" s="1"/>
  <c r="K358" i="13"/>
  <c r="J699" i="7" s="1"/>
  <c r="K396" i="13"/>
  <c r="J704" i="7" s="1"/>
  <c r="K413" i="13"/>
  <c r="K424" i="13"/>
  <c r="J708" i="7" s="1"/>
  <c r="K624" i="13"/>
  <c r="J724" i="7" s="1"/>
  <c r="K433" i="13"/>
  <c r="K556" i="13"/>
  <c r="J719" i="7" s="1"/>
  <c r="M576" i="7"/>
  <c r="M574" i="7"/>
  <c r="N574" i="7" s="1"/>
  <c r="M572" i="7"/>
  <c r="M570" i="7"/>
  <c r="N570" i="7" s="1"/>
  <c r="M575" i="7"/>
  <c r="M571" i="7"/>
  <c r="M568" i="7"/>
  <c r="N568" i="7" s="1"/>
  <c r="M569" i="7"/>
  <c r="N569" i="7" s="1"/>
  <c r="M577" i="7"/>
  <c r="L795" i="7"/>
  <c r="J804" i="7"/>
  <c r="J454" i="14"/>
  <c r="K454" i="14" s="1"/>
  <c r="K463" i="14" s="1"/>
  <c r="K464" i="14" s="1"/>
  <c r="K465" i="14" s="1"/>
  <c r="K466" i="14" s="1"/>
  <c r="J813" i="7" s="1"/>
  <c r="L794" i="7"/>
  <c r="J232" i="14"/>
  <c r="K232" i="14" s="1"/>
  <c r="K238" i="14" s="1"/>
  <c r="K239" i="14" s="1"/>
  <c r="K240" i="14" s="1"/>
  <c r="K241" i="14" s="1"/>
  <c r="J335" i="14"/>
  <c r="K335" i="14" s="1"/>
  <c r="K339" i="14" s="1"/>
  <c r="K340" i="14" s="1"/>
  <c r="K341" i="14" s="1"/>
  <c r="K342" i="14" s="1"/>
  <c r="J802" i="7" s="1"/>
  <c r="J322" i="14"/>
  <c r="K322" i="14" s="1"/>
  <c r="K326" i="14" s="1"/>
  <c r="K327" i="14" s="1"/>
  <c r="K328" i="14" s="1"/>
  <c r="K329" i="14" s="1"/>
  <c r="J801" i="7" s="1"/>
  <c r="M30" i="7"/>
  <c r="N30" i="7" s="1"/>
  <c r="M256" i="7"/>
  <c r="N256" i="7" s="1"/>
  <c r="M31" i="7"/>
  <c r="N31" i="7" s="1"/>
  <c r="M259" i="7"/>
  <c r="N259" i="7" s="1"/>
  <c r="M257" i="7"/>
  <c r="N257" i="7" s="1"/>
  <c r="M260" i="7"/>
  <c r="N260" i="7" s="1"/>
  <c r="M261" i="7"/>
  <c r="N261" i="7" s="1"/>
  <c r="M262" i="7"/>
  <c r="N262" i="7" s="1"/>
  <c r="M258" i="7"/>
  <c r="N258" i="7" s="1"/>
  <c r="J115" i="12"/>
  <c r="K115" i="12" s="1"/>
  <c r="K120" i="12" s="1"/>
  <c r="K121" i="12" s="1"/>
  <c r="K122" i="12" s="1"/>
  <c r="K123" i="12" s="1"/>
  <c r="J555" i="7" s="1"/>
  <c r="L880" i="7"/>
  <c r="L572" i="7"/>
  <c r="L571" i="7"/>
  <c r="L809" i="7"/>
  <c r="L546" i="7"/>
  <c r="N546" i="7" s="1"/>
  <c r="L544" i="7"/>
  <c r="L573" i="7"/>
  <c r="L547" i="7"/>
  <c r="N547" i="7" s="1"/>
  <c r="L803" i="7"/>
  <c r="J879" i="7"/>
  <c r="J878" i="7"/>
  <c r="K365" i="14"/>
  <c r="K366" i="14" s="1"/>
  <c r="K367" i="14" s="1"/>
  <c r="K368" i="14" s="1"/>
  <c r="J805" i="7" s="1"/>
  <c r="K393" i="12"/>
  <c r="K402" i="12" s="1"/>
  <c r="K403" i="12" s="1"/>
  <c r="K404" i="12" s="1"/>
  <c r="K405" i="12" s="1"/>
  <c r="J575" i="7" s="1"/>
  <c r="K148" i="14"/>
  <c r="K153" i="14" s="1"/>
  <c r="K154" i="14" s="1"/>
  <c r="K155" i="14" s="1"/>
  <c r="K156" i="14" s="1"/>
  <c r="J793" i="7" s="1"/>
  <c r="K190" i="14"/>
  <c r="K195" i="14" s="1"/>
  <c r="K196" i="14" s="1"/>
  <c r="K197" i="14" s="1"/>
  <c r="K198" i="14" s="1"/>
  <c r="J797" i="7" s="1"/>
  <c r="K277" i="14"/>
  <c r="K283" i="14" s="1"/>
  <c r="K284" i="14" s="1"/>
  <c r="K285" i="14" s="1"/>
  <c r="K286" i="14" s="1"/>
  <c r="J695" i="7" l="1"/>
  <c r="J696" i="7"/>
  <c r="J706" i="7"/>
  <c r="J705" i="7"/>
  <c r="N263" i="7"/>
  <c r="N264" i="7" s="1"/>
  <c r="N1063" i="7" s="1"/>
  <c r="M264" i="7"/>
  <c r="N571" i="7"/>
  <c r="N572" i="7"/>
  <c r="L698" i="7"/>
  <c r="L668" i="7"/>
  <c r="K443" i="13"/>
  <c r="L718" i="7"/>
  <c r="L881" i="7"/>
  <c r="K368" i="13"/>
  <c r="K414" i="13"/>
  <c r="J707" i="7" s="1"/>
  <c r="K453" i="13"/>
  <c r="L714" i="7"/>
  <c r="L664" i="7"/>
  <c r="L659" i="7"/>
  <c r="K338" i="13"/>
  <c r="J697" i="7" s="1"/>
  <c r="L723" i="7"/>
  <c r="L673" i="7"/>
  <c r="K434" i="13"/>
  <c r="J709" i="7" s="1"/>
  <c r="K378" i="13"/>
  <c r="J702" i="7" s="1"/>
  <c r="L703" i="7"/>
  <c r="K104" i="13"/>
  <c r="J669" i="7" s="1"/>
  <c r="M579" i="7"/>
  <c r="M573" i="7"/>
  <c r="N573" i="7" s="1"/>
  <c r="M580" i="7"/>
  <c r="L804" i="7"/>
  <c r="L802" i="7"/>
  <c r="L813" i="7"/>
  <c r="M33" i="7"/>
  <c r="N33" i="7" s="1"/>
  <c r="M34" i="7"/>
  <c r="N34" i="7" s="1"/>
  <c r="M32" i="7"/>
  <c r="N32" i="7" s="1"/>
  <c r="L555" i="7"/>
  <c r="N555" i="7" s="1"/>
  <c r="N544" i="7"/>
  <c r="L793" i="7"/>
  <c r="L575" i="7"/>
  <c r="N575" i="7" s="1"/>
  <c r="L879" i="7"/>
  <c r="L801" i="7"/>
  <c r="L878" i="7"/>
  <c r="L797" i="7"/>
  <c r="L805" i="7"/>
  <c r="L1074" i="7"/>
  <c r="K410" i="12"/>
  <c r="K419" i="12" s="1"/>
  <c r="K420" i="12" s="1"/>
  <c r="K421" i="12" s="1"/>
  <c r="K422" i="12" s="1"/>
  <c r="J576" i="7" s="1"/>
  <c r="J700" i="7" l="1"/>
  <c r="J701" i="7"/>
  <c r="M1063" i="7"/>
  <c r="L719" i="7"/>
  <c r="L674" i="7"/>
  <c r="L699" i="7"/>
  <c r="L706" i="7"/>
  <c r="K444" i="13"/>
  <c r="L724" i="7"/>
  <c r="K454" i="13"/>
  <c r="J712" i="7" s="1"/>
  <c r="L695" i="7"/>
  <c r="L705" i="7"/>
  <c r="L713" i="7"/>
  <c r="L704" i="7"/>
  <c r="L694" i="7"/>
  <c r="L696" i="7"/>
  <c r="L708" i="7"/>
  <c r="M578" i="7"/>
  <c r="M35" i="7"/>
  <c r="N35" i="7" s="1"/>
  <c r="L882" i="7"/>
  <c r="L576" i="7"/>
  <c r="N576" i="7" s="1"/>
  <c r="K427" i="12"/>
  <c r="K436" i="12" s="1"/>
  <c r="K437" i="12" s="1"/>
  <c r="K438" i="12" s="1"/>
  <c r="K439" i="12" s="1"/>
  <c r="J577" i="7" s="1"/>
  <c r="J710" i="7" l="1"/>
  <c r="J711" i="7"/>
  <c r="L1069" i="7"/>
  <c r="L701" i="7"/>
  <c r="L700" i="7"/>
  <c r="L669" i="7"/>
  <c r="L707" i="7"/>
  <c r="L709" i="7"/>
  <c r="L702" i="7"/>
  <c r="L697" i="7"/>
  <c r="M36" i="7"/>
  <c r="N36" i="7" s="1"/>
  <c r="L577" i="7"/>
  <c r="K444" i="12"/>
  <c r="K453" i="12" s="1"/>
  <c r="K454" i="12" s="1"/>
  <c r="K455" i="12" s="1"/>
  <c r="K456" i="12" s="1"/>
  <c r="J578" i="7" s="1"/>
  <c r="M38" i="7" l="1"/>
  <c r="N38" i="7" s="1"/>
  <c r="L710" i="7"/>
  <c r="L711" i="7"/>
  <c r="L712" i="7"/>
  <c r="M581" i="7"/>
  <c r="M37" i="7"/>
  <c r="N37" i="7" s="1"/>
  <c r="M40" i="7"/>
  <c r="N40" i="7" s="1"/>
  <c r="M39" i="7"/>
  <c r="N39" i="7" s="1"/>
  <c r="L578" i="7"/>
  <c r="N578" i="7" s="1"/>
  <c r="N577" i="7"/>
  <c r="K461" i="12"/>
  <c r="K470" i="12" s="1"/>
  <c r="K471" i="12" s="1"/>
  <c r="K472" i="12" s="1"/>
  <c r="K473" i="12" s="1"/>
  <c r="J579" i="7" s="1"/>
  <c r="L743" i="7" l="1"/>
  <c r="M46" i="7"/>
  <c r="N46" i="7" s="1"/>
  <c r="M43" i="7"/>
  <c r="N43" i="7" s="1"/>
  <c r="M41" i="7"/>
  <c r="N41" i="7" s="1"/>
  <c r="L579" i="7"/>
  <c r="K478" i="12"/>
  <c r="K487" i="12" s="1"/>
  <c r="K488" i="12" s="1"/>
  <c r="K489" i="12" s="1"/>
  <c r="K490" i="12" s="1"/>
  <c r="J580" i="7" s="1"/>
  <c r="L1067" i="7" l="1"/>
  <c r="M589" i="7"/>
  <c r="N589" i="7" s="1"/>
  <c r="M584" i="7"/>
  <c r="M590" i="7"/>
  <c r="N590" i="7" s="1"/>
  <c r="M583" i="7"/>
  <c r="M585" i="7"/>
  <c r="M588" i="7"/>
  <c r="N588" i="7" s="1"/>
  <c r="M582" i="7"/>
  <c r="M587" i="7"/>
  <c r="N587" i="7" s="1"/>
  <c r="M45" i="7"/>
  <c r="N45" i="7" s="1"/>
  <c r="M49" i="7"/>
  <c r="N49" i="7" s="1"/>
  <c r="M51" i="7"/>
  <c r="N51" i="7" s="1"/>
  <c r="M52" i="7"/>
  <c r="N52" i="7" s="1"/>
  <c r="M44" i="7"/>
  <c r="N44" i="7" s="1"/>
  <c r="M47" i="7"/>
  <c r="N47" i="7" s="1"/>
  <c r="M50" i="7"/>
  <c r="N50" i="7" s="1"/>
  <c r="M42" i="7"/>
  <c r="N42" i="7" s="1"/>
  <c r="M48" i="7"/>
  <c r="N48" i="7" s="1"/>
  <c r="L580" i="7"/>
  <c r="N580" i="7" s="1"/>
  <c r="N579" i="7"/>
  <c r="K512" i="12"/>
  <c r="K520" i="12" s="1"/>
  <c r="K521" i="12" s="1"/>
  <c r="K522" i="12" s="1"/>
  <c r="K523" i="12" s="1"/>
  <c r="J582" i="7" s="1"/>
  <c r="K495" i="12"/>
  <c r="K504" i="12" s="1"/>
  <c r="M592" i="7" l="1"/>
  <c r="N592" i="7" s="1"/>
  <c r="M586" i="7"/>
  <c r="N586" i="7" s="1"/>
  <c r="M593" i="7"/>
  <c r="N593" i="7" s="1"/>
  <c r="M53" i="7"/>
  <c r="N53" i="7" s="1"/>
  <c r="L582" i="7"/>
  <c r="N582" i="7" s="1"/>
  <c r="K505" i="12"/>
  <c r="K506" i="12" s="1"/>
  <c r="K507" i="12" s="1"/>
  <c r="J581" i="7" s="1"/>
  <c r="K544" i="12"/>
  <c r="K552" i="12" s="1"/>
  <c r="K553" i="12" s="1"/>
  <c r="K554" i="12" s="1"/>
  <c r="K555" i="12" s="1"/>
  <c r="K528" i="12"/>
  <c r="K536" i="12" s="1"/>
  <c r="K537" i="12" s="1"/>
  <c r="K538" i="12" s="1"/>
  <c r="K539" i="12" s="1"/>
  <c r="J583" i="7" s="1"/>
  <c r="J584" i="7" l="1"/>
  <c r="J585" i="7"/>
  <c r="M591" i="7"/>
  <c r="N591" i="7" s="1"/>
  <c r="L583" i="7"/>
  <c r="N583" i="7" s="1"/>
  <c r="L581" i="7"/>
  <c r="N581" i="7" s="1"/>
  <c r="M594" i="7" l="1"/>
  <c r="N594" i="7" s="1"/>
  <c r="M54" i="7"/>
  <c r="N54" i="7" s="1"/>
  <c r="M55" i="7"/>
  <c r="N55" i="7" s="1"/>
  <c r="L584" i="7"/>
  <c r="N584" i="7" s="1"/>
  <c r="L585" i="7"/>
  <c r="L1066" i="7"/>
  <c r="M56" i="7" l="1"/>
  <c r="N56" i="7" s="1"/>
  <c r="N585" i="7"/>
  <c r="L622" i="7"/>
  <c r="L1065" i="7" l="1"/>
  <c r="M57" i="7"/>
  <c r="N57" i="7" s="1"/>
  <c r="M58" i="7" l="1"/>
  <c r="N58" i="7" s="1"/>
  <c r="M777" i="7" l="1"/>
  <c r="N777" i="7" s="1"/>
  <c r="M595" i="7"/>
  <c r="N595" i="7" s="1"/>
  <c r="M773" i="7"/>
  <c r="M599" i="7"/>
  <c r="N599" i="7" s="1"/>
  <c r="M775" i="7"/>
  <c r="N775" i="7" s="1"/>
  <c r="M597" i="7"/>
  <c r="N597" i="7" s="1"/>
  <c r="M774" i="7"/>
  <c r="N774" i="7" s="1"/>
  <c r="M598" i="7"/>
  <c r="N598" i="7" s="1"/>
  <c r="M776" i="7"/>
  <c r="N776" i="7" s="1"/>
  <c r="M596" i="7"/>
  <c r="N596" i="7" s="1"/>
  <c r="M60" i="7"/>
  <c r="N60" i="7" s="1"/>
  <c r="M62" i="7"/>
  <c r="N62" i="7" s="1"/>
  <c r="M59" i="7"/>
  <c r="N59" i="7" s="1"/>
  <c r="M61" i="7"/>
  <c r="N61" i="7" s="1"/>
  <c r="N773" i="7" l="1"/>
  <c r="M780" i="7"/>
  <c r="N780" i="7" s="1"/>
  <c r="M604" i="7"/>
  <c r="N604" i="7" s="1"/>
  <c r="M778" i="7"/>
  <c r="N778" i="7" s="1"/>
  <c r="M788" i="7"/>
  <c r="N788" i="7" s="1"/>
  <c r="M782" i="7"/>
  <c r="N782" i="7" s="1"/>
  <c r="M789" i="7"/>
  <c r="N789" i="7" s="1"/>
  <c r="M781" i="7"/>
  <c r="N781" i="7" s="1"/>
  <c r="M790" i="7"/>
  <c r="N790" i="7" s="1"/>
  <c r="M779" i="7"/>
  <c r="N779" i="7" s="1"/>
  <c r="M791" i="7"/>
  <c r="N791" i="7" s="1"/>
  <c r="M783" i="7"/>
  <c r="N783" i="7" s="1"/>
  <c r="M784" i="7"/>
  <c r="N784" i="7" s="1"/>
  <c r="M792" i="7"/>
  <c r="N792" i="7" s="1"/>
  <c r="M603" i="7"/>
  <c r="N603" i="7" s="1"/>
  <c r="M787" i="7"/>
  <c r="N787" i="7" s="1"/>
  <c r="M602" i="7"/>
  <c r="N602" i="7" s="1"/>
  <c r="M601" i="7"/>
  <c r="N601" i="7" s="1"/>
  <c r="M786" i="7"/>
  <c r="N786" i="7" s="1"/>
  <c r="M600" i="7"/>
  <c r="N600" i="7" s="1"/>
  <c r="M785" i="7"/>
  <c r="N785" i="7" s="1"/>
  <c r="M63" i="7"/>
  <c r="N63" i="7" s="1"/>
  <c r="M605" i="7" l="1"/>
  <c r="N605" i="7" s="1"/>
  <c r="M608" i="7"/>
  <c r="N608" i="7" s="1"/>
  <c r="M606" i="7"/>
  <c r="N606" i="7" s="1"/>
  <c r="M607" i="7"/>
  <c r="N607" i="7" s="1"/>
  <c r="M609" i="7"/>
  <c r="N609" i="7" s="1"/>
  <c r="M64" i="7"/>
  <c r="N64" i="7" s="1"/>
  <c r="M610" i="7" l="1"/>
  <c r="N610" i="7" s="1"/>
  <c r="M611" i="7"/>
  <c r="N611" i="7" s="1"/>
  <c r="M612" i="7"/>
  <c r="N612" i="7" s="1"/>
  <c r="M614" i="7"/>
  <c r="N614" i="7" s="1"/>
  <c r="M613" i="7"/>
  <c r="N613" i="7" s="1"/>
  <c r="M65" i="7"/>
  <c r="N65" i="7" s="1"/>
  <c r="M619" i="7" l="1"/>
  <c r="N619" i="7" s="1"/>
  <c r="M616" i="7"/>
  <c r="N616" i="7" s="1"/>
  <c r="M617" i="7"/>
  <c r="N617" i="7" s="1"/>
  <c r="M881" i="7"/>
  <c r="N881" i="7" s="1"/>
  <c r="M615" i="7"/>
  <c r="N615" i="7" s="1"/>
  <c r="M618" i="7"/>
  <c r="N618" i="7" s="1"/>
  <c r="M69" i="7"/>
  <c r="N69" i="7" s="1"/>
  <c r="M66" i="7"/>
  <c r="N66" i="7" s="1"/>
  <c r="M631" i="7" l="1"/>
  <c r="N631" i="7" s="1"/>
  <c r="M632" i="7"/>
  <c r="N632" i="7" s="1"/>
  <c r="M634" i="7"/>
  <c r="N634" i="7" s="1"/>
  <c r="M629" i="7"/>
  <c r="N629" i="7" s="1"/>
  <c r="M626" i="7"/>
  <c r="N626" i="7" s="1"/>
  <c r="M627" i="7"/>
  <c r="N627" i="7" s="1"/>
  <c r="M628" i="7"/>
  <c r="N628" i="7" s="1"/>
  <c r="M625" i="7"/>
  <c r="M630" i="7"/>
  <c r="N630" i="7" s="1"/>
  <c r="M633" i="7"/>
  <c r="N633" i="7" s="1"/>
  <c r="M67" i="7"/>
  <c r="N67" i="7" s="1"/>
  <c r="M70" i="7"/>
  <c r="N70" i="7" s="1"/>
  <c r="N625" i="7" l="1"/>
  <c r="M636" i="7"/>
  <c r="N636" i="7" s="1"/>
  <c r="M638" i="7"/>
  <c r="N638" i="7" s="1"/>
  <c r="M639" i="7"/>
  <c r="N639" i="7" s="1"/>
  <c r="M635" i="7"/>
  <c r="M637" i="7"/>
  <c r="N637" i="7" s="1"/>
  <c r="M68" i="7"/>
  <c r="N68" i="7" s="1"/>
  <c r="N635" i="7" l="1"/>
  <c r="M641" i="7"/>
  <c r="N641" i="7" s="1"/>
  <c r="M640" i="7"/>
  <c r="M642" i="7"/>
  <c r="N642" i="7" s="1"/>
  <c r="M644" i="7"/>
  <c r="N644" i="7" s="1"/>
  <c r="M643" i="7"/>
  <c r="N643" i="7" s="1"/>
  <c r="M71" i="7"/>
  <c r="N71" i="7" s="1"/>
  <c r="N640" i="7" l="1"/>
  <c r="M646" i="7"/>
  <c r="M649" i="7"/>
  <c r="N649" i="7" s="1"/>
  <c r="M647" i="7"/>
  <c r="N647" i="7" s="1"/>
  <c r="M648" i="7"/>
  <c r="N648" i="7" s="1"/>
  <c r="M645" i="7"/>
  <c r="M72" i="7"/>
  <c r="N72" i="7" s="1"/>
  <c r="N646" i="7" l="1"/>
  <c r="M654" i="7"/>
  <c r="M651" i="7"/>
  <c r="N651" i="7" s="1"/>
  <c r="M652" i="7"/>
  <c r="N652" i="7" s="1"/>
  <c r="M653" i="7"/>
  <c r="N653" i="7" s="1"/>
  <c r="M650" i="7"/>
  <c r="N650" i="7" s="1"/>
  <c r="N645" i="7"/>
  <c r="M73" i="7"/>
  <c r="N73" i="7" s="1"/>
  <c r="N654" i="7" l="1"/>
  <c r="N655" i="7" s="1"/>
  <c r="N1066" i="7" s="1"/>
  <c r="M655" i="7"/>
  <c r="M658" i="7"/>
  <c r="M661" i="7"/>
  <c r="N661" i="7" s="1"/>
  <c r="M659" i="7"/>
  <c r="N659" i="7" s="1"/>
  <c r="M662" i="7"/>
  <c r="N662" i="7" s="1"/>
  <c r="M660" i="7"/>
  <c r="N660" i="7" s="1"/>
  <c r="M74" i="7"/>
  <c r="N74" i="7" s="1"/>
  <c r="N658" i="7" l="1"/>
  <c r="M1066" i="7"/>
  <c r="M677" i="7"/>
  <c r="N677" i="7" s="1"/>
  <c r="M670" i="7"/>
  <c r="N670" i="7" s="1"/>
  <c r="M674" i="7"/>
  <c r="N674" i="7" s="1"/>
  <c r="M663" i="7"/>
  <c r="N663" i="7" s="1"/>
  <c r="M664" i="7"/>
  <c r="N664" i="7" s="1"/>
  <c r="M673" i="7"/>
  <c r="N673" i="7" s="1"/>
  <c r="M676" i="7"/>
  <c r="N676" i="7" s="1"/>
  <c r="M666" i="7"/>
  <c r="N666" i="7" s="1"/>
  <c r="M671" i="7"/>
  <c r="N671" i="7" s="1"/>
  <c r="M675" i="7"/>
  <c r="N675" i="7" s="1"/>
  <c r="M672" i="7"/>
  <c r="N672" i="7" s="1"/>
  <c r="M669" i="7"/>
  <c r="N669" i="7" s="1"/>
  <c r="M668" i="7"/>
  <c r="N668" i="7" s="1"/>
  <c r="M665" i="7"/>
  <c r="N665" i="7" s="1"/>
  <c r="M667" i="7"/>
  <c r="N667" i="7" s="1"/>
  <c r="M75" i="7"/>
  <c r="N75" i="7" s="1"/>
  <c r="M681" i="7" l="1"/>
  <c r="N681" i="7" s="1"/>
  <c r="M685" i="7"/>
  <c r="N685" i="7" s="1"/>
  <c r="M679" i="7"/>
  <c r="N679" i="7" s="1"/>
  <c r="M687" i="7"/>
  <c r="N687" i="7" s="1"/>
  <c r="M692" i="7"/>
  <c r="N692" i="7" s="1"/>
  <c r="M682" i="7"/>
  <c r="N682" i="7" s="1"/>
  <c r="M691" i="7"/>
  <c r="N691" i="7" s="1"/>
  <c r="M688" i="7"/>
  <c r="N688" i="7" s="1"/>
  <c r="M686" i="7"/>
  <c r="N686" i="7" s="1"/>
  <c r="M690" i="7"/>
  <c r="N690" i="7" s="1"/>
  <c r="M683" i="7"/>
  <c r="N683" i="7" s="1"/>
  <c r="M689" i="7"/>
  <c r="N689" i="7" s="1"/>
  <c r="M684" i="7"/>
  <c r="N684" i="7" s="1"/>
  <c r="M678" i="7"/>
  <c r="M680" i="7"/>
  <c r="N680" i="7" s="1"/>
  <c r="M76" i="7"/>
  <c r="N76" i="7" s="1"/>
  <c r="N678" i="7" l="1"/>
  <c r="M702" i="7"/>
  <c r="N702" i="7" s="1"/>
  <c r="M693" i="7"/>
  <c r="M695" i="7"/>
  <c r="N695" i="7" s="1"/>
  <c r="M700" i="7"/>
  <c r="N700" i="7" s="1"/>
  <c r="M697" i="7"/>
  <c r="N697" i="7" s="1"/>
  <c r="M694" i="7"/>
  <c r="N694" i="7" s="1"/>
  <c r="M698" i="7"/>
  <c r="N698" i="7" s="1"/>
  <c r="M699" i="7"/>
  <c r="N699" i="7" s="1"/>
  <c r="M696" i="7"/>
  <c r="N696" i="7" s="1"/>
  <c r="M701" i="7"/>
  <c r="N701" i="7" s="1"/>
  <c r="M77" i="7"/>
  <c r="N77" i="7" s="1"/>
  <c r="N693" i="7" l="1"/>
  <c r="M709" i="7"/>
  <c r="N709" i="7" s="1"/>
  <c r="M706" i="7"/>
  <c r="N706" i="7" s="1"/>
  <c r="M705" i="7"/>
  <c r="N705" i="7" s="1"/>
  <c r="M703" i="7"/>
  <c r="M704" i="7"/>
  <c r="N704" i="7" s="1"/>
  <c r="M710" i="7"/>
  <c r="N710" i="7" s="1"/>
  <c r="M708" i="7"/>
  <c r="N708" i="7" s="1"/>
  <c r="M712" i="7"/>
  <c r="N712" i="7" s="1"/>
  <c r="M707" i="7"/>
  <c r="N707" i="7" s="1"/>
  <c r="M711" i="7"/>
  <c r="N711" i="7" s="1"/>
  <c r="M78" i="7"/>
  <c r="N78" i="7" s="1"/>
  <c r="M722" i="7" l="1"/>
  <c r="N722" i="7" s="1"/>
  <c r="M727" i="7"/>
  <c r="N727" i="7" s="1"/>
  <c r="M725" i="7"/>
  <c r="N725" i="7" s="1"/>
  <c r="M715" i="7"/>
  <c r="N715" i="7" s="1"/>
  <c r="M719" i="7"/>
  <c r="N719" i="7" s="1"/>
  <c r="M724" i="7"/>
  <c r="N724" i="7" s="1"/>
  <c r="M718" i="7"/>
  <c r="N718" i="7" s="1"/>
  <c r="M716" i="7"/>
  <c r="N716" i="7" s="1"/>
  <c r="M721" i="7"/>
  <c r="N721" i="7" s="1"/>
  <c r="M720" i="7"/>
  <c r="N720" i="7" s="1"/>
  <c r="M726" i="7"/>
  <c r="N726" i="7" s="1"/>
  <c r="M717" i="7"/>
  <c r="N717" i="7" s="1"/>
  <c r="N703" i="7"/>
  <c r="M713" i="7"/>
  <c r="N713" i="7" s="1"/>
  <c r="M714" i="7"/>
  <c r="N714" i="7" s="1"/>
  <c r="M723" i="7"/>
  <c r="N723" i="7" s="1"/>
  <c r="M79" i="7"/>
  <c r="N79" i="7" s="1"/>
  <c r="M730" i="7" l="1"/>
  <c r="N730" i="7" s="1"/>
  <c r="M737" i="7"/>
  <c r="N737" i="7" s="1"/>
  <c r="M740" i="7"/>
  <c r="N740" i="7" s="1"/>
  <c r="M735" i="7"/>
  <c r="N735" i="7" s="1"/>
  <c r="M732" i="7"/>
  <c r="N732" i="7" s="1"/>
  <c r="M728" i="7"/>
  <c r="N728" i="7" s="1"/>
  <c r="M734" i="7"/>
  <c r="N734" i="7" s="1"/>
  <c r="M729" i="7"/>
  <c r="N729" i="7" s="1"/>
  <c r="M741" i="7"/>
  <c r="N741" i="7" s="1"/>
  <c r="M733" i="7"/>
  <c r="N733" i="7" s="1"/>
  <c r="M731" i="7"/>
  <c r="N731" i="7" s="1"/>
  <c r="M736" i="7"/>
  <c r="N736" i="7" s="1"/>
  <c r="M742" i="7"/>
  <c r="M738" i="7"/>
  <c r="N738" i="7" s="1"/>
  <c r="M739" i="7"/>
  <c r="N739" i="7" s="1"/>
  <c r="M80" i="7"/>
  <c r="N80" i="7" s="1"/>
  <c r="N742" i="7" l="1"/>
  <c r="N743" i="7" s="1"/>
  <c r="N1067" i="7" s="1"/>
  <c r="M743" i="7"/>
  <c r="M757" i="7"/>
  <c r="N757" i="7" s="1"/>
  <c r="M759" i="7"/>
  <c r="N759" i="7" s="1"/>
  <c r="M756" i="7"/>
  <c r="N756" i="7" s="1"/>
  <c r="M747" i="7"/>
  <c r="N747" i="7" s="1"/>
  <c r="M755" i="7"/>
  <c r="N755" i="7" s="1"/>
  <c r="M749" i="7"/>
  <c r="N749" i="7" s="1"/>
  <c r="M751" i="7"/>
  <c r="N751" i="7" s="1"/>
  <c r="M750" i="7"/>
  <c r="N750" i="7" s="1"/>
  <c r="M748" i="7"/>
  <c r="N748" i="7" s="1"/>
  <c r="M760" i="7"/>
  <c r="N760" i="7" s="1"/>
  <c r="M754" i="7"/>
  <c r="N754" i="7" s="1"/>
  <c r="M753" i="7"/>
  <c r="N753" i="7" s="1"/>
  <c r="M758" i="7"/>
  <c r="N758" i="7" s="1"/>
  <c r="M752" i="7"/>
  <c r="N752" i="7" s="1"/>
  <c r="M746" i="7"/>
  <c r="M81" i="7"/>
  <c r="N81" i="7" s="1"/>
  <c r="N746" i="7" l="1"/>
  <c r="M1067" i="7"/>
  <c r="M796" i="7"/>
  <c r="N796" i="7" s="1"/>
  <c r="M808" i="7"/>
  <c r="N808" i="7" s="1"/>
  <c r="M805" i="7"/>
  <c r="N805" i="7" s="1"/>
  <c r="M804" i="7"/>
  <c r="N804" i="7" s="1"/>
  <c r="M795" i="7"/>
  <c r="N795" i="7" s="1"/>
  <c r="M803" i="7"/>
  <c r="N803" i="7" s="1"/>
  <c r="M807" i="7"/>
  <c r="N807" i="7" s="1"/>
  <c r="M797" i="7"/>
  <c r="N797" i="7" s="1"/>
  <c r="M794" i="7"/>
  <c r="N794" i="7" s="1"/>
  <c r="M798" i="7"/>
  <c r="N798" i="7" s="1"/>
  <c r="M802" i="7"/>
  <c r="N802" i="7" s="1"/>
  <c r="M801" i="7"/>
  <c r="N801" i="7" s="1"/>
  <c r="M806" i="7"/>
  <c r="N806" i="7" s="1"/>
  <c r="M793" i="7"/>
  <c r="M799" i="7"/>
  <c r="N799" i="7" s="1"/>
  <c r="M800" i="7"/>
  <c r="N800" i="7" s="1"/>
  <c r="M82" i="7"/>
  <c r="N82" i="7" s="1"/>
  <c r="N793" i="7" l="1"/>
  <c r="M816" i="7"/>
  <c r="N816" i="7" s="1"/>
  <c r="M811" i="7"/>
  <c r="M810" i="7"/>
  <c r="N810" i="7" s="1"/>
  <c r="M813" i="7"/>
  <c r="N813" i="7" s="1"/>
  <c r="M814" i="7"/>
  <c r="N814" i="7" s="1"/>
  <c r="M809" i="7"/>
  <c r="N809" i="7" s="1"/>
  <c r="M815" i="7"/>
  <c r="N815" i="7" s="1"/>
  <c r="M812" i="7"/>
  <c r="N812" i="7" s="1"/>
  <c r="M83" i="7"/>
  <c r="N83" i="7" s="1"/>
  <c r="N811" i="7" l="1"/>
  <c r="M824" i="7"/>
  <c r="N824" i="7" s="1"/>
  <c r="M821" i="7"/>
  <c r="M818" i="7"/>
  <c r="N818" i="7" s="1"/>
  <c r="M819" i="7"/>
  <c r="N819" i="7" s="1"/>
  <c r="M822" i="7"/>
  <c r="N822" i="7" s="1"/>
  <c r="M820" i="7"/>
  <c r="N820" i="7" s="1"/>
  <c r="M823" i="7"/>
  <c r="N823" i="7" s="1"/>
  <c r="M817" i="7"/>
  <c r="N817" i="7" s="1"/>
  <c r="M84" i="7"/>
  <c r="N84" i="7" s="1"/>
  <c r="N821" i="7" l="1"/>
  <c r="M831" i="7"/>
  <c r="N831" i="7" s="1"/>
  <c r="M825" i="7"/>
  <c r="N825" i="7" s="1"/>
  <c r="M830" i="7"/>
  <c r="N830" i="7" s="1"/>
  <c r="M826" i="7"/>
  <c r="N826" i="7" s="1"/>
  <c r="M829" i="7"/>
  <c r="N829" i="7" s="1"/>
  <c r="M832" i="7"/>
  <c r="N832" i="7" s="1"/>
  <c r="M827" i="7"/>
  <c r="N827" i="7" s="1"/>
  <c r="M828" i="7"/>
  <c r="N828" i="7" s="1"/>
  <c r="M85" i="7"/>
  <c r="N85" i="7" s="1"/>
  <c r="M842" i="7" l="1"/>
  <c r="N842" i="7" s="1"/>
  <c r="M847" i="7"/>
  <c r="N847" i="7" s="1"/>
  <c r="M848" i="7"/>
  <c r="N848" i="7" s="1"/>
  <c r="M836" i="7"/>
  <c r="N836" i="7" s="1"/>
  <c r="M835" i="7"/>
  <c r="N835" i="7" s="1"/>
  <c r="M833" i="7"/>
  <c r="M846" i="7"/>
  <c r="N846" i="7" s="1"/>
  <c r="M841" i="7"/>
  <c r="N841" i="7" s="1"/>
  <c r="M843" i="7"/>
  <c r="N843" i="7" s="1"/>
  <c r="M839" i="7"/>
  <c r="N839" i="7" s="1"/>
  <c r="M834" i="7"/>
  <c r="N834" i="7" s="1"/>
  <c r="M844" i="7"/>
  <c r="N844" i="7" s="1"/>
  <c r="M837" i="7"/>
  <c r="N837" i="7" s="1"/>
  <c r="M845" i="7"/>
  <c r="N845" i="7" s="1"/>
  <c r="M840" i="7"/>
  <c r="N840" i="7" s="1"/>
  <c r="M838" i="7"/>
  <c r="N838" i="7" s="1"/>
  <c r="M86" i="7"/>
  <c r="N86" i="7" s="1"/>
  <c r="M861" i="7" l="1"/>
  <c r="N861" i="7" s="1"/>
  <c r="M858" i="7"/>
  <c r="N858" i="7" s="1"/>
  <c r="M856" i="7"/>
  <c r="N856" i="7" s="1"/>
  <c r="M857" i="7"/>
  <c r="N857" i="7" s="1"/>
  <c r="M855" i="7"/>
  <c r="N855" i="7" s="1"/>
  <c r="M850" i="7"/>
  <c r="N850" i="7" s="1"/>
  <c r="M851" i="7"/>
  <c r="N851" i="7" s="1"/>
  <c r="N833" i="7"/>
  <c r="M859" i="7"/>
  <c r="N859" i="7" s="1"/>
  <c r="M854" i="7"/>
  <c r="N854" i="7" s="1"/>
  <c r="M852" i="7"/>
  <c r="N852" i="7" s="1"/>
  <c r="M863" i="7"/>
  <c r="N863" i="7" s="1"/>
  <c r="M853" i="7"/>
  <c r="N853" i="7" s="1"/>
  <c r="M860" i="7"/>
  <c r="N860" i="7" s="1"/>
  <c r="M862" i="7"/>
  <c r="N862" i="7" s="1"/>
  <c r="M849" i="7"/>
  <c r="N849" i="7" s="1"/>
  <c r="M864" i="7"/>
  <c r="N864" i="7" s="1"/>
  <c r="M87" i="7"/>
  <c r="N87" i="7" s="1"/>
  <c r="M869" i="7" l="1"/>
  <c r="N869" i="7" s="1"/>
  <c r="M866" i="7"/>
  <c r="N866" i="7" s="1"/>
  <c r="M874" i="7"/>
  <c r="N874" i="7" s="1"/>
  <c r="M870" i="7"/>
  <c r="N870" i="7" s="1"/>
  <c r="M877" i="7"/>
  <c r="N877" i="7" s="1"/>
  <c r="M878" i="7"/>
  <c r="N878" i="7" s="1"/>
  <c r="M868" i="7"/>
  <c r="N868" i="7" s="1"/>
  <c r="M873" i="7"/>
  <c r="N873" i="7" s="1"/>
  <c r="M867" i="7"/>
  <c r="N867" i="7" s="1"/>
  <c r="M880" i="7"/>
  <c r="M879" i="7"/>
  <c r="N879" i="7" s="1"/>
  <c r="M865" i="7"/>
  <c r="N865" i="7" s="1"/>
  <c r="M871" i="7"/>
  <c r="N871" i="7" s="1"/>
  <c r="M876" i="7"/>
  <c r="N876" i="7" s="1"/>
  <c r="M875" i="7"/>
  <c r="N875" i="7" s="1"/>
  <c r="M872" i="7"/>
  <c r="N872" i="7" s="1"/>
  <c r="M88" i="7"/>
  <c r="N88" i="7" s="1"/>
  <c r="N880" i="7" l="1"/>
  <c r="N882" i="7" s="1"/>
  <c r="N1069" i="7" s="1"/>
  <c r="M882" i="7"/>
  <c r="M885" i="7"/>
  <c r="M89" i="7"/>
  <c r="N89" i="7" s="1"/>
  <c r="M1069" i="7" l="1"/>
  <c r="M886" i="7"/>
  <c r="M90" i="7"/>
  <c r="N90" i="7" s="1"/>
  <c r="L885" i="7"/>
  <c r="M887" i="7" l="1"/>
  <c r="M91" i="7"/>
  <c r="N91" i="7" s="1"/>
  <c r="N885" i="7"/>
  <c r="M888" i="7" l="1"/>
  <c r="M92" i="7"/>
  <c r="N92" i="7" s="1"/>
  <c r="L886" i="7"/>
  <c r="L887" i="7"/>
  <c r="N887" i="7" s="1"/>
  <c r="M889" i="7" l="1"/>
  <c r="M93" i="7"/>
  <c r="N93" i="7" s="1"/>
  <c r="L888" i="7"/>
  <c r="N888" i="7" s="1"/>
  <c r="N886" i="7"/>
  <c r="M890" i="7" l="1"/>
  <c r="M891" i="7"/>
  <c r="N891" i="7" s="1"/>
  <c r="M892" i="7"/>
  <c r="N892" i="7" s="1"/>
  <c r="M94" i="7"/>
  <c r="N94" i="7" s="1"/>
  <c r="L889" i="7"/>
  <c r="N890" i="7" l="1"/>
  <c r="M893" i="7"/>
  <c r="M95" i="7"/>
  <c r="N95" i="7" s="1"/>
  <c r="N889" i="7"/>
  <c r="L894" i="7"/>
  <c r="L1075" i="7"/>
  <c r="N893" i="7" l="1"/>
  <c r="N894" i="7" s="1"/>
  <c r="N1070" i="7" s="1"/>
  <c r="M894" i="7"/>
  <c r="L1070" i="7"/>
  <c r="M942" i="7"/>
  <c r="N942" i="7" s="1"/>
  <c r="M950" i="7"/>
  <c r="N950" i="7" s="1"/>
  <c r="M947" i="7"/>
  <c r="N947" i="7" s="1"/>
  <c r="M943" i="7"/>
  <c r="N943" i="7" s="1"/>
  <c r="M944" i="7"/>
  <c r="N944" i="7" s="1"/>
  <c r="M940" i="7"/>
  <c r="N940" i="7" s="1"/>
  <c r="M941" i="7"/>
  <c r="N941" i="7" s="1"/>
  <c r="M938" i="7"/>
  <c r="N938" i="7" s="1"/>
  <c r="M935" i="7"/>
  <c r="M945" i="7"/>
  <c r="N945" i="7" s="1"/>
  <c r="M936" i="7"/>
  <c r="N936" i="7" s="1"/>
  <c r="M937" i="7"/>
  <c r="N937" i="7" s="1"/>
  <c r="M946" i="7"/>
  <c r="N946" i="7" s="1"/>
  <c r="M949" i="7"/>
  <c r="N949" i="7" s="1"/>
  <c r="M939" i="7"/>
  <c r="N939" i="7" s="1"/>
  <c r="M948" i="7"/>
  <c r="N948" i="7" s="1"/>
  <c r="M96" i="7"/>
  <c r="N96" i="7" s="1"/>
  <c r="J395" i="21"/>
  <c r="N935" i="7" l="1"/>
  <c r="M1070" i="7"/>
  <c r="M962" i="7"/>
  <c r="N962" i="7" s="1"/>
  <c r="M965" i="7"/>
  <c r="N965" i="7" s="1"/>
  <c r="M955" i="7"/>
  <c r="N955" i="7" s="1"/>
  <c r="M954" i="7"/>
  <c r="N954" i="7" s="1"/>
  <c r="M966" i="7"/>
  <c r="N966" i="7" s="1"/>
  <c r="M961" i="7"/>
  <c r="N961" i="7" s="1"/>
  <c r="M951" i="7"/>
  <c r="M956" i="7"/>
  <c r="N956" i="7" s="1"/>
  <c r="M964" i="7"/>
  <c r="N964" i="7" s="1"/>
  <c r="M957" i="7"/>
  <c r="N957" i="7" s="1"/>
  <c r="M963" i="7"/>
  <c r="N963" i="7" s="1"/>
  <c r="M959" i="7"/>
  <c r="N959" i="7" s="1"/>
  <c r="M952" i="7"/>
  <c r="N952" i="7" s="1"/>
  <c r="M953" i="7"/>
  <c r="N953" i="7" s="1"/>
  <c r="M958" i="7"/>
  <c r="N958" i="7" s="1"/>
  <c r="M960" i="7"/>
  <c r="N960" i="7" s="1"/>
  <c r="M97" i="7"/>
  <c r="N97" i="7" s="1"/>
  <c r="J434" i="21"/>
  <c r="K395" i="21"/>
  <c r="K401" i="21" s="1"/>
  <c r="K402" i="21" s="1"/>
  <c r="K403" i="21" s="1"/>
  <c r="K404" i="21" s="1"/>
  <c r="N951" i="7" l="1"/>
  <c r="M967" i="7"/>
  <c r="M98" i="7"/>
  <c r="N98" i="7" s="1"/>
  <c r="J973" i="7"/>
  <c r="J975" i="7"/>
  <c r="J974" i="7"/>
  <c r="K434" i="21"/>
  <c r="K440" i="21" s="1"/>
  <c r="K441" i="21" s="1"/>
  <c r="K442" i="21" s="1"/>
  <c r="K443" i="21" s="1"/>
  <c r="K408" i="21"/>
  <c r="K414" i="21" s="1"/>
  <c r="K415" i="21" s="1"/>
  <c r="K416" i="21" s="1"/>
  <c r="K417" i="21" s="1"/>
  <c r="J976" i="7" s="1"/>
  <c r="K421" i="21"/>
  <c r="K427" i="21" s="1"/>
  <c r="K428" i="21" s="1"/>
  <c r="K429" i="21" s="1"/>
  <c r="K430" i="21" s="1"/>
  <c r="J977" i="7" s="1"/>
  <c r="N967" i="7" l="1"/>
  <c r="M969" i="7"/>
  <c r="M970" i="7"/>
  <c r="N970" i="7" s="1"/>
  <c r="M968" i="7"/>
  <c r="L977" i="7"/>
  <c r="L976" i="7"/>
  <c r="L974" i="7"/>
  <c r="L975" i="7"/>
  <c r="L973" i="7"/>
  <c r="K447" i="21"/>
  <c r="K453" i="21" s="1"/>
  <c r="K454" i="21" s="1"/>
  <c r="K455" i="21" s="1"/>
  <c r="K456" i="21" s="1"/>
  <c r="J981" i="7" s="1"/>
  <c r="K460" i="21"/>
  <c r="K466" i="21" s="1"/>
  <c r="K467" i="21" s="1"/>
  <c r="K468" i="21" s="1"/>
  <c r="K469" i="21" s="1"/>
  <c r="J978" i="7"/>
  <c r="J980" i="7"/>
  <c r="J979" i="7"/>
  <c r="N969" i="7" l="1"/>
  <c r="J982" i="7"/>
  <c r="N968" i="7"/>
  <c r="M971" i="7"/>
  <c r="N971" i="7" s="1"/>
  <c r="M972" i="7"/>
  <c r="N972" i="7" s="1"/>
  <c r="M107" i="7"/>
  <c r="N107" i="7" s="1"/>
  <c r="M104" i="7"/>
  <c r="N104" i="7" s="1"/>
  <c r="M105" i="7"/>
  <c r="N105" i="7" s="1"/>
  <c r="M103" i="7"/>
  <c r="N103" i="7" s="1"/>
  <c r="M101" i="7"/>
  <c r="N101" i="7" s="1"/>
  <c r="M109" i="7"/>
  <c r="N109" i="7" s="1"/>
  <c r="M106" i="7"/>
  <c r="N106" i="7" s="1"/>
  <c r="M102" i="7"/>
  <c r="N102" i="7" s="1"/>
  <c r="M108" i="7"/>
  <c r="N108" i="7" s="1"/>
  <c r="M100" i="7"/>
  <c r="N100" i="7" s="1"/>
  <c r="M111" i="7"/>
  <c r="N111" i="7" s="1"/>
  <c r="M99" i="7"/>
  <c r="N99" i="7" s="1"/>
  <c r="M110" i="7"/>
  <c r="N110" i="7" s="1"/>
  <c r="L979" i="7"/>
  <c r="L980" i="7"/>
  <c r="L978" i="7"/>
  <c r="L981" i="7"/>
  <c r="L982" i="7" l="1"/>
  <c r="L983" i="7" s="1"/>
  <c r="M976" i="7"/>
  <c r="N976" i="7" s="1"/>
  <c r="M977" i="7"/>
  <c r="N977" i="7" s="1"/>
  <c r="M982" i="7"/>
  <c r="M978" i="7"/>
  <c r="N978" i="7" s="1"/>
  <c r="M980" i="7"/>
  <c r="N980" i="7" s="1"/>
  <c r="M979" i="7"/>
  <c r="N979" i="7" s="1"/>
  <c r="M973" i="7"/>
  <c r="N973" i="7" s="1"/>
  <c r="M981" i="7"/>
  <c r="N981" i="7" s="1"/>
  <c r="M975" i="7"/>
  <c r="N975" i="7" s="1"/>
  <c r="M974" i="7"/>
  <c r="N974" i="7" s="1"/>
  <c r="M983" i="7" l="1"/>
  <c r="L1073" i="7"/>
  <c r="N982" i="7"/>
  <c r="N983" i="7" s="1"/>
  <c r="N1073" i="7" s="1"/>
  <c r="M620" i="7"/>
  <c r="M112" i="7"/>
  <c r="N112" i="7" s="1"/>
  <c r="M113" i="7"/>
  <c r="N113" i="7" s="1"/>
  <c r="J13" i="39" l="1"/>
  <c r="L1076" i="7"/>
  <c r="L1077" i="7" s="1"/>
  <c r="L1078" i="7" s="1"/>
  <c r="L1079" i="7" s="1"/>
  <c r="M1073" i="7"/>
  <c r="N620" i="7"/>
  <c r="M621" i="7"/>
  <c r="M116" i="7"/>
  <c r="N116" i="7" s="1"/>
  <c r="M115" i="7"/>
  <c r="N115" i="7" s="1"/>
  <c r="M114" i="7"/>
  <c r="N114" i="7" s="1"/>
  <c r="J19" i="39" l="1"/>
  <c r="J20" i="39" s="1"/>
  <c r="J21" i="39" s="1"/>
  <c r="N621" i="7"/>
  <c r="N622" i="7" s="1"/>
  <c r="N1065" i="7" s="1"/>
  <c r="M622" i="7"/>
  <c r="M897" i="7"/>
  <c r="M761" i="7"/>
  <c r="M900" i="7"/>
  <c r="N900" i="7" s="1"/>
  <c r="M117" i="7"/>
  <c r="N117" i="7" s="1"/>
  <c r="N897" i="7" l="1"/>
  <c r="N761" i="7"/>
  <c r="M1065" i="7"/>
  <c r="M764" i="7"/>
  <c r="M898" i="7"/>
  <c r="N898" i="7" s="1"/>
  <c r="M763" i="7"/>
  <c r="N763" i="7" s="1"/>
  <c r="M762" i="7"/>
  <c r="N762" i="7" s="1"/>
  <c r="M903" i="7"/>
  <c r="N903" i="7" s="1"/>
  <c r="M899" i="7"/>
  <c r="N899" i="7" s="1"/>
  <c r="M901" i="7"/>
  <c r="N901" i="7" s="1"/>
  <c r="M118" i="7"/>
  <c r="N118" i="7" s="1"/>
  <c r="N764" i="7" l="1"/>
  <c r="M902" i="7"/>
  <c r="M765" i="7"/>
  <c r="N765" i="7" s="1"/>
  <c r="M119" i="7"/>
  <c r="N119" i="7" s="1"/>
  <c r="N902" i="7" l="1"/>
  <c r="M904" i="7"/>
  <c r="M766" i="7"/>
  <c r="M120" i="7"/>
  <c r="N120" i="7" s="1"/>
  <c r="N766" i="7" l="1"/>
  <c r="M905" i="7"/>
  <c r="M767" i="7"/>
  <c r="N767" i="7" s="1"/>
  <c r="N904" i="7"/>
  <c r="M906" i="7"/>
  <c r="N906" i="7" s="1"/>
  <c r="M768" i="7"/>
  <c r="N768" i="7" s="1"/>
  <c r="M123" i="7"/>
  <c r="N123" i="7" s="1"/>
  <c r="M121" i="7"/>
  <c r="N121" i="7" s="1"/>
  <c r="N905" i="7" l="1"/>
  <c r="M907" i="7"/>
  <c r="M908" i="7"/>
  <c r="N908" i="7" s="1"/>
  <c r="M769" i="7"/>
  <c r="M770" i="7" s="1"/>
  <c r="M122" i="7"/>
  <c r="N122" i="7" s="1"/>
  <c r="N907" i="7" l="1"/>
  <c r="N909" i="7" s="1"/>
  <c r="N1071" i="7" s="1"/>
  <c r="M909" i="7"/>
  <c r="M124" i="7"/>
  <c r="N769" i="7"/>
  <c r="N770" i="7" s="1"/>
  <c r="N1068" i="7" s="1"/>
  <c r="M912" i="7"/>
  <c r="M915" i="7"/>
  <c r="N915" i="7" s="1"/>
  <c r="M913" i="7"/>
  <c r="N913" i="7" s="1"/>
  <c r="M914" i="7"/>
  <c r="N914" i="7" s="1"/>
  <c r="N124" i="7" l="1"/>
  <c r="N125" i="7" s="1"/>
  <c r="N1062" i="7" s="1"/>
  <c r="M125" i="7"/>
  <c r="M1071" i="7"/>
  <c r="M1068" i="7"/>
  <c r="M919" i="7"/>
  <c r="N919" i="7" s="1"/>
  <c r="M916" i="7"/>
  <c r="N912" i="7"/>
  <c r="M917" i="7"/>
  <c r="N917" i="7" s="1"/>
  <c r="M918" i="7"/>
  <c r="N918" i="7" s="1"/>
  <c r="N916" i="7" l="1"/>
  <c r="M1062" i="7"/>
  <c r="M1076" i="7" s="1"/>
  <c r="K13" i="39" s="1"/>
  <c r="M920" i="7"/>
  <c r="M924" i="7"/>
  <c r="N924" i="7" s="1"/>
  <c r="M929" i="7"/>
  <c r="N929" i="7" s="1"/>
  <c r="M928" i="7"/>
  <c r="N928" i="7" s="1"/>
  <c r="M926" i="7"/>
  <c r="N926" i="7" s="1"/>
  <c r="M930" i="7"/>
  <c r="N930" i="7" s="1"/>
  <c r="M922" i="7"/>
  <c r="N922" i="7" s="1"/>
  <c r="M923" i="7"/>
  <c r="N923" i="7" s="1"/>
  <c r="M921" i="7"/>
  <c r="N921" i="7" s="1"/>
  <c r="M925" i="7"/>
  <c r="N925" i="7" s="1"/>
  <c r="M927" i="7"/>
  <c r="N927" i="7" s="1"/>
  <c r="L13" i="39" l="1"/>
  <c r="L19" i="39" s="1"/>
  <c r="L20" i="39" s="1"/>
  <c r="L21" i="39" s="1"/>
  <c r="B19" i="39" s="1"/>
  <c r="K19" i="39"/>
  <c r="K20" i="39" s="1"/>
  <c r="K21" i="39" s="1"/>
  <c r="N920" i="7"/>
  <c r="M931" i="7"/>
  <c r="M932" i="7" s="1"/>
  <c r="N931" i="7" l="1"/>
  <c r="N932" i="7" s="1"/>
  <c r="N1072" i="7" s="1"/>
  <c r="M988" i="7"/>
  <c r="N988" i="7" s="1"/>
  <c r="M989" i="7"/>
  <c r="N989" i="7" s="1"/>
  <c r="M987" i="7"/>
  <c r="N987" i="7" s="1"/>
  <c r="M986" i="7"/>
  <c r="N986" i="7" l="1"/>
  <c r="M1072" i="7"/>
  <c r="M990" i="7"/>
  <c r="N990" i="7" s="1"/>
  <c r="M993" i="7"/>
  <c r="N993" i="7" s="1"/>
  <c r="M992" i="7"/>
  <c r="N992" i="7" s="1"/>
  <c r="M991" i="7"/>
  <c r="N991" i="7" s="1"/>
  <c r="M996" i="7" l="1"/>
  <c r="N996" i="7" s="1"/>
  <c r="M994" i="7"/>
  <c r="M995" i="7"/>
  <c r="N995" i="7" s="1"/>
  <c r="N994" i="7" l="1"/>
  <c r="M997" i="7"/>
  <c r="M999" i="7"/>
  <c r="N999" i="7" s="1"/>
  <c r="M998" i="7"/>
  <c r="N998" i="7" s="1"/>
  <c r="N997" i="7" l="1"/>
  <c r="M1000" i="7"/>
  <c r="N1000" i="7" s="1"/>
  <c r="M1001" i="7"/>
  <c r="N1001" i="7" s="1"/>
  <c r="M1002" i="7" l="1"/>
  <c r="M1003" i="7"/>
  <c r="N1003" i="7" s="1"/>
  <c r="N1002" i="7" l="1"/>
  <c r="M1004" i="7"/>
  <c r="N1004" i="7" l="1"/>
  <c r="N1005" i="7" s="1"/>
  <c r="N1074" i="7" s="1"/>
  <c r="N1076" i="7" s="1"/>
  <c r="M1005" i="7"/>
  <c r="N1077" i="7" l="1"/>
  <c r="N1078" i="7" s="1"/>
  <c r="N1079" i="7" s="1"/>
  <c r="M1074" i="7"/>
  <c r="M1077" i="7" l="1"/>
  <c r="M1078" i="7" s="1"/>
  <c r="M1079" i="7" s="1"/>
</calcChain>
</file>

<file path=xl/sharedStrings.xml><?xml version="1.0" encoding="utf-8"?>
<sst xmlns="http://schemas.openxmlformats.org/spreadsheetml/2006/main" count="18272" uniqueCount="2360">
  <si>
    <t>No</t>
  </si>
  <si>
    <t>Jenis Material</t>
  </si>
  <si>
    <t>Satuan</t>
  </si>
  <si>
    <t>Volume</t>
  </si>
  <si>
    <t>1)</t>
  </si>
  <si>
    <t>Pole band 1/2 ; diameter 2"</t>
  </si>
  <si>
    <t>Pole band 1/2 ; diameter 2,5"</t>
  </si>
  <si>
    <t>Pole band 1/2 ; diameter 3"</t>
  </si>
  <si>
    <t>Pole band 1/2 ; diameter 3,5"</t>
  </si>
  <si>
    <t>Pole band 1/2 ; diameter 4"</t>
  </si>
  <si>
    <t>Pole band 1/2 ; diameter 4,5"</t>
  </si>
  <si>
    <t>Pole band 1/2 ; diameter 5"</t>
  </si>
  <si>
    <t>Pole band 1/2 ; diameter 5,5"</t>
  </si>
  <si>
    <t>Pole band 1/2 ; diameter 6"</t>
  </si>
  <si>
    <t>Pole band 1/2 ; diameter 6,5"</t>
  </si>
  <si>
    <t>Pole band 1/2 ; diameter 7"</t>
  </si>
  <si>
    <t>Pole band 1/2 ; diameter 7,5"</t>
  </si>
  <si>
    <t>Pole band 1/2 ; diameter 8"</t>
  </si>
  <si>
    <t>Pole band 1/2 ; diameter 8,5"</t>
  </si>
  <si>
    <t>Pole band 1/2 ; diameter 9"</t>
  </si>
  <si>
    <t>Pole band 1/2 ; diameter 9,5"</t>
  </si>
  <si>
    <t>Pole band 1/2 ; diameter 10"</t>
  </si>
  <si>
    <t>Pole band 1/2 ; diameter 10,5"</t>
  </si>
  <si>
    <t>Pole band 1/2 ; diameter 11"</t>
  </si>
  <si>
    <t>Pole band 1/2 ; diameter 11,5"</t>
  </si>
  <si>
    <t>Pole band 1/2 ; diameter 12"</t>
  </si>
  <si>
    <t>Pole band 1/2 ; diameter 12,5"</t>
  </si>
  <si>
    <t>Pole band 1/2 ; diameter 13"</t>
  </si>
  <si>
    <t>Pole band 1/2 ; diameter 13,5"</t>
  </si>
  <si>
    <t>Pole band 1/2 ; diameter 14"</t>
  </si>
  <si>
    <t>2)</t>
  </si>
  <si>
    <t>Pole Band 2/2 ; tebal 6mm x lebar 42mm ; Hot Dip Galvanized (HDG)</t>
  </si>
  <si>
    <t>Pole band 2/2 ; diameter 2"</t>
  </si>
  <si>
    <t>Pole band 2/2 ; diameter 2,5"</t>
  </si>
  <si>
    <t>Pole band 2/2 ; diameter 3"</t>
  </si>
  <si>
    <t>Pole band 2/2 ; diameter 3,5"</t>
  </si>
  <si>
    <t>Pole band 2/2 ; diameter 4"</t>
  </si>
  <si>
    <t>Pole band 2/2 ; diameter 4,5"</t>
  </si>
  <si>
    <t>Pole band 2/2 ; diameter 5"</t>
  </si>
  <si>
    <t>Pole band 2/2 ; diameter 5,5"</t>
  </si>
  <si>
    <t>Pole band 2/2 ; diameter 6"</t>
  </si>
  <si>
    <t>Pole band 2/2 ; diameter 6,5"</t>
  </si>
  <si>
    <t>Pole band 2/2 ; diameter 7"</t>
  </si>
  <si>
    <t>Pole band 2/2 ; diameter 7,5"</t>
  </si>
  <si>
    <t>Pole band 2/2 ; diameter 8"</t>
  </si>
  <si>
    <t>Pole band 2/2 ; diameter 8,5"</t>
  </si>
  <si>
    <t>Pole band 2/2 ; diameter 9"</t>
  </si>
  <si>
    <t>Pole band 2/2 ; diameter 9,5"</t>
  </si>
  <si>
    <t>Pole band 2/2 ; diameter 10"</t>
  </si>
  <si>
    <t>Pole band 2/2 ; diameter 10,5"</t>
  </si>
  <si>
    <t>Pole band 2/2 ; diameter 11"</t>
  </si>
  <si>
    <t>Pole band 2/2 ; diameter 11,5"</t>
  </si>
  <si>
    <t>Pole band 2/2 ; diameter 12"</t>
  </si>
  <si>
    <t>Pole band 2/2 ; diameter 12,5"</t>
  </si>
  <si>
    <t>Pole band 2/2 ; diameter 13"</t>
  </si>
  <si>
    <t>Pole band 2/2 ; diameter 13,5"</t>
  </si>
  <si>
    <t>Pole band 2/2 ; diameter 14"</t>
  </si>
  <si>
    <t>3)</t>
  </si>
  <si>
    <t>Single Fixing Collar  2/2 ; diameter 2"</t>
  </si>
  <si>
    <t>Single Fixing Collar  2/2 ; diameter 2,5"</t>
  </si>
  <si>
    <t>Single Fixing Collar  2/2 ; diameter 3"</t>
  </si>
  <si>
    <t>Single Fixing Collar  2/2 ; diameter 3,5"</t>
  </si>
  <si>
    <t>Single Fixing Collar  2/2 ; diameter 4"</t>
  </si>
  <si>
    <t>Single Fixing Collar  2/2 ; diameter 4,5"</t>
  </si>
  <si>
    <t>Single Fixing Collar  2/2 ; diameter 5"</t>
  </si>
  <si>
    <t>Single Fixing Collar  2/2 ; diameter 5,5"</t>
  </si>
  <si>
    <t>Single Fixing Collar  2/2 ; diameter 6"</t>
  </si>
  <si>
    <t>Single Fixing Collar  2/2 ; diameter 6,5"</t>
  </si>
  <si>
    <t>Single Fixing Collar  2/2 ; diameter 7"</t>
  </si>
  <si>
    <t>Single Fixing Collar  2/2 ; diameter 7,5"</t>
  </si>
  <si>
    <t>Single Fixing Collar  2/2 ; diameter 8"</t>
  </si>
  <si>
    <t>Single Fixing Collar  2/2 ; diameter 8,5"</t>
  </si>
  <si>
    <t>Single Fixing Collar  2/2 ; diameter 9"</t>
  </si>
  <si>
    <t>Single Fixing Collar  2/2 ; diameter 9,5"</t>
  </si>
  <si>
    <t>Single Fixing Collar  2/2 ; diameter 10"</t>
  </si>
  <si>
    <t>Single Fixing Collar  2/2 ; diameter 10,5"</t>
  </si>
  <si>
    <t>Single Fixing Collar  2/2 ; diameter 11"</t>
  </si>
  <si>
    <t>Single Fixing Collar  2/2 ; diameter 11,5"</t>
  </si>
  <si>
    <t>Single Fixing Collar  2/2 ; diameter 12"</t>
  </si>
  <si>
    <t>Single Fixing Collar  2/2 ; diameter 12,5"</t>
  </si>
  <si>
    <t>Single Fixing Collar  2/2 ; diameter 13"</t>
  </si>
  <si>
    <t>Single Fixing Collar  2/2 ; diameter 13,5"</t>
  </si>
  <si>
    <t>Single Fixing Collar  2/2 ; diameter 14"</t>
  </si>
  <si>
    <t>4)</t>
  </si>
  <si>
    <t>Double Arm Fixing Collar 2/2 ; tebal 6mm x lebar 42mm ; Hot Dip Galvanized (HDG)</t>
  </si>
  <si>
    <t>Double Arm Fixing Collar 2/2 ; diameter 2"</t>
  </si>
  <si>
    <t>Double Arm Fixing Collar 2/2 ; diameter 2,5"</t>
  </si>
  <si>
    <t>Double Arm Fixing Collar 2/2 ; diameter 3"</t>
  </si>
  <si>
    <t>Double Arm Fixing Collar 2/2 ; diameter 3,5"</t>
  </si>
  <si>
    <t>Double Arm Fixing Collar 2/2 ; diameter 4"</t>
  </si>
  <si>
    <t>Double Arm Fixing Collar 2/2 ; diameter 4,5"</t>
  </si>
  <si>
    <t>Double Arm Fixing Collar 2/2 ; diameter 5"</t>
  </si>
  <si>
    <t>Double Arm Fixing Collar 2/2 ; diameter 5,5"</t>
  </si>
  <si>
    <t>Double Arm Fixing Collar 2/2 ; diameter 6"</t>
  </si>
  <si>
    <t>Double Arm Fixing Collar 2/2 ; diameter 6,5"</t>
  </si>
  <si>
    <t>Double Arm Fixing Collar 2/2 ; diameter 7"</t>
  </si>
  <si>
    <t>Double Arm Fixing Collar 2/2 ; diameter 7,5"</t>
  </si>
  <si>
    <t>Double Arm Fixing Collar 2/2 ; diameter 8"</t>
  </si>
  <si>
    <t>Double Arm Fixing Collar 2/2 ; diameter 8,5"</t>
  </si>
  <si>
    <t>Double Arm Fixing Collar 2/2 ; diameter 9"</t>
  </si>
  <si>
    <t>Double Arm Fixing Collar 2/2 ; diameter 9,5"</t>
  </si>
  <si>
    <t>Double Arm Fixing Collar 2/2 ; diameter 10"</t>
  </si>
  <si>
    <t>Double Arm Fixing Collar 2/2 ; diameter 10,5"</t>
  </si>
  <si>
    <t>Double Arm Fixing Collar 2/2 ; diameter 11"</t>
  </si>
  <si>
    <t>Double Arm Fixing Collar 2/2 ; diameter 11,5"</t>
  </si>
  <si>
    <t>Double Arm Fixing Collar 2/2 ; diameter 12"</t>
  </si>
  <si>
    <t>Double Arm Fixing Collar 2/2 ; diameter 12,5"</t>
  </si>
  <si>
    <t>Double Arm Fixing Collar 2/2 ; diameter 13"</t>
  </si>
  <si>
    <t>Double Arm Fixing Collar 2/2 ; diameter 13,5"</t>
  </si>
  <si>
    <t>Double Arm Fixing Collar 2/2 ; diameter 14"</t>
  </si>
  <si>
    <t>5)</t>
  </si>
  <si>
    <t>Single Offset Pole Band 2/2 ; tebal 6mm x lebar 42mm ; Hot Dip Galvanized (HDG)</t>
  </si>
  <si>
    <t>Single Offset Pole band 2/2 ; diameter 2"</t>
  </si>
  <si>
    <t>Single Offset Pole band 2/2 ; diameter 2,5"</t>
  </si>
  <si>
    <t>Single Offset Pole band 2/2 ; diameter 3"</t>
  </si>
  <si>
    <t>Single Offset Pole band 2/2 ; diameter 3,5"</t>
  </si>
  <si>
    <t>Single Offset Pole band 2/2 ; diameter 4"</t>
  </si>
  <si>
    <t>Single Offset Pole band 2/2 ; diameter 4,5"</t>
  </si>
  <si>
    <t>Single Offset Pole band 2/2 ; diameter 5"</t>
  </si>
  <si>
    <t>Single Offset Pole band 2/2 ; diameter 5,5"</t>
  </si>
  <si>
    <t>Single Offset Pole band 2/2 ; diameter 6"</t>
  </si>
  <si>
    <t>Single Offset Pole band 2/2 ; diameter 6,5"</t>
  </si>
  <si>
    <t>Single Offset Pole band 2/2 ; diameter 7"</t>
  </si>
  <si>
    <t>Single Offset Pole band 2/2 ; diameter 7,5"</t>
  </si>
  <si>
    <t>Single Offset Pole band 2/2 ; diameter 8"</t>
  </si>
  <si>
    <t>Single Offset Pole band 2/2 ; diameter 8,5"</t>
  </si>
  <si>
    <t>Single Offset Pole band 2/2 ; diameter 9"</t>
  </si>
  <si>
    <t>Single Offset Pole band 2/2 ; diameter 9,5"</t>
  </si>
  <si>
    <t>Single Offset Pole band 2/2 ; diameter 10"</t>
  </si>
  <si>
    <t>Single Offset Pole band 2/2 ; diameter 10,5"</t>
  </si>
  <si>
    <t>Single Offset Pole band 2/2 ; diameter 11"</t>
  </si>
  <si>
    <t>Single Offset Pole band 2/2 ; diameter 11,5"</t>
  </si>
  <si>
    <t>Single Offset Pole band 2/2 ; diameter 12"</t>
  </si>
  <si>
    <t>Single Offset Pole band 2/2 ; diameter 12,5"</t>
  </si>
  <si>
    <t>Single Offset Pole band 2/2 ; diameter 13"</t>
  </si>
  <si>
    <t>Single Offset Pole band 2/2 ; diameter 13,5"</t>
  </si>
  <si>
    <t>Single Offset Pole band 2/2 ; diameter 14"</t>
  </si>
  <si>
    <t>6)</t>
  </si>
  <si>
    <t>Besi UNP 100 (100mm x 50mm x 5,0mm) ; Hot Dip Galvanized (HDG)</t>
  </si>
  <si>
    <t>Besi UNP 100 ;  Panjang 6000mm</t>
  </si>
  <si>
    <t>Besi UNP 100 ;  Panjang 3000mm</t>
  </si>
  <si>
    <t>Besi UNP 100 ;  Panjang 2500mm</t>
  </si>
  <si>
    <t>Besi UNP 100 ;  Panjang 2200mm</t>
  </si>
  <si>
    <t>Besi UNP 100 ;  Panjang 2000mm</t>
  </si>
  <si>
    <t>Besi UNP 100 ;  Panjang 1800mm</t>
  </si>
  <si>
    <t>Besi UNP 100 ;  Panjang 1500mm</t>
  </si>
  <si>
    <t>Besi UNP 100 ;  Panjang 1200mm</t>
  </si>
  <si>
    <t>Besi UNP 100 ;  Panjang 1000mm</t>
  </si>
  <si>
    <t>Besi UNP 100 ;  Panjang 800mm</t>
  </si>
  <si>
    <t>Besi UNP 100 ;  Panjang 750mm</t>
  </si>
  <si>
    <t>Besi UNP 100 ;  Panjang 600mm</t>
  </si>
  <si>
    <t>Besi UNP 100 ;  Panjang 500mm</t>
  </si>
  <si>
    <t>Besi UNP 100 ;  Panjang 400mm</t>
  </si>
  <si>
    <t>Besi UNP 100 ;  Panjang 300mm</t>
  </si>
  <si>
    <t>Besi UNP 100 ;  Panjang 250mm</t>
  </si>
  <si>
    <t>Besi UNP 100 ;  Panjang 200mm</t>
  </si>
  <si>
    <t>7)</t>
  </si>
  <si>
    <t>Besi UNP 80 (80mm x 44mm x 3,5mm) ; Hot Dip Galvanized (HDG)</t>
  </si>
  <si>
    <t>Besi UNP 80 ;  Panjang 6000mm</t>
  </si>
  <si>
    <t>Besi UNP 80 ;  Panjang 3000mm</t>
  </si>
  <si>
    <t>Besi UNP 80 ;  Panjang 2500mm</t>
  </si>
  <si>
    <t>Besi UNP 80 ;  Panjang 2200mm</t>
  </si>
  <si>
    <t>Besi UNP 80 ;  Panjang 2000mm</t>
  </si>
  <si>
    <t>Besi UNP 80 ;  Panjang 1800mm</t>
  </si>
  <si>
    <t>Besi UNP 80 ;  Panjang 1500mm</t>
  </si>
  <si>
    <t>Besi UNP 80 ;  Panjang 1200mm</t>
  </si>
  <si>
    <t>Besi UNP 80 ;  Panjang 1000mm</t>
  </si>
  <si>
    <t>Besi UNP 80 ;  Panjang 800mm</t>
  </si>
  <si>
    <t>Besi UNP 80 ;  Panjang 750mm</t>
  </si>
  <si>
    <t>Besi UNP 80 ;  Panjang 600mm</t>
  </si>
  <si>
    <t>Besi UNP 80 ;  Panjang 500mm</t>
  </si>
  <si>
    <t>Besi UNP 80 ;  Panjang 400mm</t>
  </si>
  <si>
    <t>Besi UNP 80 ;  Panjang 300mm</t>
  </si>
  <si>
    <t>Besi UNP 80 ;  Panjang 250mm</t>
  </si>
  <si>
    <t>Besi UNP 80 ;  Panjang 200mm</t>
  </si>
  <si>
    <t>8)</t>
  </si>
  <si>
    <t>Besi UNP 65 (65mm x 42mm x 3,5mm) ; Hot Dip Galvanized (HDG)</t>
  </si>
  <si>
    <t>9)</t>
  </si>
  <si>
    <t>Panjang 6000mm</t>
  </si>
  <si>
    <t>Panjang 3000mm</t>
  </si>
  <si>
    <t>Panjang 2500mm</t>
  </si>
  <si>
    <t>Panjang 2000mm</t>
  </si>
  <si>
    <t>Panjang 1750mm</t>
  </si>
  <si>
    <t>Panjang 1500mm</t>
  </si>
  <si>
    <t>Panjang 1270mm</t>
  </si>
  <si>
    <t>Panjang 1250mm</t>
  </si>
  <si>
    <t>Panjang 1200mm</t>
  </si>
  <si>
    <t>Panjang 1000mm</t>
  </si>
  <si>
    <t>Panjang 800mm</t>
  </si>
  <si>
    <t>Panjang 750mm</t>
  </si>
  <si>
    <t>Panjang 600mm</t>
  </si>
  <si>
    <t>Panjang 500mm</t>
  </si>
  <si>
    <t>Panjang 400mm</t>
  </si>
  <si>
    <t>Panjang 300mm</t>
  </si>
  <si>
    <t>Panjang 250mm</t>
  </si>
  <si>
    <t>Panjang 200mm</t>
  </si>
  <si>
    <t>Panjang 100mm</t>
  </si>
  <si>
    <t>10)</t>
  </si>
  <si>
    <t>11)</t>
  </si>
  <si>
    <t>Arm Tie Brace - Pipa Ø 3/4" tebal min. 2,35mm</t>
  </si>
  <si>
    <t>12)</t>
  </si>
  <si>
    <t>Bolt &amp; Nut M16 (Ø=5/8") + Washer (Ring Plat) Galvanized</t>
  </si>
  <si>
    <t>Bolt &amp; Nut  M16 x 500mm</t>
  </si>
  <si>
    <t>buah</t>
  </si>
  <si>
    <t>Bolt &amp; Nut  M16 x 400mm</t>
  </si>
  <si>
    <t>Bolt &amp; Nut  M16 x 350mm</t>
  </si>
  <si>
    <t>Bolt &amp; Nut  M16 x 300mm</t>
  </si>
  <si>
    <t>Bolt &amp; Nut  M16 x 200mm</t>
  </si>
  <si>
    <t>Bolt &amp; Nut  M16 x 140mm</t>
  </si>
  <si>
    <t>Bolt &amp; Nut  M16 x 120mm</t>
  </si>
  <si>
    <t>Bolt &amp; Nut  M16 x 75mm</t>
  </si>
  <si>
    <t>Bolt &amp; Nut  M16 x 70mm</t>
  </si>
  <si>
    <t>Bolt &amp; Nut  M16 x 50mm</t>
  </si>
  <si>
    <t>13)</t>
  </si>
  <si>
    <t>Double Arming Bolt &amp; Nut M16 (Ø=5/8") + Ring Plat + 4 mur - Galvanized</t>
  </si>
  <si>
    <t>Double Arming Bolt &amp; Nut  M16 x 500mm</t>
  </si>
  <si>
    <t>Double Arming Bolt &amp; Nut  M16 x 400mm</t>
  </si>
  <si>
    <t>Double Arming Bolt &amp; Nut  M16 x 350mm</t>
  </si>
  <si>
    <t>Double Arming Bolt &amp; Nut  M16 x 300mm</t>
  </si>
  <si>
    <t>14)</t>
  </si>
  <si>
    <t>Bolt &amp; Nut M14 + Washer (Ring Plat) Galvanized</t>
  </si>
  <si>
    <t>Bolt &amp; Nut  M14 x 25mm</t>
  </si>
  <si>
    <t>Bolt &amp; Nut  M14 x 30mm</t>
  </si>
  <si>
    <t>Bolt &amp; Nut  M14 x 40mm</t>
  </si>
  <si>
    <t>Bolt &amp; Nut  M14 x 50mm</t>
  </si>
  <si>
    <t>Bolt &amp; Nut  M14 x 75mm</t>
  </si>
  <si>
    <t>15)</t>
  </si>
  <si>
    <t>Bolt &amp; Nut M12 + Washer (Ring Plat) Galvanized</t>
  </si>
  <si>
    <t>Bolt &amp; Nut  M12 x 25mm</t>
  </si>
  <si>
    <t>Bolt &amp; Nut  M12 x 30mm</t>
  </si>
  <si>
    <t>Bolt &amp; Nut  M12 x 40mm</t>
  </si>
  <si>
    <t>Bolt &amp; Nut  M12 x 50mm</t>
  </si>
  <si>
    <t>Bolt &amp; Nut  M12 x 75mm</t>
  </si>
  <si>
    <t>16)</t>
  </si>
  <si>
    <t xml:space="preserve">Pipa Besi Galvanised  diameter 1/2"  tebal minimal 1,5mm </t>
  </si>
  <si>
    <t>batang</t>
  </si>
  <si>
    <t>17)</t>
  </si>
  <si>
    <t>Pipa Besi Galvanised  diameter 5/8"  tebal minimal 1,6mm</t>
  </si>
  <si>
    <t>18)</t>
  </si>
  <si>
    <t>Pipa Besi Galvanised  diameter 3/4"  tebal minimal 1,6mm</t>
  </si>
  <si>
    <t>19)</t>
  </si>
  <si>
    <t>Pipa Besi Galvanised  diameter 2,0"  tebal minimal 2,0mm</t>
  </si>
  <si>
    <t>20)</t>
  </si>
  <si>
    <t>Pipa Besi Galvanised   diameter 2,5"  tebal minimal 2,3mm</t>
  </si>
  <si>
    <t>21)</t>
  </si>
  <si>
    <t>Pipa Besi Galvanised  diameter 3,0"  tebal minimal 2,4mm</t>
  </si>
  <si>
    <t>22)</t>
  </si>
  <si>
    <t>Pipa Besi Galvanised  diameter 4,0"  tebal minimal 2,5mm</t>
  </si>
  <si>
    <t>23)</t>
  </si>
  <si>
    <t>Pipa Besi Galvanised  diameter 5,0"  tebal minimal 2,5mm</t>
  </si>
  <si>
    <t>24)</t>
  </si>
  <si>
    <t>Pipa Besi Galvanised  diameter 6,0"  tebal minimal 2,5mm</t>
  </si>
  <si>
    <t>25)</t>
  </si>
  <si>
    <t>L - Bow</t>
  </si>
  <si>
    <t xml:space="preserve">L - bow pipa Besi galvanized 2" </t>
  </si>
  <si>
    <t xml:space="preserve">L - bow pipa Besi galvanized 2,5" </t>
  </si>
  <si>
    <t xml:space="preserve">L - bow pipa Besi galvanized 3" </t>
  </si>
  <si>
    <t>26)</t>
  </si>
  <si>
    <t>Socket / sambungan pipa besi galvanish</t>
  </si>
  <si>
    <t>Socket / sambungan pipa besi galvanish drat dalam diameter 2"</t>
  </si>
  <si>
    <t>Socket / sambungan pipa besi galvanish drat dalam diameter 2,5"</t>
  </si>
  <si>
    <t>Socket / sambungan pipa besi galvanish drat dalam diameter 3"</t>
  </si>
  <si>
    <t>27)</t>
  </si>
  <si>
    <t>Stall Drad / Galvanised Steel Wire</t>
  </si>
  <si>
    <t>meter</t>
  </si>
  <si>
    <t>28)</t>
  </si>
  <si>
    <t>Preformed Termination / Preformed Guy Grip</t>
  </si>
  <si>
    <t>Preformed Termination Diameter 150mm</t>
  </si>
  <si>
    <t>Preformed Termination Diameter 120mm</t>
  </si>
  <si>
    <t>Preformed Termination Diameter 95mm</t>
  </si>
  <si>
    <t>Preformed Termination Diameter 70mm²,  L=1000mm ; D=40mm ; Rod/set=6</t>
  </si>
  <si>
    <t>Preformed Termination Diameter 50mm²,  L=900mm ; D=35mm ; Rod/set=5</t>
  </si>
  <si>
    <t>Preformed Termination Diameter 35mm²,  L=710mm ; D=35mm ; Rod/set=6</t>
  </si>
  <si>
    <t>29)</t>
  </si>
  <si>
    <t>Wire Clips / Cross By - HDG</t>
  </si>
  <si>
    <t>Wire Clips / Cross By 70mm²</t>
  </si>
  <si>
    <t>Wire Clips / Cross By 50mm²</t>
  </si>
  <si>
    <t>Wire Clips / Cross By 35mm²</t>
  </si>
  <si>
    <t>Wire Clips / Cross By 22mm²</t>
  </si>
  <si>
    <t>30)</t>
  </si>
  <si>
    <t xml:space="preserve">Spanschroef / Turn Buckle Hook &amp; Eye </t>
  </si>
  <si>
    <t>Turn Buckle Hook &amp; Eye 17 KN - 5/8" - Hot Dip Galvanized</t>
  </si>
  <si>
    <t xml:space="preserve">Turn Buckle Hook &amp; Eye 60 KN - 3/4" - Hot Dip Galvanized </t>
  </si>
  <si>
    <t>31)</t>
  </si>
  <si>
    <t>Causen galvanized / Guy Wire Thimble Galvanised</t>
  </si>
  <si>
    <t>Causen galvanized 70mm</t>
  </si>
  <si>
    <t>Causen galvanized 50mm</t>
  </si>
  <si>
    <t>Causen galvanized 35mm</t>
  </si>
  <si>
    <t>Causen galvanized 22mm</t>
  </si>
  <si>
    <t>Causen galvanized 16mm</t>
  </si>
  <si>
    <t>32)</t>
  </si>
  <si>
    <t>Stay Rod (Ankur) HDG &amp; Clamp</t>
  </si>
  <si>
    <t>Ankur diameter 18mm Panjang 2500mm</t>
  </si>
  <si>
    <t>Ankur diameter 18mm Panjang 2000mm</t>
  </si>
  <si>
    <t>Ankur diameter 18mm Panjang 1800mm</t>
  </si>
  <si>
    <t>Ankur diameter 18mm Panjang 1500mm</t>
  </si>
  <si>
    <t>Ankur diameter 16mm Panjang 2500mm</t>
  </si>
  <si>
    <t>Ankur diameter 16mm Panjang 2000mm</t>
  </si>
  <si>
    <t>Ankur diameter 16mm Panjang 1800mm</t>
  </si>
  <si>
    <t>Ankur diameter 16mm Panjang 1500mm</t>
  </si>
  <si>
    <t>Anchor Rod Clamp + Bolt &amp; nut M16 x 50 (diameter 16mm x panjang 50mm) HDG</t>
  </si>
  <si>
    <t>33)</t>
  </si>
  <si>
    <t>U-Bolt</t>
  </si>
  <si>
    <t xml:space="preserve">U-Bolt 19mm + Nut + Plat 120 x 50 x 5mm </t>
  </si>
  <si>
    <t xml:space="preserve">U-Bolt 18mm + Nut + Plat 120 x 50 x 5mm </t>
  </si>
  <si>
    <t xml:space="preserve">U-Bolt 16mm + Nut + Plat 120 x 50 x 5mm </t>
  </si>
  <si>
    <t>34)</t>
  </si>
  <si>
    <t>Guy / Tui Isolator</t>
  </si>
  <si>
    <t>Guy Isolator Besar u/ JTM</t>
  </si>
  <si>
    <t>Guy Isolator Kecil u/ JTR</t>
  </si>
  <si>
    <t>35)</t>
  </si>
  <si>
    <t>Steel Plate</t>
  </si>
  <si>
    <t>Steel Plate Type I  (tebal 6mm x lebar 100mm x panjang 375mm)</t>
  </si>
  <si>
    <t>Steel Plate Type II (tebal 6mm x lebar 100mm x panjang 120mm)</t>
  </si>
  <si>
    <t>36)</t>
  </si>
  <si>
    <t>Penghalang Panjat (Plat Besi tebal 6mm x lebar 42mm) + (Besi Beton 8-10mm) HDG</t>
  </si>
  <si>
    <t xml:space="preserve">Diameter 318,5mm,  + Bolt &amp; Nut M16x50mm + Washer </t>
  </si>
  <si>
    <t xml:space="preserve">Diameter 295,0mm,  + Bolt &amp; Nut M16x50mm + Washer </t>
  </si>
  <si>
    <t xml:space="preserve">Diameter 267,4mm,  + Bolt &amp; Nut M16x50mm + Washer </t>
  </si>
  <si>
    <t xml:space="preserve">Diameter 216,3mm,  + Bolt &amp; Nut M16x50mm + Washer </t>
  </si>
  <si>
    <t>Diameter 203,2mm,  + Bolt &amp; Nut M16x50mm + Washer (8")</t>
  </si>
  <si>
    <t>Diameter 177,8mm,  + Bolt &amp; Nut M16x50mm + Washer (7")</t>
  </si>
  <si>
    <t>37)</t>
  </si>
  <si>
    <t>Penghalang Panjat (Plat Besi tebal 3,2mm x lebar 35mm) + (Besi Beton 8-10mm) HDG</t>
  </si>
  <si>
    <t>38)</t>
  </si>
  <si>
    <t>Stay rod/Guy Wire rod diameter 5/8" (15 - 16mm) - (ankur) HDG</t>
  </si>
  <si>
    <t>Panjang 1000 mm</t>
  </si>
  <si>
    <t>Panjang 1500 mm</t>
  </si>
  <si>
    <t>Panjang 1800 mm</t>
  </si>
  <si>
    <t>Panjang 2000 mm</t>
  </si>
  <si>
    <t>Panjang 2500 mm</t>
  </si>
  <si>
    <t>39)</t>
  </si>
  <si>
    <t>Stay rod/Guy Wire rod diameter 3/4" (18 - 20mm) - (ankur) HDG</t>
  </si>
  <si>
    <t>40)</t>
  </si>
  <si>
    <t>Pengikat Semi Konduktor / Ties</t>
  </si>
  <si>
    <t>Top Ties  70</t>
  </si>
  <si>
    <t>Top Ties  150</t>
  </si>
  <si>
    <t>Top Ties  240</t>
  </si>
  <si>
    <t>Side Ties  70</t>
  </si>
  <si>
    <t>Side Ties  150</t>
  </si>
  <si>
    <t>Side Ties  240</t>
  </si>
  <si>
    <t>Double Top Ties  70</t>
  </si>
  <si>
    <t>Double Top Ties  150</t>
  </si>
  <si>
    <t>Double Top Ties  240</t>
  </si>
  <si>
    <t>Double Side Ties  70</t>
  </si>
  <si>
    <t>Double Side Ties  150</t>
  </si>
  <si>
    <t>Double Side Ties  240</t>
  </si>
  <si>
    <t>41)</t>
  </si>
  <si>
    <t>Fuse Link</t>
  </si>
  <si>
    <t>2 A  sd  20 A</t>
  </si>
  <si>
    <t>25 A  sd  30 A</t>
  </si>
  <si>
    <t>35 A</t>
  </si>
  <si>
    <t>40 A  sd  50 A</t>
  </si>
  <si>
    <t>60 A</t>
  </si>
  <si>
    <t>80 A  sd  100 A</t>
  </si>
  <si>
    <t>200 A</t>
  </si>
  <si>
    <t>42)</t>
  </si>
  <si>
    <t>Ground Rod + Clamp  5/8"</t>
  </si>
  <si>
    <t>Panjang 2750mm</t>
  </si>
  <si>
    <t>43)</t>
  </si>
  <si>
    <t>Kabel BC (Bare Copper) / kabel tembaga telanjang</t>
  </si>
  <si>
    <t>44)</t>
  </si>
  <si>
    <t>Ornament Cable Band / Double Collar Band - tebal min. 6mm x lebar 42mm</t>
  </si>
  <si>
    <t>Ornament Cable Band   4 x 5"</t>
  </si>
  <si>
    <t>Ornament Cable Band   4 x 5,5"</t>
  </si>
  <si>
    <t>Ornament Cable Band   4 x 6"</t>
  </si>
  <si>
    <t>Ornament Cable Band   4 x 6,5"</t>
  </si>
  <si>
    <t>Ornament Cable Band   4 x 7"</t>
  </si>
  <si>
    <t>Ornament Cable Band   4 x 7,5"</t>
  </si>
  <si>
    <t>Ornament Cable Band   4 x 8"</t>
  </si>
  <si>
    <t>Ornament Cable Band   4 x 8,5"</t>
  </si>
  <si>
    <t>Ornament Cable Band   4 x 9"</t>
  </si>
  <si>
    <t>Ornament Cable Band   4 x 9,5"</t>
  </si>
  <si>
    <t>Ornament Cable Band   4 x 10"</t>
  </si>
  <si>
    <t>Ornament Cable Band   4 x 10,5"</t>
  </si>
  <si>
    <t>Ornament Cable Band   4 x 11"</t>
  </si>
  <si>
    <t>Ornament Cable Band   4 x 11,5"</t>
  </si>
  <si>
    <t>Ornament Cable Band   4 x 12"</t>
  </si>
  <si>
    <t>Ornament Cable Band   4 x 12,5"</t>
  </si>
  <si>
    <t>Ornament Cable Band   4 x 13"</t>
  </si>
  <si>
    <t>Ornament Cable Band   4 x 13,5"</t>
  </si>
  <si>
    <t>Ornament Cable Band   4 x 14"</t>
  </si>
  <si>
    <t>Ornament Cable Band   6 x 7"</t>
  </si>
  <si>
    <t>Ornament Cable Band   6 x 7,5"</t>
  </si>
  <si>
    <t>Ornament Cable Band   6 x 8"</t>
  </si>
  <si>
    <t>Ornament Cable Band   6 x 8,5"</t>
  </si>
  <si>
    <t>Ornament Cable Band   6 x 9"</t>
  </si>
  <si>
    <t>Ornament Cable Band   6 x 10"</t>
  </si>
  <si>
    <t>Ornament Cable Band   6 x 10,5"</t>
  </si>
  <si>
    <t>Ornament Cable Band   6 x 11"</t>
  </si>
  <si>
    <t>Ornament Cable Band   6 x 11,5"</t>
  </si>
  <si>
    <t>Ornament Cable Band   6 x 12"</t>
  </si>
  <si>
    <t>Ornament Cable Band   6 x 12,5"</t>
  </si>
  <si>
    <t>Ornament Cable Band   6 x 13"</t>
  </si>
  <si>
    <t>Ornament Cable Band   6 x 13,5"</t>
  </si>
  <si>
    <t>Ornament Cable Band   6 x 14"</t>
  </si>
  <si>
    <t>45)</t>
  </si>
  <si>
    <t>Terminating &amp; Jointing</t>
  </si>
  <si>
    <t>Terminating Coldshrink 1  Core  Indoor 95-120 mm²</t>
  </si>
  <si>
    <t>set</t>
  </si>
  <si>
    <t>Terminating Coldshrink 1  Core  Indoor 150-300 mm²</t>
  </si>
  <si>
    <t>Terminating Coldshrink 1  Core  Outdoor 95-120 mm²</t>
  </si>
  <si>
    <t>Terminating Coldshrink 1  Core  Outdoor 150-300 mm²</t>
  </si>
  <si>
    <t>Terminating Coldshrink 3  Core  Indoor 95-120 mm²</t>
  </si>
  <si>
    <t>Terminating Coldshrink 3  Core  Indoor 150-300 mm²</t>
  </si>
  <si>
    <t>Terminating Coldshrink 3  Core  Outdoor 95-120 mm²</t>
  </si>
  <si>
    <t>Terminating Coldshrink 3  Core  Outdoor 150-300 mm²</t>
  </si>
  <si>
    <t>Jointing Coldshrink 1  Core  70-95 mm²</t>
  </si>
  <si>
    <t>Jointing Coldshrink 1  Core  120-185 mm²</t>
  </si>
  <si>
    <t>Jointing Coldshrink 1  Core  240 -300 mm²</t>
  </si>
  <si>
    <t>Jointing Coldshrink 3  Core  70-95 mm²</t>
  </si>
  <si>
    <t>Jointing Coldshrink 3  Core  120-185 mm²</t>
  </si>
  <si>
    <t>Jointing Coldshrink 3  Core  240 -300 mm²</t>
  </si>
  <si>
    <t>Sparabel Connection 3x1 core 150 mm²</t>
  </si>
  <si>
    <t>Sparabel Connection 3x1 core 240 mm²</t>
  </si>
  <si>
    <t>Sparabel Connection 3 Core 150 mm²</t>
  </si>
  <si>
    <t>Sparabel Connection 3 Core 240 mm²</t>
  </si>
  <si>
    <t>46)</t>
  </si>
  <si>
    <t>Bracket &amp; Clamp - SKUTM MVTIC</t>
  </si>
  <si>
    <t>Suspension Bracket (Bracket Gantung) MVTIC / TM</t>
  </si>
  <si>
    <t>Tension Bracket (Bracket Tarik) MVTIC / TM</t>
  </si>
  <si>
    <t>47)</t>
  </si>
  <si>
    <t>Bracket &amp; Clamp - SKUTR LVTC</t>
  </si>
  <si>
    <t>Suspension Bracket (Bracket Gantung) LVTC / TR</t>
  </si>
  <si>
    <t>Tension Bracket (Bracket Tarik) LVTC / TR</t>
  </si>
  <si>
    <t>48)</t>
  </si>
  <si>
    <t>49)</t>
  </si>
  <si>
    <t>50)</t>
  </si>
  <si>
    <t>Besi Beton</t>
  </si>
  <si>
    <t>Besi Beton Galvanis Ø 10 mm² (panjang 14 cm, 12 bh)</t>
  </si>
  <si>
    <t>51)</t>
  </si>
  <si>
    <t>Extension for GW &amp; Separator</t>
  </si>
  <si>
    <t>Extension for GW type A</t>
  </si>
  <si>
    <t>Extension for GW type B</t>
  </si>
  <si>
    <t>52)</t>
  </si>
  <si>
    <t>53)</t>
  </si>
  <si>
    <t>Grounding Rod 5/8"  (16mm)</t>
  </si>
  <si>
    <t>Panjang = 3000 mm</t>
  </si>
  <si>
    <t>Panjang = 2750 mm</t>
  </si>
  <si>
    <t>Panjang = 2500 mm</t>
  </si>
  <si>
    <t>Panjang = 2000 mm</t>
  </si>
  <si>
    <t>Panjang = 1500 mm</t>
  </si>
  <si>
    <t>Panjang = 1000 mm</t>
  </si>
  <si>
    <t>54)</t>
  </si>
  <si>
    <t>Cover</t>
  </si>
  <si>
    <t>Cover Silicon Bushing Trafo TM atas</t>
  </si>
  <si>
    <t>Cover Silicon Bushing Trafo TM samping</t>
  </si>
  <si>
    <t>Cover Silicon Bushing Trafo TR atas</t>
  </si>
  <si>
    <t>Cover Silicon Bushing Trafo TR samping</t>
  </si>
  <si>
    <t>Cover Silicon Isolator Polymer</t>
  </si>
  <si>
    <t>Extension Isolator Silicon</t>
  </si>
  <si>
    <t>Belokan Isolator Silicone</t>
  </si>
  <si>
    <t>Cover PVC Isolator</t>
  </si>
  <si>
    <t>Cover Silicon FCO Atas</t>
  </si>
  <si>
    <t>Cover Silicon FCO Bawah</t>
  </si>
  <si>
    <t>Cover Silicon Arrester 2 Lubang</t>
  </si>
  <si>
    <t>Cover Silicon Arrester 1 Lubang</t>
  </si>
  <si>
    <t>Cover Strain Clamp</t>
  </si>
  <si>
    <t>Cover Recloser</t>
  </si>
  <si>
    <t>55)</t>
  </si>
  <si>
    <t xml:space="preserve">Live Line Clamp </t>
  </si>
  <si>
    <t>Live Line Clamp  35 - 70</t>
  </si>
  <si>
    <t>Live Line Clamp  70 - 150</t>
  </si>
  <si>
    <t>Live Line Clamp  150 - 240</t>
  </si>
  <si>
    <t>56)</t>
  </si>
  <si>
    <t>CCO  + cover</t>
  </si>
  <si>
    <t>CCO 10-16 mm² + cover</t>
  </si>
  <si>
    <t>CCO 10/16 - 35 mm² + cover</t>
  </si>
  <si>
    <t>CCO 10/16 - 50 mm² + cover</t>
  </si>
  <si>
    <t>CCO 10/16 - 70 mm² + cover</t>
  </si>
  <si>
    <t>CCO 25 - 35 mm² + Cover</t>
  </si>
  <si>
    <t>CCO 35 - 35 mm² + Cover</t>
  </si>
  <si>
    <t>CCO 50 - 70 mm² + Cover</t>
  </si>
  <si>
    <t>CCO 70 - 70 mm² + Cover</t>
  </si>
  <si>
    <t>CCO 120 - 150 mm² + Cover</t>
  </si>
  <si>
    <t>CCO 150 - 150 mm² + Cover</t>
  </si>
  <si>
    <t>CCO 150 - 240 mm² + Cover</t>
  </si>
  <si>
    <t>CCO 240 - 240 mm² + Cover</t>
  </si>
  <si>
    <t>CCO 240 - 300 mm² + Cover</t>
  </si>
  <si>
    <t>Comp. Connector Press Berinsulasi Pita KP 35-50/10-16</t>
  </si>
  <si>
    <t>Comp. Connector Press Berinsulasi Pita KP 35-50/25-35</t>
  </si>
  <si>
    <t>Comp. Connector Press Berinsulasi Pita KP 70-95/10-16</t>
  </si>
  <si>
    <t>Comp. Connector Press Berinsulasi Pita KP 70-95/25-35</t>
  </si>
  <si>
    <t>Comp. Connector Press Berinsulasi Pita KJ 35-50/35-50</t>
  </si>
  <si>
    <t>Comp. Connector Press Berinsulasi Pita KJ 50-70/50-70</t>
  </si>
  <si>
    <t>Comp. Connector Press Berinsulasi Pita KJ 570-95/70-95</t>
  </si>
  <si>
    <t>Comp. Connector Press Berinsulasi Pita KJ 95-120/95-120</t>
  </si>
  <si>
    <t>57)</t>
  </si>
  <si>
    <t>H. Type Conector</t>
  </si>
  <si>
    <t>H. Type Conector 50-70/ 50-70 mm²</t>
  </si>
  <si>
    <t>H. Type Conector 70-150/ 70-150 mm²</t>
  </si>
  <si>
    <t>H. Type Conector150-240/ 150-240 mm²</t>
  </si>
  <si>
    <t>H. Type Conector 70-240/ 70-240 mm²</t>
  </si>
  <si>
    <t>H. Type Conector 150-240/ 150-240 mm²</t>
  </si>
  <si>
    <t>H. Type Conector 240-240/ 240-240 mm²</t>
  </si>
  <si>
    <t>58)</t>
  </si>
  <si>
    <t>Joint sleeve tension</t>
  </si>
  <si>
    <t>Joint sleeve tension 16 mm² + isolasi</t>
  </si>
  <si>
    <t>Joint sleeve tension 35 mm² + isolasi</t>
  </si>
  <si>
    <t>Joint sleeve tension 50 mm² + isolasi</t>
  </si>
  <si>
    <t>Joint sleeve tension 70 mm² + isolasi</t>
  </si>
  <si>
    <t>Joint sleeve tension 95 mm² + isolasi</t>
  </si>
  <si>
    <t>Joint sleeve tension 150 mm² + isolasi</t>
  </si>
  <si>
    <t>Joint sleeve tension 240 mm² + isolasi</t>
  </si>
  <si>
    <t>59)</t>
  </si>
  <si>
    <t>Joint sleeve non tension</t>
  </si>
  <si>
    <t>Joint Sleves 35 mm² non tension + isolasi</t>
  </si>
  <si>
    <t>Joint Sleves 50 mm² non tension + isolasi</t>
  </si>
  <si>
    <t>Joint Sleves 70 mm² non tension + isolasi</t>
  </si>
  <si>
    <t>Joint Sleves 95 mm² non tension + isolasi</t>
  </si>
  <si>
    <t>Joint Sleves 50-35 mm² non tension + isolasi</t>
  </si>
  <si>
    <t>Joint Sleves 70-35 mm² non tension + isolasi</t>
  </si>
  <si>
    <t>Joint Sleves 70-50 mm² non tension + isolasi</t>
  </si>
  <si>
    <t>Joint Sleves 95-50 mm² non tension + isolasi</t>
  </si>
  <si>
    <t>Joint Sleves 95-70 mm² non tension + isolasi</t>
  </si>
  <si>
    <t>Joint Sleves 150 mm² non tension + isolasi</t>
  </si>
  <si>
    <t>Joint Sleves 240 mm² non tension + isolasi</t>
  </si>
  <si>
    <t>Joint bimetal AL - CU</t>
  </si>
  <si>
    <t>Joint bimetal (16-10 mm²) + heat shrink</t>
  </si>
  <si>
    <t>Joint bimetal (16-16 mm²) + heat shrink</t>
  </si>
  <si>
    <t>Joint bimetal (25-16 mm²) + heat shrink</t>
  </si>
  <si>
    <t>Joint bimetal (35-16 mm²) + heat shrink</t>
  </si>
  <si>
    <t>Joint bimetal (35-25 mm²) + heat shrink</t>
  </si>
  <si>
    <t>Joint bimetal (35-35 mm²) + heat shrink</t>
  </si>
  <si>
    <t>Joint bimetal (50-25 mm²) + heat shrink</t>
  </si>
  <si>
    <t>Joint bimetal (50-35 mm²) + heat shrink</t>
  </si>
  <si>
    <t>Joint bimetal (50-50 mm²) + heat shrink</t>
  </si>
  <si>
    <t>Joint bimetal (50-70 mm²) + heat shrink</t>
  </si>
  <si>
    <t>Joint bimetal (50-95 mm²) + heat shrink</t>
  </si>
  <si>
    <t>Joint bimetal (70-35 mm²) + heat shrink</t>
  </si>
  <si>
    <t>Joint bimetal (70-50 mm²) + heat shrink</t>
  </si>
  <si>
    <t>Joint bimetal (70-70 mm²) + heat shrink</t>
  </si>
  <si>
    <t>Joint bimetal (70-95 mm²) + heat shrink</t>
  </si>
  <si>
    <t>Joint bimetal (70-150 mm²) + heat shrink</t>
  </si>
  <si>
    <t>Joint bimetal (95-70 mm²) + heat shrink</t>
  </si>
  <si>
    <t>Joint bimetal (95-95 mm²) + heat shrink</t>
  </si>
  <si>
    <t>Joint bimetal (95-120 mm²) + heat shrink</t>
  </si>
  <si>
    <t>Joint bimetal (120 - 95 mm²) + heat shrink</t>
  </si>
  <si>
    <t>Joint bimetal (150-120 mm²) + heat shrink</t>
  </si>
  <si>
    <t>Joint bimetal (185-150 mm²) + heat shrink</t>
  </si>
  <si>
    <t>61)</t>
  </si>
  <si>
    <t>Sepatu Kabel AL-CU</t>
  </si>
  <si>
    <t>Sepatu Kabel AL-CU 16 mm²</t>
  </si>
  <si>
    <t>Sepatu Kabel AL-CU 25 mm²</t>
  </si>
  <si>
    <t>Sepatu Kabel AL-CU 35 mm²</t>
  </si>
  <si>
    <t>Sepatu Kabel AL-CU 50 mm²</t>
  </si>
  <si>
    <t>Sepatu Kabel AL-CU 70 mm²</t>
  </si>
  <si>
    <t>Sepatu Kabel AL-CU 95 mm²</t>
  </si>
  <si>
    <t>Sepatu Kabel AL-CU 120 mm²</t>
  </si>
  <si>
    <t>Sepatu Kabel AL-CU 150 mm²</t>
  </si>
  <si>
    <t>Sepatu Kabel AL-CU 185 mm²</t>
  </si>
  <si>
    <t>Sepatu Kabel AL-CU 240 mm²</t>
  </si>
  <si>
    <t>Sepatu Kabel AL-CU 300 mm²</t>
  </si>
  <si>
    <t>Sepatu Kabel AL-CU 70 mm² Double Bolt</t>
  </si>
  <si>
    <t>Sepatu Kabel AL-CU 150 mm² Double Bolt</t>
  </si>
  <si>
    <t>Sepatu Kabel AL-CU 240 mm² Double Bolt</t>
  </si>
  <si>
    <t>62)</t>
  </si>
  <si>
    <t>Sepatu Kabel CU</t>
  </si>
  <si>
    <t>Sepatu Kabel CU 16 mm²</t>
  </si>
  <si>
    <t>Sepatu Kabel CU 25 mm²</t>
  </si>
  <si>
    <t>Sepatu Kabel CU 35 mm²</t>
  </si>
  <si>
    <t>Sepatu Kabel CU 50 mm²</t>
  </si>
  <si>
    <t>Sepatu Kabel CU 70 mm²</t>
  </si>
  <si>
    <t>Sepatu Kabel CU 95 mm²</t>
  </si>
  <si>
    <t>Sepatu Kabel CU 120 mm²</t>
  </si>
  <si>
    <t>Sepatu Kabel CU 150 mm²</t>
  </si>
  <si>
    <t>Sepatu Kabel CU 185 mm²</t>
  </si>
  <si>
    <t>Sepatu Kabel CU 240 mm²</t>
  </si>
  <si>
    <t>Sepatu Kabel CU 300 mm²</t>
  </si>
  <si>
    <t>Sepatu Kabel AL</t>
  </si>
  <si>
    <t>Sepatu Kabel AL 35 mm²</t>
  </si>
  <si>
    <t>Sepatu Kabel AL 50 mm²</t>
  </si>
  <si>
    <t>Sepatu Kabel AL 70 mm²</t>
  </si>
  <si>
    <t>Sepatu Kabel AL 95 mm²</t>
  </si>
  <si>
    <t>Sepatu Kabel AL 120 mm²</t>
  </si>
  <si>
    <t>Sepatu Kabel AL 150 mm²</t>
  </si>
  <si>
    <t>Sepatu Kabel AL 185 mm²</t>
  </si>
  <si>
    <t>Sepatu Kabel AL 240 mm²</t>
  </si>
  <si>
    <t>Sepatu Kabel AL 300 mm²</t>
  </si>
  <si>
    <t>Sepatu Kabel AL 400 mm²</t>
  </si>
  <si>
    <t>Aksesoris - SKUTM MVTIC</t>
  </si>
  <si>
    <t xml:space="preserve">Connection Clamp for Neutral MVTIC + Bolt &amp; Nut M12x30mm </t>
  </si>
  <si>
    <t>Separator Clamp for neutral</t>
  </si>
  <si>
    <t>Asesoris - SKUTR LVTC</t>
  </si>
  <si>
    <t xml:space="preserve">Stainless Steel Strip 20 x 0,7 mm </t>
  </si>
  <si>
    <t>Stoping buckle</t>
  </si>
  <si>
    <t>Link 25 x 25</t>
  </si>
  <si>
    <t>Service Wedge Clamp 2x6-16mm²</t>
  </si>
  <si>
    <t>Aluminium Binding Wire</t>
  </si>
  <si>
    <t>Eye Nut M16</t>
  </si>
  <si>
    <t>Shackle</t>
  </si>
  <si>
    <t>Anchor Block (Beton Blok) 40 cm x 40 cm x 10 cm</t>
  </si>
  <si>
    <t>Concrete slabs 450x150x40 mm</t>
  </si>
  <si>
    <t>End cap / Dead end tubes</t>
  </si>
  <si>
    <t>Dyna Bolt 8x85 mm</t>
  </si>
  <si>
    <t xml:space="preserve">Bracket Clamp Box APP </t>
  </si>
  <si>
    <t>m³</t>
  </si>
  <si>
    <t>Uraian</t>
  </si>
  <si>
    <t>Dasar</t>
  </si>
  <si>
    <t>Semen (PC)</t>
  </si>
  <si>
    <t>Zak</t>
  </si>
  <si>
    <t>Kerikil Beton</t>
  </si>
  <si>
    <t>Pasir Pasangan</t>
  </si>
  <si>
    <t xml:space="preserve">ROK  </t>
  </si>
  <si>
    <t>Total</t>
  </si>
  <si>
    <t>Pembulatan</t>
  </si>
  <si>
    <t>A</t>
  </si>
  <si>
    <t>B</t>
  </si>
  <si>
    <t>C</t>
  </si>
  <si>
    <t>D</t>
  </si>
  <si>
    <t>a</t>
  </si>
  <si>
    <t>b</t>
  </si>
  <si>
    <t>c</t>
  </si>
  <si>
    <t>d</t>
  </si>
  <si>
    <t>e</t>
  </si>
  <si>
    <t>E</t>
  </si>
  <si>
    <t>F</t>
  </si>
  <si>
    <t>Harga Satuan</t>
  </si>
  <si>
    <t>III</t>
  </si>
  <si>
    <t>PEKERJAAN PERSIAPAN</t>
  </si>
  <si>
    <t>Kota Kupang</t>
  </si>
  <si>
    <t>Kab Kupang</t>
  </si>
  <si>
    <t>Kab TTS</t>
  </si>
  <si>
    <t>Kab TTU</t>
  </si>
  <si>
    <t>Kab Rote Ndao</t>
  </si>
  <si>
    <t>Kab. Sabu Raijua</t>
  </si>
  <si>
    <t>Kab Alor (P. Alor)</t>
  </si>
  <si>
    <t>Kab Alor (P. Sekitar Alor)</t>
  </si>
  <si>
    <t>Kab Belu</t>
  </si>
  <si>
    <t>Kab Malaka</t>
  </si>
  <si>
    <t>Sabu</t>
  </si>
  <si>
    <t>NO</t>
  </si>
  <si>
    <t>URAIAN MATERIAL / PEKERJAAN</t>
  </si>
  <si>
    <t>SATUAN</t>
  </si>
  <si>
    <t>HARGA SATUAN</t>
  </si>
  <si>
    <t>VOLUME</t>
  </si>
  <si>
    <t>HARGA BAGIAN</t>
  </si>
  <si>
    <t>JUMLAH HARGA</t>
  </si>
  <si>
    <t>BAHAN</t>
  </si>
  <si>
    <t>UPAH</t>
  </si>
  <si>
    <t>(Rp)</t>
  </si>
  <si>
    <t>MATERIAL UTAMA (Disediakan PLN)</t>
  </si>
  <si>
    <t>kms</t>
  </si>
  <si>
    <t>JUMLAH MATERIAL UTAMA  (A)</t>
  </si>
  <si>
    <t>MATERIAL NON UTAMA</t>
  </si>
  <si>
    <t>Pengikat Konduktor / Top Ties Semi Konduktor 70 mm²</t>
  </si>
  <si>
    <t>Pengikat Konduktor / Side Ties Semi Konduktor 70 mm²</t>
  </si>
  <si>
    <t>JUMLAH MATERIAL NON UTAMA  (B)</t>
  </si>
  <si>
    <t>Angkutan Material (MDU)</t>
  </si>
  <si>
    <t>Dari Gudang PLN UP3 Kupang ke</t>
  </si>
  <si>
    <t>Kota</t>
  </si>
  <si>
    <t>Kupang</t>
  </si>
  <si>
    <t>Kab.</t>
  </si>
  <si>
    <t>Kupang (Naikliu-Oepoli)</t>
  </si>
  <si>
    <t>TTS</t>
  </si>
  <si>
    <t>TTU</t>
  </si>
  <si>
    <t>Belu</t>
  </si>
  <si>
    <t>Malaka</t>
  </si>
  <si>
    <t>Rote Ndao</t>
  </si>
  <si>
    <t>Rote Ndao (P Sekitar)</t>
  </si>
  <si>
    <t>Sabu Raijua</t>
  </si>
  <si>
    <t>Sabu Raijua (P Sekitar)</t>
  </si>
  <si>
    <t>Alor (P. Alor)</t>
  </si>
  <si>
    <t>Alor (P. Sekitar Alor)</t>
  </si>
  <si>
    <t>Kupang  P. Semau</t>
  </si>
  <si>
    <t>Pembersihan / Perabasan Trace JTM/JTR</t>
  </si>
  <si>
    <t>JUMLAH PEKERJAAN PERSIAPAN (C)</t>
  </si>
  <si>
    <t>PEKERJAAN KONSTRUKSI</t>
  </si>
  <si>
    <t>Perlengkapan Drukschoor JTR Tiang Beton 9 / 200</t>
  </si>
  <si>
    <t>Perlengkapan Drukschoor JTM Tiang Beton 12 / 200</t>
  </si>
  <si>
    <t>Perlengkapan Drukschoor JTM Tiang Beton 12 / 350</t>
  </si>
  <si>
    <t>Perlengkapan Drukschoor JTM Tiang Beton 13 / 350</t>
  </si>
  <si>
    <t>Perlengkapan Drukschoor JTM Tiang Beton 14 / 350</t>
  </si>
  <si>
    <t xml:space="preserve">Perlengkapan Drukschoor JTR Tiang Baja 9 / 100  </t>
  </si>
  <si>
    <t xml:space="preserve">Perlengkapan Drukschoor JTR Tiang Baja 9 / 200  </t>
  </si>
  <si>
    <t xml:space="preserve">Perlengkapan Drukschoor JTR Tiang Baja 11 / 200 </t>
  </si>
  <si>
    <t>Perlengkapan Drukschoor JTM Tiang Baja 12 / 200</t>
  </si>
  <si>
    <t>Perlengkapan Drukschoor JTM Tiang Baja 12 / 350</t>
  </si>
  <si>
    <t>Perlengkapan Drukschoor JTM Tiang Baja 13 / 350</t>
  </si>
  <si>
    <t>Perlengkapan Drukschoor JTM Tiang Baja 14 / 350</t>
  </si>
  <si>
    <t>Treckschoor Standar JTM Tiang Beton 14 / 350</t>
  </si>
  <si>
    <t>Treckschoor Standar JTM Tiang Beton 13 / 350</t>
  </si>
  <si>
    <t>Treckschoor Standar JTM Tiang Beton 12 / 350</t>
  </si>
  <si>
    <t>Treckschoor Standar JTM Tiang Beton 12 / 200</t>
  </si>
  <si>
    <t>Treckschoor Standar JTR Tiang Beton 9 / 200</t>
  </si>
  <si>
    <t>Treckschoor Standar JTM Tiang Baja 14 / 350</t>
  </si>
  <si>
    <t>Treckschoor Standar JTM Tiang Baja 13 / 350</t>
  </si>
  <si>
    <t>Treckschoor Standar JTM Tiang Baja 12 / 350</t>
  </si>
  <si>
    <t>Treckschoor Standar JTM Tiang Baja 12 / 200</t>
  </si>
  <si>
    <t xml:space="preserve">Treckshoor Standar JTR Tiang Baja 11 / 200 </t>
  </si>
  <si>
    <t xml:space="preserve">Treckshoor Standar JTR Tiang Baja 9 / 200  </t>
  </si>
  <si>
    <t>Treckshoor Standar JTR Tiang Baja 9 / 100</t>
  </si>
  <si>
    <t>Treckschoor Tolak Pinggang JTM Tiang Beton 14 / 350</t>
  </si>
  <si>
    <t>Treckschoor Tolak Pinggang JTM Tiang Beton 13 / 350</t>
  </si>
  <si>
    <t>Treckschoor Tolak Pinggang JTM Tiang Beton 12 / 350</t>
  </si>
  <si>
    <t>Treckschoor Tolak Pinggang JTM Tiang Beton 12 / 200</t>
  </si>
  <si>
    <t>Treckschoor Tolak Pinggang JTR Tiang Beton 9 / 200</t>
  </si>
  <si>
    <t>Treckschoor Tolak Pinggang JTM Tiang Baja 14 / 350</t>
  </si>
  <si>
    <t>Treckschoor Tolak Pinggang JTM Tiang Baja 13 / 350</t>
  </si>
  <si>
    <t>Treckschoor Tolak Pinggang JTM Tiang Baja 12 / 350</t>
  </si>
  <si>
    <t>Treckschoor Tolak Pinggang JTM Tiang Baja 12 / 200</t>
  </si>
  <si>
    <t>Kontramast Standar JTM Tiang Beton 14 / 350</t>
  </si>
  <si>
    <t>Kontramast Standar JTM Tiang Baja 14 / 350</t>
  </si>
  <si>
    <t>Kontramast Standar JTM Tiang Baja 13 / 350</t>
  </si>
  <si>
    <t>Kontramast Standar JTM Tiang Baja 12 / 350</t>
  </si>
  <si>
    <t>Kontramast Standar JTM Tiang Baja 12 / 200</t>
  </si>
  <si>
    <t xml:space="preserve">Kontramast Standar JTR Tiang Baja 9 / 200  </t>
  </si>
  <si>
    <t>Kontramast Standar JTR Tiang Baja 9 / 100</t>
  </si>
  <si>
    <t>ROK</t>
  </si>
  <si>
    <t>hari</t>
  </si>
  <si>
    <t>Biaya Operasional / BBM (Solar Industri) 25 liter / hari</t>
  </si>
  <si>
    <t>ANALISA HARGA SATUAN MATERIAL KONSTRUKSI</t>
  </si>
  <si>
    <t>Harga (Rp)</t>
  </si>
  <si>
    <t>1 Set</t>
  </si>
  <si>
    <t>Bolt &amp; nut 5/8 x 50 + ring  + 2 mur (galvanis) - M16</t>
  </si>
  <si>
    <t>Jumlah</t>
  </si>
  <si>
    <t>Perlengkapan Drukschoor Tiang Beton 9 mtr / 200 daN</t>
  </si>
  <si>
    <t>Single Fixing Collar / GW Band 2/2 ; tebal 6mm x lebar 42mm ; Hot Dip Galvanized (HDG)</t>
  </si>
  <si>
    <r>
      <t xml:space="preserve">Pole band galv. 1/2,   Ø 6,5"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</si>
  <si>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6,5"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</si>
  <si>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7"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</si>
  <si>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9"  </t>
    </r>
    <r>
      <rPr>
        <i/>
        <sz val="8"/>
        <rFont val="Arial"/>
        <family val="2"/>
      </rPr>
      <t xml:space="preserve">(tengah tiang lurus)  </t>
    </r>
  </si>
  <si>
    <r>
      <t xml:space="preserve">Single Fixing Collar / GW Band 2/2 ; Ø 8,5"  </t>
    </r>
    <r>
      <rPr>
        <i/>
        <sz val="8"/>
        <rFont val="Arial"/>
        <family val="2"/>
      </rPr>
      <t xml:space="preserve">(tengah tiang topang)  </t>
    </r>
  </si>
  <si>
    <r>
      <t xml:space="preserve">Pole band galv. 1/2,   Ø 8"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</si>
  <si>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8,5"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</si>
  <si>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8"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</si>
  <si>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11,5"  </t>
    </r>
    <r>
      <rPr>
        <i/>
        <sz val="8"/>
        <rFont val="Arial"/>
        <family val="2"/>
      </rPr>
      <t xml:space="preserve">(tengah tiang lurus)  </t>
    </r>
  </si>
  <si>
    <r>
      <t xml:space="preserve">Single Fixing Collar / GW Band 2/2 ; Ø 11"  </t>
    </r>
    <r>
      <rPr>
        <i/>
        <sz val="8"/>
        <rFont val="Arial"/>
        <family val="2"/>
      </rPr>
      <t xml:space="preserve">(tengah tiang topang)  </t>
    </r>
  </si>
  <si>
    <t>Perlengkapan Drukschoor Tiang Beton 12 mtr / 200 daN  &amp;  Tiang Beton 12 mtr / 350 daN</t>
  </si>
  <si>
    <t>Perlengkapan Drukschoor Tiang Beton 13 mtr / 350 daN  &amp;  Tiang Beton 14 mtr / 350 daN</t>
  </si>
  <si>
    <t>Perlengkapan Drukschoor Tiang Baja 9 mtr / 200 daN</t>
  </si>
  <si>
    <r>
      <t xml:space="preserve">Pole band galv. 1/2,   Ø 4,5"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</si>
  <si>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4,5"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</si>
  <si>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4,5"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</si>
  <si>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7,5"  </t>
    </r>
    <r>
      <rPr>
        <i/>
        <sz val="8"/>
        <rFont val="Arial"/>
        <family val="2"/>
      </rPr>
      <t xml:space="preserve">(bawah tiang lurus)  </t>
    </r>
  </si>
  <si>
    <r>
      <t xml:space="preserve">Single Fixing Collar / GW Band 2/2 ; Ø 5,5"  </t>
    </r>
    <r>
      <rPr>
        <i/>
        <sz val="8"/>
        <rFont val="Arial"/>
        <family val="2"/>
      </rPr>
      <t xml:space="preserve">(tengah tiang topang)  </t>
    </r>
  </si>
  <si>
    <t>Perlengkapan Drukschoor Tiang Baja 11 mtr / 200 daN</t>
  </si>
  <si>
    <r>
      <t xml:space="preserve">Single Fixing Collar / GW Band 2/2 ; Ø 6,5"  </t>
    </r>
    <r>
      <rPr>
        <i/>
        <sz val="8"/>
        <rFont val="Arial"/>
        <family val="2"/>
      </rPr>
      <t xml:space="preserve">(tengah tiang topang)  </t>
    </r>
  </si>
  <si>
    <t>Perlengkapan Drukschoor Tiang Baja 12 mtr / 200 daN</t>
  </si>
  <si>
    <r>
      <t xml:space="preserve">Pole band galv. 1/2,   Ø 5,5"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</si>
  <si>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5,5"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</si>
  <si>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5,5"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</si>
  <si>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8,5"  </t>
    </r>
    <r>
      <rPr>
        <i/>
        <sz val="8"/>
        <rFont val="Arial"/>
        <family val="2"/>
      </rPr>
      <t xml:space="preserve">(bawah tiang lurus)  </t>
    </r>
  </si>
  <si>
    <r>
      <t xml:space="preserve">Single Fixing Collar / GW Band 2/2 ; Ø 7,5"  </t>
    </r>
    <r>
      <rPr>
        <i/>
        <sz val="8"/>
        <rFont val="Arial"/>
        <family val="2"/>
      </rPr>
      <t xml:space="preserve">(tengah tiang topang)  </t>
    </r>
  </si>
  <si>
    <r>
      <t xml:space="preserve">Single Fixing Collar / GW Band 2/2 ; Ø 6,5"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</si>
  <si>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10,5"  </t>
    </r>
    <r>
      <rPr>
        <i/>
        <sz val="8"/>
        <rFont val="Arial"/>
        <family val="2"/>
      </rPr>
      <t xml:space="preserve">(bawah tiang lurus)  </t>
    </r>
  </si>
  <si>
    <t>Perlengkapan Drukschoor Tiang Baja 12 mtr / 350 daN  &amp;  Tiang Baja 13 mtr / 350 daN</t>
  </si>
  <si>
    <t>Perlengkapan Drukschoor Tiang Baja 14 mtr / 350 daN</t>
  </si>
  <si>
    <r>
      <t xml:space="preserve">Single Fixing Collar / GW Band 2/2 ; Ø 12,5"  </t>
    </r>
    <r>
      <rPr>
        <i/>
        <sz val="8"/>
        <rFont val="Arial"/>
        <family val="2"/>
      </rPr>
      <t xml:space="preserve">(bawah tiang lurus)  </t>
    </r>
  </si>
  <si>
    <r>
      <t xml:space="preserve">Pole band galv. 1/2,   Ø 3,5"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</si>
  <si>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3,5"  </t>
    </r>
    <r>
      <rPr>
        <i/>
        <sz val="8"/>
        <rFont val="Arial"/>
        <family val="2"/>
      </rPr>
      <t xml:space="preserve">(atas tiang penumpu)  </t>
    </r>
  </si>
  <si>
    <r>
      <t xml:space="preserve">Single Fixing Collar / GW Band 2/2 ; Ø 3,5"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</si>
  <si>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5,5"  </t>
    </r>
    <r>
      <rPr>
        <i/>
        <sz val="8"/>
        <rFont val="Arial"/>
        <family val="2"/>
      </rPr>
      <t xml:space="preserve">(bawah tiang lurus)  </t>
    </r>
  </si>
  <si>
    <r>
      <t xml:space="preserve">Single Fixing Collar / GW Band 2/2 ; Ø 4,5"  </t>
    </r>
    <r>
      <rPr>
        <i/>
        <sz val="8"/>
        <rFont val="Arial"/>
        <family val="2"/>
      </rPr>
      <t xml:space="preserve">(tengah tiang topang)  </t>
    </r>
  </si>
  <si>
    <t>Perlengkapan Drukschoor Tiang Baja 7 mtr / 100 daN  &amp;  Tiang Baja 9 mtr / 100 daN</t>
  </si>
  <si>
    <t>Stall drad / Galv. Steel Wire 70 mm2</t>
  </si>
  <si>
    <t>Guy isolator/Tui isolator Besar (Untuk JTM)</t>
  </si>
  <si>
    <t>Preformed guy grip 70mm (L = 1000 mm,  D = 40 mm,  Rod/Set = 6)  HDG</t>
  </si>
  <si>
    <t xml:space="preserve">Beton Block 40cm x 40cm x 10cm  </t>
  </si>
  <si>
    <t>U-bolt 16 mm + nut + plat 120x50x5 u/Beton block</t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</si>
  <si>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6,5" 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</si>
  <si>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8,5" 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</si>
  <si>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5,5" 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</si>
  <si>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4,5" </t>
    </r>
  </si>
  <si>
    <t>Kausen galvanised / guy wire thimble galvanised 70mm</t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</si>
  <si>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3,5" </t>
    </r>
  </si>
  <si>
    <t>Treckshoor Standar JTR Tiang Baja 7 / 100</t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</si>
  <si>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8,5" </t>
    </r>
    <r>
      <rPr>
        <sz val="8"/>
        <rFont val="Arial"/>
        <family val="2"/>
      </rPr>
      <t>(atas)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</si>
  <si>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10,5" </t>
    </r>
    <r>
      <rPr>
        <sz val="8"/>
        <rFont val="Arial"/>
        <family val="2"/>
      </rPr>
      <t>(sengkang)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</si>
  <si>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8" </t>
    </r>
    <r>
      <rPr>
        <sz val="8"/>
        <rFont val="Arial"/>
        <family val="2"/>
      </rPr>
      <t>(sengkang)</t>
    </r>
  </si>
  <si>
    <r>
      <t xml:space="preserve">Stay road diameter 16 mm2 panjang = </t>
    </r>
    <r>
      <rPr>
        <b/>
        <sz val="8"/>
        <color rgb="FFFF0000"/>
        <rFont val="Arial"/>
        <family val="2"/>
      </rPr>
      <t>1500 mm</t>
    </r>
    <r>
      <rPr>
        <sz val="8"/>
        <rFont val="Arial"/>
        <family val="2"/>
      </rPr>
      <t xml:space="preserve"> (ankur) 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</si>
  <si>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8,5" </t>
    </r>
    <r>
      <rPr>
        <sz val="8"/>
        <rFont val="Arial"/>
        <family val="2"/>
      </rPr>
      <t>(segmen atas)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</si>
  <si>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8,5" </t>
    </r>
    <r>
      <rPr>
        <sz val="8"/>
        <rFont val="Arial"/>
        <family val="2"/>
      </rPr>
      <t>(sengkang)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</si>
  <si>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7,5" </t>
    </r>
    <r>
      <rPr>
        <sz val="8"/>
        <rFont val="Arial"/>
        <family val="2"/>
      </rPr>
      <t>(sengkang)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</si>
  <si>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6,5" </t>
    </r>
    <r>
      <rPr>
        <sz val="8"/>
        <rFont val="Arial"/>
        <family val="2"/>
      </rPr>
      <t>(sengkang)</t>
    </r>
  </si>
  <si>
    <r>
      <t xml:space="preserve">Stay road diameter 16 mm2 panjang = </t>
    </r>
    <r>
      <rPr>
        <sz val="8"/>
        <color rgb="FFFF0000"/>
        <rFont val="Arial"/>
        <family val="2"/>
      </rPr>
      <t>1500 mm</t>
    </r>
    <r>
      <rPr>
        <sz val="8"/>
        <rFont val="Arial"/>
        <family val="2"/>
      </rPr>
      <t xml:space="preserve"> (ankur) 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</si>
  <si>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5,5" </t>
    </r>
    <r>
      <rPr>
        <sz val="8"/>
        <rFont val="Arial"/>
        <family val="2"/>
      </rPr>
      <t>(sengkang)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</si>
  <si>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Ø 4,5" </t>
    </r>
    <r>
      <rPr>
        <sz val="8"/>
        <rFont val="Arial"/>
        <family val="2"/>
      </rPr>
      <t>(sengkang)</t>
    </r>
  </si>
  <si>
    <t>Kontramast Standar JTM Tiang Beton 13 / 350</t>
  </si>
  <si>
    <t>Kontramast Standar JTM Tiang Beton 12 / 350</t>
  </si>
  <si>
    <t>Kausen galvanized / guy wire thimble diameter 7/8" (22mm)</t>
  </si>
  <si>
    <r>
      <t>Single Fixing Collar / GW Band 2/2 ;</t>
    </r>
    <r>
      <rPr>
        <b/>
        <sz val="8"/>
        <color rgb="FFFF0000"/>
        <rFont val="Arial"/>
        <family val="2"/>
      </rPr>
      <t xml:space="preserve"> Ø 8,5" </t>
    </r>
  </si>
  <si>
    <t>Kontramast Standar JTR Tiang Baja 7 / 100</t>
  </si>
  <si>
    <t>Arm tie galvanise 50 x 50 x 5 x 1270 mm</t>
  </si>
  <si>
    <t xml:space="preserve">Steel Plate type II (6 mm x 100 mm x 120 mm) </t>
  </si>
  <si>
    <r>
      <t xml:space="preserve">Pole band 1/2 (Clamp Begel U)   </t>
    </r>
    <r>
      <rPr>
        <b/>
        <sz val="8"/>
        <color rgb="FFFF0000"/>
        <rFont val="Arial"/>
        <family val="2"/>
      </rPr>
      <t>Ø 7,5"</t>
    </r>
    <r>
      <rPr>
        <sz val="8"/>
        <rFont val="Arial"/>
        <family val="2"/>
      </rPr>
      <t xml:space="preserve">   HDG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</si>
  <si>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 Ø 8"</t>
    </r>
    <r>
      <rPr>
        <sz val="8"/>
        <rFont val="Arial"/>
        <family val="2"/>
      </rPr>
      <t xml:space="preserve">  HDG</t>
    </r>
  </si>
  <si>
    <t>Bolt &amp; nut 5/8 x 140 + ring  + 2 mur (galvanis) - M16</t>
  </si>
  <si>
    <t>Cross Arm Type A1  UNP 100  Balance - Tiang Beton</t>
  </si>
  <si>
    <r>
      <t xml:space="preserve">Cross Arm Type A1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Beton 14/350, 13/350, 12/350 &amp; 12/200</t>
    </r>
  </si>
  <si>
    <t>Cross Arm Type A1  UNP 100  Balance - Tiang Baja 14 / 350</t>
  </si>
  <si>
    <r>
      <t xml:space="preserve">Cross Arm Type A1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14/350</t>
    </r>
  </si>
  <si>
    <r>
      <t xml:space="preserve">Pole band 1/2 (Clamp Begel U) 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 HDG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</si>
  <si>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 Ø 8,5"</t>
    </r>
    <r>
      <rPr>
        <sz val="8"/>
        <rFont val="Arial"/>
        <family val="2"/>
      </rPr>
      <t xml:space="preserve">  HDG</t>
    </r>
  </si>
  <si>
    <t>Cross Arm Type A1  UNP 100  Balance - Tiang Baja 13 / 350</t>
  </si>
  <si>
    <r>
      <t xml:space="preserve">Pole band 1/2 (Clamp Begel U)  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 HDG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</si>
  <si>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 Ø 6,5"</t>
    </r>
    <r>
      <rPr>
        <sz val="8"/>
        <rFont val="Arial"/>
        <family val="2"/>
      </rPr>
      <t xml:space="preserve">  HDG</t>
    </r>
  </si>
  <si>
    <r>
      <t xml:space="preserve">Cross Arm Type A1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13/350  &amp;  Tiang Baja 12/350</t>
    </r>
  </si>
  <si>
    <t>Cross Arm Type A1  UNP 100  Balance - Tiang Baja 12 / 350</t>
  </si>
  <si>
    <t>Cross Arm Type A1  UNP 100  Balance - Tiang Baja 12 / 200</t>
  </si>
  <si>
    <r>
      <t xml:space="preserve">Cross Arm Type A1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12/200</t>
    </r>
  </si>
  <si>
    <r>
      <t xml:space="preserve">Pole band 1/2 (Clamp Begel U)  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 HDG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</si>
  <si>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 Ø 5,5"</t>
    </r>
    <r>
      <rPr>
        <sz val="8"/>
        <rFont val="Arial"/>
        <family val="2"/>
      </rPr>
      <t xml:space="preserve">  HDG</t>
    </r>
  </si>
  <si>
    <t>Cross Arm Type A2  UNP 100  Balance - Tiang Beton</t>
  </si>
  <si>
    <r>
      <t xml:space="preserve">Cross Arm Type A2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Beton 14/350, 13/350, 12/350 &amp; 12/200</t>
    </r>
  </si>
  <si>
    <r>
      <t xml:space="preserve">Single Fixing Collar / GW Band 2/2 ; </t>
    </r>
    <r>
      <rPr>
        <b/>
        <sz val="8"/>
        <color rgb="FFFF0000"/>
        <rFont val="Arial"/>
        <family val="2"/>
      </rPr>
      <t xml:space="preserve"> Ø 8"</t>
    </r>
    <r>
      <rPr>
        <sz val="8"/>
        <rFont val="Arial"/>
        <family val="2"/>
      </rPr>
      <t xml:space="preserve">  HDG  (Arm Tie Band)</t>
    </r>
  </si>
  <si>
    <t>Steel Plate Type I (6 mm x 100 mm x 375 mm)</t>
  </si>
  <si>
    <r>
      <t xml:space="preserve">Pole Band 2/2 ; </t>
    </r>
    <r>
      <rPr>
        <b/>
        <sz val="8"/>
        <color rgb="FFFF0000"/>
        <rFont val="Arial"/>
        <family val="2"/>
      </rPr>
      <t xml:space="preserve"> Ø 7,5"</t>
    </r>
    <r>
      <rPr>
        <sz val="8"/>
        <rFont val="Arial"/>
        <family val="2"/>
      </rPr>
      <t xml:space="preserve">  HDG</t>
    </r>
  </si>
  <si>
    <t>Arm tie galvanise (Besi Siku/Besi L 50mm x 50mm x 5mm) Panjang 1270 mm</t>
  </si>
  <si>
    <r>
      <t xml:space="preserve">Cross Arm Type A2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14/350</t>
    </r>
  </si>
  <si>
    <r>
      <t xml:space="preserve">Pole band 2/2 ;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 HDG</t>
    </r>
  </si>
  <si>
    <r>
      <t xml:space="preserve">Cross Arm Type A2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13/350  &amp;  Tiang Baja 12/350</t>
    </r>
  </si>
  <si>
    <r>
      <t xml:space="preserve">Pole band 2/2 ; 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 HDG</t>
    </r>
  </si>
  <si>
    <r>
      <t xml:space="preserve">Cross Arm Type A2  UNP 100  </t>
    </r>
    <r>
      <rPr>
        <b/>
        <sz val="8"/>
        <color rgb="FFFF0000"/>
        <rFont val="Arial"/>
        <family val="2"/>
      </rPr>
      <t>Balance</t>
    </r>
    <r>
      <rPr>
        <b/>
        <sz val="8"/>
        <rFont val="Arial"/>
        <family val="2"/>
      </rPr>
      <t xml:space="preserve"> - Tiang Baja 12/200</t>
    </r>
  </si>
  <si>
    <r>
      <t xml:space="preserve">Pole band 2/2 ; 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 HDG</t>
    </r>
  </si>
  <si>
    <t>Cross Arm Type A2  UNP 100  Balance - Tiang Baja 14 / 350</t>
  </si>
  <si>
    <t>Cross Arm Type A2  UNP 100  Balance - Tiang Baja 13 / 350</t>
  </si>
  <si>
    <t>Cross Arm Type A2  UNP 100  Balance - Tiang Baja 12 / 350</t>
  </si>
  <si>
    <t>Cross Arm Type A2  UNP 100  Balance - Tiang Baja 12 / 200</t>
  </si>
  <si>
    <t>Cross Arm Type A3  UNP 100  - Tiang Beton</t>
  </si>
  <si>
    <t>Cross Arm Type A3  UNP 100  - Tiang Beton 14/350, 13/350, 12/350 &amp; 12/200</t>
  </si>
  <si>
    <t>Cross Arm Type A3  UNP 100  - Tiang Baja 14/350</t>
  </si>
  <si>
    <t>Cross Arm Type A3  UNP 100  - Tiang Baja 13/350  &amp;  Tiang Baja 12/350</t>
  </si>
  <si>
    <t>Cross Arm Type A3  UNP 100  - Tiang Baja 12/200</t>
  </si>
  <si>
    <t>Cross Arm Type A3  UNP 100  - Tiang Baja 14 / 350</t>
  </si>
  <si>
    <t>Cross Arm Type A3  UNP 100  - Tiang Baja 13 / 350</t>
  </si>
  <si>
    <t>Cross Arm Type A3  UNP 100  - Tiang Baja 12 / 350</t>
  </si>
  <si>
    <t>Cross Arm Type A3  UNP 100  - Tiang Baja 12 / 200</t>
  </si>
  <si>
    <t>Cross Arm Type A1  UNP 100  Unbalance - Tiang Beton</t>
  </si>
  <si>
    <t>Cross Arm Type A1  UNP 100  Unbalance - Tiang Baja 14 / 350</t>
  </si>
  <si>
    <t>Cross Arm Type A1  UNP 100  Unbalance - Tiang Baja 13 / 350</t>
  </si>
  <si>
    <t>Cross Arm Type A1  UNP 100  Unbalance - Tiang Baja 12 / 350</t>
  </si>
  <si>
    <t>Cross Arm Type A1  UNP 100  Unbalance - Tiang Baja 12 / 200</t>
  </si>
  <si>
    <r>
      <t xml:space="preserve">Cross Arm Type A1  UNP 100  </t>
    </r>
    <r>
      <rPr>
        <b/>
        <sz val="8"/>
        <color rgb="FFFF0000"/>
        <rFont val="Arial"/>
        <family val="2"/>
      </rPr>
      <t>Unbalance</t>
    </r>
    <r>
      <rPr>
        <b/>
        <sz val="8"/>
        <rFont val="Arial"/>
        <family val="2"/>
      </rPr>
      <t xml:space="preserve"> - Tiang Beton 14/350, 13/350, 12/350 &amp; 12/200</t>
    </r>
  </si>
  <si>
    <r>
      <t xml:space="preserve">Cross Arm Type A1  UNP 100  </t>
    </r>
    <r>
      <rPr>
        <b/>
        <sz val="8"/>
        <color rgb="FFFF0000"/>
        <rFont val="Arial"/>
        <family val="2"/>
      </rPr>
      <t>Unbalance</t>
    </r>
    <r>
      <rPr>
        <b/>
        <sz val="8"/>
        <rFont val="Arial"/>
        <family val="2"/>
      </rPr>
      <t xml:space="preserve"> - Tiang Baja 14/350</t>
    </r>
  </si>
  <si>
    <r>
      <t xml:space="preserve">Cross Arm Type A1  UNP 100  </t>
    </r>
    <r>
      <rPr>
        <b/>
        <sz val="8"/>
        <color rgb="FFFF0000"/>
        <rFont val="Arial"/>
        <family val="2"/>
      </rPr>
      <t>Unbalance</t>
    </r>
    <r>
      <rPr>
        <b/>
        <sz val="8"/>
        <rFont val="Arial"/>
        <family val="2"/>
      </rPr>
      <t xml:space="preserve"> - Tiang Baja 13/350  &amp;  Tiang Baja 12/350</t>
    </r>
  </si>
  <si>
    <r>
      <t xml:space="preserve">Cross Arm Type A1  UNP 100  </t>
    </r>
    <r>
      <rPr>
        <b/>
        <sz val="8"/>
        <color rgb="FFFF0000"/>
        <rFont val="Arial"/>
        <family val="2"/>
      </rPr>
      <t>Unbalance</t>
    </r>
    <r>
      <rPr>
        <b/>
        <sz val="8"/>
        <rFont val="Arial"/>
        <family val="2"/>
      </rPr>
      <t xml:space="preserve"> - Tiang Baja 12/200</t>
    </r>
  </si>
  <si>
    <t>Besi UNP 100 (100mm x 50mm x 5mm)  Panjang 2500mm HDG</t>
  </si>
  <si>
    <r>
      <t xml:space="preserve">Pole band 1/2 ;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 HDG</t>
    </r>
  </si>
  <si>
    <r>
      <t xml:space="preserve">Pole band 1/2 ; 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 HDG</t>
    </r>
  </si>
  <si>
    <r>
      <t xml:space="preserve">Pole band 1/2 ; 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 HDG</t>
    </r>
  </si>
  <si>
    <t>Spanschroef/ Turn Bukcle Hook &amp; Eye 60 KN HDG  3/4" untuk TM</t>
  </si>
  <si>
    <r>
      <t xml:space="preserve">Spanschroef/ Turn Bukcle Hook &amp; Eye 17 KN HDG  5/8" untuk </t>
    </r>
    <r>
      <rPr>
        <b/>
        <sz val="8"/>
        <color rgb="FFFF0000"/>
        <rFont val="Arial"/>
        <family val="2"/>
      </rPr>
      <t>TR</t>
    </r>
  </si>
  <si>
    <r>
      <t xml:space="preserve">Spanschroef/ Turn Bukcle Hook &amp; Eye 17 KN HDG  5/8" untuk </t>
    </r>
    <r>
      <rPr>
        <b/>
        <sz val="8"/>
        <color rgb="FFFF0000"/>
        <rFont val="Arial"/>
        <family val="2"/>
      </rPr>
      <t>JTR</t>
    </r>
  </si>
  <si>
    <t>Treckschoor Standar Tiang Beton 14 / 350</t>
  </si>
  <si>
    <t>Treckschoor Standar Tiang Beton 13 / 350</t>
  </si>
  <si>
    <t>Treckschoor Standar Tiang Beton 12 / 350  &amp;  Tiang Beton 12 / 200</t>
  </si>
  <si>
    <t>Treckschoor Standar Tiang Beton 9 / 200</t>
  </si>
  <si>
    <t>Treckschoor Standar Tiang Baja 14 / 350</t>
  </si>
  <si>
    <t>Spanschroef/ Turn Bukcle Hook &amp; Eye 17 KN HDG  5/8" untuk TR</t>
  </si>
  <si>
    <t>Treckschoor Standar Tiang Baja 13 / 350</t>
  </si>
  <si>
    <t>Treckschoor Standar Tiang Baja 12 / 350</t>
  </si>
  <si>
    <t>Treckschoor Standar Tiang Baja 12 / 200</t>
  </si>
  <si>
    <t>Treckschoor Standar Tiang Baja 11 / 200</t>
  </si>
  <si>
    <t>Treckschoor Standar Tiang Baja 9 / 200</t>
  </si>
  <si>
    <t>Treckschoor Standar Tiang Baja 9 / 100</t>
  </si>
  <si>
    <r>
      <t xml:space="preserve">Guy isolator/Tui isolator Kecil (Untuk </t>
    </r>
    <r>
      <rPr>
        <b/>
        <sz val="8"/>
        <color rgb="FFFF0000"/>
        <rFont val="Arial"/>
        <family val="2"/>
      </rPr>
      <t>JTR</t>
    </r>
    <r>
      <rPr>
        <sz val="8"/>
        <rFont val="Arial"/>
        <family val="2"/>
      </rPr>
      <t>)</t>
    </r>
  </si>
  <si>
    <r>
      <t xml:space="preserve">Guy isolator/Tui isolator Kecil (Untuk </t>
    </r>
    <r>
      <rPr>
        <b/>
        <sz val="8"/>
        <rFont val="Arial"/>
        <family val="2"/>
      </rPr>
      <t>JTR</t>
    </r>
    <r>
      <rPr>
        <sz val="8"/>
        <rFont val="Arial"/>
        <family val="2"/>
      </rPr>
      <t>)</t>
    </r>
  </si>
  <si>
    <t>Treckschoor Tolak Pinggang Tiang Beton 14 / 350</t>
  </si>
  <si>
    <t>Treckschoor Standar Tiang Baja 7 / 100</t>
  </si>
  <si>
    <t>Treckschoor Tolak Pinggang Tiang Beton 13 / 350</t>
  </si>
  <si>
    <t>Treckschoor Tolak Pinggang Tiang Beton 12 / 350  &amp;  Tiang Beton 12 / 200</t>
  </si>
  <si>
    <t>Treckschoor Tolak Pinggang Tiang Beton 9 / 200</t>
  </si>
  <si>
    <r>
      <t xml:space="preserve">Spanschroef/ Turn Bukcle Hook &amp; Eye 17 KN HDG  3/4" untuk </t>
    </r>
    <r>
      <rPr>
        <b/>
        <sz val="8"/>
        <color rgb="FFFF0000"/>
        <rFont val="Arial"/>
        <family val="2"/>
      </rPr>
      <t>TR</t>
    </r>
  </si>
  <si>
    <r>
      <t>Guy isolator/Tui isolator Kecil (Untuk J</t>
    </r>
    <r>
      <rPr>
        <b/>
        <sz val="8"/>
        <color rgb="FFFF0000"/>
        <rFont val="Arial"/>
        <family val="2"/>
      </rPr>
      <t>TR</t>
    </r>
    <r>
      <rPr>
        <sz val="8"/>
        <rFont val="Arial"/>
        <family val="2"/>
      </rPr>
      <t>)</t>
    </r>
  </si>
  <si>
    <t>Treckschoor Tolak Pinggang Tiang Baja 14 / 350</t>
  </si>
  <si>
    <r>
      <t xml:space="preserve">Spanschroef/ Turn Bukcle Hook &amp; Eye 60 KN HDG  3/4" untuk </t>
    </r>
    <r>
      <rPr>
        <b/>
        <sz val="8"/>
        <color rgb="FFFF0000"/>
        <rFont val="Arial"/>
        <family val="2"/>
      </rPr>
      <t>TM</t>
    </r>
  </si>
  <si>
    <t>Treckschoor Tolak Pinggang Tiang Baja 13 / 350</t>
  </si>
  <si>
    <t>Treckschoor Tolak Pinggang Tiang Baja 12 / 350</t>
  </si>
  <si>
    <t>Treckschoor Tolak Pinggang Tiang Baja 12 / 200</t>
  </si>
  <si>
    <t>Treckschoor Tolak Pinggang Tiang Baja 11 / 200</t>
  </si>
  <si>
    <t>Guy isolator/Tui isolator Kecil (Untuk JTR)</t>
  </si>
  <si>
    <t>Treckschoor Tolak Pinggang Tiang Baja 9 / 200</t>
  </si>
  <si>
    <t>Treckschoor Tolak Pinggang Tiang Baja 9 / 100</t>
  </si>
  <si>
    <t>Treckschoor Tolak Pinggang Tiang Baja 7 / 100</t>
  </si>
  <si>
    <t>Kontramast Standar Tiang Beton 14 / 350</t>
  </si>
  <si>
    <t>Kontramast Standar Tiang Beton 13 / 350</t>
  </si>
  <si>
    <t>Kontramast Standar Tiang Beton 12 / 350  &amp;  Tiang Beton 12 / 200</t>
  </si>
  <si>
    <t>Kontramast Standar Tiang Beton 9 / 200</t>
  </si>
  <si>
    <t>Kontramast Standar Tiang Baja 14 / 350</t>
  </si>
  <si>
    <t>Kontramast Standar Tiang Baja 13 / 350</t>
  </si>
  <si>
    <t>Kontramast Standar Tiang Baja 12 / 350</t>
  </si>
  <si>
    <t>Kontramast Standar Tiang Baja 12 / 200</t>
  </si>
  <si>
    <t>Kontramast Standar Tiang Baja 11 / 200</t>
  </si>
  <si>
    <t>Kontramast Standar Tiang Baja 9 / 200</t>
  </si>
  <si>
    <t>Kontramast Standar Tiang Baja 9 / 100</t>
  </si>
  <si>
    <t>Kontramast Standar Tiang Baja 7 / 100</t>
  </si>
  <si>
    <t>Kontramast Standar JTM Tiang Beton 12 / 200</t>
  </si>
  <si>
    <t>Perlengkapan Drukschoor JTR Tiang Baja 7 /100</t>
  </si>
  <si>
    <t>Besi UNP 100 (100mm x 50mm x 5mm)  Panjang 1500mm HDG</t>
  </si>
  <si>
    <t>Besi UNP 100 (100mm x 50mm x 5mm)  Panjang 800mm HDG</t>
  </si>
  <si>
    <t>Besi UNP 100 (100mm x 50mm x 5mm)  Panjang 750mm HDG</t>
  </si>
  <si>
    <t>Arm tie galvanise / Besi Siku / Besi L 50mm x 50mm x 5mm x 1500mm</t>
  </si>
  <si>
    <t>Arm tie galvanise / Besi Siku / Besi L 50mm x 50mm x 5mm x 1000mm</t>
  </si>
  <si>
    <r>
      <t xml:space="preserve">Double Arm Fixing Collar / Arm Tie Band 2/2 ; </t>
    </r>
    <r>
      <rPr>
        <b/>
        <sz val="8"/>
        <color rgb="FFFF0000"/>
        <rFont val="Arial"/>
        <family val="2"/>
      </rPr>
      <t xml:space="preserve"> Ø 10,5"</t>
    </r>
    <r>
      <rPr>
        <sz val="8"/>
        <rFont val="Arial"/>
        <family val="2"/>
      </rPr>
      <t xml:space="preserve">  HDG</t>
    </r>
  </si>
  <si>
    <r>
      <t xml:space="preserve">Double Arm Fixing Collar / Arm Tie Band 2/2 ; </t>
    </r>
    <r>
      <rPr>
        <b/>
        <sz val="8"/>
        <color rgb="FFFF0000"/>
        <rFont val="Arial"/>
        <family val="2"/>
      </rPr>
      <t xml:space="preserve"> Ø 10"</t>
    </r>
    <r>
      <rPr>
        <sz val="8"/>
        <rFont val="Arial"/>
        <family val="2"/>
      </rPr>
      <t xml:space="preserve">  HDG</t>
    </r>
  </si>
  <si>
    <r>
      <t xml:space="preserve">Double Arm Fixing Collar / Arm Tie Band 2/2 ; </t>
    </r>
    <r>
      <rPr>
        <b/>
        <sz val="8"/>
        <color rgb="FFFF0000"/>
        <rFont val="Arial"/>
        <family val="2"/>
      </rPr>
      <t xml:space="preserve"> Ø 8,5"</t>
    </r>
    <r>
      <rPr>
        <sz val="8"/>
        <rFont val="Arial"/>
        <family val="2"/>
      </rPr>
      <t xml:space="preserve">  HDG</t>
    </r>
  </si>
  <si>
    <r>
      <t xml:space="preserve">Double Arm Fixing Collar / Arm Tie Band 2/2 ; </t>
    </r>
    <r>
      <rPr>
        <b/>
        <sz val="8"/>
        <color rgb="FFFF0000"/>
        <rFont val="Arial"/>
        <family val="2"/>
      </rPr>
      <t xml:space="preserve"> Ø 7,5"</t>
    </r>
    <r>
      <rPr>
        <sz val="8"/>
        <rFont val="Arial"/>
        <family val="2"/>
      </rPr>
      <t xml:space="preserve">  HDG</t>
    </r>
  </si>
  <si>
    <r>
      <t xml:space="preserve">Pole band 2/2 (Arm Band)   </t>
    </r>
    <r>
      <rPr>
        <b/>
        <sz val="8"/>
        <color rgb="FFFF0000"/>
        <rFont val="Arial"/>
        <family val="2"/>
      </rPr>
      <t>Ø 10,5"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+ Double Bolt - HDG</t>
    </r>
  </si>
  <si>
    <r>
      <t>Arm tie galvanis (Besi Siku/Besi L) 50mmx50mmx5mmx2000mm (</t>
    </r>
    <r>
      <rPr>
        <i/>
        <sz val="8"/>
        <rFont val="Arial"/>
        <family val="2"/>
      </rPr>
      <t>diagonal kiri &amp; kanan</t>
    </r>
    <r>
      <rPr>
        <sz val="8"/>
        <rFont val="Arial"/>
        <family val="2"/>
      </rPr>
      <t>)</t>
    </r>
  </si>
  <si>
    <r>
      <t xml:space="preserve">Arm tie galvanis (Besi Siku/Besi L) 50mmx50mmx5mmx1750mm </t>
    </r>
    <r>
      <rPr>
        <i/>
        <sz val="8"/>
        <rFont val="Arial"/>
        <family val="2"/>
      </rPr>
      <t>(depan &amp; belakang)</t>
    </r>
  </si>
  <si>
    <r>
      <t xml:space="preserve">Arm tie galvanis (Besi Siku/Besi L) 50mmx50mmx5mmx1200mm </t>
    </r>
    <r>
      <rPr>
        <i/>
        <sz val="8"/>
        <rFont val="Arial"/>
        <family val="2"/>
      </rPr>
      <t>(tiang luar)</t>
    </r>
  </si>
  <si>
    <t>Arm tie galvanis (Besi Siku/Besi L) 50mmx50mmx5mmx500mm (tiang dalam &amp; penghubung samping)</t>
  </si>
  <si>
    <r>
      <t xml:space="preserve">Arm tie galvanis (Besi Siku/Besi L) 50mmx50mmx5mmx400mm </t>
    </r>
    <r>
      <rPr>
        <i/>
        <sz val="8"/>
        <rFont val="Arial"/>
        <family val="2"/>
      </rPr>
      <t>(penguat)</t>
    </r>
  </si>
  <si>
    <t>Rangka dudukan Trafo 3 Ph 2 tiang  - Tiang Beton 12/350  &amp;  Tiang Beton 12/200</t>
  </si>
  <si>
    <r>
      <t xml:space="preserve">Pole band 2/2 (Arm Band)   </t>
    </r>
    <r>
      <rPr>
        <b/>
        <sz val="8"/>
        <color rgb="FFFF0000"/>
        <rFont val="Arial"/>
        <family val="2"/>
      </rPr>
      <t>Ø 10"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+ Double Bolt - HDG</t>
    </r>
  </si>
  <si>
    <t>Rangka dudukan Trafo 3 Ph 2 tiang  - Tiang Baja 13/350 &amp; Tiang Baja 12/350</t>
  </si>
  <si>
    <t>Rangka dudukan Trafo 3 Ph 2 tiang  - Tiang Baja 14/350</t>
  </si>
  <si>
    <r>
      <t xml:space="preserve">Pole band 2/2 (Arm Band)   </t>
    </r>
    <r>
      <rPr>
        <b/>
        <sz val="8"/>
        <color rgb="FFFF0000"/>
        <rFont val="Arial"/>
        <family val="2"/>
      </rPr>
      <t>Ø 8,5"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+ Double Bolt - HDG</t>
    </r>
  </si>
  <si>
    <t>Rangka dudukan Trafo 3 Ph 2 tiang  - Tiang Baja 12/200</t>
  </si>
  <si>
    <r>
      <t xml:space="preserve">Pole band 2/2 (Arm Band)   </t>
    </r>
    <r>
      <rPr>
        <b/>
        <sz val="8"/>
        <color rgb="FFFF0000"/>
        <rFont val="Arial"/>
        <family val="2"/>
      </rPr>
      <t>Ø 7,5"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+ Double Bolt - HDG</t>
    </r>
  </si>
  <si>
    <t>Rangka Dudukan LV Board 1 Tiang - Tiang Beton 14/350</t>
  </si>
  <si>
    <t>Rangka Dudukan LV Board 1 Tiang - Tiang Beton 13/350</t>
  </si>
  <si>
    <t>Rangka Dudukan LV Board 1 Tiang - Tiang Beton 12/350</t>
  </si>
  <si>
    <t>Rangka Dudukan LV Board 1 Tiang - Tiang Beton 12/200</t>
  </si>
  <si>
    <t>Rangka Dudukan LV Board 1 Tiang - Tiang Baja 14/350</t>
  </si>
  <si>
    <t>Rangka dudukan LV Board 3 Ph 1 tiang  - Tiang Baja 14/350</t>
  </si>
  <si>
    <t>Rangka dudukan LV Board 3 Ph 1 tiang  - Tiang Baja 13/350 &amp; Tiang Baja 12/350</t>
  </si>
  <si>
    <t>Rangka Dudukan LV Board 1 Tiang - Tiang Baja 13/350</t>
  </si>
  <si>
    <t>Rangka Dudukan LV Board 1 Tiang - Tiang Baja 12/350</t>
  </si>
  <si>
    <t>Rangka Dudukan LV Board 1 Tiang - Tiang Baja 12/200</t>
  </si>
  <si>
    <t>Rangka Dudukan LV Board 2 Tiang - Tiang Beton 14/350</t>
  </si>
  <si>
    <t>Rangka Dudukan LV Board 2 Tiang - Tiang Beton 13/350</t>
  </si>
  <si>
    <t>Rangka Dudukan LV Board 2 Tiang - Tiang Beton 12/350</t>
  </si>
  <si>
    <t>Rangka Dudukan LV Board 2 Tiang - Tiang Beton 12/200</t>
  </si>
  <si>
    <t>Rangka Dudukan LV Board 2 Tiang - Tiang Baja 14/350</t>
  </si>
  <si>
    <t>Rangka Dudukan LV Board 2 Tiang - Tiang Baja 13/350</t>
  </si>
  <si>
    <t>Rangka Dudukan LV Board 2 Tiang - Tiang Baja 12/350</t>
  </si>
  <si>
    <t>Rangka Dudukan LV Board 2 Tiang - Tiang Baja 12/200</t>
  </si>
  <si>
    <t>Rangka dudukan LV Board 3 Ph 2 tiang  - Tiang Baja 14/350</t>
  </si>
  <si>
    <t>Rangka dudukan LV Board 3 Ph 2 tiang  - Tiang Baja 13/350 &amp; Tiang Baja 12/350</t>
  </si>
  <si>
    <r>
      <t xml:space="preserve">Double Arm Fixing Collar / Arm Tie Band 2/2 ; </t>
    </r>
    <r>
      <rPr>
        <b/>
        <sz val="8"/>
        <color rgb="FFFF0000"/>
        <rFont val="Arial"/>
        <family val="2"/>
      </rPr>
      <t xml:space="preserve"> Ø 9,5"</t>
    </r>
    <r>
      <rPr>
        <sz val="8"/>
        <rFont val="Arial"/>
        <family val="2"/>
      </rPr>
      <t xml:space="preserve">  HDG</t>
    </r>
  </si>
  <si>
    <t>L - bow pipa PVC 2,5"  - bagian atas</t>
  </si>
  <si>
    <t>L - bow pipa Besi 2,5"  - bagian bawah</t>
  </si>
  <si>
    <t>Socket / sambungan pipa besi galvanis drat dalam diameter 2,5"</t>
  </si>
  <si>
    <t xml:space="preserve">L - bow pipa PVC galvanized 2" </t>
  </si>
  <si>
    <t xml:space="preserve">L - bow pipa PVC galvanized 2,5" </t>
  </si>
  <si>
    <t xml:space="preserve">L - bow pipa PVC galvanized 3" </t>
  </si>
  <si>
    <t>Pipa In/Outlet Medium B+Invoring 2,5" (Grd 1 Tiang) 2 Jur. Lubang Bawah - Tiang Beton 14/350 &amp; Tiang Beton 13/350</t>
  </si>
  <si>
    <t>Pipa In/Outlet Medium B+Invoring 2,5" (Grd 1 Tiang) 2 Jur. Lubang Bawah - Tiang Beton 12/350 &amp; Tiang Beton 12/200</t>
  </si>
  <si>
    <r>
      <t xml:space="preserve">Pole band 1/2 ;  </t>
    </r>
    <r>
      <rPr>
        <b/>
        <sz val="8"/>
        <color rgb="FFFF0000"/>
        <rFont val="Arial"/>
        <family val="2"/>
      </rPr>
      <t>Ø 8"</t>
    </r>
    <r>
      <rPr>
        <sz val="8"/>
        <rFont val="Arial"/>
        <family val="2"/>
      </rPr>
      <t xml:space="preserve">  HDG</t>
    </r>
  </si>
  <si>
    <t>Rangka dudukan Trafo 3 Ph 2 tiang  - Tiang Beton 14/350</t>
  </si>
  <si>
    <t>Rangka dudukan Trafo 3 Ph 2 tiang  - Tiang Beton 13/350</t>
  </si>
  <si>
    <t>Rangka dudukan LV Board 3 Ph 1 tiang  - Tiang Beton 14/350</t>
  </si>
  <si>
    <t>Rangka dudukan LV Board 3 Ph 1 tiang  - Tiang Beton 13/350,  Tiang Beton 12/350  &amp;  Tiang Beton 12/200</t>
  </si>
  <si>
    <t>Rangka dudukan LV Board 3 Ph 2 tiang  - Tiang Beton 14/350</t>
  </si>
  <si>
    <r>
      <t xml:space="preserve">Pole band 2/2 (Arm Band)   </t>
    </r>
    <r>
      <rPr>
        <b/>
        <sz val="8"/>
        <color rgb="FFFF0000"/>
        <rFont val="Arial"/>
        <family val="2"/>
      </rPr>
      <t>Ø 11"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+ Double Bolt -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</si>
  <si>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13" </t>
    </r>
    <r>
      <rPr>
        <sz val="8"/>
        <rFont val="Arial"/>
        <family val="2"/>
      </rPr>
      <t xml:space="preserve">  HDG</t>
    </r>
  </si>
  <si>
    <r>
      <t xml:space="preserve">Pole band 1/2   </t>
    </r>
    <r>
      <rPr>
        <b/>
        <sz val="8"/>
        <color rgb="FFFF0000"/>
        <rFont val="Arial"/>
        <family val="2"/>
      </rPr>
      <t>Ø 12,5"</t>
    </r>
    <r>
      <rPr>
        <sz val="8"/>
        <rFont val="Arial"/>
        <family val="2"/>
      </rPr>
      <t xml:space="preserve">  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</si>
  <si>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12" </t>
    </r>
    <r>
      <rPr>
        <sz val="8"/>
        <rFont val="Arial"/>
        <family val="2"/>
      </rPr>
      <t xml:space="preserve">  HDG</t>
    </r>
  </si>
  <si>
    <r>
      <t xml:space="preserve">Pole band 1/2 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</si>
  <si>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7,5" </t>
    </r>
    <r>
      <rPr>
        <sz val="8"/>
        <rFont val="Arial"/>
        <family val="2"/>
      </rPr>
      <t xml:space="preserve">  HDG</t>
    </r>
  </si>
  <si>
    <r>
      <t xml:space="preserve">Pole band 1/2   </t>
    </r>
    <r>
      <rPr>
        <b/>
        <sz val="8"/>
        <color rgb="FFFF0000"/>
        <rFont val="Arial"/>
        <family val="2"/>
      </rPr>
      <t>Ø 13"</t>
    </r>
    <r>
      <rPr>
        <sz val="8"/>
        <rFont val="Arial"/>
        <family val="2"/>
      </rPr>
      <t xml:space="preserve">  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</si>
  <si>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12,5" </t>
    </r>
    <r>
      <rPr>
        <sz val="8"/>
        <rFont val="Arial"/>
        <family val="2"/>
      </rPr>
      <t xml:space="preserve">  HDG</t>
    </r>
  </si>
  <si>
    <r>
      <t xml:space="preserve">Pole band 1/2   </t>
    </r>
    <r>
      <rPr>
        <b/>
        <sz val="8"/>
        <color rgb="FFFF0000"/>
        <rFont val="Arial"/>
        <family val="2"/>
      </rPr>
      <t>Ø 12,5"</t>
    </r>
    <r>
      <rPr>
        <sz val="8"/>
        <rFont val="Arial"/>
        <family val="2"/>
      </rPr>
      <t xml:space="preserve">  sd  (12,7)   HDG</t>
    </r>
  </si>
  <si>
    <r>
      <t xml:space="preserve">Pole band 1/2   </t>
    </r>
    <r>
      <rPr>
        <b/>
        <sz val="8"/>
        <color rgb="FFFF0000"/>
        <rFont val="Arial"/>
        <family val="2"/>
      </rPr>
      <t>Ø 12"</t>
    </r>
    <r>
      <rPr>
        <sz val="8"/>
        <rFont val="Arial"/>
        <family val="2"/>
      </rPr>
      <t xml:space="preserve">   HDG</t>
    </r>
  </si>
  <si>
    <r>
      <t xml:space="preserve">Pole band 1/2  </t>
    </r>
    <r>
      <rPr>
        <b/>
        <sz val="8"/>
        <color rgb="FFFF0000"/>
        <rFont val="Arial"/>
        <family val="2"/>
      </rPr>
      <t xml:space="preserve"> Ø 12,5"</t>
    </r>
    <r>
      <rPr>
        <sz val="8"/>
        <rFont val="Arial"/>
        <family val="2"/>
      </rPr>
      <t xml:space="preserve">  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</si>
  <si>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8,5" </t>
    </r>
    <r>
      <rPr>
        <sz val="8"/>
        <rFont val="Arial"/>
        <family val="2"/>
      </rPr>
      <t xml:space="preserve">  HDG</t>
    </r>
  </si>
  <si>
    <r>
      <t xml:space="preserve">Pole band 1/2 ;  </t>
    </r>
    <r>
      <rPr>
        <b/>
        <sz val="8"/>
        <color rgb="FFFF0000"/>
        <rFont val="Arial"/>
        <family val="2"/>
      </rPr>
      <t>Ø 10,5"</t>
    </r>
    <r>
      <rPr>
        <sz val="8"/>
        <rFont val="Arial"/>
        <family val="2"/>
      </rPr>
      <t xml:space="preserve">   HDG</t>
    </r>
  </si>
  <si>
    <r>
      <t xml:space="preserve">Pole band 1/2 ;  </t>
    </r>
    <r>
      <rPr>
        <b/>
        <sz val="8"/>
        <color rgb="FFFF0000"/>
        <rFont val="Arial"/>
        <family val="2"/>
      </rPr>
      <t>Ø  2,5"</t>
    </r>
    <r>
      <rPr>
        <sz val="8"/>
        <rFont val="Arial"/>
        <family val="2"/>
      </rPr>
      <t xml:space="preserve">   HDG</t>
    </r>
  </si>
  <si>
    <t>(pegangan UNP bagian bawah)</t>
  </si>
  <si>
    <t>(pegangan UNP bagian atas)</t>
  </si>
  <si>
    <t>(pegangan UNP bagian tengah)</t>
  </si>
  <si>
    <t>(pegangan Pipa galvanis))</t>
  </si>
  <si>
    <r>
      <t xml:space="preserve">Pole band 1/2   </t>
    </r>
    <r>
      <rPr>
        <b/>
        <sz val="8"/>
        <color rgb="FFFF0000"/>
        <rFont val="Arial"/>
        <family val="2"/>
      </rPr>
      <t>Ø 7,5"</t>
    </r>
    <r>
      <rPr>
        <sz val="8"/>
        <rFont val="Arial"/>
        <family val="2"/>
      </rPr>
      <t xml:space="preserve">   HDG</t>
    </r>
  </si>
  <si>
    <t>Lantai kerja (Plat bordes 400x1600x4) + frame 2xUNP 6,5 - 2000mm</t>
  </si>
  <si>
    <r>
      <t xml:space="preserve">Double Arm Fixing Collar / Arm Tie Band 2/2 ;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HDG</t>
    </r>
  </si>
  <si>
    <r>
      <t xml:space="preserve">Double Arm Fixing Collar / Arm Tie Band 2/2 ; 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HDG</t>
    </r>
  </si>
  <si>
    <r>
      <t xml:space="preserve">Double Arm Fixing Collar / Arm Tie Band 2/2 ; 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HDG</t>
    </r>
  </si>
  <si>
    <t>Besi UNP 100 (100mm x 50mm x 5mm)  Panjang 2000mm HDG</t>
  </si>
  <si>
    <t>Rangka dudukan LV Board 3 Ph 2 tiang  - Tiang Baja 12/200</t>
  </si>
  <si>
    <t>Double Arming Bolt &amp; Nut M16 (Ø=5/8") x 300mm + Ring Plat + 4 mur - Galvanized</t>
  </si>
  <si>
    <r>
      <t xml:space="preserve">Double Arm Fixing Collar / GW Band 2/2 ;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HDG</t>
    </r>
  </si>
  <si>
    <t>Grounding Rod diameter 16 mm(5/8")   L = 2000 mm</t>
  </si>
  <si>
    <t xml:space="preserve">Pipa Galvanise Diameter 1/2"  Panjang = 4 meter </t>
  </si>
  <si>
    <t>Connector CU - CU 50mm2 / Clamp Grounding</t>
  </si>
  <si>
    <t>Besi UNP 80 (80mm x 44mm x 3,5mm)  Panjang 800mm HDG</t>
  </si>
  <si>
    <t>Besi UNP 80 (80mm x 44mm x 3,5mm)  Panjang 600mm HDG</t>
  </si>
  <si>
    <t>Arm tie galvanise / Besi Siku / Besi L 50mm x 50mm x 5mm x 1200mm</t>
  </si>
  <si>
    <r>
      <t xml:space="preserve">Bolt &amp; nut 5/8 x </t>
    </r>
    <r>
      <rPr>
        <b/>
        <sz val="8"/>
        <color rgb="FFFF0000"/>
        <rFont val="Arial"/>
        <family val="2"/>
      </rPr>
      <t>50</t>
    </r>
    <r>
      <rPr>
        <sz val="8"/>
        <rFont val="Arial"/>
        <family val="2"/>
      </rPr>
      <t xml:space="preserve"> + ring  + 2 mur (galvanis) - M16</t>
    </r>
  </si>
  <si>
    <r>
      <t xml:space="preserve">Besi UNP 100 (100mm x 50mm x 5mm)  Panjang </t>
    </r>
    <r>
      <rPr>
        <b/>
        <sz val="8"/>
        <color rgb="FFFF0000"/>
        <rFont val="Arial"/>
        <family val="2"/>
      </rPr>
      <t>2000mm</t>
    </r>
    <r>
      <rPr>
        <sz val="8"/>
        <rFont val="Arial"/>
        <family val="2"/>
      </rPr>
      <t xml:space="preserve"> HDG</t>
    </r>
  </si>
  <si>
    <r>
      <t xml:space="preserve">Pole Band 2/2 ; </t>
    </r>
    <r>
      <rPr>
        <b/>
        <sz val="8"/>
        <rFont val="Arial"/>
        <family val="2"/>
      </rPr>
      <t xml:space="preserve"> Ø 7,5"</t>
    </r>
    <r>
      <rPr>
        <sz val="8"/>
        <rFont val="Arial"/>
        <family val="2"/>
      </rPr>
      <t xml:space="preserve">  HDG</t>
    </r>
  </si>
  <si>
    <r>
      <t xml:space="preserve">Besi UNP 100 (100mm x 50mm x 5mm)  Panjang </t>
    </r>
    <r>
      <rPr>
        <b/>
        <sz val="8"/>
        <color rgb="FFFF0000"/>
        <rFont val="Arial"/>
        <family val="2"/>
      </rPr>
      <t>2500mm</t>
    </r>
    <r>
      <rPr>
        <sz val="8"/>
        <rFont val="Arial"/>
        <family val="2"/>
      </rPr>
      <t xml:space="preserve"> HDG</t>
    </r>
  </si>
  <si>
    <r>
      <t xml:space="preserve">Pole band 1/2 ; 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HDG</t>
    </r>
  </si>
  <si>
    <r>
      <t xml:space="preserve">Spanschroef/ Turn Bukcle Hook &amp; Eye 60 KN HDG  </t>
    </r>
    <r>
      <rPr>
        <b/>
        <sz val="8"/>
        <color rgb="FFFF0000"/>
        <rFont val="Arial"/>
        <family val="2"/>
      </rPr>
      <t>3/4"</t>
    </r>
    <r>
      <rPr>
        <sz val="8"/>
        <rFont val="Arial"/>
        <family val="2"/>
      </rPr>
      <t xml:space="preserve"> untuk </t>
    </r>
    <r>
      <rPr>
        <sz val="8"/>
        <color rgb="FFFF0000"/>
        <rFont val="Arial"/>
        <family val="2"/>
      </rPr>
      <t>TM</t>
    </r>
  </si>
  <si>
    <r>
      <t xml:space="preserve">Guy isolator/Tui isolator </t>
    </r>
    <r>
      <rPr>
        <b/>
        <sz val="8"/>
        <color rgb="FFFF0000"/>
        <rFont val="Arial"/>
        <family val="2"/>
      </rPr>
      <t>Besar</t>
    </r>
    <r>
      <rPr>
        <sz val="8"/>
        <rFont val="Arial"/>
        <family val="2"/>
      </rPr>
      <t xml:space="preserve"> (Untuk</t>
    </r>
    <r>
      <rPr>
        <b/>
        <sz val="8"/>
        <color rgb="FFFF0000"/>
        <rFont val="Arial"/>
        <family val="2"/>
      </rPr>
      <t xml:space="preserve"> JTM</t>
    </r>
    <r>
      <rPr>
        <sz val="8"/>
        <rFont val="Arial"/>
        <family val="2"/>
      </rPr>
      <t>)</t>
    </r>
  </si>
  <si>
    <r>
      <t xml:space="preserve">Spanschroef/ Turn Bukcle Hook &amp; Eye 60 KN HDG  </t>
    </r>
    <r>
      <rPr>
        <b/>
        <sz val="8"/>
        <color rgb="FFFF0000"/>
        <rFont val="Arial"/>
        <family val="2"/>
      </rPr>
      <t>3/4"</t>
    </r>
    <r>
      <rPr>
        <sz val="8"/>
        <rFont val="Arial"/>
        <family val="2"/>
      </rPr>
      <t xml:space="preserve"> untuk </t>
    </r>
    <r>
      <rPr>
        <b/>
        <sz val="8"/>
        <color rgb="FFFF0000"/>
        <rFont val="Arial"/>
        <family val="2"/>
      </rPr>
      <t>TM</t>
    </r>
  </si>
  <si>
    <r>
      <t xml:space="preserve">Spanschroef/ Turn Bukcle Hook &amp; Eye 17 KN HDG  </t>
    </r>
    <r>
      <rPr>
        <b/>
        <sz val="8"/>
        <color rgb="FFFF0000"/>
        <rFont val="Arial"/>
        <family val="2"/>
      </rPr>
      <t xml:space="preserve">5/8" </t>
    </r>
    <r>
      <rPr>
        <sz val="8"/>
        <rFont val="Arial"/>
        <family val="2"/>
      </rPr>
      <t xml:space="preserve">untuk </t>
    </r>
    <r>
      <rPr>
        <b/>
        <sz val="8"/>
        <color rgb="FFFF0000"/>
        <rFont val="Arial"/>
        <family val="2"/>
      </rPr>
      <t>TR</t>
    </r>
  </si>
  <si>
    <r>
      <t xml:space="preserve">Spanschroef/ Turn Bukcle Hook &amp; Eye 60 KN HDG </t>
    </r>
    <r>
      <rPr>
        <sz val="8"/>
        <color rgb="FFFF0000"/>
        <rFont val="Arial"/>
        <family val="2"/>
      </rPr>
      <t xml:space="preserve"> 3/4"</t>
    </r>
    <r>
      <rPr>
        <sz val="8"/>
        <rFont val="Arial"/>
        <family val="2"/>
      </rPr>
      <t xml:space="preserve"> untuk </t>
    </r>
    <r>
      <rPr>
        <b/>
        <sz val="8"/>
        <color rgb="FFFF0000"/>
        <rFont val="Arial"/>
        <family val="2"/>
      </rPr>
      <t>TM</t>
    </r>
  </si>
  <si>
    <r>
      <t xml:space="preserve">Spanschroef/ Turn Bukcle Hook &amp; Eye 60 KN HDG  </t>
    </r>
    <r>
      <rPr>
        <b/>
        <sz val="8"/>
        <color rgb="FFFF0000"/>
        <rFont val="Arial"/>
        <family val="2"/>
      </rPr>
      <t xml:space="preserve">3/4" </t>
    </r>
    <r>
      <rPr>
        <sz val="8"/>
        <rFont val="Arial"/>
        <family val="2"/>
      </rPr>
      <t xml:space="preserve">untuk </t>
    </r>
    <r>
      <rPr>
        <b/>
        <sz val="8"/>
        <color rgb="FFFF0000"/>
        <rFont val="Arial"/>
        <family val="2"/>
      </rPr>
      <t>TM</t>
    </r>
  </si>
  <si>
    <r>
      <t xml:space="preserve">Pipa Galvanise  Diameter 2"  Panjang  </t>
    </r>
    <r>
      <rPr>
        <b/>
        <sz val="8"/>
        <color rgb="FFFF0000"/>
        <rFont val="Arial"/>
        <family val="2"/>
      </rPr>
      <t>1500mm</t>
    </r>
  </si>
  <si>
    <r>
      <t xml:space="preserve">Pole band galv. 1/2,   Ø 8,5" </t>
    </r>
    <r>
      <rPr>
        <i/>
        <sz val="8"/>
        <rFont val="Arial"/>
        <family val="2"/>
      </rPr>
      <t xml:space="preserve">(pemegang UNP) </t>
    </r>
  </si>
  <si>
    <r>
      <t xml:space="preserve">Single Fixing Collar / GW Band 2/2 ; Ø 8,5"  </t>
    </r>
    <r>
      <rPr>
        <i/>
        <sz val="8"/>
        <rFont val="Arial"/>
        <family val="2"/>
      </rPr>
      <t xml:space="preserve">(atas tiang topang)  </t>
    </r>
  </si>
  <si>
    <r>
      <t xml:space="preserve">Single Fixing Collar / GW Band 2/2 ; Ø 10,5"  </t>
    </r>
    <r>
      <rPr>
        <i/>
        <sz val="8"/>
        <rFont val="Arial"/>
        <family val="2"/>
      </rPr>
      <t xml:space="preserve">(tengah tiang topang)  </t>
    </r>
  </si>
  <si>
    <r>
      <t xml:space="preserve">Pipa Galvanise Diameter 2"  Panjang  </t>
    </r>
    <r>
      <rPr>
        <b/>
        <sz val="8"/>
        <color rgb="FFFF0000"/>
        <rFont val="Arial"/>
        <family val="2"/>
      </rPr>
      <t>1500 mm</t>
    </r>
  </si>
  <si>
    <r>
      <t xml:space="preserve">Pipa Galvanise Diameter </t>
    </r>
    <r>
      <rPr>
        <sz val="8"/>
        <color rgb="FFFF0000"/>
        <rFont val="Arial"/>
        <family val="2"/>
      </rPr>
      <t xml:space="preserve">2" </t>
    </r>
    <r>
      <rPr>
        <sz val="8"/>
        <rFont val="Arial"/>
        <family val="2"/>
      </rPr>
      <t xml:space="preserve"> Panjang  </t>
    </r>
    <r>
      <rPr>
        <b/>
        <sz val="8"/>
        <color rgb="FFFF0000"/>
        <rFont val="Arial"/>
        <family val="2"/>
      </rPr>
      <t>1500 mm</t>
    </r>
  </si>
  <si>
    <r>
      <t xml:space="preserve">Pipa Galvanise Diameter </t>
    </r>
    <r>
      <rPr>
        <sz val="8"/>
        <color rgb="FFFF0000"/>
        <rFont val="Arial"/>
        <family val="2"/>
      </rPr>
      <t xml:space="preserve">2" </t>
    </r>
    <r>
      <rPr>
        <sz val="8"/>
        <rFont val="Arial"/>
        <family val="2"/>
      </rPr>
      <t xml:space="preserve"> Panjang  </t>
    </r>
    <r>
      <rPr>
        <b/>
        <sz val="8"/>
        <color rgb="FFFF0000"/>
        <rFont val="Arial"/>
        <family val="2"/>
      </rPr>
      <t>1000 mm</t>
    </r>
  </si>
  <si>
    <t>Besi Siku / Besi L 50mm x 50mm x 5mm Panjang 1270mm - HDG  u/ Arm Tie</t>
  </si>
  <si>
    <r>
      <t xml:space="preserve">Pole band 1/2 ; 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HDG</t>
    </r>
  </si>
  <si>
    <r>
      <t xml:space="preserve">Pole band 1/2 ; 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HDG</t>
    </r>
  </si>
  <si>
    <r>
      <t xml:space="preserve">Double Arm Fixing Collar / Arm Tie 2/2  tebal 6mm x lebar 42mm, </t>
    </r>
    <r>
      <rPr>
        <b/>
        <sz val="8"/>
        <color rgb="FFFF0000"/>
        <rFont val="Arial"/>
        <family val="2"/>
      </rPr>
      <t xml:space="preserve">Ø 8,5" </t>
    </r>
  </si>
  <si>
    <r>
      <t xml:space="preserve">Double Arm Fixing Collar / Arm Tie 2/2  tebal 6mm x lebar 42mm, </t>
    </r>
    <r>
      <rPr>
        <b/>
        <sz val="8"/>
        <color rgb="FFFF0000"/>
        <rFont val="Arial"/>
        <family val="2"/>
      </rPr>
      <t xml:space="preserve">Ø 6,5" </t>
    </r>
  </si>
  <si>
    <r>
      <t xml:space="preserve">Double Arm Fixing Collar / Arm Tie 2/2  tebal 6mm x lebar 42mm, </t>
    </r>
    <r>
      <rPr>
        <b/>
        <sz val="8"/>
        <color rgb="FFFF0000"/>
        <rFont val="Arial"/>
        <family val="2"/>
      </rPr>
      <t xml:space="preserve">Ø 5,5" </t>
    </r>
  </si>
  <si>
    <r>
      <t xml:space="preserve">Double Arm Fixing Collar / Arm Tie Band 2/2 ; 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Ø 11"</t>
    </r>
    <r>
      <rPr>
        <sz val="8"/>
        <rFont val="Arial"/>
        <family val="2"/>
      </rPr>
      <t xml:space="preserve">  HDG</t>
    </r>
  </si>
  <si>
    <r>
      <t xml:space="preserve">Double Arming Bolt &amp; Nut  M16 x </t>
    </r>
    <r>
      <rPr>
        <b/>
        <sz val="8"/>
        <color rgb="FFFF0000"/>
        <rFont val="Arial"/>
        <family val="2"/>
      </rPr>
      <t>400mm</t>
    </r>
  </si>
  <si>
    <r>
      <t xml:space="preserve">Double Arming Bolt &amp; Nut  M16 x </t>
    </r>
    <r>
      <rPr>
        <b/>
        <sz val="8"/>
        <color rgb="FFFF0000"/>
        <rFont val="Arial"/>
        <family val="2"/>
      </rPr>
      <t>300mm</t>
    </r>
  </si>
  <si>
    <r>
      <t xml:space="preserve">Pipa Galvanise  </t>
    </r>
    <r>
      <rPr>
        <b/>
        <sz val="8"/>
        <color rgb="FFFF0000"/>
        <rFont val="Arial"/>
        <family val="2"/>
      </rPr>
      <t>Diameter 2"  Panjang 1500mm</t>
    </r>
  </si>
  <si>
    <r>
      <t xml:space="preserve">Pipa Galvanise  </t>
    </r>
    <r>
      <rPr>
        <b/>
        <sz val="8"/>
        <color rgb="FF0070C0"/>
        <rFont val="Arial"/>
        <family val="2"/>
      </rPr>
      <t>Diameter 3"  Panjang  2000mm</t>
    </r>
  </si>
  <si>
    <r>
      <t xml:space="preserve">Besi UNP 100 (100mm x 50mm x 5mm)  Panjang </t>
    </r>
    <r>
      <rPr>
        <b/>
        <sz val="8"/>
        <rFont val="Arial"/>
        <family val="2"/>
      </rPr>
      <t>200mm</t>
    </r>
    <r>
      <rPr>
        <sz val="8"/>
        <rFont val="Arial"/>
        <family val="2"/>
      </rPr>
      <t xml:space="preserve">  HDG</t>
    </r>
  </si>
  <si>
    <r>
      <t xml:space="preserve">Pipa Galvanise  </t>
    </r>
    <r>
      <rPr>
        <b/>
        <sz val="8"/>
        <color rgb="FFFF0000"/>
        <rFont val="Arial"/>
        <family val="2"/>
      </rPr>
      <t>Diameter 2"  Panjang 1500mm</t>
    </r>
    <r>
      <rPr>
        <sz val="8"/>
        <rFont val="Arial"/>
        <family val="2"/>
      </rPr>
      <t xml:space="preserve">  (untuk JTR)</t>
    </r>
  </si>
  <si>
    <r>
      <t xml:space="preserve">Stay road diameter 16 mm2 panjang = </t>
    </r>
    <r>
      <rPr>
        <b/>
        <sz val="8"/>
        <color rgb="FFFF0000"/>
        <rFont val="Arial"/>
        <family val="2"/>
      </rPr>
      <t>2000 mm</t>
    </r>
    <r>
      <rPr>
        <sz val="8"/>
        <rFont val="Arial"/>
        <family val="2"/>
      </rPr>
      <t xml:space="preserve"> (ankur) </t>
    </r>
  </si>
  <si>
    <r>
      <t xml:space="preserve">Stay road diameter 16 mm2 panjang = </t>
    </r>
    <r>
      <rPr>
        <b/>
        <sz val="8"/>
        <color rgb="FF0070C0"/>
        <rFont val="Arial"/>
        <family val="2"/>
      </rPr>
      <t>1800 mm</t>
    </r>
    <r>
      <rPr>
        <sz val="8"/>
        <rFont val="Arial"/>
        <family val="2"/>
      </rPr>
      <t xml:space="preserve"> (ankur) </t>
    </r>
  </si>
  <si>
    <r>
      <t xml:space="preserve">Stay road diameter 16 mm2 panjang = </t>
    </r>
    <r>
      <rPr>
        <b/>
        <sz val="8"/>
        <color rgb="FF0070C0"/>
        <rFont val="Arial"/>
        <family val="2"/>
      </rPr>
      <t>1800 mm</t>
    </r>
    <r>
      <rPr>
        <sz val="8"/>
        <color rgb="FF0070C0"/>
        <rFont val="Arial"/>
        <family val="2"/>
      </rPr>
      <t xml:space="preserve"> </t>
    </r>
    <r>
      <rPr>
        <sz val="8"/>
        <rFont val="Arial"/>
        <family val="2"/>
      </rPr>
      <t xml:space="preserve">(ankur) </t>
    </r>
  </si>
  <si>
    <r>
      <t xml:space="preserve">Stay road diameter 16 mm2 panjang = </t>
    </r>
    <r>
      <rPr>
        <b/>
        <u/>
        <sz val="8"/>
        <color rgb="FFFF0000"/>
        <rFont val="Arial"/>
        <family val="2"/>
      </rPr>
      <t>1500 mm</t>
    </r>
    <r>
      <rPr>
        <b/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 xml:space="preserve">(ankur) </t>
    </r>
  </si>
  <si>
    <r>
      <t xml:space="preserve">Stay road diameter 16 mm2 panjang = </t>
    </r>
    <r>
      <rPr>
        <sz val="8"/>
        <color rgb="FF0070C0"/>
        <rFont val="Arial"/>
        <family val="2"/>
      </rPr>
      <t>18</t>
    </r>
    <r>
      <rPr>
        <b/>
        <sz val="8"/>
        <color rgb="FF0070C0"/>
        <rFont val="Arial"/>
        <family val="2"/>
      </rPr>
      <t>00 mm</t>
    </r>
    <r>
      <rPr>
        <sz val="8"/>
        <rFont val="Arial"/>
        <family val="2"/>
      </rPr>
      <t xml:space="preserve"> (ankur) </t>
    </r>
  </si>
  <si>
    <r>
      <t>Bolt &amp; nut 5/8 x 5</t>
    </r>
    <r>
      <rPr>
        <b/>
        <sz val="8"/>
        <color rgb="FFFF0000"/>
        <rFont val="Arial"/>
        <family val="2"/>
      </rPr>
      <t>0</t>
    </r>
    <r>
      <rPr>
        <sz val="8"/>
        <rFont val="Arial"/>
        <family val="2"/>
      </rPr>
      <t xml:space="preserve"> + ring  + 2 mur (galvanis) - M16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</si>
  <si>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Segitiga (Jarak Sangat Jauh) - Tiang Beton 14/350, 13/350, 12/350 &amp; 12/200</t>
    </r>
  </si>
  <si>
    <r>
      <t xml:space="preserve">Cross Arm </t>
    </r>
    <r>
      <rPr>
        <b/>
        <u/>
        <sz val="8"/>
        <rFont val="Arial"/>
        <family val="2"/>
      </rPr>
      <t xml:space="preserve">Type B3 </t>
    </r>
    <r>
      <rPr>
        <b/>
        <sz val="8"/>
        <rFont val="Arial"/>
        <family val="2"/>
      </rPr>
      <t>UNP 100 Segitiga (Jarak Sangat Jauh) - Tiang Baja 14/350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</si>
  <si>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Segitiga (Jarak Sangat Jauh) - Tiang Baja 13/350  &amp;  Tiang Baja 12/350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</si>
  <si>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Segitiga (Jarak Sangat Jauh) - Tiang Baja 12/200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</si>
  <si>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Sejajar (Jarak Cukup Jauh) - Tiang Beton 14/350, 13/350, 12/350 &amp; 12/200</t>
    </r>
  </si>
  <si>
    <r>
      <t xml:space="preserve">Cross Arm </t>
    </r>
    <r>
      <rPr>
        <b/>
        <u/>
        <sz val="8"/>
        <rFont val="Arial"/>
        <family val="2"/>
      </rPr>
      <t xml:space="preserve">Type B3 </t>
    </r>
    <r>
      <rPr>
        <b/>
        <sz val="8"/>
        <rFont val="Arial"/>
        <family val="2"/>
      </rPr>
      <t>UNP 100 Sejajar (Jarak Cukup Jauh) - Tiang Baja 14/350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</si>
  <si>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Sejajar (Jarak Cukup Jauh) - Tiang Baja 13/350  &amp;  Tiang Baja 12/350</t>
    </r>
  </si>
  <si>
    <r>
      <t xml:space="preserve">Cross Arm </t>
    </r>
    <r>
      <rPr>
        <b/>
        <u/>
        <sz val="8"/>
        <rFont val="Arial"/>
        <family val="2"/>
      </rPr>
      <t>Type B3</t>
    </r>
    <r>
      <rPr>
        <b/>
        <sz val="8"/>
        <rFont val="Arial"/>
        <family val="2"/>
      </rPr>
      <t xml:space="preserve"> UNP 100 Sejajar (Jarak Cukup Jauh) - Tiang Baja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</si>
  <si>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1 Tiang  </t>
    </r>
    <r>
      <rPr>
        <b/>
        <sz val="8"/>
        <rFont val="Arial"/>
        <family val="2"/>
      </rPr>
      <t>-  Tiang Beton 14/350, 13/350, 12/350 &amp;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</si>
  <si>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>Cut Out di Gardu 1 Tiang  -</t>
    </r>
    <r>
      <rPr>
        <b/>
        <sz val="8"/>
        <rFont val="Arial"/>
        <family val="2"/>
      </rPr>
      <t xml:space="preserve"> Tiang Baja 14/350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</si>
  <si>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1 Tiang  </t>
    </r>
    <r>
      <rPr>
        <b/>
        <sz val="8"/>
        <rFont val="Arial"/>
        <family val="2"/>
      </rPr>
      <t>- Tiang Baja 13/350  &amp;  Tiang Baja 12/350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</si>
  <si>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1 tiang </t>
    </r>
    <r>
      <rPr>
        <b/>
        <sz val="8"/>
        <rFont val="Arial"/>
        <family val="2"/>
      </rPr>
      <t xml:space="preserve"> - Tiang Baja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</si>
  <si>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2 Tiang  </t>
    </r>
    <r>
      <rPr>
        <b/>
        <sz val="8"/>
        <rFont val="Arial"/>
        <family val="2"/>
      </rPr>
      <t>-  Tiang Beton 14/350, 13/350, 12/350 &amp;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</si>
  <si>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JTM (Tiang Penegang/Percabangan)  </t>
    </r>
    <r>
      <rPr>
        <b/>
        <sz val="8"/>
        <rFont val="Arial"/>
        <family val="2"/>
      </rPr>
      <t>-  Tiang Beton 14/350, 13/350, 12/350 &amp;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</si>
  <si>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>Cut Out di Gardu 2 Tiang  -</t>
    </r>
    <r>
      <rPr>
        <b/>
        <sz val="8"/>
        <rFont val="Arial"/>
        <family val="2"/>
      </rPr>
      <t xml:space="preserve"> Tiang Baja 14/350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</si>
  <si>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2 Tiang  </t>
    </r>
    <r>
      <rPr>
        <b/>
        <sz val="8"/>
        <rFont val="Arial"/>
        <family val="2"/>
      </rPr>
      <t>- Tiang Baja 13/350  &amp;  Tiang Baja 12/350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</si>
  <si>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Gardu 2 tiang </t>
    </r>
    <r>
      <rPr>
        <b/>
        <sz val="8"/>
        <rFont val="Arial"/>
        <family val="2"/>
      </rPr>
      <t xml:space="preserve"> - Tiang Baja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</si>
  <si>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JTM (Tiang Penegang/Percabangan)  </t>
    </r>
    <r>
      <rPr>
        <b/>
        <sz val="8"/>
        <rFont val="Arial"/>
        <family val="2"/>
      </rPr>
      <t>- Tiang Baja 13/350  &amp;  Tiang Baja 12/350</t>
    </r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</si>
  <si>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JTM (Tiang Penegang/Percabangan)  </t>
    </r>
    <r>
      <rPr>
        <b/>
        <sz val="8"/>
        <rFont val="Arial"/>
        <family val="2"/>
      </rPr>
      <t>- Tiang Baja 12/200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</si>
  <si>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pada JTM - Tiang Beton 14/350, 13/350, 12/350 &amp; 12/200</t>
    </r>
  </si>
  <si>
    <t>Cross Arm Type B3 UNP 100 (Segitiga / Jarak Sangat Jauh) - Tiang Beton</t>
  </si>
  <si>
    <t>Cross Arm Type B3  UNP 100 (Segitiga / Jarak Sangat Jauh) - Tiang Baja 14 / 350</t>
  </si>
  <si>
    <t>Cross Arm Type B3 UNP 100 (Segitiga / Jarak Sangat Jauh) - Tiang Baja 12 / 350</t>
  </si>
  <si>
    <t>Cross Arm Type B3 UNP 100 (Segitiga / Jarak Sangat Jauh) - Tiang Baja 12 / 200</t>
  </si>
  <si>
    <t>Cross Arm Type B3 UNP 100 (Sejajar / Jarak Cukup Jauh) - Tiang Beton</t>
  </si>
  <si>
    <t>Cross Arm Type B3  UNP 100 (Sejajar / Jarak Cukup Jauh) - Tiang Baja 14 / 350</t>
  </si>
  <si>
    <t>Cross Arm Type B3 UNP 100 (Sejajar / Jarak Cukup Jauh) - Tiang Baja 13 / 350</t>
  </si>
  <si>
    <t>Cross Arm Type B3 UNP 100 (Sejajar / Jarak Cukup Jauh) - Tiang Baja 12 / 350</t>
  </si>
  <si>
    <t>Cross Arm Type B3 UNP 100 (Sejajar / Jarak Cukup Jauh) - Tiang Baja 12 / 200</t>
  </si>
  <si>
    <t>Cross Arm Type B3 UNP 100 (Segitiga / Jarak Sangat Jauh) - Tiang Baja 13 / 350</t>
  </si>
  <si>
    <t>Cross Arm Dudukan Cut Out di Gardu 2 Tiang - Tiang Beton</t>
  </si>
  <si>
    <t>Cross Arm Dudukan Cut Out di Gardu 2 Tiang - Tiang Baja 14 / 350</t>
  </si>
  <si>
    <t>Cross Arm Dudukan Cut Out di Gardu 2 Tiang  - Tiang Baja 13 / 350</t>
  </si>
  <si>
    <t>Cross Arm Dudukan Cut Out di Gardu 2 Tiang  - Tiang Baja 12 / 350</t>
  </si>
  <si>
    <t>Cross Arm Dudukan Cut Out di Gardu 2 Tiang  - Tiang Baja 12 / 200</t>
  </si>
  <si>
    <t>Cross Arm Dudukan Cut Out di JTM (Tiang Penegang/Percabangan) - Tiang Beton</t>
  </si>
  <si>
    <t>Cross Arm Dudukan Cut Out di JTM (Tiang Penegang/Percabangan) - Tiang Baja 14 / 350</t>
  </si>
  <si>
    <t>Cross Arm Dudukan Cut Out di JTM (Tiang Penegang/Percabangan) - Tiang Baja 13 / 350</t>
  </si>
  <si>
    <t>Cross Arm Dudukan Cut Out di JTM (Tiang Penegang/Percabangan) - Tiang Baja 12 / 350</t>
  </si>
  <si>
    <t>Cross Arm Dudukan Cut Out di JTM (Tiang Penegang/Percabangan) - Tiang Baja 12 / 200</t>
  </si>
  <si>
    <t>Cross Arm Dudukan Arrester di Gardu 2 Tiang - Tiang Beton</t>
  </si>
  <si>
    <t>Cross Arm Dudukan Arrester di Gardu 2 Tiang - Tiang Baja 14 / 350</t>
  </si>
  <si>
    <t>Cross Arm Dudukan Arrester di Gardu 2 Tiang - Tiang Baja 13 / 350</t>
  </si>
  <si>
    <t>Cross Arm Dudukan Arrester di Gardu 2 Tiang - Tiang Baja 12 / 350</t>
  </si>
  <si>
    <t>Cross Arm Dudukan Arrester di Gardu 2 Tiang - Tiang Baja 12 / 200</t>
  </si>
  <si>
    <t>Cross Arm Dudukan Arrester di JTM - Tiang Beton</t>
  </si>
  <si>
    <t>Cross Arm Dudukan Arrester di JTM - Tiang Baja 14 / 350</t>
  </si>
  <si>
    <t>Cross Arm Dudukan Arrester di JTM - Tiang Baja 13 / 350</t>
  </si>
  <si>
    <t>Cross Arm Dudukan Arrester di JTM - Tiang Baja 12 / 350</t>
  </si>
  <si>
    <t>Cross Arm Dudukan Arrester di JTM - Tiang Baja 12 / 200</t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</si>
  <si>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pada Gardu 1 Tiang (bawah dudukan Cut Out) - Tiang Beton 14/350, 13/350, 12/350 &amp; 12/200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</si>
  <si>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pada Gardu 1 Tiang (bawah dudukan Cut Out) - Tiang Baja 14/350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</si>
  <si>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pada Gardu 1 Tiang (bawah dudukan Cut Out) - Tiang Baja 13/350,  Tiang Baja 12/350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</si>
  <si>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pada Gardu 1 Tiang (bawah dudukan Cut Out) - Tiang Baja 12/200</t>
    </r>
  </si>
  <si>
    <r>
      <t xml:space="preserve">Cross Arm Dudukan </t>
    </r>
    <r>
      <rPr>
        <b/>
        <i/>
        <sz val="8"/>
        <color rgb="FF0070C0"/>
        <rFont val="Arial"/>
        <family val="2"/>
      </rPr>
      <t>Arrester pada JTM  -</t>
    </r>
    <r>
      <rPr>
        <b/>
        <sz val="8"/>
        <rFont val="Arial"/>
        <family val="2"/>
      </rPr>
      <t xml:space="preserve"> Tiang Baja 14/350</t>
    </r>
  </si>
  <si>
    <r>
      <t xml:space="preserve">Cross Arm Dudukan </t>
    </r>
    <r>
      <rPr>
        <b/>
        <i/>
        <sz val="8"/>
        <color rgb="FF0070C0"/>
        <rFont val="Arial"/>
        <family val="2"/>
      </rPr>
      <t>Arrester pada JTM  -</t>
    </r>
    <r>
      <rPr>
        <b/>
        <sz val="8"/>
        <rFont val="Arial"/>
        <family val="2"/>
      </rPr>
      <t xml:space="preserve">  Tiang Baja 13/350,  Tiang Baja 12/350</t>
    </r>
  </si>
  <si>
    <r>
      <t xml:space="preserve">Cross Arm Dudukan </t>
    </r>
    <r>
      <rPr>
        <b/>
        <i/>
        <sz val="8"/>
        <color rgb="FF0070C0"/>
        <rFont val="Arial"/>
        <family val="2"/>
      </rPr>
      <t>Arrester pada JTM  -</t>
    </r>
    <r>
      <rPr>
        <b/>
        <sz val="8"/>
        <rFont val="Arial"/>
        <family val="2"/>
      </rPr>
      <t xml:space="preserve">  Tiang Baja 12/200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</si>
  <si>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Gardu 2 Tiang (Bawah dudukan Cut Out) - Tiang Beton 14/350, 13/350, 12/350 &amp; 12/200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</si>
  <si>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</t>
    </r>
    <r>
      <rPr>
        <b/>
        <sz val="8"/>
        <rFont val="Arial"/>
        <family val="2"/>
      </rPr>
      <t xml:space="preserve"> Gardu 2 Tiang (Bawah dudukan Cut Out) - Tiang Baja 14/350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</si>
  <si>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 Gardu 2 Tiang (Bawah dudukan Cut Out) </t>
    </r>
    <r>
      <rPr>
        <b/>
        <sz val="8"/>
        <rFont val="Arial"/>
        <family val="2"/>
      </rPr>
      <t>- Tiang Baja 13/350,  Tiang Baja 12/350</t>
    </r>
  </si>
  <si>
    <r>
      <t>Cross Arm Dudukan</t>
    </r>
    <r>
      <rPr>
        <b/>
        <i/>
        <sz val="8"/>
        <color rgb="FF0070C0"/>
        <rFont val="Arial"/>
        <family val="2"/>
      </rPr>
      <t xml:space="preserve"> Arrester Gardu 2 Tiang (Bawah dudukan Cut Out) </t>
    </r>
    <r>
      <rPr>
        <b/>
        <sz val="8"/>
        <rFont val="Arial"/>
        <family val="2"/>
      </rPr>
      <t>- Tiang Baja 12/200</t>
    </r>
  </si>
  <si>
    <r>
      <t>Rangka dudukan Trafo 3 Ph 1 tiang 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 - Tiang Beton 14/350</t>
    </r>
  </si>
  <si>
    <r>
      <t>Rangka dudukan Trafo 3 Ph 1 tiang (</t>
    </r>
    <r>
      <rPr>
        <b/>
        <sz val="8"/>
        <color rgb="FFFF0000"/>
        <rFont val="Arial"/>
        <family val="2"/>
      </rPr>
      <t>Model A</t>
    </r>
    <r>
      <rPr>
        <b/>
        <i/>
        <u/>
        <sz val="8"/>
        <color rgb="FFFF0000"/>
        <rFont val="Arial"/>
        <family val="2"/>
      </rPr>
      <t>)</t>
    </r>
    <r>
      <rPr>
        <b/>
        <sz val="8"/>
        <rFont val="Arial"/>
        <family val="2"/>
      </rPr>
      <t xml:space="preserve"> - Tiang Baja 12/200</t>
    </r>
  </si>
  <si>
    <r>
      <t xml:space="preserve">Rangka dudukan Trafo 3 Ph 1 tiang </t>
    </r>
    <r>
      <rPr>
        <b/>
        <i/>
        <u/>
        <sz val="8"/>
        <color rgb="FFFF0000"/>
        <rFont val="Arial"/>
        <family val="2"/>
      </rPr>
      <t>(</t>
    </r>
    <r>
      <rPr>
        <b/>
        <sz val="8"/>
        <color rgb="FFFF0000"/>
        <rFont val="Arial"/>
        <family val="2"/>
      </rPr>
      <t>Model A</t>
    </r>
    <r>
      <rPr>
        <b/>
        <i/>
        <u/>
        <sz val="8"/>
        <color rgb="FFFF0000"/>
        <rFont val="Arial"/>
        <family val="2"/>
      </rPr>
      <t>)</t>
    </r>
    <r>
      <rPr>
        <b/>
        <sz val="8"/>
        <rFont val="Arial"/>
        <family val="2"/>
      </rPr>
      <t xml:space="preserve"> - Tiang Baja 13/350 &amp; Tiang Baja 12/350</t>
    </r>
  </si>
  <si>
    <r>
      <t xml:space="preserve">Rangka dudukan Trafo 3 Ph 1 tiang </t>
    </r>
    <r>
      <rPr>
        <b/>
        <i/>
        <u/>
        <sz val="8"/>
        <color rgb="FFFF0000"/>
        <rFont val="Arial"/>
        <family val="2"/>
      </rPr>
      <t>(</t>
    </r>
    <r>
      <rPr>
        <b/>
        <sz val="8"/>
        <color rgb="FFFF0000"/>
        <rFont val="Arial"/>
        <family val="2"/>
      </rPr>
      <t>Model A</t>
    </r>
    <r>
      <rPr>
        <b/>
        <i/>
        <u/>
        <sz val="8"/>
        <color rgb="FFFF0000"/>
        <rFont val="Arial"/>
        <family val="2"/>
      </rPr>
      <t>)</t>
    </r>
    <r>
      <rPr>
        <b/>
        <sz val="8"/>
        <rFont val="Arial"/>
        <family val="2"/>
      </rPr>
      <t xml:space="preserve"> - Tiang Baja 14/350</t>
    </r>
  </si>
  <si>
    <r>
      <t xml:space="preserve">Rangka dudukan Trafo 3 Ph 1 tiang </t>
    </r>
    <r>
      <rPr>
        <b/>
        <i/>
        <u/>
        <sz val="8"/>
        <color rgb="FFFF0000"/>
        <rFont val="Arial"/>
        <family val="2"/>
      </rPr>
      <t>(</t>
    </r>
    <r>
      <rPr>
        <b/>
        <sz val="8"/>
        <color rgb="FFFF0000"/>
        <rFont val="Arial"/>
        <family val="2"/>
      </rPr>
      <t>Model A</t>
    </r>
    <r>
      <rPr>
        <b/>
        <i/>
        <u/>
        <sz val="8"/>
        <color rgb="FFFF0000"/>
        <rFont val="Arial"/>
        <family val="2"/>
      </rPr>
      <t>)</t>
    </r>
    <r>
      <rPr>
        <b/>
        <sz val="8"/>
        <rFont val="Arial"/>
        <family val="2"/>
      </rPr>
      <t xml:space="preserve"> - Tiang Beton 12/350  &amp;  Tiang Beton 12/200</t>
    </r>
  </si>
  <si>
    <r>
      <t>Rangka dudukan Trafo 3 Ph 1 tiang (</t>
    </r>
    <r>
      <rPr>
        <b/>
        <sz val="8"/>
        <color rgb="FFFF0000"/>
        <rFont val="Arial"/>
        <family val="2"/>
      </rPr>
      <t>Model A</t>
    </r>
    <r>
      <rPr>
        <b/>
        <sz val="8"/>
        <rFont val="Arial"/>
        <family val="2"/>
      </rPr>
      <t>)  - Tiang Beton 13/350</t>
    </r>
  </si>
  <si>
    <r>
      <t>Rangka dudukan Trafo 3 Ph 1 tiang (</t>
    </r>
    <r>
      <rPr>
        <b/>
        <sz val="8"/>
        <color rgb="FFFF0000"/>
        <rFont val="Arial"/>
        <family val="2"/>
      </rPr>
      <t>Model A</t>
    </r>
    <r>
      <rPr>
        <b/>
        <sz val="8"/>
        <rFont val="Arial"/>
        <family val="2"/>
      </rPr>
      <t>) - Tiang Beton 14/350</t>
    </r>
  </si>
  <si>
    <r>
      <t>Rangka dudukan Trafo 3 Ph 1 tiang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- Tiang Beton 13/350</t>
    </r>
  </si>
  <si>
    <r>
      <t>Rangka dudukan Trafo 3 Ph 1 tiang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- Tiang Baja 12/200</t>
    </r>
  </si>
  <si>
    <r>
      <t>Rangka dudukan Trafo 3 Ph 1 tiang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- Tiang Baja 13/350 &amp; Tiang Baja 12/350</t>
    </r>
  </si>
  <si>
    <r>
      <t>Rangka dudukan Trafo 3 Ph 1 tiang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- Tiang Baja 14/350</t>
    </r>
  </si>
  <si>
    <r>
      <t>Rangka dudukan Trafo 3 Ph 1 tiang (</t>
    </r>
    <r>
      <rPr>
        <b/>
        <sz val="8"/>
        <color rgb="FFFF0000"/>
        <rFont val="Arial"/>
        <family val="2"/>
      </rPr>
      <t>Model B</t>
    </r>
    <r>
      <rPr>
        <b/>
        <sz val="8"/>
        <rFont val="Arial"/>
        <family val="2"/>
      </rPr>
      <t>) - Tiang Beton 12/350  &amp;  Tiang Beton 12/200</t>
    </r>
  </si>
  <si>
    <r>
      <t>Rangka dudukan Trafo 3 Ph 1 tiang  (</t>
    </r>
    <r>
      <rPr>
        <b/>
        <sz val="8"/>
        <color rgb="FFFF0000"/>
        <rFont val="Arial"/>
        <family val="2"/>
      </rPr>
      <t>Model Zig Zag)</t>
    </r>
    <r>
      <rPr>
        <b/>
        <sz val="8"/>
        <rFont val="Arial"/>
        <family val="2"/>
      </rPr>
      <t xml:space="preserve">  - Tiang Beton 14/350</t>
    </r>
  </si>
  <si>
    <t>Besi UNP 80 (80mm x 44mm x 3,5mm) ; Hot Dip Galvanized (HDG)  Panjang 800mm HDG</t>
  </si>
  <si>
    <t>Arm tie galvanise / Besi Siku / Besi L 50mm x 50mm x 5mm x 1250mm</t>
  </si>
  <si>
    <r>
      <t xml:space="preserve">Pole band 2/2  </t>
    </r>
    <r>
      <rPr>
        <b/>
        <sz val="8"/>
        <color rgb="FFFF0000"/>
        <rFont val="Arial"/>
        <family val="2"/>
      </rPr>
      <t>Ø 8,5"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</si>
  <si>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Pole band 2/2   </t>
    </r>
    <r>
      <rPr>
        <b/>
        <sz val="8"/>
        <color rgb="FFFF0000"/>
        <rFont val="Arial"/>
        <family val="2"/>
      </rPr>
      <t>Ø 10,5"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</si>
  <si>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Pole band 2/2  </t>
    </r>
    <r>
      <rPr>
        <b/>
        <sz val="8"/>
        <color rgb="FFFF0000"/>
        <rFont val="Arial"/>
        <family val="2"/>
      </rPr>
      <t xml:space="preserve">Ø 10" </t>
    </r>
    <r>
      <rPr>
        <sz val="8"/>
        <rFont val="Arial"/>
        <family val="2"/>
      </rPr>
      <t xml:space="preserve"> HDG</t>
    </r>
  </si>
  <si>
    <r>
      <t xml:space="preserve">Pole band 2/2  </t>
    </r>
    <r>
      <rPr>
        <b/>
        <sz val="8"/>
        <color rgb="FFFF0000"/>
        <rFont val="Arial"/>
        <family val="2"/>
      </rPr>
      <t>Ø 10,5"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</si>
  <si>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Pole band 2/2  </t>
    </r>
    <r>
      <rPr>
        <b/>
        <sz val="8"/>
        <color rgb="FFFF0000"/>
        <rFont val="Arial"/>
        <family val="2"/>
      </rPr>
      <t>Ø 11"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</si>
  <si>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Pole band 2/2   </t>
    </r>
    <r>
      <rPr>
        <b/>
        <sz val="8"/>
        <color rgb="FFFF0000"/>
        <rFont val="Arial"/>
        <family val="2"/>
      </rPr>
      <t>Ø 11"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</si>
  <si>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Pole band 2/2  </t>
    </r>
    <r>
      <rPr>
        <b/>
        <sz val="8"/>
        <color rgb="FFFF0000"/>
        <rFont val="Arial"/>
        <family val="2"/>
      </rPr>
      <t>Ø 7,5"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</si>
  <si>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t>Rangka Dudukan Trafo 3 Phasa Gardu 1 Tiang  (Model Zig Zag)  - Tiang Beton 14/350</t>
  </si>
  <si>
    <r>
      <t xml:space="preserve">Pole band 2/2  </t>
    </r>
    <r>
      <rPr>
        <b/>
        <sz val="8"/>
        <color rgb="FFFF0000"/>
        <rFont val="Arial"/>
        <family val="2"/>
      </rPr>
      <t>Ø 10"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HDG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</si>
  <si>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9,5" 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</si>
  <si>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10,5" 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</si>
  <si>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10" 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</si>
  <si>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11" 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</si>
  <si>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11,5" </t>
    </r>
  </si>
  <si>
    <r>
      <t>Rangka dudukan Trafo 3 Ph 1 tiang (</t>
    </r>
    <r>
      <rPr>
        <b/>
        <sz val="8"/>
        <color rgb="FFFF0000"/>
        <rFont val="Arial"/>
        <family val="2"/>
      </rPr>
      <t>Model Zig Zag</t>
    </r>
    <r>
      <rPr>
        <b/>
        <sz val="8"/>
        <rFont val="Arial"/>
        <family val="2"/>
      </rPr>
      <t>) - Tiang Beton 13/350</t>
    </r>
  </si>
  <si>
    <r>
      <t>Rangka dudukan Trafo 3 Ph 1 tiang (</t>
    </r>
    <r>
      <rPr>
        <b/>
        <sz val="8"/>
        <color rgb="FFFF0000"/>
        <rFont val="Arial"/>
        <family val="2"/>
      </rPr>
      <t>Model Zig Zag</t>
    </r>
    <r>
      <rPr>
        <b/>
        <sz val="8"/>
        <rFont val="Arial"/>
        <family val="2"/>
      </rPr>
      <t>) - Tiang Beton 12/350, Tiang Beton 12/200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</si>
  <si>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8,5" </t>
    </r>
  </si>
  <si>
    <r>
      <t>Rangka dudukan Trafo 3 Ph 1 tiang (</t>
    </r>
    <r>
      <rPr>
        <b/>
        <sz val="8"/>
        <color rgb="FFFF0000"/>
        <rFont val="Arial"/>
        <family val="2"/>
      </rPr>
      <t>Model Zig Zag</t>
    </r>
    <r>
      <rPr>
        <b/>
        <sz val="8"/>
        <rFont val="Arial"/>
        <family val="2"/>
      </rPr>
      <t>) - Tiang Baja 12/200</t>
    </r>
  </si>
  <si>
    <r>
      <t>Rangka dudukan Trafo 3 Ph 1 tiang (</t>
    </r>
    <r>
      <rPr>
        <b/>
        <sz val="8"/>
        <color rgb="FFFF0000"/>
        <rFont val="Arial"/>
        <family val="2"/>
      </rPr>
      <t>Model Zig Zag</t>
    </r>
    <r>
      <rPr>
        <b/>
        <sz val="8"/>
        <rFont val="Arial"/>
        <family val="2"/>
      </rPr>
      <t>) - Tiang Baja 13/350,  Tiang Baja 12/350</t>
    </r>
  </si>
  <si>
    <r>
      <t>Rangka dudukan Trafo 3 Ph 1 tiang (</t>
    </r>
    <r>
      <rPr>
        <b/>
        <sz val="8"/>
        <color rgb="FFFF0000"/>
        <rFont val="Arial"/>
        <family val="2"/>
      </rPr>
      <t>Model Zig Zag</t>
    </r>
    <r>
      <rPr>
        <b/>
        <sz val="8"/>
        <rFont val="Arial"/>
        <family val="2"/>
      </rPr>
      <t>) - Tiang Baja 14/350</t>
    </r>
  </si>
  <si>
    <r>
      <t xml:space="preserve">Double Arm Fixing Collar 2/2 (Arm Tie Band) HDG ; </t>
    </r>
    <r>
      <rPr>
        <b/>
        <sz val="8"/>
        <color rgb="FFFF0000"/>
        <rFont val="Arial"/>
        <family val="2"/>
      </rPr>
      <t xml:space="preserve">Ø 7,5" </t>
    </r>
  </si>
  <si>
    <t>Rangka Dudukan Trafo 3 Phasa Gardu 1 Tiang  (Model Zig Zag)  - Tiang Beton 13/350</t>
  </si>
  <si>
    <t>Rangka Dudukan Trafo 3 Phasa Gardu 1 Tiang  (Model Zig Zag)  - Tiang Beton 12/350</t>
  </si>
  <si>
    <t>Rangka Dudukan Trafo 3 Phasa Gardu 1 Tiang  (Model Zig Zag)  - Tiang Beton 12/200</t>
  </si>
  <si>
    <t>Rangka Dudukan Trafo 3 Phasa Gardu 1 Tiang  (Model Zig Zag)  - Tiang Baja 14/350</t>
  </si>
  <si>
    <t>Rangka Dudukan Trafo 3 Phasa Gardu 1 Tiang  (Model Zig Zag)  - Tiang Baja 13/350</t>
  </si>
  <si>
    <t>Rangka Dudukan Trafo 3 Phasa Gardu 1 Tiang  (Model Zig Zag)  - Tiang Baja 12/350</t>
  </si>
  <si>
    <t>Rangka Dudukan Trafo 3 Phasa Gardu 1 Tiang  (Model Zig Zag)  - Tiang Baja 12/200</t>
  </si>
  <si>
    <t>Rangka dudukan LV Board 3 Ph 1 tiang  - Tiang Baja 12/200</t>
  </si>
  <si>
    <t>Rangka dudukan LV Board 3 Ph 2 tiang  - Tiang Beton 13/350</t>
  </si>
  <si>
    <t>Rangka dudukan LV Board 3 Ph 2 tiang  - Tiang Beton 12/350  &amp;  Tiang Beton 12/200</t>
  </si>
  <si>
    <r>
      <t xml:space="preserve">Pole band 1/2   </t>
    </r>
    <r>
      <rPr>
        <b/>
        <sz val="8"/>
        <color rgb="FFFF0000"/>
        <rFont val="Arial"/>
        <family val="2"/>
      </rPr>
      <t>Ø 12"</t>
    </r>
    <r>
      <rPr>
        <sz val="8"/>
        <rFont val="Arial"/>
        <family val="2"/>
      </rPr>
      <t xml:space="preserve">  sd  (12,7)   HDG</t>
    </r>
  </si>
  <si>
    <r>
      <t xml:space="preserve">Pole band 1/2   </t>
    </r>
    <r>
      <rPr>
        <b/>
        <sz val="8"/>
        <color rgb="FFFF0000"/>
        <rFont val="Arial"/>
        <family val="2"/>
      </rPr>
      <t>Ø 11,5"</t>
    </r>
    <r>
      <rPr>
        <sz val="8"/>
        <rFont val="Arial"/>
        <family val="2"/>
      </rPr>
      <t xml:space="preserve">   HDG</t>
    </r>
  </si>
  <si>
    <r>
      <t xml:space="preserve">Pole band 1/2   </t>
    </r>
    <r>
      <rPr>
        <b/>
        <sz val="8"/>
        <color rgb="FFFF0000"/>
        <rFont val="Arial"/>
        <family val="2"/>
      </rPr>
      <t xml:space="preserve">Ø 10,5" </t>
    </r>
    <r>
      <rPr>
        <sz val="8"/>
        <rFont val="Arial"/>
        <family val="2"/>
      </rPr>
      <t xml:space="preserve">  HDG</t>
    </r>
  </si>
  <si>
    <r>
      <t xml:space="preserve">Pole band 1/2   </t>
    </r>
    <r>
      <rPr>
        <b/>
        <sz val="8"/>
        <color rgb="FFFF0000"/>
        <rFont val="Arial"/>
        <family val="2"/>
      </rPr>
      <t>Ø 10,5"</t>
    </r>
    <r>
      <rPr>
        <sz val="8"/>
        <rFont val="Arial"/>
        <family val="2"/>
      </rPr>
      <t xml:space="preserve">   HDG</t>
    </r>
  </si>
  <si>
    <t>Rangka Dudukan Trafo 3 Phasa Gardu 2 Tiang - Tiang Beton 14/350</t>
  </si>
  <si>
    <t>Rangka Dudukan Trafo 3 Phasa Gardu 2 Tiang - Tiang Beton 13/350</t>
  </si>
  <si>
    <t>Rangka Dudukan Trafo 3 Phasa Gardu 2 Tiang - Tiang Beton 12/350</t>
  </si>
  <si>
    <t>Rangka Dudukan Trafo 3 Phasa Gardu 2 Tiang - Tiang Beton 12/200</t>
  </si>
  <si>
    <t>Rangka Dudukan Trafo 3 Phasa Gardu 2 Tiang - Tiang Baja 14/350</t>
  </si>
  <si>
    <t>Rangka Dudukan Trafo 3 Phasa Gardu 2 Tiang - Tiang Baja 13/350</t>
  </si>
  <si>
    <t>Rangka Dudukan Trafo 3 Phasa Gardu 2 Tiang - Tiang Baja 12/350</t>
  </si>
  <si>
    <t>Rangka Dudukan Trafo 3 Phasa Gardu 2 Tiang - Tiang Baja 12/200</t>
  </si>
  <si>
    <r>
      <t xml:space="preserve">Pole band 1/2 ;  </t>
    </r>
    <r>
      <rPr>
        <b/>
        <sz val="8"/>
        <color rgb="FFFF0000"/>
        <rFont val="Arial"/>
        <family val="2"/>
      </rPr>
      <t>Ø 13"</t>
    </r>
    <r>
      <rPr>
        <sz val="8"/>
        <rFont val="Arial"/>
        <family val="2"/>
      </rPr>
      <t xml:space="preserve">   HDG</t>
    </r>
  </si>
  <si>
    <r>
      <t xml:space="preserve">Pole band 1/2 ;  </t>
    </r>
    <r>
      <rPr>
        <b/>
        <sz val="8"/>
        <color rgb="FFFF0000"/>
        <rFont val="Arial"/>
        <family val="2"/>
      </rPr>
      <t xml:space="preserve">Ø 11,5" </t>
    </r>
    <r>
      <rPr>
        <sz val="8"/>
        <rFont val="Arial"/>
        <family val="2"/>
      </rPr>
      <t xml:space="preserve">  HDG</t>
    </r>
  </si>
  <si>
    <r>
      <t xml:space="preserve">Pole band 1/2 ;  </t>
    </r>
    <r>
      <rPr>
        <b/>
        <sz val="8"/>
        <color rgb="FFFF0000"/>
        <rFont val="Arial"/>
        <family val="2"/>
      </rPr>
      <t>Ø 12"</t>
    </r>
    <r>
      <rPr>
        <sz val="8"/>
        <rFont val="Arial"/>
        <family val="2"/>
      </rPr>
      <t xml:space="preserve">   HDG</t>
    </r>
  </si>
  <si>
    <t>Pipa Galvanise Diameter 2,5"  Panjang  5 meter  u/ INLET</t>
  </si>
  <si>
    <t>Pipa Galvanise Diameter 2,5"  Panjang  5 meter  u/ OUTLET</t>
  </si>
  <si>
    <r>
      <t xml:space="preserve">Pole band 1/2 ;  </t>
    </r>
    <r>
      <rPr>
        <b/>
        <sz val="8"/>
        <color rgb="FFFF0000"/>
        <rFont val="Arial"/>
        <family val="2"/>
      </rPr>
      <t>Ø 12,5"</t>
    </r>
    <r>
      <rPr>
        <sz val="8"/>
        <rFont val="Arial"/>
        <family val="2"/>
      </rPr>
      <t xml:space="preserve">   HDG</t>
    </r>
  </si>
  <si>
    <r>
      <t xml:space="preserve">Pole band 1/2 ;  </t>
    </r>
    <r>
      <rPr>
        <b/>
        <sz val="8"/>
        <color rgb="FFFF0000"/>
        <rFont val="Arial"/>
        <family val="2"/>
      </rPr>
      <t xml:space="preserve">Ø 10" </t>
    </r>
    <r>
      <rPr>
        <sz val="8"/>
        <rFont val="Arial"/>
        <family val="2"/>
      </rPr>
      <t xml:space="preserve">  HDG</t>
    </r>
  </si>
  <si>
    <r>
      <t xml:space="preserve">Pole band 1/2 ;  </t>
    </r>
    <r>
      <rPr>
        <b/>
        <sz val="8"/>
        <color rgb="FFFF0000"/>
        <rFont val="Arial"/>
        <family val="2"/>
      </rPr>
      <t>Ø 11"</t>
    </r>
    <r>
      <rPr>
        <sz val="8"/>
        <rFont val="Arial"/>
        <family val="2"/>
      </rPr>
      <t xml:space="preserve">   HDG</t>
    </r>
  </si>
  <si>
    <t>Pipa In/Outlet Medium B+Invoring 2,5" (Grd 1 Tiang) 2 Jur. Lubang Bawah - Tiang Baja 12/200</t>
  </si>
  <si>
    <r>
      <t xml:space="preserve">Pole band 1/2 ;  </t>
    </r>
    <r>
      <rPr>
        <b/>
        <sz val="8"/>
        <color rgb="FFFF0000"/>
        <rFont val="Arial"/>
        <family val="2"/>
      </rPr>
      <t>Ø 7,5"</t>
    </r>
    <r>
      <rPr>
        <sz val="8"/>
        <rFont val="Arial"/>
        <family val="2"/>
      </rPr>
      <t xml:space="preserve">   HDG</t>
    </r>
  </si>
  <si>
    <t>Pipa Galvanise Diameter 2,5"  Panjang 5 meter  u/ OUTLET</t>
  </si>
  <si>
    <t>Pipa Galvanise Diameter 2,5"  Panjang 5 meter  u/ INLET</t>
  </si>
  <si>
    <t>Pipa In/Outlet Medium B+Invoring 3" (Grd 1 Tiang) 2 Jur. Lubang Bawah - Tiang Beton 14/350 &amp; Tiang Beton 13/350</t>
  </si>
  <si>
    <t>Pipa Galvanise Diameter 3"  Panjang  5 meter  u/ INLET</t>
  </si>
  <si>
    <t>Pipa Galvanise Diameter 3"  Panjang  5 meter  u/ OUTLET</t>
  </si>
  <si>
    <t>L - bow pipa PVC 3"  - bagian atas</t>
  </si>
  <si>
    <t>L - bow pipa Besi 3"  - bagian bawah</t>
  </si>
  <si>
    <t>Socket / sambungan pipa besi galvanis drat dalam diameter 3</t>
  </si>
  <si>
    <r>
      <t xml:space="preserve">Pole band 1/2 ;  </t>
    </r>
    <r>
      <rPr>
        <b/>
        <sz val="8"/>
        <color rgb="FFFF0000"/>
        <rFont val="Arial"/>
        <family val="2"/>
      </rPr>
      <t>Ø  3"</t>
    </r>
    <r>
      <rPr>
        <sz val="8"/>
        <rFont val="Arial"/>
        <family val="2"/>
      </rPr>
      <t xml:space="preserve">   HDG</t>
    </r>
  </si>
  <si>
    <t>Pipa In/Outlet Medium B+Invoring 3" (Grd 1 Tiang) 2 Jur. Lubang Bawah - Tiang Beton 12/350 &amp; Tiang Beton 12/200</t>
  </si>
  <si>
    <t>Pipa In/Outlet Medium B+Invoring 3" (Grd 1 Tiang) 2 Jur. Lubang Bawah - Tiang Baja 12/200</t>
  </si>
  <si>
    <r>
      <t xml:space="preserve">Pipa In/Outlet Medium B+Invoring 2,5" (Grd 1 Tiang) 2 Jur. </t>
    </r>
    <r>
      <rPr>
        <b/>
        <u/>
        <sz val="8"/>
        <rFont val="Arial"/>
        <family val="2"/>
      </rPr>
      <t>Lubang Samping</t>
    </r>
    <r>
      <rPr>
        <b/>
        <sz val="8"/>
        <rFont val="Arial"/>
        <family val="2"/>
      </rPr>
      <t xml:space="preserve"> - Tiang Beton 14/350 &amp; Tiang Beton 13/350</t>
    </r>
  </si>
  <si>
    <t>Pipa In/Outlet Medium B+Invoring 2,5" (Grd 1 Tiang) 2 Jur. Lubang Samping - Tiang Beton 12/350 &amp; Tiang Beton 12/200</t>
  </si>
  <si>
    <t>Pipa In/Outlet Medium B+Invoring 2,5" (Grd 1 Tiang) 2 Jur. Lubang Samping - Tiang Baja 12/200</t>
  </si>
  <si>
    <t>Pipa In/Outlet Medium B+Invoring 3" (Grd 1 Tiang) 2 Jur. Lubang Samping - Tiang Beton 14/350 &amp; Tiang Beton 13/350</t>
  </si>
  <si>
    <t>Pipa In/Outlet Medium B+Invoring 3" (Grd 1 Tiang) 2 Jur. Lubang Samping - Tiang Beton 12/350 &amp; Tiang Beton 12/200</t>
  </si>
  <si>
    <t>Pipa In/Outlet Medium B+Invoring 3" (Grd 1 Tiang) 2 Jur. Lubang Samping - Tiang Baja 12/200</t>
  </si>
  <si>
    <r>
      <t xml:space="preserve">Pipa In/Outlet Medium B+Invoring 2,5" (Grd 2 Tiang) 4 Jur. </t>
    </r>
    <r>
      <rPr>
        <b/>
        <u/>
        <sz val="8"/>
        <rFont val="Arial"/>
        <family val="2"/>
      </rPr>
      <t>Lubang Samping</t>
    </r>
    <r>
      <rPr>
        <b/>
        <sz val="8"/>
        <rFont val="Arial"/>
        <family val="2"/>
      </rPr>
      <t xml:space="preserve"> - Tiang Beton 14/350 &amp; Tiang Beton 13/350</t>
    </r>
  </si>
  <si>
    <t>Pipa In/Outlet Medium B+Invoring 2,5" (Grd 2 Tiang) 4 Jur. Lubang Samping - Tiang Beton 12/350 &amp; Tiang Beton 12/200</t>
  </si>
  <si>
    <t>Pipa In/Outlet Medium B+Invoring 2,5" (Grd 2 Tiang) 4 Jur. Lubang Samping - Tiang Baja 12/200</t>
  </si>
  <si>
    <t>Pipa In/Outlet Medium B+Invoring 3" (Grd 2 Tiang) 4 Jur. Lubang Samping - Tiang Beton 14/350 &amp; Tiang Beton 13/350</t>
  </si>
  <si>
    <t>Pipa In/Outlet Medium B+Invoring 3" (Grd 2 Tiang) 4 Jur. Lubang Samping - Tiang Beton 12/350 &amp; Tiang Beton 12/200</t>
  </si>
  <si>
    <t>Pipa In/Outlet Medium B+Invoring 3" (Grd 2 Tiang) 4 Jur. Lubang Samping - Tiang Baja 12/200</t>
  </si>
  <si>
    <t>Pipa Galvanise Diameter 2,5"  Panjang 45 meter  u/ OUTLET</t>
  </si>
  <si>
    <t>Grounding Rod diameter 16 mm (5/8")   L = 2000 mm</t>
  </si>
  <si>
    <t>Arde Arrester Gardu + Body Trafo + Body LV Board (Kopel), dengan konduktor BC, Tiang Beton 14/350</t>
  </si>
  <si>
    <t>Arde Arrester Gardu + Body Trafo + Body LV Board (Kopel), dengan konduktor BC, Tiang Beton 13/350</t>
  </si>
  <si>
    <t>Arde Arrester Gardu + Body Trafo + Body LV Board (Kopel), dengan konduktor BC, Tiang Beton 12/350 &amp; Tiang Beton 12/200</t>
  </si>
  <si>
    <t>Arde Arrester Gardu + Body Trafo + Body LV Board (Kopel), dengan konduktor BC, Tiang Baja 14/350</t>
  </si>
  <si>
    <t>Arde Arrester Gardu + Body Trafo + Body LV Board (Kopel), dengan konduktor BC, Tiang Baja 13/350</t>
  </si>
  <si>
    <t>Stainless Steel Strip 20 x 0,7 mm   u/ 5 titik</t>
  </si>
  <si>
    <t>Arde Arrester Gardu + Body Trafo + Body LV Board (Kopel), dengan konduktor BC, Tiang Baja 12/350 &amp; Tiang Baja 12/200</t>
  </si>
  <si>
    <t>Arde Arrester Gardu + Body Trafo + Body LV Board (Kopel), dengan konduktor AAAC, Tiang Beton 14/350</t>
  </si>
  <si>
    <t>Arde Arrester Gardu + Body Trafo + Body LV Board (Kopel), dengan konduktor AAAC, Tiang Beton 13/350</t>
  </si>
  <si>
    <t>Arde Arrester Gardu + Body Trafo + Body LV Board (Kopel), dengan konduktor AAAC, Tiang Beton 12/350 &amp; Tiang Beton 12/200</t>
  </si>
  <si>
    <t>Arde Arrester Gardu + Body Trafo + Body LV Board (Kopel), dengan konduktor AAAC, Tiang Baja 14/350</t>
  </si>
  <si>
    <t>Arde Arrester Gardu + Body Trafo + Body LV Board (Kopel), dengan konduktor AAAC, Tiang Baja 13/350</t>
  </si>
  <si>
    <t>Arde Arrester Gardu + Body Trafo + Body LV Board (Kopel), dengan konduktor AAAC, Tiang Baja 12/350 &amp; Tiang Baja 12/200</t>
  </si>
  <si>
    <t>Arde Arrester JTM, dengan konduktor AAAC, Tiang Beton 14/350</t>
  </si>
  <si>
    <t>Arde Arrester JTM, dengan konduktor AAAC, Tiang Beton 13/350</t>
  </si>
  <si>
    <t>Arde Arrester JTM, dengan konduktor AAAC, Tiang Beton 12/350 &amp; Tiang Beton 12/200</t>
  </si>
  <si>
    <t>Arde Arrester JTM, dengan konduktor AAAC, Tiang Baja 14/350</t>
  </si>
  <si>
    <t>Arde Arrester JTM, dengan konduktor AAAC, Tiang Baja 13/350</t>
  </si>
  <si>
    <t>Arde Arrester JTM, dengan konduktor AAAC, Tiang Baja 12/350 &amp; Tiang Baja 12/200</t>
  </si>
  <si>
    <t>Arde Arrester JTM dengan BC, Tiang Beton 14/350</t>
  </si>
  <si>
    <t>Arde Arrester JTM dengan BC, Tiang Beton 13/350</t>
  </si>
  <si>
    <t>Arde Arrester JTM dengan BC, Tiang Beton 12/350 &amp; Tiang Beton 12/200</t>
  </si>
  <si>
    <t>Arde Arrester JTM dengan BC, Tiang Baja 14/350</t>
  </si>
  <si>
    <t>Arde Arrester JTM dengan BC, Tiang Baja 13/350</t>
  </si>
  <si>
    <t>Arde Arrester JTM dengan BC, Tiang Baja 12/350 &amp; Tiang Baja 12/200</t>
  </si>
  <si>
    <t>Arde Titik Netral Sekunder Trafo pada Gardu, dengan BC</t>
  </si>
  <si>
    <t xml:space="preserve">Pipa Galvanise Diameter 1/2"  Panjang = 1 meter </t>
  </si>
  <si>
    <t>Arde Titik Netral Sekunder Trafo pada Gardu, dengan AAAC</t>
  </si>
  <si>
    <t>Grounding Rod diameter 16 mm (5/8")   L = 1750 mm</t>
  </si>
  <si>
    <t>Arde JTR dengan BC, Tiang Beton 9/200, Tiang Baja 9/200, Tiang Baja 9/100</t>
  </si>
  <si>
    <t>Arde JTR dengan BC, Tiang Baja 11/200</t>
  </si>
  <si>
    <t>Arde JTR dengan BC, Tiang Baja 7/100</t>
  </si>
  <si>
    <r>
      <t xml:space="preserve">Pipa Galvanise Diameter 1/2"  Panjang = </t>
    </r>
    <r>
      <rPr>
        <sz val="8"/>
        <color rgb="FFFF0000"/>
        <rFont val="Arial"/>
        <family val="2"/>
      </rPr>
      <t xml:space="preserve">2 meter </t>
    </r>
  </si>
  <si>
    <r>
      <t xml:space="preserve">Pipa Galvanise Diameter 1/2"  Panjang = </t>
    </r>
    <r>
      <rPr>
        <sz val="8"/>
        <color rgb="FFFF0000"/>
        <rFont val="Arial"/>
        <family val="2"/>
      </rPr>
      <t xml:space="preserve">4 meter </t>
    </r>
  </si>
  <si>
    <r>
      <t xml:space="preserve">Stainless Steel Strip 20 x 0,7 mm   u/ </t>
    </r>
    <r>
      <rPr>
        <sz val="8"/>
        <color rgb="FFFF0000"/>
        <rFont val="Arial"/>
        <family val="2"/>
      </rPr>
      <t>4 titik</t>
    </r>
  </si>
  <si>
    <r>
      <t xml:space="preserve">Stainless Steel Strip 20 x 0,7 mm   u/ </t>
    </r>
    <r>
      <rPr>
        <sz val="8"/>
        <color rgb="FFFF0000"/>
        <rFont val="Arial"/>
        <family val="2"/>
      </rPr>
      <t>3 titik</t>
    </r>
  </si>
  <si>
    <r>
      <t>Pipa Galvanise Diameter 1/2"  Panjang =</t>
    </r>
    <r>
      <rPr>
        <sz val="8"/>
        <color rgb="FFFF0000"/>
        <rFont val="Arial"/>
        <family val="2"/>
      </rPr>
      <t xml:space="preserve"> 3 meter </t>
    </r>
  </si>
  <si>
    <t>Arde JTR dengan AAACC, Tiang Beton 9/200, Tiang Baja 9/200, Tiang Baja 9/100</t>
  </si>
  <si>
    <t>Arde JTR dengan AAAC, Tiang Baja 11/200</t>
  </si>
  <si>
    <t>Arde JTR dengan AAAC, Tiang Baja 7/100</t>
  </si>
  <si>
    <t>Ferlenk Stuck (Pipa)</t>
  </si>
  <si>
    <t>Ferlenk Stuck (Cross Arm)</t>
  </si>
  <si>
    <t>Suspension Assembly JTR LVTC</t>
  </si>
  <si>
    <t>Large Angle Assembly JTR LVTC</t>
  </si>
  <si>
    <t>Fixed Dead End Assembly JTR LVTC</t>
  </si>
  <si>
    <t>Adjustable Dead End Assembly JTR LVTC</t>
  </si>
  <si>
    <t>Suspension Clamp</t>
  </si>
  <si>
    <t>Stainless Steel Strip 20 x 0,7 mm</t>
  </si>
  <si>
    <t>Stopping buckle</t>
  </si>
  <si>
    <t>Plastic strap</t>
  </si>
  <si>
    <t>Plastic Strap</t>
  </si>
  <si>
    <t>Turn Buckle / Span Scroef 17 kN</t>
  </si>
  <si>
    <t>Bundle End Protection Assembly JTR LVTC</t>
  </si>
  <si>
    <t>Pipa PVC 2"  50 cm</t>
  </si>
  <si>
    <t>Link</t>
  </si>
  <si>
    <t>End cap</t>
  </si>
  <si>
    <t>Suspension Bracket</t>
  </si>
  <si>
    <t xml:space="preserve">Strain Clamp </t>
  </si>
  <si>
    <t>Tension Bracket</t>
  </si>
  <si>
    <t>a)</t>
  </si>
  <si>
    <t>b)</t>
  </si>
  <si>
    <t>c)</t>
  </si>
  <si>
    <t>d)</t>
  </si>
  <si>
    <t>e)</t>
  </si>
  <si>
    <t>Suspension Assembly JTM MVTIC Tiang Beton 14/350, Tiang Beton 13/350, Tiang Beton 12/350, Tiang Beton 12/200</t>
  </si>
  <si>
    <r>
      <t xml:space="preserve">Double Arm Fixing Collar 2/2 ; tebal 6mm x lebar 42mm, </t>
    </r>
    <r>
      <rPr>
        <b/>
        <sz val="8"/>
        <color rgb="FFFF0000"/>
        <rFont val="Arial"/>
        <family val="2"/>
      </rPr>
      <t>Ø 7,5"</t>
    </r>
    <r>
      <rPr>
        <sz val="8"/>
        <rFont val="Arial"/>
        <family val="2"/>
      </rPr>
      <t xml:space="preserve">  HDG</t>
    </r>
  </si>
  <si>
    <t>Suspension Assembly MVTIC Tiang Beton</t>
  </si>
  <si>
    <t>Suspension Assembly JTM MVTIC Tiang Baja 14/350</t>
  </si>
  <si>
    <r>
      <t xml:space="preserve">Double Arm Fixing Collar 2/2 ; tebal 6mm x lebar 42mm,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HDG</t>
    </r>
  </si>
  <si>
    <t>Suspension Assembly JTM MVTIC  Tiang Baja 13/350,  Tiang Baja 12/350</t>
  </si>
  <si>
    <r>
      <t xml:space="preserve">Double Arm Fixing Collar 2/2 ; tebal 6mm x lebar 42mm,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HDG</t>
    </r>
  </si>
  <si>
    <t>Suspension Assembly JTM MVTIC  Tiang Baja 12/200</t>
  </si>
  <si>
    <r>
      <t xml:space="preserve">Double Arm Fixing Collar 2/2 ; tebal 6mm x lebar 42mm,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HDG</t>
    </r>
  </si>
  <si>
    <t>Suspension Assembly MVTIC Tiang Baja 14/350</t>
  </si>
  <si>
    <t>Suspension Assembly MVTIC Tiang Baja 13/350</t>
  </si>
  <si>
    <t>Suspension Assembly MVTIC Tiang Baja 12/350</t>
  </si>
  <si>
    <t>Suspension Assembly MVTIC Tiang Baja 12/200</t>
  </si>
  <si>
    <t xml:space="preserve">Eye Nut M16 </t>
  </si>
  <si>
    <t>Turn Buckle / Spanschroef 60 kN</t>
  </si>
  <si>
    <r>
      <t xml:space="preserve">Strain Clamp (Clamp Tarik) MVTIC / TM ; </t>
    </r>
    <r>
      <rPr>
        <b/>
        <sz val="8"/>
        <color rgb="FFFF0000"/>
        <rFont val="Arial"/>
        <family val="2"/>
      </rPr>
      <t>95mm²</t>
    </r>
    <r>
      <rPr>
        <sz val="8"/>
        <rFont val="Arial"/>
        <family val="2"/>
      </rPr>
      <t xml:space="preserve"> - 3 Nut</t>
    </r>
  </si>
  <si>
    <t>Turn Buckle 3/4"  / Spanschroef 60 kN</t>
  </si>
  <si>
    <r>
      <t>Large Angle Assembly JTM MVTIC 95mm²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</si>
  <si>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t>Large Angle Assembly JTM MVTIC 95mm² Tiang Baja 14/350</t>
  </si>
  <si>
    <t>Large Angle Assembly JTM MVTIC 95mm² Tiang Baja 13/350,  Tiang Baja 12/350</t>
  </si>
  <si>
    <t>Large Angle Assembly JTM MVTIC 95mm² Tiang Baja 12/200</t>
  </si>
  <si>
    <r>
      <t xml:space="preserve">Large Angle Assembly JTM MVTIC </t>
    </r>
    <r>
      <rPr>
        <b/>
        <u/>
        <sz val="8"/>
        <rFont val="Arial"/>
        <family val="2"/>
      </rPr>
      <t>150mm²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</si>
  <si>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r>
      <t xml:space="preserve">Strain Clamp (Clamp Tarik) MVTIC / TM ; </t>
    </r>
    <r>
      <rPr>
        <b/>
        <sz val="8"/>
        <color rgb="FFFF0000"/>
        <rFont val="Arial"/>
        <family val="2"/>
      </rPr>
      <t>150mm²</t>
    </r>
    <r>
      <rPr>
        <sz val="8"/>
        <rFont val="Arial"/>
        <family val="2"/>
      </rPr>
      <t xml:space="preserve"> - 3 Nut</t>
    </r>
  </si>
  <si>
    <r>
      <t>Large Angle Assembly JTM MVTIC 1</t>
    </r>
    <r>
      <rPr>
        <b/>
        <u/>
        <sz val="8"/>
        <rFont val="Arial"/>
        <family val="2"/>
      </rPr>
      <t>50mm²</t>
    </r>
    <r>
      <rPr>
        <b/>
        <sz val="8"/>
        <rFont val="Arial"/>
        <family val="2"/>
      </rPr>
      <t xml:space="preserve"> Tiang Baja 14/350</t>
    </r>
  </si>
  <si>
    <r>
      <t xml:space="preserve">Large Angle Assembly JTM MVTIC </t>
    </r>
    <r>
      <rPr>
        <b/>
        <u/>
        <sz val="8"/>
        <rFont val="Arial"/>
        <family val="2"/>
      </rPr>
      <t>150mm²</t>
    </r>
    <r>
      <rPr>
        <b/>
        <sz val="8"/>
        <rFont val="Arial"/>
        <family val="2"/>
      </rPr>
      <t xml:space="preserve"> Tiang Baja 13/350,  Tiang Baja 12/350</t>
    </r>
  </si>
  <si>
    <r>
      <t xml:space="preserve">Large Angle Assembly JTM MVTIC </t>
    </r>
    <r>
      <rPr>
        <b/>
        <u/>
        <sz val="8"/>
        <rFont val="Arial"/>
        <family val="2"/>
      </rPr>
      <t>150mm²</t>
    </r>
    <r>
      <rPr>
        <b/>
        <sz val="8"/>
        <rFont val="Arial"/>
        <family val="2"/>
      </rPr>
      <t xml:space="preserve"> Tiang Baja 12/200</t>
    </r>
  </si>
  <si>
    <r>
      <t xml:space="preserve">Large Angle Assembly JTM MVTIC </t>
    </r>
    <r>
      <rPr>
        <b/>
        <u/>
        <sz val="8"/>
        <rFont val="Arial"/>
        <family val="2"/>
      </rPr>
      <t>240mm²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</si>
  <si>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r>
      <t xml:space="preserve">Strain Clamp (Clamp Tarik) MVTIC / TM ; </t>
    </r>
    <r>
      <rPr>
        <b/>
        <sz val="8"/>
        <color rgb="FFFF0000"/>
        <rFont val="Arial"/>
        <family val="2"/>
      </rPr>
      <t>240mm²</t>
    </r>
    <r>
      <rPr>
        <sz val="8"/>
        <rFont val="Arial"/>
        <family val="2"/>
      </rPr>
      <t xml:space="preserve"> - 3 Nut</t>
    </r>
  </si>
  <si>
    <r>
      <t xml:space="preserve">Large Angle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14/350</t>
    </r>
  </si>
  <si>
    <r>
      <t xml:space="preserve">Large Angle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13/350,  Tiang Baja 12/350</t>
    </r>
  </si>
  <si>
    <r>
      <t xml:space="preserve">Large Angle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12/200</t>
    </r>
  </si>
  <si>
    <r>
      <t xml:space="preserve">Single Fixing Collar 2/2 ; tebal 6mm x lebar 42mm, </t>
    </r>
    <r>
      <rPr>
        <b/>
        <sz val="8"/>
        <color rgb="FFFF0000"/>
        <rFont val="Arial"/>
        <family val="2"/>
      </rPr>
      <t>Ø 7,5"</t>
    </r>
    <r>
      <rPr>
        <sz val="8"/>
        <rFont val="Arial"/>
        <family val="2"/>
      </rPr>
      <t xml:space="preserve">  HDG</t>
    </r>
  </si>
  <si>
    <r>
      <t xml:space="preserve">Single Fixing Collar 2/2 ; tebal 6mm x lebar 42mm, </t>
    </r>
    <r>
      <rPr>
        <b/>
        <sz val="8"/>
        <color rgb="FFFF0000"/>
        <rFont val="Arial"/>
        <family val="2"/>
      </rPr>
      <t>Ø 8,5"</t>
    </r>
    <r>
      <rPr>
        <sz val="8"/>
        <rFont val="Arial"/>
        <family val="2"/>
      </rPr>
      <t xml:space="preserve">  HDG</t>
    </r>
  </si>
  <si>
    <r>
      <t xml:space="preserve">Dead End Assembly JTM MVTIC </t>
    </r>
    <r>
      <rPr>
        <b/>
        <u/>
        <sz val="8"/>
        <color rgb="FFFF0000"/>
        <rFont val="Arial"/>
        <family val="2"/>
      </rPr>
      <t>95mm²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</si>
  <si>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r>
      <t xml:space="preserve">Dead End Assembly JTM MVTIC </t>
    </r>
    <r>
      <rPr>
        <b/>
        <u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Tiang Baja 14/350</t>
    </r>
  </si>
  <si>
    <r>
      <t xml:space="preserve">Dead End Assembly JTM MVTIC </t>
    </r>
    <r>
      <rPr>
        <b/>
        <u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Tiang Baja 13/350,  Tiang Baja 12/350</t>
    </r>
  </si>
  <si>
    <r>
      <t xml:space="preserve">Single Fixing Collar 2/2 ; tebal 6mm x lebar 42mm, </t>
    </r>
    <r>
      <rPr>
        <b/>
        <sz val="8"/>
        <color rgb="FFFF0000"/>
        <rFont val="Arial"/>
        <family val="2"/>
      </rPr>
      <t>Ø 6,5"</t>
    </r>
    <r>
      <rPr>
        <sz val="8"/>
        <rFont val="Arial"/>
        <family val="2"/>
      </rPr>
      <t xml:space="preserve">  HDG</t>
    </r>
  </si>
  <si>
    <r>
      <t xml:space="preserve">Dead End Assembly JTM MVTIC </t>
    </r>
    <r>
      <rPr>
        <b/>
        <u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Tiang Baja 12/200</t>
    </r>
  </si>
  <si>
    <r>
      <t xml:space="preserve">Single Fixing Collar 2/2 ; tebal 6mm x lebar 42mm, </t>
    </r>
    <r>
      <rPr>
        <b/>
        <sz val="8"/>
        <color rgb="FFFF0000"/>
        <rFont val="Arial"/>
        <family val="2"/>
      </rPr>
      <t>Ø 5,5"</t>
    </r>
    <r>
      <rPr>
        <sz val="8"/>
        <rFont val="Arial"/>
        <family val="2"/>
      </rPr>
      <t xml:space="preserve">  HDG</t>
    </r>
  </si>
  <si>
    <r>
      <t xml:space="preserve">Dead End Assembly JTM MVTIC </t>
    </r>
    <r>
      <rPr>
        <b/>
        <u/>
        <sz val="8"/>
        <rFont val="Arial"/>
        <family val="2"/>
      </rPr>
      <t>150mm²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</si>
  <si>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r>
      <t>Dead End Assembly JTM MVTIC 1</t>
    </r>
    <r>
      <rPr>
        <b/>
        <u/>
        <sz val="8"/>
        <rFont val="Arial"/>
        <family val="2"/>
      </rPr>
      <t>50mm²</t>
    </r>
    <r>
      <rPr>
        <b/>
        <sz val="8"/>
        <rFont val="Arial"/>
        <family val="2"/>
      </rPr>
      <t xml:space="preserve"> Tiang Baja 14/350</t>
    </r>
  </si>
  <si>
    <r>
      <t xml:space="preserve">Dead End Assembly JTM MVTIC </t>
    </r>
    <r>
      <rPr>
        <b/>
        <u/>
        <sz val="8"/>
        <rFont val="Arial"/>
        <family val="2"/>
      </rPr>
      <t>150mm²</t>
    </r>
    <r>
      <rPr>
        <b/>
        <sz val="8"/>
        <rFont val="Arial"/>
        <family val="2"/>
      </rPr>
      <t xml:space="preserve"> Tiang Baja 13/350,  Tiang Baja 12/350</t>
    </r>
  </si>
  <si>
    <r>
      <t xml:space="preserve">Dead End Assembly JTM MVTIC </t>
    </r>
    <r>
      <rPr>
        <b/>
        <u/>
        <sz val="8"/>
        <rFont val="Arial"/>
        <family val="2"/>
      </rPr>
      <t>150mm²</t>
    </r>
    <r>
      <rPr>
        <b/>
        <sz val="8"/>
        <rFont val="Arial"/>
        <family val="2"/>
      </rPr>
      <t xml:space="preserve"> Tiang Baja 12/200</t>
    </r>
  </si>
  <si>
    <r>
      <t xml:space="preserve">Dead End Assembly JTM MVTIC </t>
    </r>
    <r>
      <rPr>
        <b/>
        <u/>
        <sz val="8"/>
        <rFont val="Arial"/>
        <family val="2"/>
      </rPr>
      <t>240mm²</t>
    </r>
    <r>
      <rPr>
        <b/>
        <sz val="9.1999999999999993"/>
        <rFont val="Arial"/>
        <family val="2"/>
      </rPr>
      <t xml:space="preserve"> </t>
    </r>
    <r>
      <rPr>
        <b/>
        <sz val="8"/>
        <rFont val="Arial"/>
        <family val="2"/>
      </rPr>
      <t>Tiang Beton 14/350, Tiang Beton 13/350, Tiang Beton 12/350, Tiang Beton 12/200</t>
    </r>
  </si>
  <si>
    <r>
      <t xml:space="preserve">Dead End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14/350</t>
    </r>
  </si>
  <si>
    <r>
      <t xml:space="preserve">Dead End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13/350,  Tiang Baja 12/350</t>
    </r>
  </si>
  <si>
    <r>
      <t xml:space="preserve">Dead End Assembly JTM MVTIC </t>
    </r>
    <r>
      <rPr>
        <b/>
        <u/>
        <sz val="8"/>
        <rFont val="Arial"/>
        <family val="2"/>
      </rPr>
      <t>240mm²</t>
    </r>
    <r>
      <rPr>
        <b/>
        <sz val="8"/>
        <rFont val="Arial"/>
        <family val="2"/>
      </rPr>
      <t xml:space="preserve"> Tiang Baja 12/200</t>
    </r>
  </si>
  <si>
    <t>Bolt &amp; Nut 5/8"x50 mm + Washer Galvanis</t>
  </si>
  <si>
    <t>Wire clip/Crosby 70 mm²</t>
  </si>
  <si>
    <r>
      <t xml:space="preserve">Extension for GW </t>
    </r>
    <r>
      <rPr>
        <b/>
        <sz val="8"/>
        <color rgb="FFFF0000"/>
        <rFont val="Arial"/>
        <family val="2"/>
      </rPr>
      <t>type A</t>
    </r>
  </si>
  <si>
    <r>
      <t>Extension for GW</t>
    </r>
    <r>
      <rPr>
        <b/>
        <sz val="8"/>
        <color rgb="FFFF0000"/>
        <rFont val="Arial"/>
        <family val="2"/>
      </rPr>
      <t xml:space="preserve"> type B</t>
    </r>
  </si>
  <si>
    <t>Bolt &amp; Nut 5/8"x400 mm + Washer Plat &amp; Spring plat Galvanis</t>
  </si>
  <si>
    <t>Klem Begel Kabel 2" + Bolt &amp; Nut</t>
  </si>
  <si>
    <r>
      <t xml:space="preserve">Strain Clamp </t>
    </r>
    <r>
      <rPr>
        <b/>
        <sz val="8"/>
        <color rgb="FFFF0000"/>
        <rFont val="Arial"/>
        <family val="2"/>
      </rPr>
      <t>150mm</t>
    </r>
    <r>
      <rPr>
        <sz val="8"/>
        <rFont val="Arial"/>
        <family val="2"/>
      </rPr>
      <t xml:space="preserve"> - 3 Nut</t>
    </r>
  </si>
  <si>
    <t>Besi UNP 100 (100mm x 50mm x 5,0mm) x 750mm HDG</t>
  </si>
  <si>
    <t>Besi Siku / Besi L 50mm x 50mm x 5mm x 750mm - HDG</t>
  </si>
  <si>
    <t>Besi Siku / Besi L 50mm x 50mm x 5mm x 1270mm - HDG (Arm Tie)</t>
  </si>
  <si>
    <t>Bolt &amp; Nut 5/8"x50 mm + Washer Plat &amp; Spring plat Galvanis</t>
  </si>
  <si>
    <r>
      <t xml:space="preserve">Strain Clamp </t>
    </r>
    <r>
      <rPr>
        <b/>
        <u/>
        <sz val="8"/>
        <color rgb="FFFF0000"/>
        <rFont val="Arial"/>
        <family val="2"/>
      </rPr>
      <t>95mm</t>
    </r>
    <r>
      <rPr>
        <sz val="8"/>
        <rFont val="Arial"/>
        <family val="2"/>
      </rPr>
      <t xml:space="preserve"> - 3 Nut</t>
    </r>
  </si>
  <si>
    <r>
      <t xml:space="preserve">Strain Clamp </t>
    </r>
    <r>
      <rPr>
        <b/>
        <u/>
        <sz val="8"/>
        <color rgb="FFFF0000"/>
        <rFont val="Arial"/>
        <family val="2"/>
      </rPr>
      <t>95mm</t>
    </r>
    <r>
      <rPr>
        <u/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>- 3 Nut</t>
    </r>
  </si>
  <si>
    <r>
      <t xml:space="preserve">Strain Clamp </t>
    </r>
    <r>
      <rPr>
        <b/>
        <u/>
        <sz val="8"/>
        <color rgb="FF0070C0"/>
        <rFont val="Arial"/>
        <family val="2"/>
      </rPr>
      <t>240mm</t>
    </r>
    <r>
      <rPr>
        <sz val="8"/>
        <rFont val="Arial"/>
        <family val="2"/>
      </rPr>
      <t xml:space="preserve"> - 3 Nut</t>
    </r>
  </si>
  <si>
    <t>Besi UNP 80 (80mm x 44mm x 3,5mm) x 2000mm HDG</t>
  </si>
  <si>
    <t>Bolt &amp; Nut 5/8" x 300 mm + Washer Plat &amp; Spring plat Galvanis</t>
  </si>
  <si>
    <t>Bolt &amp; Nut 5/8" x 70 mm + Washer Plat &amp; Spring plat Galvanis</t>
  </si>
  <si>
    <t>Bolt &amp; Nut 5/8" x 50 mm + Washer Plat &amp; Spring plat Galvanis</t>
  </si>
  <si>
    <r>
      <t xml:space="preserve">Pole Band 1/2 (Clamp Begel U) ; tebal 6mm x lebar 42mm HDG </t>
    </r>
    <r>
      <rPr>
        <b/>
        <sz val="8"/>
        <color rgb="FFFF0000"/>
        <rFont val="Arial"/>
        <family val="2"/>
      </rPr>
      <t>Ø 8,5"</t>
    </r>
  </si>
  <si>
    <r>
      <t xml:space="preserve">Pole Band 1/2 (Clamp Begel U) ; tebal 6mm x lebar 42mm HDG </t>
    </r>
    <r>
      <rPr>
        <b/>
        <sz val="8"/>
        <color rgb="FFFF0000"/>
        <rFont val="Arial"/>
        <family val="2"/>
      </rPr>
      <t>Ø 6,5"</t>
    </r>
  </si>
  <si>
    <r>
      <t xml:space="preserve">Pole Band 1/2 (Clamp Begel U) ; tebal 6mm x lebar 42mm HDG </t>
    </r>
    <r>
      <rPr>
        <b/>
        <sz val="8"/>
        <color rgb="FFFF0000"/>
        <rFont val="Arial"/>
        <family val="2"/>
      </rPr>
      <t>Ø 5,5"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</si>
  <si>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8,5"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</si>
  <si>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8,5"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</si>
  <si>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8"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</si>
  <si>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6,5"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</si>
  <si>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6,5"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</si>
  <si>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5,5"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</si>
  <si>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4" x 5,5"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</si>
  <si>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Ø</t>
    </r>
    <r>
      <rPr>
        <b/>
        <sz val="10.4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6" x 8"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</si>
  <si>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Ø</t>
    </r>
    <r>
      <rPr>
        <b/>
        <sz val="10.4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6" x 8,5"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</si>
  <si>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6" x 5,5"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</si>
  <si>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6" x 5,5"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</si>
  <si>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6" x 6,5"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</si>
  <si>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6" x 6,5"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</si>
  <si>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Ø</t>
    </r>
    <r>
      <rPr>
        <b/>
        <sz val="10.4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6" x 8,5"</t>
    </r>
    <r>
      <rPr>
        <sz val="8"/>
        <rFont val="Arial"/>
        <family val="2"/>
      </rPr>
      <t xml:space="preserve"> (sisi atas)</t>
    </r>
  </si>
  <si>
    <r>
      <t xml:space="preserve">Pole Band 1/2 (Clamp Begel U) ; tebal 6mm x lebar 42mm HDG </t>
    </r>
    <r>
      <rPr>
        <b/>
        <sz val="8"/>
        <color rgb="FFFF0000"/>
        <rFont val="Arial"/>
        <family val="2"/>
      </rPr>
      <t>Ø 7,5"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</si>
  <si>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5,5"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</si>
  <si>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5,5"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</si>
  <si>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6,5"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</si>
  <si>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6,5"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</si>
  <si>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8,5"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</si>
  <si>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9,5" x 8,5"</t>
    </r>
    <r>
      <rPr>
        <sz val="8"/>
        <rFont val="Arial"/>
        <family val="2"/>
      </rPr>
      <t xml:space="preserve"> (sisi bawah)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</si>
  <si>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Ø</t>
    </r>
    <r>
      <rPr>
        <b/>
        <sz val="10.4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9,5" x 8"</t>
    </r>
    <r>
      <rPr>
        <sz val="8"/>
        <rFont val="Arial"/>
        <family val="2"/>
      </rPr>
      <t xml:space="preserve"> (sisi atas)</t>
    </r>
  </si>
  <si>
    <r>
      <t>Ornament Cable Band / Double Collar Band - (6mm x 42mm) -</t>
    </r>
    <r>
      <rPr>
        <b/>
        <sz val="8"/>
        <color rgb="FFFF0000"/>
        <rFont val="Arial"/>
        <family val="2"/>
      </rPr>
      <t xml:space="preserve"> Ø</t>
    </r>
    <r>
      <rPr>
        <b/>
        <sz val="10.4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9,5" x 8,5"</t>
    </r>
    <r>
      <rPr>
        <sz val="8"/>
        <rFont val="Arial"/>
        <family val="2"/>
      </rPr>
      <t xml:space="preserve"> (sisi bawah)</t>
    </r>
  </si>
  <si>
    <t>Bolt &amp; Nut 5/8"x70 mm + Washer Galvanis</t>
  </si>
  <si>
    <t>Pipa Besi Galvanised  diameter 4,0"  tebal minimal 2,5mm Panjang 6000mm</t>
  </si>
  <si>
    <t>Ornament Cable Band HDG   4 x 10,5" (pemegang Pipa sisi atas )</t>
  </si>
  <si>
    <t>Ornament Cable Band HDG   4 x 11,5" (pemegang Pipa sisi tengah)</t>
  </si>
  <si>
    <t>Ornament Cable Band HDG   4 x 13" (pemegang Pipa sisi bawah)</t>
  </si>
  <si>
    <t>Ornament Cable Band HDG   4 x 12,5" (pemegang Pipa sisi bawah)</t>
  </si>
  <si>
    <t>Ornament Cable Band HDG   4 x 10,5" (pemegang Pipa sisi tengah)</t>
  </si>
  <si>
    <t>Ornament Cable Band HDG   4 x 10,5" (pemegang Pipa sisi bawah)</t>
  </si>
  <si>
    <t>Ornament Cable Band HDG   4 x 8,5" (pemegang Pipa sisi tengah)</t>
  </si>
  <si>
    <t>Ornament Cable Band HDG   4 x 8,5" (pemegang Pipa sisi atas )</t>
  </si>
  <si>
    <t>Ornament Cable Band HDG   4 x 8" (pemegang Kabel)</t>
  </si>
  <si>
    <t>Ornament Cable Band HDG   4 x 6,5" (pemegang Kabel)</t>
  </si>
  <si>
    <t>Ornament Cable Band HDG   4 x 8,5" (pemegang Kabel)</t>
  </si>
  <si>
    <t>Ornament Cable Band HDG   4 x 8,5" (pemegang Pipa sisi bawah)</t>
  </si>
  <si>
    <t>Ornament Cable Band HDG   4 x 7,5" (pemegang Pipa sisi tengah)</t>
  </si>
  <si>
    <t>Ornament Cable Band HDG   4 x 7,5" (pemegang Pipa sisi atas )</t>
  </si>
  <si>
    <t>Ornament Cable Band HDG   4 x 5,5" (pemegang Kabel)</t>
  </si>
  <si>
    <t>Pipa Besi Galvanised  diameter 5,0"  tebal minimal 2,5mm Panjang 6000mm</t>
  </si>
  <si>
    <t>Ornament Cable Band HDG   5 x 8" (pemegang Kabel)</t>
  </si>
  <si>
    <t>Ornament Cable Band HDG   5 x 10,5" (pemegang Pipa sisi atas )</t>
  </si>
  <si>
    <t>Ornament Cable Band HDG   5 x 11,5" (pemegang Pipa sisi tengah)</t>
  </si>
  <si>
    <t>Ornament Cable Band HDG   5 x 13" (pemegang Pipa sisi bawah)</t>
  </si>
  <si>
    <t>Ornament Cable Band HDG   5 x 8,5" (pemegang Kabel)</t>
  </si>
  <si>
    <t>Ornament Cable Band HDG   5 x 10,5" (pemegang Pipa sisi tengah)</t>
  </si>
  <si>
    <t>Ornament Cable Band HDG   5 x 12,5" (pemegang Pipa sisi bawah)</t>
  </si>
  <si>
    <t>Ornament Cable Band HDG   5 x 6,5" (pemegang Kabel)</t>
  </si>
  <si>
    <t>Ornament Cable Band HDG   5 x 8,5" (pemegang Pipa sisi atas )</t>
  </si>
  <si>
    <t>Ornament Cable Band HDG   5 x 8,5" (pemegang Pipa sisi tengah)</t>
  </si>
  <si>
    <t>Ornament Cable Band HDG   5 x 10,5" (pemegang Pipa sisi bawah)</t>
  </si>
  <si>
    <t>Ornament Cable Band HDG   5 x 5,5" (pemegang Kabel)</t>
  </si>
  <si>
    <t>Ornament Cable Band HDG   5 x 7,5" (pemegang Pipa sisi atas )</t>
  </si>
  <si>
    <t>Ornament Cable Band HDG   5 x 7,5" (pemegang Pipa sisi tengah)</t>
  </si>
  <si>
    <t>Ornament Cable Band HDG   5 x 8,5" (pemegang Pipa sisi bawah)</t>
  </si>
  <si>
    <t>Pipa Besi Galvanised  diameter 6,0"  tebal minimal 2,5mm Panjang 6000mm</t>
  </si>
  <si>
    <t>Ornament Cable Band HDG   6 x 8" (pemegang Kabel)</t>
  </si>
  <si>
    <t>Ornament Cable Band HDG   6 x 10,5" (pemegang Pipa sisi atas )</t>
  </si>
  <si>
    <t>Ornament Cable Band HDG   6 x 11,5" (pemegang Pipa sisi tengah)</t>
  </si>
  <si>
    <t>Ornament Cable Band HDG   6 x 13" (pemegang Pipa sisi bawah)</t>
  </si>
  <si>
    <t>Ornament Cable Band HDG   6 x 8,5" (pemegang Kabel)</t>
  </si>
  <si>
    <t>Ornament Cable Band HDG   6 x 10,5" (pemegang Pipa sisi tengah)</t>
  </si>
  <si>
    <t>Ornament Cable Band HDG   6 x 12,5" (pemegang Pipa sisi bawah)</t>
  </si>
  <si>
    <t>Ornament Cable Band HDG   6 x 6,5" (pemegang Kabel)</t>
  </si>
  <si>
    <t>Ornament Cable Band HDG   6 x 8,5" (pemegang Pipa sisi atas )</t>
  </si>
  <si>
    <t>Ornament Cable Band HDG   6 x 8,5" (pemegang Pipa sisi tengah)</t>
  </si>
  <si>
    <t>Ornament Cable Band HDG   6 x 10,5" (pemegang Pipa sisi bawah)</t>
  </si>
  <si>
    <t>Ornament Cable Band HDG   6 x 5,5" (pemegang Kabel)</t>
  </si>
  <si>
    <t>Ornament Cable Band HDG   6 x 7,5" (pemegang Pipa sisi atas )</t>
  </si>
  <si>
    <t>Ornament Cable Band HDG   6 x 7,5" (pemegang Pipa sisi tengah)</t>
  </si>
  <si>
    <t>Ornament Cable Band HDG   6 x 8,5" (pemegang Pipa sisi bawah)</t>
  </si>
  <si>
    <r>
      <t xml:space="preserve">Asesoris Tiang Penggantung Lurus sd 15º MVTIC -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Beton</t>
    </r>
  </si>
  <si>
    <r>
      <t xml:space="preserve">Asesoris Tiang Penggantung Lurus sd 15º MVTIC -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14/350</t>
    </r>
  </si>
  <si>
    <r>
      <t xml:space="preserve">Asesoris Tiang Penggantung Lurus sd 15º MVTIC -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13/350, Tiang Baja 12/350</t>
    </r>
  </si>
  <si>
    <r>
      <t xml:space="preserve">Asesoris Tiang Penggantung Lurus sd 15º MVTIC -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12/200</t>
    </r>
  </si>
  <si>
    <r>
      <t xml:space="preserve">Asesoris Tiang Penggantung Sudut &gt;15º MVTIC - 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Beton</t>
    </r>
  </si>
  <si>
    <r>
      <t xml:space="preserve">Asesoris Tiang Penggantung Sudut &gt;15º MVTIC - 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14/350</t>
    </r>
  </si>
  <si>
    <r>
      <t xml:space="preserve">Asesoris Tiang Penggantung Sudut &gt;15º MVTIC - 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13/350, Tiang Baja 12/350</t>
    </r>
  </si>
  <si>
    <r>
      <t xml:space="preserve">Asesoris Tiang Penggantung Sudut &gt;15º MVTIC -  (Wire Hunger Ass. Type A) </t>
    </r>
    <r>
      <rPr>
        <b/>
        <u/>
        <sz val="8"/>
        <rFont val="Arial"/>
        <family val="2"/>
      </rPr>
      <t>Single</t>
    </r>
    <r>
      <rPr>
        <b/>
        <sz val="8"/>
        <rFont val="Arial"/>
        <family val="2"/>
      </rPr>
      <t>, Tiang Baja 12/200</t>
    </r>
  </si>
  <si>
    <r>
      <t xml:space="preserve">Asesoris Tiang Penggantung Lurus sd 15º MVTIC -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Beton</t>
    </r>
  </si>
  <si>
    <r>
      <t xml:space="preserve">Asesoris Tiang Penggantung Lurus sd 15º MVTIC -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14/350</t>
    </r>
  </si>
  <si>
    <r>
      <t xml:space="preserve">Asesoris Tiang Penggantung Lurus sd 15º MVTIC -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13/350, Tiang Baja 12/350</t>
    </r>
  </si>
  <si>
    <r>
      <t xml:space="preserve">Asesoris Tiang Penggantung Lurus sd 15º MVTIC -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12/200</t>
    </r>
  </si>
  <si>
    <r>
      <t xml:space="preserve">Asesoris Tiang Penggantung Sudut &gt;15º MVTIC - 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Beton</t>
    </r>
  </si>
  <si>
    <r>
      <t xml:space="preserve">Asesoris Tiang Penggantung Sudut &gt;15º MVTIC -  (Wire Hunger Ass. Type A) </t>
    </r>
    <r>
      <rPr>
        <b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14/350</t>
    </r>
  </si>
  <si>
    <r>
      <t xml:space="preserve">Asesoris Tiang Penggantung Sudut &gt;15º MVTIC - 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13/350, Tiang Baja 12/350</t>
    </r>
  </si>
  <si>
    <r>
      <t xml:space="preserve">Asesoris Tiang Penggantung Sudut &gt;15º MVTIC -  (Wire Hunger Ass. Type A) </t>
    </r>
    <r>
      <rPr>
        <b/>
        <u/>
        <sz val="8"/>
        <color rgb="FFFF0000"/>
        <rFont val="Arial"/>
        <family val="2"/>
      </rPr>
      <t>Double</t>
    </r>
    <r>
      <rPr>
        <b/>
        <sz val="8"/>
        <rFont val="Arial"/>
        <family val="2"/>
      </rPr>
      <t>, Tiang Baja 12/200</t>
    </r>
  </si>
  <si>
    <t>Pipa In/Outlet Medium B+Invoring 2,5" + Dudukan (Grd 1 Tiang) 2 Jur. Lubang Bawah - T. Beton 13/350</t>
  </si>
  <si>
    <t>Pipa In/Outlet Medium B+Invoring 2,5" + Dudukan (Grd 1 Tiang) 2 Jur. Lubang Bawah - T. Beton 12/350</t>
  </si>
  <si>
    <t>Pipa In/Outlet Medium B+Invoring 2,5" + Dudukan (Grd 1 Tiang) 2 Jur. Lubang Bawah - T. Beton 12/200</t>
  </si>
  <si>
    <t>Pipa In/Outlet Medium B+Invoring 2,5" + Dudukan (Grd 1 Tiang) 2 Jur. Lubang Bawah - T. Baja 14/350</t>
  </si>
  <si>
    <t>Pipa In/Outlet Medium B+Invoring 2,5" + Dudukan (Grd 1 Tiang) 2 Jur. Lubang Bawah - T. Baja 13/350</t>
  </si>
  <si>
    <t>Pipa In/Outlet Medium B+Invoring 2,5" + Dudukan (Grd 1 Tiang) 2 Jur. Lubang Bawah - T. Baja 12/350</t>
  </si>
  <si>
    <t>Pipa In/Outlet Medium B+Invoring 2,5" + Dudukan (Grd 1 Tiang) 2 Jur. Lubang Bawah - T. Baja 12/200</t>
  </si>
  <si>
    <t>Pipa In/Outlet Medium B+Invoring 3" + Dudukan (Grd 1 Tiang) 2 Jur. Lubang Bawah - T. Beton 14/350</t>
  </si>
  <si>
    <t>Pipa In/Outlet Medium B+Invoring 3" + Dudukan (Grd 1 Tiang) 2 Jur. Lubang Bawah - T. Beton 13/350</t>
  </si>
  <si>
    <t>Pipa In/Outlet Medium B+Invoring 3" + Dudukan '(Grd 1 Tiang) 2 Jur. Lubang Bawah - T. Beton 12/350</t>
  </si>
  <si>
    <t>Pipa In/Outlet Medium B+Invoring 3" + Dudukan (Grd 1 Tiang) 2 Jur. Lubang Bawah - T. Beton 12/200</t>
  </si>
  <si>
    <t>Pipa In/Outlet Medium B+Invoring 3" + Dudukan (Grd 1 Tiang) 2 Jur. Lubang Bawah - T. Baja 14/350</t>
  </si>
  <si>
    <t>Pipa In/Outlet Medium B+Invoring 3" + Dudukan (Grd 1 Tiang) 2 Jur. Lubang Bawah - T. Baja 13/350</t>
  </si>
  <si>
    <t>Pipa In/Outlet Medium B+Invoring 3" + Dudukan (Grd 1 Tiang) 2 Jur. Lubang Bawah - T. Baja 12/350</t>
  </si>
  <si>
    <t>Pipa In/Outlet Medium B+Invoring 3" + Dudukan (Grd 1 Tiang) 2 Jur. Lubang Bawah - T. Baja 12/200</t>
  </si>
  <si>
    <t>Pipa In/Outlet Medium B+Invoring 2,5" + Dudukan (Grd 1 Tiang) 2 Jur. Lubang Samping - T. Beton 14/350</t>
  </si>
  <si>
    <t>Pipa In/Outlet Medium B+Invoring 2,5" + Dudukan (Grd 1 Tiang) 2 Jur. Lubang Samping - T. Beton 13/350</t>
  </si>
  <si>
    <t>Pipa In/Outlet Medium B+Invoring 2,5" + Dudukan (Grd 1 Tiang) 2 Jur. Lubang Samping - T. Beton 12/350</t>
  </si>
  <si>
    <t>Pipa In/Outlet Medium B+Invoring 2,5" + Dudukan (Grd 1 Tiang) 2 Jur. Lubang Samping - T. Beton 12/200</t>
  </si>
  <si>
    <t>Pipa In/Outlet Medium B+Invoring 2,5" + Dudukan (Grd 1 Tiang) 2 Jur. Lubang Samping - T. Baja 14/350</t>
  </si>
  <si>
    <t>Pipa In/Outlet Medium B+Invoring 2,5" + Dudukan (Grd 1 Tiang) 2 Jur. Lubang Samping - T. Baja 13/350</t>
  </si>
  <si>
    <t>Pipa In/Outlet Medium B+Invoring 2,5" + Dudukan (Grd 1 Tiang) 2 Jur. Lubang Samping - T. Baja 12/350</t>
  </si>
  <si>
    <t>Pipa In/Outlet Medium B+Invoring 2,5" + Dudukan (Grd 1 Tiang) 2 Jur. Lubang Samping - T. Baja 12/200</t>
  </si>
  <si>
    <t>Pipa In/Outlet Medium B+Invoring 3" + Dudukan (Grd 1 Tiang) 2 Jur. Lubang Samping - T. Beton 14/350</t>
  </si>
  <si>
    <t>Pipa In/Outlet Medium B+Invoring 3" + Dudukan (Grd 1 Tiang) 2 Jur. Lubang Samping - T. Beton 13/350</t>
  </si>
  <si>
    <t>Pipa In/Outlet Medium B+Invoring 3" + Dudukan (Grd 1 Tiang) 2 Jur. Lubang Samping - T. Beton 12/350</t>
  </si>
  <si>
    <t>Pipa In/Outlet Medium B+Invoring 3" + Dudukan (Grd 1 Tiang) 2 Jur. Lubang Samping - T. Beton 12/200</t>
  </si>
  <si>
    <t>Pipa In/Outlet Medium B+Invoring 3" + Dudukan (Grd 1 Tiang) 2 Jur. Lubang Samping - T. Baja 14/350</t>
  </si>
  <si>
    <t>Pipa In/Outlet Medium B+Invoring 3" + Dudukan (Grd 1 Tiang) 2 Jur. Lubang Samping - T. Baja 13/350</t>
  </si>
  <si>
    <t>Pipa In/Outlet Medium B+Invoring 3" + Dudukan (Grd 1 Tiang) 2 Jur. Lubang Samping - T. Baja 12/350</t>
  </si>
  <si>
    <t>Pipa In/Outlet Medium B+Invoring 3" + Dudukan (Grd 1 Tiang) 2 Jur. Lubang Samping - T. Baja 12/200</t>
  </si>
  <si>
    <t>Pipa In/Outlet Medium B+Invoring 2,5" + Dudukan (Grd 2 Tiang) 4 Jur. Lubang Samping - T. Beton 14/350</t>
  </si>
  <si>
    <t>Pipa In/Outlet Medium B+Invoring 2,5" + Dudukan (Grd 2 Tiang) 4 Jur. Lubang Samping - T. Beton 13/350</t>
  </si>
  <si>
    <t>Pipa In/Outlet Medium B+Invoring 2,5" + Dudukan (Grd 2 Tiang) 4 Jur. Lubang Samping - T. Beton 12/350</t>
  </si>
  <si>
    <t>Pipa In/Outlet Medium B+Invoring 2,5" + Dudukan (Grd 2 Tiang) 4 Jur. Lubang Samping - T. Beton 12/200</t>
  </si>
  <si>
    <t>Pipa In/Outlet Medium B+Invoring 2,5" + Dudukan (Grd 2 Tiang) 4 Jur. Lubang Samping - T. Baja 14/350</t>
  </si>
  <si>
    <t>Pipa In/Outlet Medium B+Invoring 2,5" + Dudukan (Grd 2 Tiang) 4 Jur. Lubang Samping - T. Baja 13/350</t>
  </si>
  <si>
    <t>Pipa In/Outlet Medium B+Invoring 2,5" + Dudukan (Grd 2 Tiang) 4 Jur. Lubang Samping - T. Baja 12/350</t>
  </si>
  <si>
    <t>Pipa In/Outlet Medium B+Invoring 2,5" + Dudukan (Grd 2 Tiang) 4 Jur. Lubang Samping - T. Baja 12/200</t>
  </si>
  <si>
    <t>Pipa In/Outlet Medium B+Invoring 3" + Dudukan (Grd 2 Tiang) 4 Jur. Lubang Samping - T. Beton 14/350</t>
  </si>
  <si>
    <t>Pipa In/Outlet Medium B+Invoring 3" + Dudukan (Grd 2 Tiang) 4 Jur. Lubang Samping - T. Beton 13/350</t>
  </si>
  <si>
    <t>Pipa In/Outlet Medium B+Invoring 3" + Dudukan (Grd 2 Tiang) 4 Jur. Lubang Samping - T. Beton 12/350</t>
  </si>
  <si>
    <t>Pipa In/Outlet Medium B+Invoring 3" + Dudukan (Grd 2 Tiang) 4 Jur. Lubang Samping - T. Beton 12/200</t>
  </si>
  <si>
    <t>Pipa In/Outlet Medium B+Invoring 3" + Dudukan (Grd 2 Tiang) 4 Jur. Lubang Samping - T. Baja 14/350</t>
  </si>
  <si>
    <t>Pipa In/Outlet Medium B+Invoring 3" + Dudukan (Grd 2 Tiang) 4 Jur. Lubang Samping - T. Baja 13/350</t>
  </si>
  <si>
    <t>Pipa In/Outlet Medium B+Invoring 3" + Dudukan (Grd 2 Tiang) 4 Jur. Lubang Samping - T. Baja 12/350</t>
  </si>
  <si>
    <t>Pipa In/Outlet Medium B+Invoring 3" + Dudukan (Grd 2 Tiang) 4 Jur. Lubang Samping - T. Baja 12/200</t>
  </si>
  <si>
    <t>BC 50 mm²</t>
  </si>
  <si>
    <t>Grounding Rod 5/8" P = 2500 mm</t>
  </si>
  <si>
    <t>Arde TM Kubikel</t>
  </si>
  <si>
    <t>SALURAN KABEL TANAH TEGANGAN MENENGAH (SKTM)</t>
  </si>
  <si>
    <t>SALURAN UDARA TEGANGAN MENENGAH (SUTM)</t>
  </si>
  <si>
    <t>SALURAN KABEL UDATA TEGANGAN MENENGAH (SKUTM)</t>
  </si>
  <si>
    <t>GARDU DISTRIBUSI TEGANGAN MENENGAH</t>
  </si>
  <si>
    <t>GARDU DISTRIBUSI TEGANGAN MENENGAH &amp; KUBIKEL</t>
  </si>
  <si>
    <t>SALURAN KABEL UDARA TEGANGAN RENDAH (SKUTR)</t>
  </si>
  <si>
    <t>STAY EQUIPMENT (SKUR)</t>
  </si>
  <si>
    <t>I</t>
  </si>
  <si>
    <t>II</t>
  </si>
  <si>
    <t>SALURAN KABEL UDARA TEGANGAN MENENGAH (SKUTM)</t>
  </si>
  <si>
    <t>IV</t>
  </si>
  <si>
    <t>V</t>
  </si>
  <si>
    <t>VI</t>
  </si>
  <si>
    <t>VII</t>
  </si>
  <si>
    <t>PENTANAHAN (GROUNDING)</t>
  </si>
  <si>
    <t>Penghalang Panjat JTM Tiang Baja 14/350</t>
  </si>
  <si>
    <t>Penghalang Panjat JTM Tiang Baja 13/350</t>
  </si>
  <si>
    <t>Penghalang Panjat JTM Tiang Baja 12/350</t>
  </si>
  <si>
    <t>Penghalang Panjat JTM Tiang Baja 12/200</t>
  </si>
  <si>
    <t>Pole Band 2/2 ; tebal 6mm x lebar 42mm, Ø 12,5"</t>
  </si>
  <si>
    <t>Penghalang Panjat JTM Tiang Beton, Tiang Baja 14/350</t>
  </si>
  <si>
    <t>Pole Band 2/2 ; tebal 6mm x lebar 42mm, Ø 10,5"</t>
  </si>
  <si>
    <t>Penghalang Panjat JTM Tiang Baja 13/350, Tiang Baja 12/350</t>
  </si>
  <si>
    <t>Pole Band 2/2 ; tebal 6mm x lebar 42mm, Ø 8,5"</t>
  </si>
  <si>
    <t>Tanda Phasa JTR (bendera)</t>
  </si>
  <si>
    <t>Sistim Kumisan Kabel NFA2X-T 3x35+1x35 mm²</t>
  </si>
  <si>
    <t>Sistim Kumisan Kabel NFA2X-T 3x50+1x50 mm²</t>
  </si>
  <si>
    <t>Sistim Kumisan Kabel NFA2X-T 3x70+1x70 mm²</t>
  </si>
  <si>
    <t>Kabel NFA2X-T 3x35+1x35 mm²</t>
  </si>
  <si>
    <t>PLN</t>
  </si>
  <si>
    <t>Heatshrink ujung kabel kumis 50mm x 4 warna</t>
  </si>
  <si>
    <t>Kabel NFA2X-T 3x50+1x50 mm²</t>
  </si>
  <si>
    <t>CCO 50 - 50 mm² + Cover</t>
  </si>
  <si>
    <t>Kabel NFA2X-T 3x70+1x70 mm²</t>
  </si>
  <si>
    <t>VIII</t>
  </si>
  <si>
    <t>SALURAN KABEL TANAH TEGANGAN RENDAH (SKTR)</t>
  </si>
  <si>
    <t>KONSTRUKSI PENOPANG TIANG &amp; KELENGKAPANNYA</t>
  </si>
  <si>
    <t>1 Buah</t>
  </si>
  <si>
    <t>liter</t>
  </si>
  <si>
    <t xml:space="preserve">Mendirikan Tiang Beton 9 meter 200 daN </t>
  </si>
  <si>
    <t xml:space="preserve">Mendirikan Tiang Beton 12 meter 200 daN </t>
  </si>
  <si>
    <t>Mendirikan Tiang Beton 12 meter 350 daN</t>
  </si>
  <si>
    <t>Mendirikan Tiang Beton 13 meter 350 daN</t>
  </si>
  <si>
    <t>Mendirikan Tiang Beton 14 meter 350 daN</t>
  </si>
  <si>
    <t>Mendirikan Tiang Baja 7 meter 100 daN</t>
  </si>
  <si>
    <t>Mendirikan Tiang Baja 9 meter 100 daN</t>
  </si>
  <si>
    <t>Mendirikan Tiang Baja 9 meter 200 daN</t>
  </si>
  <si>
    <t>Mendirikan Tiang Baja 11 meter 200 daN</t>
  </si>
  <si>
    <t>Mendirikan Tiang Baja 12 meter 200 daN</t>
  </si>
  <si>
    <t>Mendirikan Tiang Baja 12 meter 350 daN</t>
  </si>
  <si>
    <t>Mendirikan Tiang Baja 13 meter 350 daN</t>
  </si>
  <si>
    <t>Mendirikan Tiang Baja 14 meter 350 daN</t>
  </si>
  <si>
    <t>Pemasangan LBS Manual</t>
  </si>
  <si>
    <t>Pemasangan LBS Motorised</t>
  </si>
  <si>
    <t>Pemasangan LBS 3Ways</t>
  </si>
  <si>
    <t>Pemasangan Recloser</t>
  </si>
  <si>
    <t>Pemasangan PMCB</t>
  </si>
  <si>
    <t>Pemasangan Disconnecting Switch (DS) Pole Mounted</t>
  </si>
  <si>
    <t>Pemasangan Kubikel CB 630 A - Non Isolated</t>
  </si>
  <si>
    <t>Pemasangan Kubikel DS 630 A  - Non Isolated</t>
  </si>
  <si>
    <t>Pemasangan Kubikel Metering 630 A - Non Isolated</t>
  </si>
  <si>
    <t>Pemasangan Kubikel CB 1250 A - Non Isolated</t>
  </si>
  <si>
    <t>Pemasangan Kubikel DS 1250 A - Non Isolated</t>
  </si>
  <si>
    <t>Pemasangan Kubikel Metering 1250 A - Non Isolated</t>
  </si>
  <si>
    <t>Pemasangan Kubikel CB 630 A - Isolated</t>
  </si>
  <si>
    <t>Pemasangan Kubikel DS 630 A - Isolated</t>
  </si>
  <si>
    <t>Pemasangan Kubikel Metering 630 A - Isolated</t>
  </si>
  <si>
    <t>Pemasangan Kubikel CB 1250 A - Isolated</t>
  </si>
  <si>
    <t>Pemasangan Kubikel DS 1250 A - Isolated</t>
  </si>
  <si>
    <t>Pemasangan Kubikel Metering 1250 A - Isolated</t>
  </si>
  <si>
    <t>Pemasangan Power DC Rectifier</t>
  </si>
  <si>
    <t>Pemasangan CT-TM indoor</t>
  </si>
  <si>
    <t>Pemasangan PT-TM indoor</t>
  </si>
  <si>
    <t>Pemasangan CT-TM outdoor</t>
  </si>
  <si>
    <t>Pemasangan PT-TM outdoor</t>
  </si>
  <si>
    <t>Pemasangan LV Board 3P 2 Jurusan 1 Tiang</t>
  </si>
  <si>
    <t>Pemasangan LV Board 3P 4 Jurusan 2 Tiang</t>
  </si>
  <si>
    <t>Pemasangan Automatic Transfer Switch (ATS) Tegangan Rendah</t>
  </si>
  <si>
    <t>Pemasangan Box APP Pengukuran Langsung Daya 23 s/d 41,5 kVA (tanpa MCB)</t>
  </si>
  <si>
    <t>Pemasangan Box APP Pengukuran Langsung dengan MCCB Daya 41,5 kVA</t>
  </si>
  <si>
    <t>Pemasangan Box APP Pengukuran Tidak Langsung lengkap MCCB daya 53 kVA s.d. 197 kVA</t>
  </si>
  <si>
    <t>Pemasangan Box APP Pengukuran TM</t>
  </si>
  <si>
    <t>Pemasangan Papan Hubung Bagi SKTR (PHB SKTR)</t>
  </si>
  <si>
    <t>Pasang Isolator tumpu 20 kV Porcelin</t>
  </si>
  <si>
    <t>Pasang Isolator tarik 20 kV Porcelin</t>
  </si>
  <si>
    <t>Pasang Isolator tumpu 20 kV Polimer</t>
  </si>
  <si>
    <t>Pasang Isolator tarik 20 kV Polimer</t>
  </si>
  <si>
    <t>Pasang Cut Out 20 kV</t>
  </si>
  <si>
    <t>Pasang Lightning Arrester 24 kV</t>
  </si>
  <si>
    <t>Pasang Trafo 3 phs 25 kVA - 20 kV</t>
  </si>
  <si>
    <t>Pasang Trafo 3 phs 50 kVA - 20 kV</t>
  </si>
  <si>
    <t>Pasang Trafo 3 phs 100 kVA - 20 kV</t>
  </si>
  <si>
    <t>Pasang Trafo 3 phs 160 kVA - 20 kV</t>
  </si>
  <si>
    <t>Pasang Trafo 3 phs 200 kVA - 20 kV</t>
  </si>
  <si>
    <t>Pasang Trafo 3 phs 250 kVA - 20 kV</t>
  </si>
  <si>
    <t>Pasang Trafo 3 phs 400 kVA - 20 kV</t>
  </si>
  <si>
    <t>Pasang Konduktor SUTM AAAC 3x35 mm²</t>
  </si>
  <si>
    <t>Pasang Konduktor SUTM AAAC 3x50 mm²</t>
  </si>
  <si>
    <t>Pasang Konduktor SUTM AAAC 3x70 mm²</t>
  </si>
  <si>
    <t>Pasang Konduktor SUTM AAAC 3x95 mm²</t>
  </si>
  <si>
    <t>Pasang Konduktor SUTM AAAC 3x120 mm²</t>
  </si>
  <si>
    <t>Pasang Konduktor SUTM AAAC 3x150 mm²</t>
  </si>
  <si>
    <t>Pasang Konduktor SUTM AAAC 3x240 mm²</t>
  </si>
  <si>
    <t>Pasang Konduktor SUTM AAAC/S 3x50 mm²</t>
  </si>
  <si>
    <t>Pasang Konduktor SUTM AAAC/S 3x70 mm²</t>
  </si>
  <si>
    <t>Pasang Konduktor SUTM AAAC/S 3x95 mm²</t>
  </si>
  <si>
    <t>Pasang Konduktor SUTM AAAC/S 3x120 mm²</t>
  </si>
  <si>
    <t>Pasang Konduktor SUTM AAAC/S 3x150 mm²</t>
  </si>
  <si>
    <t>Pasang Konduktor SUTM AAAC/S 3x240 mm²</t>
  </si>
  <si>
    <t>Pasang Trafo 3 phs 630 kVA - 20 kV</t>
  </si>
  <si>
    <t>Pasang Trafo 3 phs 1000 kVA - 20 kV</t>
  </si>
  <si>
    <t>Pasang Kabel NYY 50 mm²</t>
  </si>
  <si>
    <t>Pasang Kabel NYY 70 mm²</t>
  </si>
  <si>
    <t>Pasang Kabel NYY 95 mm²</t>
  </si>
  <si>
    <t>Pasang Kabel NYY 120 mm²</t>
  </si>
  <si>
    <t>Pasang Kabel NYY 150 mm²</t>
  </si>
  <si>
    <t>Gelar dan Tarik Kabel Tanah TR NYFGbY  2x10 mm²</t>
  </si>
  <si>
    <t>Pasang Kabel Udara SR NFA2X  2x10 mm²</t>
  </si>
  <si>
    <t>Pasang Kabel Udara SR NFA2X  2x16 mm²</t>
  </si>
  <si>
    <t>Pasang Kabel Udara (SKUTR) NFA2X-T  3x35+35mm²</t>
  </si>
  <si>
    <t>Pasang Kabel Udara (SKUTR) NFA2X-T  3x50+50mm²</t>
  </si>
  <si>
    <t>Pasang Kabel Udara (SKUTR) NFA2X-T  3x70+70mm²</t>
  </si>
  <si>
    <t>Pasang Kabel Udara (SKUTR) NFA2X-T  3x95+95mm²</t>
  </si>
  <si>
    <t>Gelar dan Tarik Kabel Tanah TR NYFGbY  2x16 mm²</t>
  </si>
  <si>
    <t>Gelar dan Tarik Kabel Tanah TR NYFGbY  4x70 mm²</t>
  </si>
  <si>
    <t>Gelar dan Tarik Kabel Tanah TR NYFGbY  4x95 mm²</t>
  </si>
  <si>
    <t>Gelar dan Tarik Kabel Tanah TR NYFGbY  4x120 mm²</t>
  </si>
  <si>
    <t>Pasang Kabel Udara SR NFA2X  4x16 mm²</t>
  </si>
  <si>
    <t>Fuselink 2 A - 20 A</t>
  </si>
  <si>
    <t>Sabu (Pulau Raijua)</t>
  </si>
  <si>
    <t>Angkutan Tiang Baja 14/350</t>
  </si>
  <si>
    <t>Angkutan Tiang Baja 13/350</t>
  </si>
  <si>
    <t>Angkutan Tiang Baja 12/350</t>
  </si>
  <si>
    <t>Angkutan Tiang Baja 12/200</t>
  </si>
  <si>
    <t>Angkutan Tiang Baja 11/200</t>
  </si>
  <si>
    <t>Angkutan Tiang Baja 9/200</t>
  </si>
  <si>
    <t>Angkutan Tiang Baja 9/100</t>
  </si>
  <si>
    <t>Angkutan Tiang Baja 7/100</t>
  </si>
  <si>
    <t>Angkutan Tiang Beton 14/350</t>
  </si>
  <si>
    <t>Angkutan Tiang Beton 13/350</t>
  </si>
  <si>
    <t>Angkutan Tiang Beton 12/350</t>
  </si>
  <si>
    <t>Angkutan Tiang Beton 12/200</t>
  </si>
  <si>
    <t>Angkutan Tiang Beton 9/200</t>
  </si>
  <si>
    <t>Pole Band 1/2 (Clamp Begel U) ; tebal 6mm x lebar 42mm ; Hot Dip Galvanized (HDG)</t>
  </si>
  <si>
    <t>HARGA SATUAN DASAR (HSD)</t>
  </si>
  <si>
    <t>Besi UNP 65 ;  Panjang 6000mm</t>
  </si>
  <si>
    <t>Besi UNP 65 ;  Panjang 3000mm</t>
  </si>
  <si>
    <t>Besi UNP 65 ;  Panjang 2500mm</t>
  </si>
  <si>
    <t>Besi UNP 65 ;  Panjang 2200mm</t>
  </si>
  <si>
    <t>Besi UNP 65 ;  Panjang 2000mm</t>
  </si>
  <si>
    <t>Besi UNP 65 ;  Panjang 1800mm</t>
  </si>
  <si>
    <t>Besi UNP 65 ;  Panjang 1500mm</t>
  </si>
  <si>
    <t>Besi UNP 65 ;  Panjang 1200mm</t>
  </si>
  <si>
    <t>Besi UNP 65 ;  Panjang 1000mm</t>
  </si>
  <si>
    <t>Besi UNP 65 ;  Panjang 800mm</t>
  </si>
  <si>
    <t>Besi UNP 65 ;  Panjang 750mm</t>
  </si>
  <si>
    <t>Besi UNP 65 ;  Panjang 600mm</t>
  </si>
  <si>
    <t>Besi UNP 65 ;  Panjang 500mm</t>
  </si>
  <si>
    <t>Besi UNP 65 ;  Panjang 400mm</t>
  </si>
  <si>
    <t>Besi UNP 65 ;  Panjang 300mm</t>
  </si>
  <si>
    <t>Besi UNP 65 ;  Panjang 250mm</t>
  </si>
  <si>
    <t>Besi UNP 65 ;  Panjang 200mm</t>
  </si>
  <si>
    <t xml:space="preserve">Besi Siku / Besi L 50mm x 50mm x 5mm Hot Dip Galvanized (HDG)  u/ Arm Tie ; </t>
  </si>
  <si>
    <t xml:space="preserve">Besi Siku / Besi L 50mm x 50mm x 3,5mm Hot Dip Galvanized (HDG)  u/ Arm Tie ; </t>
  </si>
  <si>
    <t xml:space="preserve">Treckschoor Tolak Pinggang JTR Tiang Baja 11 / 200 </t>
  </si>
  <si>
    <t xml:space="preserve">Treckschoor Tolak Pinggang JTR Tiang Baja 9 / 200  </t>
  </si>
  <si>
    <t>Treckschoor Tolak Pinggang JTR Tiang Baja 9 / 100</t>
  </si>
  <si>
    <t>Treckschoor Tolak Pinggang JTR Tiang Baja 7 / 100</t>
  </si>
  <si>
    <t>60)</t>
  </si>
  <si>
    <t>Anchor Rod Clamp + Bolt &amp; Nut M 16 x 75 mm</t>
  </si>
  <si>
    <t>Wire rope Clips / Cross By 3/8"  (10mm)</t>
  </si>
  <si>
    <t>Wire rope Clips / Cross By 1/2"  (12 - 13mm)</t>
  </si>
  <si>
    <t>Wire rope Clips / Cross By 5/8"  (16mm)</t>
  </si>
  <si>
    <t>Wire Clips / Cross By 3/4"  (19 - 20mm)</t>
  </si>
  <si>
    <r>
      <t xml:space="preserve">Cross Arm Dudukan </t>
    </r>
    <r>
      <rPr>
        <b/>
        <i/>
        <sz val="8"/>
        <color rgb="FF0070C0"/>
        <rFont val="Arial"/>
        <family val="2"/>
      </rPr>
      <t xml:space="preserve">Cut Out di JTM (Tiang Penegang/Percabangan)  </t>
    </r>
    <r>
      <rPr>
        <b/>
        <sz val="8"/>
        <rFont val="Arial"/>
        <family val="2"/>
      </rPr>
      <t>- Tiang Baja 14/350</t>
    </r>
  </si>
  <si>
    <t>Besi Beton Galvanis Ø 10 mm² (panjang 14 cm x 12 bh)</t>
  </si>
  <si>
    <t xml:space="preserve">Besi Beton Galvanis Ø 10 mm² </t>
  </si>
  <si>
    <t>Tanda Kilat Kecil JTM Tiang Beton</t>
  </si>
  <si>
    <r>
      <t xml:space="preserve">Single Fixing Collar  2/2, tebal 6mm x lebar 42m,  </t>
    </r>
    <r>
      <rPr>
        <b/>
        <sz val="8"/>
        <color rgb="FFFF0000"/>
        <rFont val="Arial Narrow"/>
        <family val="2"/>
      </rPr>
      <t>Ø 12"</t>
    </r>
  </si>
  <si>
    <t>Tanda Kilat Kecil JTM Tiang Baja 14/350</t>
  </si>
  <si>
    <r>
      <t xml:space="preserve">Single Fixing Collar  2/2, tebal 6mm x lebar 42m,  </t>
    </r>
    <r>
      <rPr>
        <b/>
        <sz val="8"/>
        <color rgb="FFFF0000"/>
        <rFont val="Arial Narrow"/>
        <family val="2"/>
      </rPr>
      <t>Ø 10,5"</t>
    </r>
  </si>
  <si>
    <t>Tanda Kilat Kecil JTM Tiang Baja 13/350</t>
  </si>
  <si>
    <r>
      <t xml:space="preserve">Single Fixing Collar  2/2, tebal 6mm x lebar 42m,  </t>
    </r>
    <r>
      <rPr>
        <b/>
        <sz val="8"/>
        <color rgb="FFFF0000"/>
        <rFont val="Arial Narrow"/>
        <family val="2"/>
      </rPr>
      <t>Ø 8,5"</t>
    </r>
  </si>
  <si>
    <t>Tanda Kilat Kecil JTM Tiang Baja 13/350,  Tiang Baja 12/350</t>
  </si>
  <si>
    <t>Tanda Kilat Kecil JTM Tiang Baja 12/200</t>
  </si>
  <si>
    <r>
      <t xml:space="preserve">Single Fixing Collar  2/2, tebal 6mm x lebar 42m,  </t>
    </r>
    <r>
      <rPr>
        <b/>
        <sz val="8"/>
        <color rgb="FFFF0000"/>
        <rFont val="Arial Narrow"/>
        <family val="2"/>
      </rPr>
      <t>Ø 7,5"</t>
    </r>
  </si>
  <si>
    <t>Tanda Kilat Kecil JTM Tiang Baja 12/350</t>
  </si>
  <si>
    <t>Ornament Cable Band   6 x 6,5"</t>
  </si>
  <si>
    <t>Ornament Cable Band   6 x 5,5"</t>
  </si>
  <si>
    <t>Ornament Cable Band   6 x 6"</t>
  </si>
  <si>
    <t>Plat Besi tebal 1,2mm  200mm x 150mm</t>
  </si>
  <si>
    <t>Arde JTR dengan BC, Tiang Beton 9/200</t>
  </si>
  <si>
    <t>Arde JTR dengan BC, Tiang Baja 9/200</t>
  </si>
  <si>
    <t>Arde JTR dengan BC,  Tiang Baja 9/100</t>
  </si>
  <si>
    <t>Arde JTR dengan AAACC, Tiang Beton 9/200</t>
  </si>
  <si>
    <t>Arde JTR dengan AAACC, Tiang Baja 9/200</t>
  </si>
  <si>
    <t>Arde JTR dengan AAACC, Tiang Baja 9/100</t>
  </si>
  <si>
    <t>IX</t>
  </si>
  <si>
    <t>PEKERJAAN FINISHING</t>
  </si>
  <si>
    <t>lembar</t>
  </si>
  <si>
    <t>Kertas Glosy A4</t>
  </si>
  <si>
    <t>Semen Konduktif (setara karcoal 1 pail @ 8,5 kg)</t>
  </si>
  <si>
    <t>Batu Pengaman / lempengan (4x30x45) Cm</t>
  </si>
  <si>
    <t>Bata merah (5x10x20) Cm</t>
  </si>
  <si>
    <t>Tutup Ducting 1x0,075x0,6 m (l x t x p)</t>
  </si>
  <si>
    <t>Cat dasar / Meni Besi</t>
  </si>
  <si>
    <t>Minyak cat / Thiner</t>
  </si>
  <si>
    <t xml:space="preserve">Cat besi </t>
  </si>
  <si>
    <t>kuas 3"</t>
  </si>
  <si>
    <t>Pelumas</t>
  </si>
  <si>
    <t>BBM / Pertalite</t>
  </si>
  <si>
    <t>Sewa peralatan crane</t>
  </si>
  <si>
    <t xml:space="preserve">Sewa Chain Saw + Operator </t>
  </si>
  <si>
    <t>kg</t>
  </si>
  <si>
    <t>Perisai Binatang (Ijuk)</t>
  </si>
  <si>
    <t>Bolt &amp; Nut M16 (Ø=5/8") x 50mm + Washer (Ring Plat) Galvanized</t>
  </si>
  <si>
    <r>
      <t>Ferlenk Stuck (Pipa)</t>
    </r>
    <r>
      <rPr>
        <b/>
        <i/>
        <sz val="8"/>
        <color rgb="FF0070C0"/>
        <rFont val="Arial"/>
        <family val="2"/>
      </rPr>
      <t xml:space="preserve">  </t>
    </r>
    <r>
      <rPr>
        <b/>
        <sz val="8"/>
        <rFont val="Arial"/>
        <family val="2"/>
      </rPr>
      <t>- Tiang Baja 14/350</t>
    </r>
  </si>
  <si>
    <t>Pipa Besi Galvanised  diameter 3,0"  tebal minimal 2,4mm, 2000mm</t>
  </si>
  <si>
    <t>Besi UNP 100 (100mm x 50mm x 5,0mm) ; Hot Dip Galvanized (HDG), 2000mm</t>
  </si>
  <si>
    <t>Pole Band 2/2 ; tebal 6mm x lebar 42mm ; Hot Dip Galvanized (HDG), 8"</t>
  </si>
  <si>
    <t>Galvanished Steel Wire 70 mm²</t>
  </si>
  <si>
    <t>Pengikat Konduktor / Top Ties Semi Konduktor 150 mm²</t>
  </si>
  <si>
    <t>Pengikat Konduktor / Top Ties Semi Konduktor 240 mm²</t>
  </si>
  <si>
    <t xml:space="preserve">Penggalian KARANG untuk jalur Kabel SKTM </t>
  </si>
  <si>
    <t xml:space="preserve">Penggalian TROTOAR/ASPAL untuk jalur Kabel SKTM </t>
  </si>
  <si>
    <t>Pengurugan pasir jalur Kabel SKTM</t>
  </si>
  <si>
    <t>Penimbunan tanah jalur Kabel SKTM</t>
  </si>
  <si>
    <t xml:space="preserve">Pelindung Kabel Tanah TM </t>
  </si>
  <si>
    <t>Concrete slabs 450x300x40 mm</t>
  </si>
  <si>
    <t>Bata pelindung kabel (Bata merah)</t>
  </si>
  <si>
    <t>Patok Beton tanda kabel tanah pada
Tanah/Rumput</t>
  </si>
  <si>
    <t>Patok Beton tanda kabel tanah di
Trotoar/Jalan</t>
  </si>
  <si>
    <t>Pipa Galvanized diameter 1,5" - 2"  Panjang = 3000 mm modifikasi</t>
  </si>
  <si>
    <t xml:space="preserve">Plat besi galvanis 5 x 189 x 120 mm </t>
  </si>
  <si>
    <t>Asesoris Extension Pipa Galvanis untuk Ground Shield Wire (GSW) Tiang Beton</t>
  </si>
  <si>
    <t>Asesoris Extension Pipa Galvanis untuk Ground Shield Wire (GSW) Tiang Baja 14/350</t>
  </si>
  <si>
    <t>Asesoris Extension Pipa Galvanis untuk GSW JTM -  Tiang Beton</t>
  </si>
  <si>
    <t>Asesoris Extension Pipa Galvanis untuk GSW JTM -  Tiang Baja 14/350</t>
  </si>
  <si>
    <t>Asesoris Extension Pipa Galvanis untuk GSW JTM -  Tiang Baja 13/350 &amp; Tiang Baja 12/350</t>
  </si>
  <si>
    <t>Asesoris Extension Pipa Galvanis untuk Ground Shield Wire (GSW) Tiang Baja 13/350</t>
  </si>
  <si>
    <t>Asesoris Extension Pipa Galvanis untuk Ground Shield Wire (GSW) Tiang Baja 12/350</t>
  </si>
  <si>
    <t>Asesoris Extension Pipa Galvanis untuk Ground Shield Wire (GSW) Tiang Baja 12/200</t>
  </si>
  <si>
    <t>Asesoris Extension Pipa Galvanis untuk GSW JTM -  Tiang Baja 12/200</t>
  </si>
  <si>
    <t>Tanda Kilat Besar (Gardu)</t>
  </si>
  <si>
    <t>Tanda Kilat Besar Gardu</t>
  </si>
  <si>
    <t>Plat Besi tebal 1,2mm  400 x 450mm</t>
  </si>
  <si>
    <t xml:space="preserve">Stainless Steel Strap 20 x 0,7 mm </t>
  </si>
  <si>
    <t>Plat Besi tebal 1,2mm  200mm x 150mm (tanda kilat kecil)</t>
  </si>
  <si>
    <t>Plat Besi tebal 1,2mm  400 x 450mm (tanda kilat besar)</t>
  </si>
  <si>
    <t>Gorong-gorong Kabel Tanah TM (Ducting)</t>
  </si>
  <si>
    <t>Ducting U-Ditch 1x1,2x1,2 m (lx t x p),
tebal = 0,075 m</t>
  </si>
  <si>
    <t>Kabel Tray L Bracket 200x150 mm (p x l),
tebal = 5 mm</t>
  </si>
  <si>
    <t>1 Meter</t>
  </si>
  <si>
    <t xml:space="preserve">Suport Cable (Besi Siku) t 5mm 5 x 5 cm, T 80 cm 3 Lengan P 50 cm </t>
  </si>
  <si>
    <t xml:space="preserve">Tray Kabel Type C Hot dip Galvanized,  L = 500 mm;  T = 100 mm;  P = 3 meter </t>
  </si>
  <si>
    <t>Galvanished Steel Wire 35 mm²</t>
  </si>
  <si>
    <t>Tray Kabel: Wall Bracket Hot dip Galvanized, T = 100 mm + Bolts + Nuts</t>
  </si>
  <si>
    <t>Tray Kabel: Bracket Hot dip Galvanized, L = 500 mm + Bolts + Nuts</t>
  </si>
  <si>
    <t>Tray Kabel: Bracket Mounting Hot dip Galvanized, L = 500 mm + Bolts + Nuts</t>
  </si>
  <si>
    <t>Tray Kabel: Stand Plate Hot dip Galvanized, T= 100 mm + Bolts + Nuts</t>
  </si>
  <si>
    <t>Tray Kabel: Hanger Clevis + Hanger Rod + Clamp U Hot dip Galvanized + Bolts + Nuts</t>
  </si>
  <si>
    <t>Tray Kabel: Hanger Beam Hot dip Galvanized, L = 500 mm + Bolts + Nuts</t>
  </si>
  <si>
    <t>Tray Kabel: Jointing Tray Type C Hot dip Galvanized, T = 100 mm + Bolts + Nuts</t>
  </si>
  <si>
    <t>Pipa PVC Ø 6"   Panjang 1 meter</t>
  </si>
  <si>
    <t>Pipa PVC 6"   Panjang 1 meter</t>
  </si>
  <si>
    <t>Pipa PVC 3"  Panjang 50cm</t>
  </si>
  <si>
    <t>Pipa PVC 2,5"  Panjang 50cm</t>
  </si>
  <si>
    <t>Pipa PVC 2"  Panjang 50cm</t>
  </si>
  <si>
    <t>Semen (PC) 40 Kg</t>
  </si>
  <si>
    <t>zak</t>
  </si>
  <si>
    <t>Penggalian TANAH BIASA untuk jalur Kabel SKTR</t>
  </si>
  <si>
    <t>Penggalian KARANG untuk jalur Kabel SKTR</t>
  </si>
  <si>
    <t>Pengurugan pasir jalur Kabel SKTR</t>
  </si>
  <si>
    <t>Pipa PVC Ø 4"   Panjang 1 meter</t>
  </si>
  <si>
    <t>Pipa PVC 4"  Panjang 1 meter</t>
  </si>
  <si>
    <t>JUMLAH KONSTRUKSI SALURAN UDARA TEGANGAN MENENGAH (SUTM) - (D-II)</t>
  </si>
  <si>
    <t>JUMLAH KONSTRUKSI PENOPANG TIANG DAN KELENGKAPANNYA (D-I)</t>
  </si>
  <si>
    <t>JUMLAH KONSTRUKSI SALURAN KABEL UDARA TEGANGAN MENENGAH (SKUTM) - (D-III)</t>
  </si>
  <si>
    <t>JUMLAH KONSTRUKSI SALURAN KABEL TANAH TEGANGAN MENENGAH (SKTM) - (D-IV)</t>
  </si>
  <si>
    <t>JUMLAH KONSTRUKSI GARDU DISTRIBUSI TEGANGAN MENENGAH  (D-V)</t>
  </si>
  <si>
    <t>JUMLAH KONSTRUKSI SALURAN KABEL UDARA TEGANGAN RENDAH (SKUTR)  (D-VI)</t>
  </si>
  <si>
    <t>JUMLAH KONSTRUKSI SALURAN KABEL TANAH TEGANGAN RENDAH (SKTR)  (D-VII)</t>
  </si>
  <si>
    <t>Pelindung Kabel Tanah TR</t>
  </si>
  <si>
    <t>SAMBUNGAN RUMAH (SR) DAN ALAT PEMBATAS &amp; PENGUKUR (APP)</t>
  </si>
  <si>
    <t>JUMLAH KONSTRUKSI SAMBUNGAN RUMAH (SR) DAN ALAT PEMBATAS &amp; PENGUKUR (APP)  (D-VIII)</t>
  </si>
  <si>
    <t>SAMBUNGAN RUMAH DAN ALAT PEMBATAS &amp; PENGUKUR</t>
  </si>
  <si>
    <r>
      <t xml:space="preserve">Double Arm Fixing Collar 2/2 ; </t>
    </r>
    <r>
      <rPr>
        <b/>
        <sz val="8"/>
        <color rgb="FFFF0000"/>
        <rFont val="Arial"/>
        <family val="2"/>
      </rPr>
      <t>diameter 4,5"</t>
    </r>
  </si>
  <si>
    <t>Service Wedge Clamp   2x6mm - 2x16mm</t>
  </si>
  <si>
    <t>Stainless Steel Strip</t>
  </si>
  <si>
    <t>Stoping Buckle</t>
  </si>
  <si>
    <t>CCO 10/35-70 mm + Cover</t>
  </si>
  <si>
    <r>
      <t xml:space="preserve">Sambungan Rumah (SR) 1 Phasa melalui saluran udara pada </t>
    </r>
    <r>
      <rPr>
        <b/>
        <sz val="8"/>
        <color rgb="FFFF0000"/>
        <rFont val="Arial"/>
        <family val="2"/>
      </rPr>
      <t>tiang baja 11/200 &amp; Tiang baja 9/200</t>
    </r>
    <r>
      <rPr>
        <b/>
        <sz val="8"/>
        <rFont val="Arial"/>
        <family val="2"/>
      </rPr>
      <t xml:space="preserve"> </t>
    </r>
  </si>
  <si>
    <r>
      <t xml:space="preserve">Sambungan Rumah (SR) 1 Phasa melalui saluran udara pada </t>
    </r>
    <r>
      <rPr>
        <b/>
        <sz val="8"/>
        <color rgb="FFFF0000"/>
        <rFont val="Arial"/>
        <family val="2"/>
      </rPr>
      <t>tiang baja 9/100</t>
    </r>
  </si>
  <si>
    <r>
      <t xml:space="preserve">Double Arm Fixing Collar 2/2 ; </t>
    </r>
    <r>
      <rPr>
        <b/>
        <sz val="8"/>
        <color rgb="FFFF0000"/>
        <rFont val="Arial"/>
        <family val="2"/>
      </rPr>
      <t>diameter 4"</t>
    </r>
  </si>
  <si>
    <r>
      <t xml:space="preserve">Sambungan Rumah (SR) </t>
    </r>
    <r>
      <rPr>
        <b/>
        <sz val="8"/>
        <color rgb="FFFF0000"/>
        <rFont val="Arial"/>
        <family val="2"/>
      </rPr>
      <t>3 Phasa</t>
    </r>
    <r>
      <rPr>
        <b/>
        <sz val="8"/>
        <rFont val="Arial"/>
        <family val="2"/>
      </rPr>
      <t xml:space="preserve"> melalui saluran udara pada </t>
    </r>
    <r>
      <rPr>
        <b/>
        <sz val="8"/>
        <color rgb="FFFF0000"/>
        <rFont val="Arial"/>
        <family val="2"/>
      </rPr>
      <t>tiang baja 11/200 &amp; Tiang baja 9/200</t>
    </r>
    <r>
      <rPr>
        <b/>
        <sz val="8"/>
        <rFont val="Arial"/>
        <family val="2"/>
      </rPr>
      <t xml:space="preserve"> </t>
    </r>
  </si>
  <si>
    <r>
      <t xml:space="preserve">Sambungan Rumah (SR) </t>
    </r>
    <r>
      <rPr>
        <b/>
        <sz val="8"/>
        <color rgb="FFFF0000"/>
        <rFont val="Arial"/>
        <family val="2"/>
      </rPr>
      <t>3 Phasa</t>
    </r>
    <r>
      <rPr>
        <b/>
        <sz val="8"/>
        <rFont val="Arial"/>
        <family val="2"/>
      </rPr>
      <t xml:space="preserve"> melalui saluran udara pada </t>
    </r>
    <r>
      <rPr>
        <b/>
        <sz val="8"/>
        <color rgb="FFFF0000"/>
        <rFont val="Arial"/>
        <family val="2"/>
      </rPr>
      <t>tiang baja 9/100</t>
    </r>
  </si>
  <si>
    <r>
      <t xml:space="preserve">Sambungan Rumah (SR) 1 Phasa melalui saluran udara pada </t>
    </r>
    <r>
      <rPr>
        <b/>
        <sz val="8"/>
        <color rgb="FFFF0000"/>
        <rFont val="Arial"/>
        <family val="2"/>
      </rPr>
      <t>tiang beton 9/200</t>
    </r>
  </si>
  <si>
    <r>
      <t xml:space="preserve">Double Arm Fixing Collar 2/2 ; </t>
    </r>
    <r>
      <rPr>
        <b/>
        <sz val="8"/>
        <color rgb="FFFF0000"/>
        <rFont val="Arial"/>
        <family val="2"/>
      </rPr>
      <t>diameter 6"</t>
    </r>
  </si>
  <si>
    <r>
      <t xml:space="preserve">Sambungan Rumah (SR) </t>
    </r>
    <r>
      <rPr>
        <b/>
        <sz val="8"/>
        <color rgb="FFFF0000"/>
        <rFont val="Arial"/>
        <family val="2"/>
      </rPr>
      <t>3 Phasa</t>
    </r>
    <r>
      <rPr>
        <b/>
        <sz val="8"/>
        <rFont val="Arial"/>
        <family val="2"/>
      </rPr>
      <t xml:space="preserve"> melalui saluran udara pada </t>
    </r>
    <r>
      <rPr>
        <b/>
        <sz val="8"/>
        <color rgb="FFFF0000"/>
        <rFont val="Arial"/>
        <family val="2"/>
      </rPr>
      <t>tiang beton 9/200</t>
    </r>
  </si>
  <si>
    <t>Rangka Dudukan APP - Pasang di tiang beton 9/200</t>
  </si>
  <si>
    <t>Bracket Clamp Box APP</t>
  </si>
  <si>
    <t>Bolt Double Nut + Washer M12x300 mm</t>
  </si>
  <si>
    <r>
      <t xml:space="preserve">Besi UNP 80 (80mm x 44mm x 3,5mm) ; HDG  </t>
    </r>
    <r>
      <rPr>
        <b/>
        <sz val="8"/>
        <rFont val="Arial"/>
        <family val="2"/>
      </rPr>
      <t>500mm</t>
    </r>
  </si>
  <si>
    <t>Bolt &amp; Nut  M12 x 300mm</t>
  </si>
  <si>
    <t>Rangka Dudukan APP - Pasang di tiang baja 11/200</t>
  </si>
  <si>
    <t>Rangka Dudukan APP - Pasang di tiang baja 11/200 &amp; tiang baja 9/200</t>
  </si>
  <si>
    <t>Rangka Dudukan APP - Pasang di tiang baja 9/100</t>
  </si>
  <si>
    <r>
      <t xml:space="preserve">Pole Band 1/2 (Clamp Begel U) ; tebal 6mm x lebar 42mm ; HDG </t>
    </r>
    <r>
      <rPr>
        <b/>
        <sz val="8"/>
        <rFont val="Arial"/>
        <family val="2"/>
      </rPr>
      <t>Ø 13"</t>
    </r>
  </si>
  <si>
    <t>Rangka Dudukan APP - Pasang di tiang beton 14/350</t>
  </si>
  <si>
    <r>
      <t xml:space="preserve">Rangka Dudukan APP - Pasang di </t>
    </r>
    <r>
      <rPr>
        <b/>
        <sz val="8"/>
        <color rgb="FFFF0000"/>
        <rFont val="Arial"/>
        <family val="2"/>
      </rPr>
      <t>tiang beton 14/350</t>
    </r>
  </si>
  <si>
    <t>Rangka Dudukan APP - Pasang di tiang beton 13/350</t>
  </si>
  <si>
    <r>
      <t xml:space="preserve">Rangka Dudukan APP - Pasang di </t>
    </r>
    <r>
      <rPr>
        <b/>
        <sz val="8"/>
        <color rgb="FFFF0000"/>
        <rFont val="Arial"/>
        <family val="2"/>
      </rPr>
      <t>tiang beton 13/350</t>
    </r>
  </si>
  <si>
    <r>
      <t xml:space="preserve">Pole Band 1/2 (Clamp Begel U) ; tebal 6mm x lebar 42mm ; HDG </t>
    </r>
    <r>
      <rPr>
        <b/>
        <sz val="8"/>
        <rFont val="Arial"/>
        <family val="2"/>
      </rPr>
      <t>Ø 12"</t>
    </r>
  </si>
  <si>
    <r>
      <t xml:space="preserve">Pole Band 1/2 (Clamp Begel U) ; tebal 6mm x lebar 42mm ; HDG </t>
    </r>
    <r>
      <rPr>
        <b/>
        <sz val="8"/>
        <rFont val="Arial"/>
        <family val="2"/>
      </rPr>
      <t>Ø 12,5"</t>
    </r>
  </si>
  <si>
    <t>Rangka Dudukan APP - Pasang di tiang beton 12/350</t>
  </si>
  <si>
    <r>
      <t xml:space="preserve">Rangka Dudukan APP - Pasang di </t>
    </r>
    <r>
      <rPr>
        <b/>
        <sz val="8"/>
        <color rgb="FFFF0000"/>
        <rFont val="Arial"/>
        <family val="2"/>
      </rPr>
      <t>tiang beton 9/200</t>
    </r>
  </si>
  <si>
    <r>
      <t xml:space="preserve">Rangka Dudukan APP - Pasang di </t>
    </r>
    <r>
      <rPr>
        <b/>
        <sz val="8"/>
        <color rgb="FFFF0000"/>
        <rFont val="Arial"/>
        <family val="2"/>
      </rPr>
      <t>tiang beton 12/350</t>
    </r>
    <r>
      <rPr>
        <b/>
        <sz val="8"/>
        <rFont val="Arial"/>
        <family val="2"/>
      </rPr>
      <t xml:space="preserve"> &amp; t</t>
    </r>
    <r>
      <rPr>
        <b/>
        <sz val="8"/>
        <color rgb="FFFF0000"/>
        <rFont val="Arial"/>
        <family val="2"/>
      </rPr>
      <t>iang beton 12/200</t>
    </r>
  </si>
  <si>
    <r>
      <t xml:space="preserve">Pole Band 1/2 (Clamp Begel U) ; tebal 6mm x lebar 42mm ; HDG </t>
    </r>
    <r>
      <rPr>
        <b/>
        <sz val="8"/>
        <rFont val="Arial"/>
        <family val="2"/>
      </rPr>
      <t>Ø 9,5"</t>
    </r>
  </si>
  <si>
    <t>Rangka Dudukan APP - Pasang di tiang baja 9/200</t>
  </si>
  <si>
    <r>
      <t xml:space="preserve">Pole Band 1/2 (Clamp Begel U) ; tebal 6mm x lebar 42mm ; HDG </t>
    </r>
    <r>
      <rPr>
        <b/>
        <sz val="8"/>
        <rFont val="Arial"/>
        <family val="2"/>
      </rPr>
      <t>Ø 7,5"</t>
    </r>
  </si>
  <si>
    <r>
      <t xml:space="preserve">Pole Band 1/2 (Clamp Begel U) ; tebal 6mm x lebar 42mm ; HDG </t>
    </r>
    <r>
      <rPr>
        <b/>
        <sz val="8"/>
        <rFont val="Arial"/>
        <family val="2"/>
      </rPr>
      <t>Ø 7"</t>
    </r>
  </si>
  <si>
    <t>Rangka Dudukan APP - Pasang di tiang baja 14/350</t>
  </si>
  <si>
    <t>Rangka Dudukan APP - Pasang di tiang baja 13/350</t>
  </si>
  <si>
    <t>Rangka Dudukan APP - Pasang di tiang baja 12/350</t>
  </si>
  <si>
    <r>
      <t xml:space="preserve">Pole Band 1/2 (Clamp Begel U) ; tebal 6mm x lebar 42mm ; HDG </t>
    </r>
    <r>
      <rPr>
        <b/>
        <sz val="8"/>
        <rFont val="Arial"/>
        <family val="2"/>
      </rPr>
      <t>Ø 10,5"</t>
    </r>
  </si>
  <si>
    <t>Rangka Dudukan APP - Pasang di tiang baja 13/350 &amp; tiang baja 12/350</t>
  </si>
  <si>
    <t>Rangka Dudukan APP - Pasang di tiang baja 12/200</t>
  </si>
  <si>
    <r>
      <t xml:space="preserve">Pole Band 1/2 (Clamp Begel U) ; tebal 6mm x lebar 42mm ; HDG </t>
    </r>
    <r>
      <rPr>
        <b/>
        <sz val="8"/>
        <rFont val="Arial"/>
        <family val="2"/>
      </rPr>
      <t>Ø 8,5"</t>
    </r>
  </si>
  <si>
    <t>Rangka Dudukan APP - Pasang di Tembok</t>
  </si>
  <si>
    <t>Dyna Bolt 8x85mm</t>
  </si>
  <si>
    <t>Terminating Cold Srink</t>
  </si>
  <si>
    <t>1  Core  Indoor 95-120 mm²</t>
  </si>
  <si>
    <t>1  Core  Indoor 150-300 mm²</t>
  </si>
  <si>
    <t>1  Core  Outdoor 95-120 mm²</t>
  </si>
  <si>
    <t>1  Core  Outdoor 150-300 mm²</t>
  </si>
  <si>
    <t>3  Core  Indoor 95-120 mm²</t>
  </si>
  <si>
    <t>3  Core  Indoor 150-300 mm²</t>
  </si>
  <si>
    <t>3  Core  Outdoor 95-120 mm²</t>
  </si>
  <si>
    <t>3  Core  Outdoor 150-300 mm²</t>
  </si>
  <si>
    <t xml:space="preserve">Jointing Cold Shrink </t>
  </si>
  <si>
    <t>1  Core  70-95 mm²</t>
  </si>
  <si>
    <t>1  Core  120-185 mm²</t>
  </si>
  <si>
    <t>1  Core  240 -300 mm²</t>
  </si>
  <si>
    <t>3  Core  70-95 mm²</t>
  </si>
  <si>
    <t>3  Core  120-185 mm²</t>
  </si>
  <si>
    <t>3  Core  240 -300 mm²</t>
  </si>
  <si>
    <t>Sparabel Connection</t>
  </si>
  <si>
    <t>3 x 1 core  150 mm²</t>
  </si>
  <si>
    <t>3 x 1 core  240 mm²</t>
  </si>
  <si>
    <t>3  Core  150 mm²</t>
  </si>
  <si>
    <t>TERMINATING DAN JOINTING</t>
  </si>
  <si>
    <t>Terminating Cold Srink 1  Core  Indoor 95-120 mm²</t>
  </si>
  <si>
    <t>Terminating Cold Srink 1  Core  Indoor 150-300 mm²</t>
  </si>
  <si>
    <t>Terminating Cold Srink 1  Core  Outdoor 95-120 mm²</t>
  </si>
  <si>
    <t>Terminating Cold Srink 1  Core  Outdoor 150-300 mm²</t>
  </si>
  <si>
    <t>Terminating Cold Srink 3  Core  Indoor 95-120 mm²</t>
  </si>
  <si>
    <t>Terminating Cold Srink 3  Core  Indoor 150-300 mm²</t>
  </si>
  <si>
    <t>Terminating Cold Srink 3  Core  Outdoor 95-120 mm²</t>
  </si>
  <si>
    <t>Terminating Cold Srink 3  Core  Outdoor 150-300 mm²</t>
  </si>
  <si>
    <t>Jointing Cold Shrink 1  Core  70-95 mm²</t>
  </si>
  <si>
    <t>Jointing Cold Shrink 1  Core  120-185 mm²</t>
  </si>
  <si>
    <t>Jointing Cold Shrink 1  Core  240 -300 mm²</t>
  </si>
  <si>
    <t>Jointing Cold Shrink 3  Core  70-95 mm²</t>
  </si>
  <si>
    <t>Jointing Cold Shrink 3  Core  120-185 mm²</t>
  </si>
  <si>
    <t>Jointing Cold Shrink 3  Core  240 -300 mm²</t>
  </si>
  <si>
    <t xml:space="preserve">Plat Tembaga Connector Terminasi 5mm x 3mm x 1000mm - Lubang Double Baut </t>
  </si>
  <si>
    <t>JUMLAH TERMINATING DAN JOINTING (E)</t>
  </si>
  <si>
    <t>Beton Pondasi PHB SKTR</t>
  </si>
  <si>
    <t>Perbaikan Penghantar Terburai</t>
  </si>
  <si>
    <t>Pembersihan Rangka Layang-Layang, dll</t>
  </si>
  <si>
    <t>Pengecatan Tiang Baja 14/350</t>
  </si>
  <si>
    <t>Pengecatan Tiang Baja 13/350</t>
  </si>
  <si>
    <t>Pengecatan Tiang Baja 12/350</t>
  </si>
  <si>
    <t>Pengecatan Tiang Baja 12/200</t>
  </si>
  <si>
    <t>Pengecatan Tiang Baja 11/200</t>
  </si>
  <si>
    <t>Pengecatan Tiang Baja 9/200</t>
  </si>
  <si>
    <t>Penomoran Tiang JTR Murni &amp; Underbuilt</t>
  </si>
  <si>
    <t>Penomoran Gardu</t>
  </si>
  <si>
    <t>Penggantian Headboom 630A</t>
  </si>
  <si>
    <t>Komisioning &amp; Testing  JTM</t>
  </si>
  <si>
    <t>Komisioning &amp; Testing  JTR</t>
  </si>
  <si>
    <t>Komisioning / Testing Gardu</t>
  </si>
  <si>
    <t>Jasa Pengangkutan Retur Material ke Gudang PLN = 60% tarif angkutan</t>
  </si>
  <si>
    <t>JUMLAH PEKERJAAN FINISHING (F)</t>
  </si>
  <si>
    <t>Dari PLN ULP Atambua ke</t>
  </si>
  <si>
    <t>Dari PLN ULP Kalabahi ke</t>
  </si>
  <si>
    <t>Dari PLN ULP Rote ke</t>
  </si>
  <si>
    <t>Dari PLN ULP Sabu ke</t>
  </si>
  <si>
    <t>Dari PLN UP3 Kupang ke</t>
  </si>
  <si>
    <t>Sparabel Connection 1 core  150 mm²</t>
  </si>
  <si>
    <t>Sparabel Connection 1 core  240 mm²</t>
  </si>
  <si>
    <t>Sparabel Connection 3 Core  150 mm²</t>
  </si>
  <si>
    <t>1 M³</t>
  </si>
  <si>
    <t>Beton Cor Pondasi</t>
  </si>
  <si>
    <t>1 Batang</t>
  </si>
  <si>
    <t xml:space="preserve">Pondasi Lantai Kerja Gardu 1 Tiang </t>
  </si>
  <si>
    <t>(120cm x 100 cm x 20 cm)</t>
  </si>
  <si>
    <t xml:space="preserve">Pondasi Lantai Kerja Gardu 2 Tiang </t>
  </si>
  <si>
    <t>(200cm x 125 cm x 20 cm)</t>
  </si>
  <si>
    <t>Pondasi Type A - Batu Kerikil + tanah - Tiang Baja 14/350</t>
  </si>
  <si>
    <t>Pondasi Type A - Batu Kerikil + tanah - Tiang Baja 13/350</t>
  </si>
  <si>
    <t>Pondasi Type A - Batu Kerikil + tanah - Tiang Baja 12/200</t>
  </si>
  <si>
    <t>Pondasi Type A - Batu Kerikil + tanah - Tiang Baja 12/350</t>
  </si>
  <si>
    <t>Pondasi Type A - Batu Kerikil + tanah - Tiang Baja 11/200</t>
  </si>
  <si>
    <t>Pondasi Type A - Batu Kerikil + tanah - Tiang Baja 9/200</t>
  </si>
  <si>
    <t>Kerikil sungai (tersaring)</t>
  </si>
  <si>
    <t>Kerikil Koral 5/7 cm</t>
  </si>
  <si>
    <t>Pondasi Type B - Batu koral+tanah - Tiang Baja 14/350</t>
  </si>
  <si>
    <t>Pondasi Type B - Batu koral+tanah - Tiang Baja 13/350</t>
  </si>
  <si>
    <t>Pondasi Type B - Batu koral+tanah - Tiang Baja 12/350</t>
  </si>
  <si>
    <t>Pondasi Type B - Batu koral+tanah - Tiang Baja 12/200</t>
  </si>
  <si>
    <t>Pondasi Type B - Batu koral+tanah - Tiang Baja 11/200</t>
  </si>
  <si>
    <t>Pondasi Type B - Batu koral+tanah - Tiang Baja 9/200</t>
  </si>
  <si>
    <t>Rangka dudukan PHB SKTR</t>
  </si>
  <si>
    <t>Kg</t>
  </si>
  <si>
    <t>Ltr</t>
  </si>
  <si>
    <t>Bh</t>
  </si>
  <si>
    <t>1 M²</t>
  </si>
  <si>
    <t>Pengecatan Tiang Baja</t>
  </si>
  <si>
    <t>Selimut Segmen Atas</t>
  </si>
  <si>
    <t>Selimut Segmen Tengah</t>
  </si>
  <si>
    <t>Selimut Segmen Bawah</t>
  </si>
  <si>
    <t xml:space="preserve">Rumus Luas selimut silinder  =  2 π r t </t>
  </si>
  <si>
    <t>m²</t>
  </si>
  <si>
    <r>
      <t xml:space="preserve">(2 x 3,14 x </t>
    </r>
    <r>
      <rPr>
        <b/>
        <sz val="8"/>
        <rFont val="Arial"/>
        <family val="2"/>
      </rPr>
      <t>0,10815</t>
    </r>
    <r>
      <rPr>
        <sz val="8"/>
        <rFont val="Arial"/>
        <family val="2"/>
      </rPr>
      <t xml:space="preserve"> x 3)</t>
    </r>
  </si>
  <si>
    <r>
      <t xml:space="preserve">(2 x 3,14 x </t>
    </r>
    <r>
      <rPr>
        <b/>
        <sz val="8"/>
        <rFont val="Arial"/>
        <family val="2"/>
      </rPr>
      <t>0,1337</t>
    </r>
    <r>
      <rPr>
        <sz val="8"/>
        <rFont val="Arial"/>
        <family val="2"/>
      </rPr>
      <t xml:space="preserve"> x 5)</t>
    </r>
  </si>
  <si>
    <r>
      <t xml:space="preserve">(2 x 3,14 x </t>
    </r>
    <r>
      <rPr>
        <b/>
        <sz val="8"/>
        <rFont val="Arial"/>
        <family val="2"/>
      </rPr>
      <t>0,15925</t>
    </r>
    <r>
      <rPr>
        <sz val="8"/>
        <rFont val="Arial"/>
        <family val="2"/>
      </rPr>
      <t xml:space="preserve"> x 3,66)</t>
    </r>
  </si>
  <si>
    <r>
      <t xml:space="preserve">(2 x 3,14 x </t>
    </r>
    <r>
      <rPr>
        <b/>
        <sz val="8"/>
        <rFont val="Arial"/>
        <family val="2"/>
      </rPr>
      <t>0,1082</t>
    </r>
    <r>
      <rPr>
        <sz val="8"/>
        <rFont val="Arial"/>
        <family val="2"/>
      </rPr>
      <t xml:space="preserve"> x 5)</t>
    </r>
  </si>
  <si>
    <r>
      <t xml:space="preserve">(2 x 3,14 x </t>
    </r>
    <r>
      <rPr>
        <b/>
        <sz val="8"/>
        <rFont val="Arial"/>
        <family val="2"/>
      </rPr>
      <t>0,1337</t>
    </r>
    <r>
      <rPr>
        <sz val="8"/>
        <rFont val="Arial"/>
        <family val="2"/>
      </rPr>
      <t xml:space="preserve"> x 3,88)</t>
    </r>
  </si>
  <si>
    <r>
      <t xml:space="preserve">(2 x 3,14 x </t>
    </r>
    <r>
      <rPr>
        <b/>
        <sz val="8"/>
        <rFont val="Arial"/>
        <family val="2"/>
      </rPr>
      <t>0,086</t>
    </r>
    <r>
      <rPr>
        <sz val="8"/>
        <rFont val="Arial"/>
        <family val="2"/>
      </rPr>
      <t xml:space="preserve"> x 2)</t>
    </r>
  </si>
  <si>
    <r>
      <t xml:space="preserve">(2 x 3,14 x </t>
    </r>
    <r>
      <rPr>
        <b/>
        <sz val="8"/>
        <rFont val="Arial"/>
        <family val="2"/>
      </rPr>
      <t>0,1082</t>
    </r>
    <r>
      <rPr>
        <sz val="8"/>
        <rFont val="Arial"/>
        <family val="2"/>
      </rPr>
      <t xml:space="preserve"> x 4)</t>
    </r>
  </si>
  <si>
    <r>
      <t xml:space="preserve">(2 x 3,14 x </t>
    </r>
    <r>
      <rPr>
        <b/>
        <sz val="8"/>
        <rFont val="Arial"/>
        <family val="2"/>
      </rPr>
      <t>0,1337</t>
    </r>
    <r>
      <rPr>
        <sz val="8"/>
        <rFont val="Arial"/>
        <family val="2"/>
      </rPr>
      <t xml:space="preserve"> x 4,00)</t>
    </r>
  </si>
  <si>
    <r>
      <t xml:space="preserve">(2 x 3,14 x </t>
    </r>
    <r>
      <rPr>
        <b/>
        <sz val="8"/>
        <rFont val="Arial"/>
        <family val="2"/>
      </rPr>
      <t>0,070</t>
    </r>
    <r>
      <rPr>
        <sz val="8"/>
        <rFont val="Arial"/>
        <family val="2"/>
      </rPr>
      <t xml:space="preserve"> x 2)</t>
    </r>
  </si>
  <si>
    <r>
      <t xml:space="preserve">(2 x 3,14 x </t>
    </r>
    <r>
      <rPr>
        <b/>
        <sz val="8"/>
        <rFont val="Arial"/>
        <family val="2"/>
      </rPr>
      <t>0,0954</t>
    </r>
    <r>
      <rPr>
        <sz val="8"/>
        <rFont val="Arial"/>
        <family val="2"/>
      </rPr>
      <t xml:space="preserve"> x 4)</t>
    </r>
  </si>
  <si>
    <r>
      <t xml:space="preserve">(2 x 3,14 x </t>
    </r>
    <r>
      <rPr>
        <b/>
        <sz val="8"/>
        <rFont val="Arial"/>
        <family val="2"/>
      </rPr>
      <t>0,1082</t>
    </r>
    <r>
      <rPr>
        <sz val="8"/>
        <rFont val="Arial"/>
        <family val="2"/>
      </rPr>
      <t xml:space="preserve"> x 4,00)</t>
    </r>
  </si>
  <si>
    <r>
      <t xml:space="preserve">(2 x 3,14 x </t>
    </r>
    <r>
      <rPr>
        <b/>
        <sz val="8"/>
        <rFont val="Arial"/>
        <family val="2"/>
      </rPr>
      <t>0,0572</t>
    </r>
    <r>
      <rPr>
        <sz val="8"/>
        <rFont val="Arial"/>
        <family val="2"/>
      </rPr>
      <t xml:space="preserve"> x 2,5)</t>
    </r>
  </si>
  <si>
    <r>
      <t xml:space="preserve">(2 x 3,14 x </t>
    </r>
    <r>
      <rPr>
        <b/>
        <sz val="8"/>
        <rFont val="Arial"/>
        <family val="2"/>
      </rPr>
      <t>0,0826</t>
    </r>
    <r>
      <rPr>
        <sz val="8"/>
        <rFont val="Arial"/>
        <family val="2"/>
      </rPr>
      <t xml:space="preserve"> x 2,5)</t>
    </r>
  </si>
  <si>
    <r>
      <t xml:space="preserve">(2 x 3,14 x </t>
    </r>
    <r>
      <rPr>
        <b/>
        <sz val="8"/>
        <rFont val="Arial"/>
        <family val="2"/>
      </rPr>
      <t>0,0954</t>
    </r>
    <r>
      <rPr>
        <sz val="8"/>
        <rFont val="Arial"/>
        <family val="2"/>
      </rPr>
      <t xml:space="preserve"> x 4,166)</t>
    </r>
  </si>
  <si>
    <r>
      <t xml:space="preserve">(2 x 3,14 x </t>
    </r>
    <r>
      <rPr>
        <b/>
        <sz val="8"/>
        <rFont val="Arial"/>
        <family val="2"/>
      </rPr>
      <t>0,0572</t>
    </r>
    <r>
      <rPr>
        <sz val="8"/>
        <rFont val="Arial"/>
        <family val="2"/>
      </rPr>
      <t xml:space="preserve"> x 2)</t>
    </r>
  </si>
  <si>
    <r>
      <t xml:space="preserve">(2 x 3,14 x </t>
    </r>
    <r>
      <rPr>
        <b/>
        <sz val="8"/>
        <rFont val="Arial"/>
        <family val="2"/>
      </rPr>
      <t>0,0699</t>
    </r>
    <r>
      <rPr>
        <sz val="8"/>
        <rFont val="Arial"/>
        <family val="2"/>
      </rPr>
      <t xml:space="preserve"> x 2)</t>
    </r>
  </si>
  <si>
    <r>
      <t xml:space="preserve">(2 x 3,14 x </t>
    </r>
    <r>
      <rPr>
        <b/>
        <sz val="8"/>
        <rFont val="Arial"/>
        <family val="2"/>
      </rPr>
      <t>0,0954</t>
    </r>
    <r>
      <rPr>
        <sz val="8"/>
        <rFont val="Arial"/>
        <family val="2"/>
      </rPr>
      <t xml:space="preserve"> x 3,50)</t>
    </r>
  </si>
  <si>
    <r>
      <t xml:space="preserve">(2 x 1200 x </t>
    </r>
    <r>
      <rPr>
        <b/>
        <sz val="8"/>
        <rFont val="Arial"/>
        <family val="2"/>
      </rPr>
      <t>(1000</t>
    </r>
    <r>
      <rPr>
        <sz val="8"/>
        <rFont val="Arial"/>
        <family val="2"/>
      </rPr>
      <t xml:space="preserve"> + 400)</t>
    </r>
  </si>
  <si>
    <t>Pengecatan LV Board 4 jurusan</t>
  </si>
  <si>
    <t>Pengecatan LV Board 2 jurusan</t>
  </si>
  <si>
    <r>
      <t xml:space="preserve">(2 x 1100 x </t>
    </r>
    <r>
      <rPr>
        <b/>
        <sz val="8"/>
        <rFont val="Arial"/>
        <family val="2"/>
      </rPr>
      <t>(680</t>
    </r>
    <r>
      <rPr>
        <sz val="8"/>
        <rFont val="Arial"/>
        <family val="2"/>
      </rPr>
      <t xml:space="preserve"> + 400)</t>
    </r>
  </si>
  <si>
    <t>Pengecatan LV Board  4 jurusan</t>
  </si>
  <si>
    <t>Pengecatan LV Board  2 jurusan</t>
  </si>
  <si>
    <t>3 x t x (p + l)</t>
  </si>
  <si>
    <t>titik</t>
  </si>
  <si>
    <t>Pengecatan LV Board 4 Jurusan (3,36m²)</t>
  </si>
  <si>
    <t>Pengecatan LV Board 2 Jurusan (2,38m²)</t>
  </si>
  <si>
    <t>Tagging Koordinat Jaringan (Tiang JTM, Gardu dan JTR)</t>
  </si>
  <si>
    <t>Sewa 1 buah GPS</t>
  </si>
  <si>
    <t>Gambar Revisi (Ass Built Drawing) + Koordinat Taging - Kertas HVS A4</t>
  </si>
  <si>
    <t>Gambar Revisi (Ass Built Drawing) + Koordinat Taging - Kertas Kalkir A3</t>
  </si>
  <si>
    <t>Kertas Kalkir ukuran A2</t>
  </si>
  <si>
    <t>unit</t>
  </si>
  <si>
    <t>Foto Dokumentasi (Glosy A4 isi 4 foto))</t>
  </si>
  <si>
    <t>Penanda pada Tiang (stiker + vernis clear) - ESDM</t>
  </si>
  <si>
    <t>Penanda Gardu Distribusi (plat besi) - ESDM</t>
  </si>
  <si>
    <t>Kertas Foto Glossy</t>
  </si>
  <si>
    <t>Pekerjaan Pembongkaran = 60% jasa pemasangan</t>
  </si>
  <si>
    <t>Pekerjaan Perbaikan = 40% jasa pemasangan</t>
  </si>
  <si>
    <t>Return Material dari TTS &amp; TTU ke Gdg PLN setempat, Harga Satuan dapat mengikuti Harga kawasan Gdg PLN Atambua Belu</t>
  </si>
  <si>
    <t>Steel Wire galvanis 22 mm²</t>
  </si>
  <si>
    <t>Stainless steel strip</t>
  </si>
  <si>
    <t>Link 25x25</t>
  </si>
  <si>
    <t>Ground Rod + Clamp  5/8"  2500mm</t>
  </si>
  <si>
    <t>Arde GSW Tiang 14 meter</t>
  </si>
  <si>
    <t>CCO 25 - 35 mm²</t>
  </si>
  <si>
    <t>Arde GSW pada Tiang 14 Meter</t>
  </si>
  <si>
    <t>Arde GSW pada Tiang 13 Meter</t>
  </si>
  <si>
    <t>Arde GSW pada Tiang 12 Meter</t>
  </si>
  <si>
    <t>Arde GSW Tiang 13 meter</t>
  </si>
  <si>
    <t>Arde GSW Tiang 12 meter</t>
  </si>
  <si>
    <t>Besi UNP 100 (100mm x 50mm x 5,0mm) ; HDG  1000mm</t>
  </si>
  <si>
    <t>Live Line Connector  35 - 70</t>
  </si>
  <si>
    <t>Live Line Connector  70 - 150</t>
  </si>
  <si>
    <t>Live Line Connector  150 - 240</t>
  </si>
  <si>
    <t xml:space="preserve"> </t>
  </si>
  <si>
    <t>Pipa Besi Galvanised  diameter 4,0"  tebal minimal 2,5mm   1000mm</t>
  </si>
  <si>
    <t>(90cmx40cmx90cm)</t>
  </si>
  <si>
    <t>Dari Kab. Belu ke</t>
  </si>
  <si>
    <t>Dari Kab. Alor ke</t>
  </si>
  <si>
    <t>Dari Kab. Rote Ndao ke</t>
  </si>
  <si>
    <t>Dari Kab. Sabu ke</t>
  </si>
  <si>
    <t>DPP NILAI LAIN</t>
  </si>
  <si>
    <t xml:space="preserve">PPN 12% </t>
  </si>
  <si>
    <t>TOTAL</t>
  </si>
  <si>
    <t>TOTAL  A sd F</t>
  </si>
  <si>
    <t>Skrup Ulir Halus (F SS304 Flat Head Machine Screw) M5 x 10 mm + Mur</t>
  </si>
  <si>
    <t>Elbow PVC 5/8"</t>
  </si>
  <si>
    <t>Pipa PVC 5/8" panjang 4 meter</t>
  </si>
  <si>
    <t>Clamp pipa 5/8"</t>
  </si>
  <si>
    <t>dos</t>
  </si>
  <si>
    <t>Paku tembok</t>
  </si>
  <si>
    <t>Stiker</t>
  </si>
  <si>
    <t>Pemasangan Supersun &amp; Kelengkapannya</t>
  </si>
  <si>
    <t>Pasang Konduktor SKUTM (MVTIC) NFA2XSY-T 3x70+50mm²</t>
  </si>
  <si>
    <t>Pasang Konduktor SKUTM (MVTIC) NFA2XSY-T 3x95+50mm²</t>
  </si>
  <si>
    <t>Pasang Konduktor SKUTM (MVTIC) NFA2XSY-T 3x150+50mm²</t>
  </si>
  <si>
    <t>Pasang Konduktor SKUTM (MVTIC) NFA2XSY-T 3x240+50mm²</t>
  </si>
  <si>
    <t>Gelar dan Tarik Kabel Tanah TM (SKTM) NA2XSEYBY  3 x 70mm²</t>
  </si>
  <si>
    <t>Gelar dan Tarik Kabel Tanah TM (SKTM) NA2XSEYBY  3 x 95mm²</t>
  </si>
  <si>
    <t>Gelar dan Tarik Kabel Tanah TM (SKTM) NA2XSEYBY  3 x 150mm²</t>
  </si>
  <si>
    <t>Gelar dan Tarik Kabel Tanah TM (SKTM) NA2XSEYBY  3 x 240mm²</t>
  </si>
  <si>
    <t>Gelar dan Tarik Kabel Tanah TM (SKTM) NA2XSEYBY  3 x 300mm²</t>
  </si>
  <si>
    <t>Gelar dan Tarik Kabel Tanah TM (SKTM) NA2XSEYBY  1 x 35mm²</t>
  </si>
  <si>
    <t>Gelar dan Tarik Kabel Tanah TM (SKTM) NA2XSEYBY  1 x 50mm²</t>
  </si>
  <si>
    <t>Gelar dan Tarik Kabel Tanah TM (SKTM) NA2XSEYBY  1 x 70mm²</t>
  </si>
  <si>
    <t>Gelar dan Tarik Kabel Tanah TM (SKTM) NA2XSEYBY  1 x 95mm²</t>
  </si>
  <si>
    <t>Gelar dan Tarik Kabel Tanah TM (SKTM) NA2XSEYBY  1 x 150mm²</t>
  </si>
  <si>
    <t>Gelar dan Tarik Kabel Tanah TM (SKTM) NA2XSEYBY  1 x 240mm²</t>
  </si>
  <si>
    <t>Gelar dan Tarik Kabel Tanah TM (SKTM) NA2XSEYBY  1 x 300mm²</t>
  </si>
  <si>
    <t>Galvanished Steel Wire 50 mm²</t>
  </si>
  <si>
    <t>Pondasi tiang type A (batu kerikil+tanah) - Tiang Baja 14/350 (0,558m³)</t>
  </si>
  <si>
    <t>Pondasi tiang type A (batu kerikil+tanah) - Tiang Baja 13/350 (0,365m³)</t>
  </si>
  <si>
    <t>Pondasi tiang type A (batu kerikil+tanah) - Tiang Baja 12/350 (0,337m³)</t>
  </si>
  <si>
    <t>Pondasi tiang type A (batu kerikil+tanah) - Tiang Baja 12/200 (0,220m³)</t>
  </si>
  <si>
    <t>Pondasi tiang type A (batu kerikil+tanah) - Tiang Baja 11/200 (0,157m³)</t>
  </si>
  <si>
    <t>Pondasi tiang type A (batu kerikil+tanah) - Tiang Baja 9/200 (0,129m³)</t>
  </si>
  <si>
    <t>Pondasi tiang type B (batu koral+tanah) - Tiang Baja 13/350 (0,365m³)</t>
  </si>
  <si>
    <t>Pondasi tiang type B (batu koral+tanah) - Tiang Baja 12/350 (0,337m³)</t>
  </si>
  <si>
    <t>Pondasi tiang type B (batu koral+tanah) - Tiang Baja 12/200 (0,220m³)</t>
  </si>
  <si>
    <t>Pondasi tiang type B (batu koral+tanah) - Tiang Baja 11/200 (0,157m³)</t>
  </si>
  <si>
    <t>Pondasi tiang type B (batu koral+tanah) - Tiang Baja 9/200 (0,129m³)</t>
  </si>
  <si>
    <t>Pondasi type C (Campuran beton) - Tiang Baja 13/350 (0,365m³)</t>
  </si>
  <si>
    <t>Pondasi type C (Campuran beton) - Tiang Baja 12/350 (0,337m³)</t>
  </si>
  <si>
    <t>Pondasi type C (Campuran beton) - Tiang Baja 12/200 (0,220m³)</t>
  </si>
  <si>
    <t>Pondasi type C (Campuran beton) - Tiang Baja 11/200 (0,157m³)</t>
  </si>
  <si>
    <t>Pondasi type C (Campuran beton) - Tiang Baja 9/200 (0,129m³)</t>
  </si>
  <si>
    <t>Pondasi Lantai Kerja Gardu 1 Tiang (120cm x 100 cm x 20 cm) = 0,240m³</t>
  </si>
  <si>
    <t>Pondasi Lantai Kerja Gardu 2 Tiang (200cm x 125 cm x 20 cm) = 0,500m³</t>
  </si>
  <si>
    <t xml:space="preserve">Sambungan Rumah (SR) 1 Phasa melalui saluran udara pada tiang beton 9/200 </t>
  </si>
  <si>
    <t xml:space="preserve">Sambungan Rumah (SR) 1 Phasa melalui saluran udara pada tiang baja 11/200 </t>
  </si>
  <si>
    <t xml:space="preserve">Sambungan Rumah (SR) 1 Phasa melalui saluran udara pada tiang baja 9/200 </t>
  </si>
  <si>
    <t>Sambungan Rumah (SR) 1 Phasa melalui saluran udara pada tiang baja 9/100</t>
  </si>
  <si>
    <t xml:space="preserve">Sambungan Rumah (SR) 3 Phasa melalui saluran udara pada tiang beton 9/200 </t>
  </si>
  <si>
    <t xml:space="preserve">Sambungan Rumah (SR) 3 Phasa melalui saluran udara pada tiang baja 11/200 </t>
  </si>
  <si>
    <t xml:space="preserve">Sambungan Rumah (SR) 3 Phasa melalui saluran udara pada tiang baja 9/200 </t>
  </si>
  <si>
    <t>Sambungan Rumah (SR) 3 Phasa melalui saluran udara pada tiang baja 9/100</t>
  </si>
  <si>
    <t>Penerbitan Nomor Registrasi SLO (ketentuan tarif dapat mengikuti peraturan yang berlaku)</t>
  </si>
  <si>
    <t>Penghalang Panjat JTM Tiang Beton</t>
  </si>
  <si>
    <t>Cross Arm Dudukan Cut Out di JTM / Gardu 1 Tiang - Tiang Beton</t>
  </si>
  <si>
    <t>Cross Arm Dudukan Cut Out di JTM / Gardu 1 Tiang - Tiang Baja 14 / 350</t>
  </si>
  <si>
    <t>Cross Arm Dudukan Cut Out di JTM / Gardu 1 Tiang - Tiang Baja 13 / 350</t>
  </si>
  <si>
    <t>Cross Arm Dudukan Cut Out di JTM / Gardu 1 Tiang - Tiang Baja 12 / 350</t>
  </si>
  <si>
    <t>Cross Arm Dudukan Cut Out di JTM / Gardu 1 Tiang - Tiang Baja 12 / 200</t>
  </si>
  <si>
    <t>Cross Arm Dudukan Arrester di JTM / Gardu 1 Tiang - Tiang Beton</t>
  </si>
  <si>
    <t>Cross Arm Dudukan Arrester di JTM / Gardu 1 Tiang - Tiang Baja 14 / 350</t>
  </si>
  <si>
    <t>Cross Arm Dudukan Arrester di JTM / Gardu 1 Tiang - Tiang Baja 13 / 350</t>
  </si>
  <si>
    <t>Cross Arm Dudukan Arrester di JTM / Gardu 1 Tiang - Tiang Baja 12 / 350</t>
  </si>
  <si>
    <t>Cross Arm Dudukan Arrester di JTM / Gardu 1 Tiang - Tiang Baja 12 / 200</t>
  </si>
  <si>
    <t>Pipa In/Outlet Medium B+Invoring 2,5" + Dudukan (Grd 1 Tiang) 2 Jur. Lubang Bawah - T. Beton 14/350</t>
  </si>
  <si>
    <t>Penggalian TROTOAR untuk jalur Kabel SKTR</t>
  </si>
  <si>
    <t>Penggalian ASPAL untuk jalur Kabel SKTR</t>
  </si>
  <si>
    <t>Penimbunan kembali jalur Kabel SKTR (tanah biasa / karang / trotoar)</t>
  </si>
  <si>
    <t>Penimbunan kembali jalur Kabel SKTR (aspal)</t>
  </si>
  <si>
    <t>Rangka Dudukan Trafo 3 Phasa Gardu 1 Tiang  Standar  - Tiang Beton 13/350</t>
  </si>
  <si>
    <t>Rangka Dudukan Trafo 3 Phasa Gardu 1 Tiang  Standar  - Tiang Beton 12/350</t>
  </si>
  <si>
    <t>Rangka Dudukan Trafo 3 Phasa Gardu 1 Tiang  Standar  - Tiang Beton 12/200</t>
  </si>
  <si>
    <t>Rangka Dudukan Trafo 3 Phasa Gardu 1 Tiang  Standar  - Tiang Baja 14/350</t>
  </si>
  <si>
    <t>Rangka Dudukan Trafo 3 Phasa Gardu 1 Tiang  Standar  - Tiang Baja 13/350</t>
  </si>
  <si>
    <t>Rangka Dudukan Trafo 3 Phasa Gardu 1 Tiang  Standar  - Tiang Baja 12/350</t>
  </si>
  <si>
    <t>Rangka Dudukan Trafo 3 Phasa Gardu 1 Tiang  Standar  - Tiang Baja 12/200</t>
  </si>
  <si>
    <t>Rangka Dudukan Trafo 3 Phasa Gardu 1 Tiang  Standar  - Tiang Beton 14/350</t>
  </si>
  <si>
    <t>Pengikat Konduktor / Side Ties Semi Konduktor 150 mm²</t>
  </si>
  <si>
    <t>Pengikat Konduktor / Side Ties Semi Konduktor 240 mm²</t>
  </si>
  <si>
    <t>Pipa Galvanized diameter 2"  Panjang = 3000 mm modifikasi</t>
  </si>
  <si>
    <t>Plat besi galvanis / Single Guy Wire Band uk. 44 x 6 mm</t>
  </si>
  <si>
    <t>Pondasi Type C &amp; D - Campuran beton - Tiang Baja 14/350</t>
  </si>
  <si>
    <t>Pondasi Type C &amp; D - Campuran beton - Tiang Baja 13/350</t>
  </si>
  <si>
    <t>Pondasi Type C &amp; D - Campuran beton - Tiang Baja 12/350</t>
  </si>
  <si>
    <t>Pondasi Type C &amp; D - Campuran beton - Tiang Baja 12/200</t>
  </si>
  <si>
    <t>Pondasi Type C &amp; D - Campuran beton - Tiang Baja 11/200</t>
  </si>
  <si>
    <t>Pondasi Type C &amp; D - Campuran beton - Tiang Baja 9/200</t>
  </si>
  <si>
    <t>Arm Tie Brace Panjang 750 mm</t>
  </si>
  <si>
    <t>Arm Tie Brace Panjang 800 mm</t>
  </si>
  <si>
    <t>Arm Tie Brace Panjang 810 mm</t>
  </si>
  <si>
    <t>Arm Tie Brace Panjang 950 mm</t>
  </si>
  <si>
    <t>Arm Tie Brace Panjang 960 mm</t>
  </si>
  <si>
    <t>Arm Tie Brace Panjang 1000 mm</t>
  </si>
  <si>
    <t>Luas penampang 50 mm²</t>
  </si>
  <si>
    <t>Luas penampang 35 mm²</t>
  </si>
  <si>
    <t>Luas penampang 25 mm²</t>
  </si>
  <si>
    <t>Luas penampang 22 mm²</t>
  </si>
  <si>
    <t>Luas penampang 16 mm²</t>
  </si>
  <si>
    <t>Panjang 3000 mm</t>
  </si>
  <si>
    <t>Panjang 3500 mm</t>
  </si>
  <si>
    <t>Panjang 4000 mm</t>
  </si>
  <si>
    <t>Panjang 6000 mm</t>
  </si>
  <si>
    <t>Panjang 1250 mm</t>
  </si>
  <si>
    <t>Panjang 1750 mm</t>
  </si>
  <si>
    <t>Panjang 5000 mm</t>
  </si>
  <si>
    <t>Stiker + vernis clear (penanda pada tiang) - ESDM</t>
  </si>
  <si>
    <t>Plat besi (penanda pada Gardu Distribusi) - ESDM</t>
  </si>
  <si>
    <t>Large Angle Assembly MVTIC 95mm² Tiang Baja 13/350</t>
  </si>
  <si>
    <t>Large Angle Assembly MVTIC 95mm² Tiang Baja 12/350</t>
  </si>
  <si>
    <t>Large Angle Assembly MVTIC 95mm² Tiang Baja 12/200</t>
  </si>
  <si>
    <t>Large Angle Assembly MVTIC 150mm² Tiang Beton</t>
  </si>
  <si>
    <t>Large Angle Assembly MVTIC 150mm² Tiang Baja 14/350</t>
  </si>
  <si>
    <t>Large Angle Assembly MVTIC 150mm² Tiang Baja 13/350</t>
  </si>
  <si>
    <t>Large Angle Assembly MVTIC 150mm² Tiang Baja 12/350</t>
  </si>
  <si>
    <t>Large Angle Assembly MVTIC 150mm² Tiang Baja 12/200</t>
  </si>
  <si>
    <t>Large Angle Assembly MVTIC 240mm² Tiang Beton</t>
  </si>
  <si>
    <t>Large Angle Assembly MVTIC 240mm² Tiang Baja 14/350</t>
  </si>
  <si>
    <t>Large Angle Assembly MVTIC 240mm² Tiang Baja 13/350</t>
  </si>
  <si>
    <t>Large Angle Assembly MVTIC 240mm² Tiang Baja 12/350</t>
  </si>
  <si>
    <t>Large Angle Assembly MVTIC 240mm² Tiang Baja 12/200</t>
  </si>
  <si>
    <t>Dead End Assembly MVTIC 95mm² Tiang Beton</t>
  </si>
  <si>
    <t>Dead End Assembly MVTIC 95mm² Tiang Baja 14/350</t>
  </si>
  <si>
    <t>Dead End Assembly MVTIC 95mm² Tiang Baja 13/350</t>
  </si>
  <si>
    <t>Dead End Assembly MVTIC 95mm² Tiang Baja 12/350</t>
  </si>
  <si>
    <t>Dead End Assembly MVTIC 95mm² Tiang Baja 12/200</t>
  </si>
  <si>
    <t>Dead End Assembly MVTIC 150mm² Tiang Beton</t>
  </si>
  <si>
    <t>Dead End Assembly MVTIC 150mm² Tiang Baja 14/350</t>
  </si>
  <si>
    <t>Dead End Assembly MVTIC 150mm² Tiang Baja 13/350</t>
  </si>
  <si>
    <t>Dead End Assembly MVTIC 150mm² Tiang Baja 12/350</t>
  </si>
  <si>
    <t>Dead End Assembly MVTIC 150mm² Tiang Baja 12/200</t>
  </si>
  <si>
    <t>Dead End Assembly MVTIC 240mm² Tiang Beton</t>
  </si>
  <si>
    <t>Dead End Assembly MVTIC 240mm² Tiang Baja 14/350</t>
  </si>
  <si>
    <t>Dead End Assembly MVTIC 240mm² Tiang Baja 13/350</t>
  </si>
  <si>
    <t>Dead End Assembly MVTIC 240mm² Tiang Baja 12/350</t>
  </si>
  <si>
    <t>Dead End Assembly MVTIC 240mm² Tiang Baja 12/200</t>
  </si>
  <si>
    <t>Asesoris Dudukan Sambungan (Jointing) MVTIC 95mm² Tiang Beton</t>
  </si>
  <si>
    <t>Asesoris Dudukan Sambungan (Jointing) MVTIC 95mm² Tiang Baja 14/350</t>
  </si>
  <si>
    <t>Asesoris Dudukan Sambungan (Jointing) MVTIC 95mm² Tiang Baja 13/350</t>
  </si>
  <si>
    <t>Asesoris Dudukan Sambungan (Jointing) MVTIC 95mm² Tiang Baja 12/350</t>
  </si>
  <si>
    <t>Asesoris Dudukan Sambungan (Jointing) MVTIC 95mm² Tiang Baja 12/200</t>
  </si>
  <si>
    <t>Asesoris Dudukan Sambungan (Jointing) MVTIC 150mm² Tiang Beton</t>
  </si>
  <si>
    <t>Asesoris Dudukan Sambungan (Jointing) MVTIC 150mm² Tiang Baja 14/350</t>
  </si>
  <si>
    <t>Asesoris Dudukan Sambungan (Jointing) MVTIC 150mm² Tiang Baja 13/350</t>
  </si>
  <si>
    <t>Asesoris Dudukan Sambungan (Jointing) MVTIC 150mm² Tiang Baja 12/350</t>
  </si>
  <si>
    <t>Asesoris Dudukan Sambungan (Jointing) MVTIC 150mm² Tiang Baja 12/200</t>
  </si>
  <si>
    <t>Asesoris Dudukan Sambungan (Jointing) MVTIC 240mm² Tiang Beton</t>
  </si>
  <si>
    <t>Asesoris Dudukan Sambungan (Jointing) MVTIC 240mm² Tiang Baja 14/350</t>
  </si>
  <si>
    <t>Asesoris Dudukan Sambungan (Jointing) MVTIC 240mm² Tiang Baja 13/350</t>
  </si>
  <si>
    <t>Asesoris Dudukan Sambungan (Jointing) MVTIC 240mm² Tiang Baja 12/350</t>
  </si>
  <si>
    <t>Asesoris Dudukan Sambungan (Jointing) MVTIC 240mm² Tiang Baja 12/200</t>
  </si>
  <si>
    <t>Asesoris Dudukan Sambungan (Terminasi) MVTIC 95mm² Tiang Beton</t>
  </si>
  <si>
    <t>Asesoris Dudukan Sambungan (Terminasi) MVTIC 95mm² Tiang Baja 14/350</t>
  </si>
  <si>
    <t>Asesoris Dudukan Sambungan (Terminasi) MVTIC 95mm² Tiang Baja 13/350</t>
  </si>
  <si>
    <t>Asesoris Dudukan Sambungan (Terminasi) MVTIC 95mm² Tiang Baja 12/350</t>
  </si>
  <si>
    <t>Asesoris Dudukan Sambungan (Terminasi) MVTIC 95mm² Tiang Baja 12/200</t>
  </si>
  <si>
    <t>Asesoris Dudukan Sambungan (Terminasi) MVTIC 150mm² Tiang Beton</t>
  </si>
  <si>
    <t>Asesoris Dudukan Sambungan (Terminasi) MVTIC 150mm² Tiang Baja 14/350</t>
  </si>
  <si>
    <t>Asesoris Dudukan Sambungan (Terminasi) MVTIC 150mm² Tiang Baja 13/350</t>
  </si>
  <si>
    <t>Asesoris Dudukan Sambungan (Terminasi) MVTIC 150mm² Tiang Baja 12/350</t>
  </si>
  <si>
    <t>Asesoris Dudukan Sambungan (Terminasi) MVTIC 150mm² Tiang Baja 12/200</t>
  </si>
  <si>
    <t>Asesoris Dudukan Sambungan (Terminasi) MVTIC 240mm² Tiang Beton</t>
  </si>
  <si>
    <t>Asesoris Dudukan Sambungan (Terminasi) MVTIC 240mm² Tiang Baja 14/350</t>
  </si>
  <si>
    <t>Asesoris Dudukan Sambungan (Terminasi) MVTIC 240mm² Tiang Baja 13/350</t>
  </si>
  <si>
    <t>Asesoris Dudukan Sambungan (Terminasi) MVTIC 240mm² Tiang Baja 12/350</t>
  </si>
  <si>
    <t>Asesoris Dudukan Sambungan (Terminasi) MVTIC 240mm² Tiang Baja 12/200</t>
  </si>
  <si>
    <t>Asesoris Riser Pole (Tiang Awal/Kabel Naik) SKTM 95mm² - Tiang Beton</t>
  </si>
  <si>
    <t>Asesoris Riser Pole (Tiang Awal/Kabel Naik) SKTM 95mm² - Tiang Baja 14/350</t>
  </si>
  <si>
    <t>Asesoris Riser Pole (Tiang Awal/Kabel Naik) SKTM 95mm² - Tiang Baja 13/350</t>
  </si>
  <si>
    <t>Asesoris Riser Pole (Tiang Awal/Kabel Naik) SKTM 95mm² - Tiang Baja 12/350</t>
  </si>
  <si>
    <t>Asesoris Riser Pole (Tiang Awal/Kabel Naik) SKTM 95mm² - Tiang Baja 12/200</t>
  </si>
  <si>
    <t>Asesoris Riser Pole (Tiang Awal/Kabel Naik) SKTM 120mm² - Tiang Beton</t>
  </si>
  <si>
    <t>Asesoris Riser Pole (Tiang Awal/Kabel Naik) SKTM 120mm² - Tiang Baja 14/350</t>
  </si>
  <si>
    <t>Asesoris Riser Pole (Tiang Awal/Kabel Naik) SKTM 120mm² - Tiang Baja 13/350</t>
  </si>
  <si>
    <t>Asesoris Riser Pole (Tiang Awal/Kabel Naik) SKTM 120mm² - Tiang Baja 12/350</t>
  </si>
  <si>
    <t>Asesoris Riser Pole (Tiang Awal/Kabel Naik) SKTM 120mm² - Tiang Baja 12/200</t>
  </si>
  <si>
    <t>Asesoris Riser Pole (Tiang Awal/Kabel Naik) SKTM 150mm² - Tiang Beton</t>
  </si>
  <si>
    <t>Asesoris Riser Pole (Tiang Awal/Kabel Naik) SKTM 150mm² - Tiang Baja 14/350</t>
  </si>
  <si>
    <t>Asesoris Riser Pole (Tiang Awal/Kabel Naik) SKTM 150mm² - Tiang Baja 13/350</t>
  </si>
  <si>
    <t>Asesoris Riser Pole (Tiang Awal/Kabel Naik) SKTM 150mm² - Tiang Baja 12/350</t>
  </si>
  <si>
    <t>Asesoris Riser Pole (Tiang Awal/Kabel Naik) SKTM 150mm² - Tiang Baja 12/200</t>
  </si>
  <si>
    <t>Arde Arrester JTM dengan BC 50mm², Tiang Beton 14/350</t>
  </si>
  <si>
    <t>Arde Arrester JTM dengan BC 50mm², Tiang Beton 13/350</t>
  </si>
  <si>
    <t>Arde Arrester JTM dengan BC 50mm², Tiang Beton 12/350</t>
  </si>
  <si>
    <t>Arde Arrester JTM dengan BC 50mm², Tiang Beton 12/200</t>
  </si>
  <si>
    <t>Arde Arrester JTM dengan BC 50mm², Tiang Baja 14/350</t>
  </si>
  <si>
    <t>Arde Arrester JTM dengan BC 50mm², Tiang Baja 13/350</t>
  </si>
  <si>
    <t>Arde Arrester JTM dengan BC 50mm², Tiang Baja 12/350</t>
  </si>
  <si>
    <t>Arde Arrester JTM dengan BC 50mm², Tiang Baja 12/200</t>
  </si>
  <si>
    <t>Arde Arrester JTM dengan AAAC 70mm², Tiang Beton 14/350</t>
  </si>
  <si>
    <t>Arde Arrester JTM dengan AAAC 70mm², Tiang Beton 13/350</t>
  </si>
  <si>
    <t>Arde Arrester JTM dengan AAAC 70mm², Tiang Beton 12/350</t>
  </si>
  <si>
    <t>Arde Arrester JTM dengan AAAC 70mm², Tiang Beton 12/200</t>
  </si>
  <si>
    <t>Arde Arrester JTM dengan AAAC 70mm², Tiang Baja 14/350</t>
  </si>
  <si>
    <t>Arde Arrester JTM dengan AAAC 70mm², Tiang Baja 13/350</t>
  </si>
  <si>
    <t>Arde Arrester JTM dengan AAAC 70mm², Tiang Baja 12/350</t>
  </si>
  <si>
    <t>Arde Arrester JTM dengan AAAC 70mm², Tiang Baja 12/200</t>
  </si>
  <si>
    <t>Arde Arrester Gardu + Body Trafo + Body LV Board (Kopel), dengan konduktor BC 50mm², Tiang Beton 14/350</t>
  </si>
  <si>
    <t>Arde Arrester Gardu + Body Trafo + Body LV Board (Kopel), dengan konduktor BC 50mm², Tiang Beton 13/350</t>
  </si>
  <si>
    <t>Arde Arrester Gardu + Body Trafo + Body LV Board (Kopel), dengan konduktor BC 50mm², Tiang Beton 12/350</t>
  </si>
  <si>
    <t>Arde Arrester Gardu + Body Trafo + Body LV Board (Kopel), dengan konduktor BC 50mm², Tiang Beton 12/200</t>
  </si>
  <si>
    <t>Arde Arrester Gardu + Body Trafo + Body LV Board (Kopel), dengan konduktor BC 50mm², Tiang Baja 14/350</t>
  </si>
  <si>
    <t>Arde Arrester Gardu + Body Trafo + Body LV Board (Kopel), dengan konduktor BC 50mm², Tiang Baja 13/350</t>
  </si>
  <si>
    <t>Arde Arrester Gardu + Body Trafo + Body LV Board (Kopel), dengan konduktor BC 50mm², Tiang Baja 12/350</t>
  </si>
  <si>
    <t>Arde Arrester Gardu + Body Trafo + Body LV Board (Kopel), dengan konduktor BC 50mm², Tiang Baja 12/200</t>
  </si>
  <si>
    <t>Arde Arrester Gardu + Body Trafo + Body LV Board (Kopel), dengan konduktor AAAC 70mm², Tiang Beton 14/350</t>
  </si>
  <si>
    <t>Arde Arrester Gardu + Body Trafo + Body LV Board (Kopel), dengan konduktor AAAC 70mm², Tiang Beton 13/350</t>
  </si>
  <si>
    <t>Arde Arrester Gardu + Body Trafo + Body LV Board (Kopel), dengan konduktor AAAC 70mm², Tiang Beton 12/350</t>
  </si>
  <si>
    <t>Arde Arrester Gardu + Body Trafo + Body LV Board (Kopel), dengan konduktor AAAC 70mm², Tiang Beton 12/200</t>
  </si>
  <si>
    <t>Arde Arrester Gardu + Body Trafo + Body LV Board (Kopel), dengan konduktor AAAC 70mm², Tiang Baja 14/350</t>
  </si>
  <si>
    <t>Arde Arrester Gardu + Body Trafo + Body LV Board (Kopel), dengan konduktor AAAC 70mm², Tiang Baja 13/350</t>
  </si>
  <si>
    <t>Arde Arrester Gardu + Body Trafo + Body LV Board (Kopel), dengan konduktor AAAC 70mm², Tiang Baja 12/350</t>
  </si>
  <si>
    <t>Arde Arrester Gardu + Body Trafo + Body LV Board (Kopel), dengan konduktor AAAC 70mm², Tiang Baja 12/200</t>
  </si>
  <si>
    <t>Arde Titik Netral Sekunder Trafo pada Gardu, dengan BC 50mm²</t>
  </si>
  <si>
    <t>Arde Titik Netral Sekunder Trafo pada Gardu, dengan AAAC 70mm²</t>
  </si>
  <si>
    <t>Dudukan MVTIC 240mm² Sambungan (Terminating) di Tiang Baja 12/200</t>
  </si>
  <si>
    <t>Dudukan MVTIC 240mm² Sambungan (Terminating) di Tiang Baja 13/350, Tiang Baja 12/350</t>
  </si>
  <si>
    <t>Dudukan MVTIC 240mm² Sambungan (Terminating) di Tiang Baja 14/350</t>
  </si>
  <si>
    <t>Dudukan MVTIC 240mm² Sambungan (Terminating) di Tiang Beton</t>
  </si>
  <si>
    <t>Dudukan MVTIC 150mm² Sambungan (Terminating) di Tiang Baja 12/200</t>
  </si>
  <si>
    <t>Dudukan MVTIC 150mm² Sambungan (Terminating) di Tiang Baja 13/350, Tiang Baja 12/350</t>
  </si>
  <si>
    <t>Dudukan MVTIC 150mm² Sambungan (Terminating) di Tiang Baja 14/350</t>
  </si>
  <si>
    <t>Dudukan MVTIC 150mm² Sambungan (Terminating) di Tiang Beton</t>
  </si>
  <si>
    <t>Dudukan MVTIC 95mm² Sambungan (Terminating) di Tiang Baja 12/200</t>
  </si>
  <si>
    <t>Dudukan MVTIC 95mm² Sambungan (Terminating) di Tiang Baja 13/350, Tiang Baja 12/350</t>
  </si>
  <si>
    <t>Dudukan MVTIC 95mm² Sambungan (Terminating) di Tiang Baja 14/350</t>
  </si>
  <si>
    <t>Dudukan MVTIC 95mm² Sambungan (Terminating) di Tiang Beton</t>
  </si>
  <si>
    <t>Dudukan Kabel MVTIC 240mm² Sambungan Jointing di Tiang Baja 12/200</t>
  </si>
  <si>
    <t>Dudukan Kabel MVTIC 240mm² Sambungan Jointing di Tiang Baja 13/350, Tiang Baja 12/350</t>
  </si>
  <si>
    <t>Dudukan Kabel MVTIC 240mm² Sambungan Jointing di Tiang Baja 14/350</t>
  </si>
  <si>
    <t>Dudukan Kabel MVTIC 240mm² Sambungan Jointing di Tiang Beton</t>
  </si>
  <si>
    <t>Dudukan Kabel MVTIC 150mm² Sambungan Jointing di Tiang Baja 12/200</t>
  </si>
  <si>
    <r>
      <t xml:space="preserve">Dudukan Kabel MVTIC </t>
    </r>
    <r>
      <rPr>
        <b/>
        <sz val="8"/>
        <color rgb="FFFF0000"/>
        <rFont val="Arial"/>
        <family val="2"/>
      </rPr>
      <t xml:space="preserve">150mm² </t>
    </r>
    <r>
      <rPr>
        <b/>
        <sz val="8"/>
        <rFont val="Arial"/>
        <family val="2"/>
      </rPr>
      <t>Sambungan Jointing di Tiang Baja 13/350, Tiang Baja 12/350</t>
    </r>
  </si>
  <si>
    <r>
      <t xml:space="preserve">Dudukan Kabel MVTIC </t>
    </r>
    <r>
      <rPr>
        <b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Sambungan Jointing di Tiang Baja 14/350</t>
    </r>
  </si>
  <si>
    <r>
      <t xml:space="preserve">Dudukan Kabel MVTIC </t>
    </r>
    <r>
      <rPr>
        <b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Sambungan Jointing di Tiang Beton</t>
    </r>
  </si>
  <si>
    <t>Dudukan Kabel MVTIC 95mm² Sambungan Jointing di Tiang Baja 12/200</t>
  </si>
  <si>
    <t>Dudukan Kabel MVTIC 95mm² Sambungan Jointing Tiang Baja 13/350 di Tiang Baja 12/350</t>
  </si>
  <si>
    <t>Dudukan Kabel MVTIC 95mm² Sambungan Jointing di Tiang Baja 14/350</t>
  </si>
  <si>
    <t>Dudukan Kabel MVTIC 95mm² Sambungan Jointing di Tiang Beton</t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</si>
  <si>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- Tiang Baja 12/200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</si>
  <si>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- Tiang Baja 13/350, Tiang Baja 12/350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</si>
  <si>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- Tiang Baja 14/350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</si>
  <si>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150mm²</t>
    </r>
    <r>
      <rPr>
        <b/>
        <sz val="8"/>
        <rFont val="Arial"/>
        <family val="2"/>
      </rPr>
      <t xml:space="preserve"> - Tiang Beton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</si>
  <si>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120mm²</t>
    </r>
    <r>
      <rPr>
        <b/>
        <sz val="8"/>
        <rFont val="Arial"/>
        <family val="2"/>
      </rPr>
      <t xml:space="preserve"> - Tiang Baja 12/200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</si>
  <si>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120mm²</t>
    </r>
    <r>
      <rPr>
        <b/>
        <sz val="8"/>
        <rFont val="Arial"/>
        <family val="2"/>
      </rPr>
      <t xml:space="preserve"> - Tiang Baja 13/350, Tiang Baja 12/350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</si>
  <si>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120mm²</t>
    </r>
    <r>
      <rPr>
        <b/>
        <sz val="8"/>
        <rFont val="Arial"/>
        <family val="2"/>
      </rPr>
      <t xml:space="preserve"> - Tiang Baja 14/350</t>
    </r>
  </si>
  <si>
    <r>
      <t xml:space="preserve">Asesoris Riser Pole (Tiang Awal/Kabel Naik) SKTM </t>
    </r>
    <r>
      <rPr>
        <b/>
        <u/>
        <sz val="8"/>
        <color rgb="FFFF0000"/>
        <rFont val="Arial"/>
        <family val="2"/>
      </rPr>
      <t>120mm²</t>
    </r>
    <r>
      <rPr>
        <b/>
        <sz val="8"/>
        <rFont val="Arial"/>
        <family val="2"/>
      </rPr>
      <t xml:space="preserve"> - Tiang Beton</t>
    </r>
  </si>
  <si>
    <r>
      <t xml:space="preserve">Asesoris Riser Pole (Tiang Awal/Kabel Naik) SKTM </t>
    </r>
    <r>
      <rPr>
        <b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- Tiang Baja 12/200</t>
    </r>
  </si>
  <si>
    <r>
      <t xml:space="preserve">Asesoris Riser Pole (Tiang Awal/Kabel Naik) SKTM </t>
    </r>
    <r>
      <rPr>
        <b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- Tiang Baja 13/350, Tiang Baja 12/350</t>
    </r>
  </si>
  <si>
    <r>
      <t xml:space="preserve">Asesoris Riser Pole (Tiang Awal/Kabel Naik) SKTM </t>
    </r>
    <r>
      <rPr>
        <b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- Tiang Baja 14/350</t>
    </r>
  </si>
  <si>
    <r>
      <t xml:space="preserve">Asesoris Riser Pole (Tiang Awal/Kabel Naik) SKTM </t>
    </r>
    <r>
      <rPr>
        <b/>
        <sz val="8"/>
        <color rgb="FFFF0000"/>
        <rFont val="Arial"/>
        <family val="2"/>
      </rPr>
      <t>95mm²</t>
    </r>
    <r>
      <rPr>
        <b/>
        <sz val="8"/>
        <rFont val="Arial"/>
        <family val="2"/>
      </rPr>
      <t xml:space="preserve"> - Tiang Beton</t>
    </r>
  </si>
  <si>
    <t xml:space="preserve">AAAC 50 mm²  </t>
  </si>
  <si>
    <t>Connector CU - CU 50mm²  / Clamp Grounding</t>
  </si>
  <si>
    <t xml:space="preserve">Joint Bimetal AL-CU 35-50mm²  </t>
  </si>
  <si>
    <t>BC 50 mm²  CU</t>
  </si>
  <si>
    <t>Joint sleeve tension 50 mm²</t>
  </si>
  <si>
    <t>Connector CU - CU 50mm² / Clamp Grounding</t>
  </si>
  <si>
    <t xml:space="preserve">Joint sleeve tension 50 mm² </t>
  </si>
  <si>
    <t xml:space="preserve">AAAC 50 mm² </t>
  </si>
  <si>
    <t>BC 50 mm²   CU</t>
  </si>
  <si>
    <t>Kabel schoon 50 mm²  CU</t>
  </si>
  <si>
    <t xml:space="preserve">Joint sleeve tension 50 mm²  </t>
  </si>
  <si>
    <t>BC 50mm²  CU</t>
  </si>
  <si>
    <t xml:space="preserve">AAAC 50mm² </t>
  </si>
  <si>
    <t xml:space="preserve">Joint Bimetal AL-CU 35-50mm² </t>
  </si>
  <si>
    <t>Suspension Assembly (Clamp Gantung) MVTIC / TM ; 25 - 50mm²</t>
  </si>
  <si>
    <t>Suspension Assembly (Clamp Gantung) MVTIC / TM ; 25 - 70mm²</t>
  </si>
  <si>
    <t>Fixed Dead End Assembly (Tiang Awal) MVTIC / TM ; 25 - 35mm²</t>
  </si>
  <si>
    <t>Fixed Dead End Assembly (Tiang Awal) MVTIC / TM ; 25 - 50mm²</t>
  </si>
  <si>
    <t>Fixed Dead End Assembly (Tiang Awal) MVTIC / TM ; 50 - 70mm²</t>
  </si>
  <si>
    <t>Large Angle Assembly (Tiang Sudut) MVTIC / TM ; 25 - 35mm²</t>
  </si>
  <si>
    <t>Large Angle Assembly (Tiang Sudut) MVTIC / TM ; 25 - 50mm²</t>
  </si>
  <si>
    <t>Large Angle Assembly (Tiang Sudut) MVTIC / TM ; 50 - 70mm²</t>
  </si>
  <si>
    <t>Adjustable Dead End Assembly (Tiang Akhir) MVTIC / TM ; 25 - 35mm²</t>
  </si>
  <si>
    <t>Adjustable Dead End Assembly (Tiang Akhir) MVTIC / TM ; 25 - 50mm²</t>
  </si>
  <si>
    <t>Adjustable Dead End Assembly (Tiang Akhir) MVTIC / TM ; 50 - 70mm²</t>
  </si>
  <si>
    <t>Suspension Assembly (Tiang penumpu) LVTC / TR ; 35 - 70mm²</t>
  </si>
  <si>
    <t>Fixed Dead End Assembly (Tiang Awal) LVTC / TR ; 35 - 70mm²</t>
  </si>
  <si>
    <t>Large Angle Assembly (Tiang Sudut) LVTC / TR ; 35 - 70mm²</t>
  </si>
  <si>
    <t>Adjustable Dead End Assembly (Tiang Akhir) LVTC / TR ; 35 - 70mm²</t>
  </si>
  <si>
    <t>Bundle End Protection Assembly (Pelindung Ujung Kabel) LVTC / TR ; 35 - 70mm²</t>
  </si>
  <si>
    <t>Kabel BC  35mm²</t>
  </si>
  <si>
    <t>Kabel BC  50mm²</t>
  </si>
  <si>
    <t>Kabel BC  70mm²</t>
  </si>
  <si>
    <t>Kabel BC  95mm²</t>
  </si>
  <si>
    <t>3  Core 240 mm²</t>
  </si>
  <si>
    <t>JUMLAH KONSTRUKSI PENTANAHAN (GROUNDING)  (D-IX)</t>
  </si>
  <si>
    <t>Sewa Peralatan Forklift</t>
  </si>
  <si>
    <t xml:space="preserve">biaya operator </t>
  </si>
  <si>
    <t>Pipa In/Outlet Medium B+Invoring 2,5" (Grd 1 Tiang) 2 Jur. Lubang Bawah - Tiang Baja 14/350</t>
  </si>
  <si>
    <t>Pipa In/Outlet Medium B+Invoring 2,5" (Grd 1 Tiang) 2 Jur. Lubang Bawah - Tiang Baja 13/350 &amp; 12/350</t>
  </si>
  <si>
    <t>Pipa In/Outlet Medium B+Invoring 3" (Grd 1 Tiang) 2 Jur. Lubang Bawah - Tiang Baja 14/350</t>
  </si>
  <si>
    <t>Pipa In/Outlet Medium B+Invoring 3" (Grd 1 Tiang) 2 Jur. Lubang Bawah - Tiang Baja 13/350 &amp; 12/350</t>
  </si>
  <si>
    <t>Pipa In/Outlet Medium B+Invoring 2,5" (Grd 1 Tiang) 2 Jur. Lubang Samping - Tiang Baja 14/350</t>
  </si>
  <si>
    <t>Pipa In/Outlet Medium B+Invoring 2,5" (Grd 1 Tiang) 2 Jur. Lubang Samping - Tiang Baja 13/350 &amp; 12/350</t>
  </si>
  <si>
    <t>Pipa In/Outlet Medium B+Invoring 3" (Grd 1 Tiang) 2 Jur. Lubang Samping - Tiang Baja 14/350</t>
  </si>
  <si>
    <t>Pipa In/Outlet Medium B+Invoring 3" (Grd 1 Tiang) 2 Jur. Lubang Samping - Tiang Baja 13/350 &amp; 12/350</t>
  </si>
  <si>
    <t>Pipa In/Outlet Medium B+Invoring 2,5" (Grd 2 Tiang) 4 Jur. Lubang Samping - Tiang Baja 14/350</t>
  </si>
  <si>
    <t>Pipa In/Outlet Medium B+Invoring 2,5" (Grd 2 Tiang) 4 Jur. Lubang Samping - Tiang Baja 13/350 &amp; 12/350</t>
  </si>
  <si>
    <t>Pipa In/Outlet Medium B+Invoring 3" (Grd 2 Tiang) 4 Jur. Lubang Samping - Tiang Baja 14/350</t>
  </si>
  <si>
    <t>Pipa In/Outlet Medium B+Invoring 3" (Grd 2 Tiang) 4 Jur. Lubang Samping - Tiang Baja 13/350 &amp; 12/350</t>
  </si>
  <si>
    <t>Ornament Cable Band 9,5" x 5,5"</t>
  </si>
  <si>
    <t>Ornament Cable Band 9,5" x 6,5"</t>
  </si>
  <si>
    <t>Ornament Cable Band 9,5" x 8,5"</t>
  </si>
  <si>
    <t>Ornament Cable Band 9,5" x 8"</t>
  </si>
  <si>
    <t>Luas penampang 70 mm²</t>
  </si>
  <si>
    <t>Suspension Clamp (Clamp Gantung) MVTIC / TM ; 3 x 35  +   50mm²</t>
  </si>
  <si>
    <t>Suspension Clamp (Clamp Gantung) MVTIC / TM ; 3 x 50  +   50mm²</t>
  </si>
  <si>
    <t>Suspension Clamp (Clamp Gantung) MVTIC / TM ; 3 x 70  +   50mm²</t>
  </si>
  <si>
    <t>Suspension Clamp (Clamp Gantung) MVTIC / TM ; 3 x 95  +   50mm²</t>
  </si>
  <si>
    <t>Suspension Clamp (Clamp Gantung) MVTIC / TM ; 3 x 120  +   50mm²</t>
  </si>
  <si>
    <t>Suspension Clamp (Clamp Gantung) MVTIC / TM ; 3 x 150  +   50mm²</t>
  </si>
  <si>
    <t>Suspension Clamp (Clamp Gantung) MVTIC / TM ; 3 x 185  +   50mm²</t>
  </si>
  <si>
    <t>Suspension Clamp (Clamp Gantung) MVTIC / TM ; 3 x 240  +   50mm²</t>
  </si>
  <si>
    <t>Suspension Clamp (Clamp Gantung) MVTIC / TM ; 3 x 300  +   50mm²</t>
  </si>
  <si>
    <t>Strain Clamp (Clamp Tarik) MVTIC / TM ; 3 x 35  +   50mm²</t>
  </si>
  <si>
    <t>Strain Clamp (Clamp Tarik) MVTIC / TM ; 3 x 50  +   50mm²</t>
  </si>
  <si>
    <t>Strain Clamp (Clamp Tarik) MVTIC / TM ; 3 x 70  +   50mm²</t>
  </si>
  <si>
    <t>Strain Clamp (Clamp Tarik) MVTIC / TM ; 3 x 95  +   50mm²</t>
  </si>
  <si>
    <t>Strain Clamp (Clamp Tarik) MVTIC / TM ; 3 x 120  +   50mm²</t>
  </si>
  <si>
    <t>Strain Clamp (Clamp Tarik) MVTIC / TM ; 3 x 150  +   50mm²</t>
  </si>
  <si>
    <t>Strain Clamp (Clamp Tarik) MVTIC / TM ; 3 x 185  +   50mm²</t>
  </si>
  <si>
    <t>Strain Clamp (Clamp Tarik) MVTIC / TM ; 3 x 240  +   50mm²</t>
  </si>
  <si>
    <t>Strain Clamp (Clamp Tarik) MVTIC / TM ; 3 x 300  +   50mm²</t>
  </si>
  <si>
    <t>Suspension Clamp (Clamp Gantung) LVTC / TR ; 3 x 35  +   35mm²</t>
  </si>
  <si>
    <t>Suspension Clamp (Clamp Gantung) LVTC / TR ; 3 x 50  +   50mm²</t>
  </si>
  <si>
    <t>Suspension Clamp (Clamp Gantung) LVTC / TR ; 3 x 70  +   70mm²</t>
  </si>
  <si>
    <t>Suspension Clamp (Clamp Gantung) LVTC / TR ; 3 x 95  +   95mm²</t>
  </si>
  <si>
    <t>Strain Clamp (Clamp Tarik) LVTC / TR ; 3 x 35  +   35mm²</t>
  </si>
  <si>
    <t>Strain Clamp (Clamp Tarik) LVTC / TR ; 3 x 50  +   50mm²</t>
  </si>
  <si>
    <t>Strain Clamp (Clamp Tarik) LVTC / TR ; 3 x 70  +   70mm²</t>
  </si>
  <si>
    <t>Strain Clamp (Clamp Tarik) LVTC / TR ; 3 x 95  +   95mm²</t>
  </si>
  <si>
    <t>Kabel NYM 3 x 2,5mm²</t>
  </si>
  <si>
    <t>Sepatu Kabel CU 4mm²</t>
  </si>
  <si>
    <t>Kabel NYAF 4 mm²</t>
  </si>
  <si>
    <t>&lt;=== PENGISIAN HARGA SATUAN</t>
  </si>
  <si>
    <t>* KOP PERUSAHAAN</t>
  </si>
  <si>
    <t>Nomor : 015.RKS/DAN.01.03/F20000000/2026</t>
  </si>
  <si>
    <t>Tanggal : 17 April 2026</t>
  </si>
  <si>
    <t>a.</t>
  </si>
  <si>
    <t xml:space="preserve">PENGADAAN KESEPAKATAN HARGA SATUAN (KHS) PEKERJAAN KONSTRUKSI JARINGAN DISTRIBUSI TENAGA LISTRIK PT PLN (PERSERO) UNIT INDUK WILAYAH NUSA TENGGARA TIMUR ZONA 1 DI PLN UNIT PELAKSANA PELAYANAN PELANGGAN (UP3) KUPANG DAN DI PLN UNIT PELAKSANA PROYEK KETENAGALISTRIKAN (UP2K) KUPANG </t>
  </si>
  <si>
    <t>Penggalian TANAH BIASA untuk jalur Kabel SKTM (panjang x lebar x kedalaman/tinggi)</t>
  </si>
  <si>
    <t>Asesoris Tiang Penggantung Lurus sd 15º MVTIC - (Wire Hunger Ass.) Single Tiang Beton</t>
  </si>
  <si>
    <t>Asesoris Tiang Penggantung Lurus sd 15º MVTIC - (Wire Hunger Ass.) Single Tiang Baja 14/350</t>
  </si>
  <si>
    <t>Asesoris Tiang Penggantung Lurus sd 15º MVTIC - (Wire Hunger Ass.) Single Tiang Baja 13/350</t>
  </si>
  <si>
    <t>Asesoris Tiang Penggantung Lurus sd 15º MVTIC - (Wire Hunger Ass.) Single Tiang Baja 12/350</t>
  </si>
  <si>
    <t>Asesoris Tiang Penggantung Lurus sd 15º MVTIC - (Wire Hunger Ass.) Single Tiang Baja 12/200</t>
  </si>
  <si>
    <t>Asesoris Tiang Penggantung Sudut &gt;15º MVTIC -  (Wire Hunger Ass.) Single Tiang Beton</t>
  </si>
  <si>
    <t>Asesoris Tiang Penggantung Sudut &gt;15º MVTIC -  (Wire Hunger Ass.) Single Tiang Baja 14/350</t>
  </si>
  <si>
    <t>Asesoris Tiang Penggantung Sudut &gt;15º MVTIC -  (Wire Hunger Ass.) Single Tiang Baja 13/350</t>
  </si>
  <si>
    <t>Asesoris Tiang Penggantung Sudut &gt;15º MVTIC -  (Wire Hunger Ass.) Single Tiang Baja 12/350</t>
  </si>
  <si>
    <t>Asesoris Tiang Penggantung Sudut &gt;15º MVTIC -  (Wire Hunger Ass.) Single Tiang Baja 12/200</t>
  </si>
  <si>
    <t>Asesoris Tiang Penggantung Lurus sd 15º MVTIC - (Wire Hunger Ass.) Double Tiang Beton</t>
  </si>
  <si>
    <t>Asesoris Tiang Penggantung Lurus sd 15º MVTIC - (Wire Hunger Ass.) Double Tiang Baja 14/350</t>
  </si>
  <si>
    <t>Asesoris Tiang Penggantung Lurus sd 15º MVTIC - (Wire Hunger Ass.) Double Tiang Baja 13/350</t>
  </si>
  <si>
    <t>Asesoris Tiang Penggantung Lurus sd 15º MVTIC - (Wire Hunger Ass.) Double Tiang Baja 12/350</t>
  </si>
  <si>
    <t>Asesoris Tiang Penggantung Lurus sd 15º MVTIC - (Wire Hunger Ass.) Double Tiang Baja 12/200</t>
  </si>
  <si>
    <t>Asesoris Tiang Penggantung Sudut &gt;15º MVTIC -  (Wire Hunger Ass.) Double Tiang Beton</t>
  </si>
  <si>
    <t>Asesoris Tiang Penggantung Sudut &gt;15º MVTIC -  (Wire Hunger Ass.) Double Tiang Baja 14/350</t>
  </si>
  <si>
    <t>Asesoris Tiang Penggantung Sudut &gt;15º MVTIC -  (Wire Hunger Ass.) Double Tiang Baja 13/350</t>
  </si>
  <si>
    <t>Asesoris Tiang Penggantung Sudut &gt;15º MVTIC -  (Wire Hunger Ass.) Double Tiang Baja 12/350</t>
  </si>
  <si>
    <t>Asesoris Tiang Penggantung Sudut &gt;15º MVTIC -  (Wire Hunger Ass.) Double Tiang Baja 12/200</t>
  </si>
  <si>
    <t>JTM</t>
  </si>
  <si>
    <t>Gardu</t>
  </si>
  <si>
    <t>JTR</t>
  </si>
  <si>
    <t>10=7x8</t>
  </si>
  <si>
    <t>11=7x9</t>
  </si>
  <si>
    <t>12=10+11</t>
  </si>
  <si>
    <t>7=4+5+6</t>
  </si>
  <si>
    <t>Large Angle Assembly MVTIC 95mm² Tiang Beton</t>
  </si>
  <si>
    <t>Large Angle Assembly MVTIC 95mm² Tiang Baja 14/350</t>
  </si>
  <si>
    <t>RAB PEKERJAAN KONSTRUKSI JARINGAN DISTRIBUSI KUPANG - KHS 2026</t>
  </si>
  <si>
    <t>PEKERJAAN</t>
  </si>
  <si>
    <t>REKAP RAB PEKERJAAN</t>
  </si>
  <si>
    <t>KONSTRUKSI JARINGAN DISTRIBUSI UP3 KUPANG</t>
  </si>
  <si>
    <t xml:space="preserve">NAMA PEKERJAAN </t>
  </si>
  <si>
    <t xml:space="preserve">: </t>
  </si>
  <si>
    <t>FUNGSI</t>
  </si>
  <si>
    <t xml:space="preserve">UNIT </t>
  </si>
  <si>
    <t>LOKASI</t>
  </si>
  <si>
    <t>UNIT</t>
  </si>
  <si>
    <t>URAIAN PEKERJAAN</t>
  </si>
  <si>
    <t>MDU
(Rp)</t>
  </si>
  <si>
    <t>NON MDU 
(Rp)</t>
  </si>
  <si>
    <t>JASA
(Rp)</t>
  </si>
  <si>
    <t>Harga Total
(Rp)</t>
  </si>
  <si>
    <t>Pembangunan JTM</t>
  </si>
  <si>
    <t>b.</t>
  </si>
  <si>
    <t>Pembangunan Gardu Distribusi</t>
  </si>
  <si>
    <t>c.</t>
  </si>
  <si>
    <t>Perluasan JTR</t>
  </si>
  <si>
    <t>Jasa Pembongkaran</t>
  </si>
  <si>
    <t>lot</t>
  </si>
  <si>
    <t>Jasa Perbaikan</t>
  </si>
  <si>
    <t>PPN 12%
(12% x DPP Nilai Lain)</t>
  </si>
  <si>
    <r>
      <t xml:space="preserve">Kontramast Standar </t>
    </r>
    <r>
      <rPr>
        <b/>
        <sz val="11"/>
        <rFont val="Aptos Narrow"/>
        <family val="2"/>
        <scheme val="minor"/>
      </rPr>
      <t>JTR</t>
    </r>
    <r>
      <rPr>
        <sz val="11"/>
        <rFont val="Aptos Narrow"/>
        <family val="2"/>
        <scheme val="minor"/>
      </rPr>
      <t xml:space="preserve"> Tiang Beton 9 / 200</t>
    </r>
  </si>
  <si>
    <r>
      <t xml:space="preserve">Kontramast Standar </t>
    </r>
    <r>
      <rPr>
        <b/>
        <sz val="11"/>
        <rFont val="Aptos Narrow"/>
        <family val="2"/>
        <scheme val="minor"/>
      </rPr>
      <t>JTR</t>
    </r>
    <r>
      <rPr>
        <sz val="11"/>
        <rFont val="Aptos Narrow"/>
        <family val="2"/>
        <scheme val="minor"/>
      </rPr>
      <t xml:space="preserve"> Tiang Baja 11 / 200 </t>
    </r>
  </si>
  <si>
    <r>
      <t xml:space="preserve">Pondasi tiang </t>
    </r>
    <r>
      <rPr>
        <b/>
        <sz val="11"/>
        <rFont val="Aptos Narrow"/>
        <family val="2"/>
        <scheme val="minor"/>
      </rPr>
      <t>type B</t>
    </r>
    <r>
      <rPr>
        <sz val="11"/>
        <rFont val="Aptos Narrow"/>
        <family val="2"/>
        <scheme val="minor"/>
      </rPr>
      <t xml:space="preserve"> (batu koral+tanah) - Tiang Baja 14/350 (0,558m³)</t>
    </r>
  </si>
  <si>
    <r>
      <t xml:space="preserve">Pondasi </t>
    </r>
    <r>
      <rPr>
        <b/>
        <sz val="11"/>
        <rFont val="Aptos Narrow"/>
        <family val="2"/>
        <scheme val="minor"/>
      </rPr>
      <t>type C</t>
    </r>
    <r>
      <rPr>
        <sz val="11"/>
        <rFont val="Aptos Narrow"/>
        <family val="2"/>
        <scheme val="minor"/>
      </rPr>
      <t xml:space="preserve"> (Campuran beton) - Tiang Baja 14/350 (0,558m³)</t>
    </r>
  </si>
  <si>
    <r>
      <t xml:space="preserve">Pondasi </t>
    </r>
    <r>
      <rPr>
        <b/>
        <sz val="11"/>
        <rFont val="Aptos Narrow"/>
        <family val="2"/>
        <scheme val="minor"/>
      </rPr>
      <t>type D</t>
    </r>
    <r>
      <rPr>
        <sz val="11"/>
        <rFont val="Aptos Narrow"/>
        <family val="2"/>
        <scheme val="minor"/>
      </rPr>
      <t xml:space="preserve"> (Campuran beton) - Tiang Baja 14/350 (0,558m³)</t>
    </r>
  </si>
  <si>
    <t>Pondasi type D (Campuran beton) - Tiang Baja 13/350 (0,365m³)</t>
  </si>
  <si>
    <t>Pondasi type D (Campuran beton) - Tiang Baja 12/350 (0,337m³)</t>
  </si>
  <si>
    <t>Pondasi type D (Campuran beton) - Tiang Baja 12/200 (0,220m³)</t>
  </si>
  <si>
    <t>Pondasi type D (Campuran beton) - Tiang Baja 11/200 (0,157m³)</t>
  </si>
  <si>
    <t>Pondasi type D (Campuran beton) - Tiang Baja 9/200 (0,129m³)</t>
  </si>
  <si>
    <t>P</t>
  </si>
  <si>
    <t>cm</t>
  </si>
  <si>
    <t>L</t>
  </si>
  <si>
    <t>T</t>
  </si>
  <si>
    <t>Asumsi Ukuran</t>
  </si>
  <si>
    <t>Perkiraan Kubikasi</t>
  </si>
  <si>
    <t>m3/item</t>
  </si>
  <si>
    <t>Perkiraan Panjang</t>
  </si>
  <si>
    <t>m/haspel</t>
  </si>
  <si>
    <t>17=13x14x15/10^6/16</t>
  </si>
  <si>
    <t>1 set isi 3</t>
  </si>
  <si>
    <t>1 Panel 550Wp</t>
  </si>
  <si>
    <t>ULP KUPANG</t>
  </si>
  <si>
    <t>KOTA/KAB</t>
  </si>
  <si>
    <t>Konversi satuan dan harga dari kms ke ms (KHS dalam kms)</t>
  </si>
  <si>
    <t>ms</t>
  </si>
  <si>
    <t>Catatan: Khusus untuk pasang konduktor SUTM, kabel SKUTM dan SKUTR, satuan dan harga satuan di konversi dari kms menjadi ms</t>
  </si>
  <si>
    <t>RAB PEKERJAAN PEMBONGKARAN KONSTRUKSI JARINGAN DISTRIBUSI KUPANG - KHS 2026</t>
  </si>
  <si>
    <t>D-I</t>
  </si>
  <si>
    <t>D-II</t>
  </si>
  <si>
    <t>D-III</t>
  </si>
  <si>
    <t>D-IV</t>
  </si>
  <si>
    <t>D-V</t>
  </si>
  <si>
    <t>D-VI</t>
  </si>
  <si>
    <t>D-VII</t>
  </si>
  <si>
    <t>D-VIII</t>
  </si>
  <si>
    <t>D-IX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</si>
</sst>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-* #,##0.000_-;\-* #,##0.000_-;_-* &quot;-&quot;??_-;_-@_-"/>
    <numFmt numFmtId="168" formatCode="_-* #,##0.0_-;\-* #,##0.0_-;_-* &quot;-&quot;??_-;_-@_-"/>
    <numFmt numFmtId="169" formatCode="_-* #,##0.00000_-;\-* #,##0.00000_-;_-* &quot;-&quot;??_-;_-@_-"/>
  </numFmts>
  <fonts count="5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ptos Narrow"/>
      <family val="2"/>
      <charset val="1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0" tint="-0.14996795556505021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b/>
      <sz val="8"/>
      <color rgb="FFFF0000"/>
      <name val="Arial"/>
      <family val="2"/>
    </font>
    <font>
      <sz val="8"/>
      <name val="Arial Narrow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b/>
      <sz val="8"/>
      <color theme="0" tint="-0.34998626667073579"/>
      <name val="Arial"/>
      <family val="2"/>
    </font>
    <font>
      <b/>
      <u/>
      <sz val="8"/>
      <name val="Arial"/>
      <family val="2"/>
    </font>
    <font>
      <b/>
      <i/>
      <sz val="8"/>
      <color rgb="FF0070C0"/>
      <name val="Arial"/>
      <family val="2"/>
    </font>
    <font>
      <sz val="8"/>
      <color rgb="FF0070C0"/>
      <name val="Arial"/>
      <family val="2"/>
    </font>
    <font>
      <i/>
      <sz val="8"/>
      <color theme="0" tint="-0.499984740745262"/>
      <name val="Arial"/>
      <family val="2"/>
    </font>
    <font>
      <b/>
      <sz val="8"/>
      <color rgb="FF0070C0"/>
      <name val="Arial"/>
      <family val="2"/>
    </font>
    <font>
      <b/>
      <u/>
      <sz val="8"/>
      <color rgb="FFFF0000"/>
      <name val="Arial"/>
      <family val="2"/>
    </font>
    <font>
      <b/>
      <i/>
      <u/>
      <sz val="8"/>
      <color rgb="FFFF0000"/>
      <name val="Arial"/>
      <family val="2"/>
    </font>
    <font>
      <b/>
      <sz val="9.1999999999999993"/>
      <name val="Arial"/>
      <family val="2"/>
    </font>
    <font>
      <u/>
      <sz val="8"/>
      <color rgb="FFFF0000"/>
      <name val="Arial"/>
      <family val="2"/>
    </font>
    <font>
      <b/>
      <u/>
      <sz val="8"/>
      <color rgb="FF0070C0"/>
      <name val="Arial"/>
      <family val="2"/>
    </font>
    <font>
      <b/>
      <sz val="10.4"/>
      <color rgb="FFFF0000"/>
      <name val="Arial"/>
      <family val="2"/>
    </font>
    <font>
      <b/>
      <sz val="8"/>
      <color rgb="FFFF0000"/>
      <name val="Arial Narrow"/>
      <family val="2"/>
    </font>
    <font>
      <b/>
      <sz val="9"/>
      <color rgb="FF0070C0"/>
      <name val="Arial"/>
      <family val="2"/>
    </font>
    <font>
      <sz val="11"/>
      <color rgb="FF9C0006"/>
      <name val="Aptos Narrow"/>
      <family val="2"/>
      <scheme val="minor"/>
    </font>
    <font>
      <i/>
      <sz val="10"/>
      <name val="Arial"/>
      <family val="2"/>
    </font>
    <font>
      <b/>
      <sz val="10"/>
      <name val="Arial"/>
      <family val="2"/>
    </font>
    <font>
      <b/>
      <i/>
      <sz val="11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4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2060"/>
      </top>
      <bottom/>
      <diagonal/>
    </border>
    <border>
      <left style="thin">
        <color auto="1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rgb="FF002060"/>
      </bottom>
      <diagonal/>
    </border>
    <border>
      <left/>
      <right/>
      <top style="hair">
        <color auto="1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2060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rgb="FF00206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16" fillId="0" borderId="0"/>
    <xf numFmtId="0" fontId="17" fillId="0" borderId="0"/>
    <xf numFmtId="0" fontId="2" fillId="0" borderId="0"/>
    <xf numFmtId="164" fontId="2" fillId="0" borderId="0" applyFont="0" applyFill="0" applyBorder="0" applyAlignment="0" applyProtection="0"/>
    <xf numFmtId="0" fontId="36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17" fillId="0" borderId="0" applyFill="0"/>
    <xf numFmtId="0" fontId="2" fillId="0" borderId="0"/>
    <xf numFmtId="43" fontId="16" fillId="0" borderId="0" applyFont="0" applyFill="0" applyBorder="0" applyAlignment="0" applyProtection="0"/>
  </cellStyleXfs>
  <cellXfs count="724">
    <xf numFmtId="0" fontId="0" fillId="0" borderId="0" xfId="0"/>
    <xf numFmtId="0" fontId="0" fillId="2" borderId="0" xfId="0" applyFill="1"/>
    <xf numFmtId="0" fontId="10" fillId="2" borderId="48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42" xfId="0" applyFont="1" applyFill="1" applyBorder="1"/>
    <xf numFmtId="0" fontId="10" fillId="2" borderId="41" xfId="0" applyFont="1" applyFill="1" applyBorder="1"/>
    <xf numFmtId="0" fontId="10" fillId="2" borderId="48" xfId="0" applyFont="1" applyFill="1" applyBorder="1"/>
    <xf numFmtId="0" fontId="10" fillId="2" borderId="49" xfId="0" applyFont="1" applyFill="1" applyBorder="1"/>
    <xf numFmtId="0" fontId="10" fillId="2" borderId="50" xfId="0" applyFont="1" applyFill="1" applyBorder="1"/>
    <xf numFmtId="0" fontId="10" fillId="2" borderId="51" xfId="0" applyFont="1" applyFill="1" applyBorder="1"/>
    <xf numFmtId="0" fontId="11" fillId="2" borderId="52" xfId="0" applyFont="1" applyFill="1" applyBorder="1" applyAlignment="1">
      <alignment horizontal="left" vertical="center"/>
    </xf>
    <xf numFmtId="0" fontId="11" fillId="2" borderId="53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167" fontId="12" fillId="2" borderId="29" xfId="4" applyNumberFormat="1" applyFont="1" applyFill="1" applyBorder="1" applyAlignment="1">
      <alignment horizontal="left" vertical="center"/>
    </xf>
    <xf numFmtId="0" fontId="11" fillId="2" borderId="29" xfId="0" applyFont="1" applyFill="1" applyBorder="1" applyAlignment="1">
      <alignment horizontal="left" vertical="center"/>
    </xf>
    <xf numFmtId="0" fontId="10" fillId="2" borderId="58" xfId="0" applyFont="1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14" fillId="2" borderId="0" xfId="0" applyFont="1" applyFill="1" applyAlignment="1">
      <alignment horizontal="right"/>
    </xf>
    <xf numFmtId="166" fontId="10" fillId="2" borderId="26" xfId="3" applyNumberFormat="1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vertical="center"/>
    </xf>
    <xf numFmtId="0" fontId="10" fillId="2" borderId="25" xfId="0" applyFont="1" applyFill="1" applyBorder="1" applyAlignment="1">
      <alignment horizontal="center" vertical="center"/>
    </xf>
    <xf numFmtId="166" fontId="10" fillId="2" borderId="25" xfId="4" applyNumberFormat="1" applyFont="1" applyFill="1" applyBorder="1" applyAlignment="1">
      <alignment vertical="center"/>
    </xf>
    <xf numFmtId="43" fontId="10" fillId="2" borderId="28" xfId="3" applyFont="1" applyFill="1" applyBorder="1" applyAlignment="1">
      <alignment vertical="center"/>
    </xf>
    <xf numFmtId="43" fontId="10" fillId="2" borderId="54" xfId="3" applyFont="1" applyFill="1" applyBorder="1" applyAlignment="1">
      <alignment horizontal="left" vertical="center"/>
    </xf>
    <xf numFmtId="10" fontId="22" fillId="2" borderId="29" xfId="4" applyNumberFormat="1" applyFont="1" applyFill="1" applyBorder="1" applyAlignment="1">
      <alignment horizontal="center" vertical="center"/>
    </xf>
    <xf numFmtId="43" fontId="10" fillId="2" borderId="28" xfId="3" applyFont="1" applyFill="1" applyBorder="1" applyAlignment="1">
      <alignment horizontal="left" vertical="center"/>
    </xf>
    <xf numFmtId="166" fontId="10" fillId="2" borderId="41" xfId="3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43" fontId="10" fillId="2" borderId="23" xfId="3" applyFont="1" applyFill="1" applyBorder="1" applyAlignment="1">
      <alignment vertical="center"/>
    </xf>
    <xf numFmtId="166" fontId="20" fillId="2" borderId="25" xfId="3" applyNumberFormat="1" applyFont="1" applyFill="1" applyBorder="1" applyAlignment="1">
      <alignment vertical="center"/>
    </xf>
    <xf numFmtId="10" fontId="11" fillId="2" borderId="29" xfId="4" applyNumberFormat="1" applyFont="1" applyFill="1" applyBorder="1" applyAlignment="1">
      <alignment horizontal="center" vertical="center"/>
    </xf>
    <xf numFmtId="167" fontId="11" fillId="2" borderId="29" xfId="4" applyNumberFormat="1" applyFont="1" applyFill="1" applyBorder="1" applyAlignment="1">
      <alignment horizontal="left" vertical="center"/>
    </xf>
    <xf numFmtId="43" fontId="20" fillId="2" borderId="25" xfId="3" applyFont="1" applyFill="1" applyBorder="1" applyAlignment="1">
      <alignment vertical="center"/>
    </xf>
    <xf numFmtId="166" fontId="10" fillId="2" borderId="83" xfId="4" applyNumberFormat="1" applyFont="1" applyFill="1" applyBorder="1" applyAlignment="1">
      <alignment vertical="center"/>
    </xf>
    <xf numFmtId="166" fontId="20" fillId="2" borderId="25" xfId="1" applyNumberFormat="1" applyFont="1" applyFill="1" applyBorder="1" applyAlignment="1">
      <alignment vertical="center"/>
    </xf>
    <xf numFmtId="166" fontId="20" fillId="2" borderId="20" xfId="3" applyNumberFormat="1" applyFont="1" applyFill="1" applyBorder="1" applyAlignment="1">
      <alignment vertical="center"/>
    </xf>
    <xf numFmtId="0" fontId="10" fillId="2" borderId="83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6" fontId="10" fillId="2" borderId="25" xfId="1" applyNumberFormat="1" applyFont="1" applyFill="1" applyBorder="1" applyAlignment="1">
      <alignment vertical="center"/>
    </xf>
    <xf numFmtId="0" fontId="11" fillId="2" borderId="32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 vertical="center"/>
    </xf>
    <xf numFmtId="166" fontId="10" fillId="2" borderId="29" xfId="4" applyNumberFormat="1" applyFont="1" applyFill="1" applyBorder="1" applyAlignment="1">
      <alignment vertical="center"/>
    </xf>
    <xf numFmtId="166" fontId="10" fillId="2" borderId="81" xfId="3" applyNumberFormat="1" applyFont="1" applyFill="1" applyBorder="1" applyAlignment="1">
      <alignment vertical="center"/>
    </xf>
    <xf numFmtId="0" fontId="10" fillId="2" borderId="82" xfId="0" applyFont="1" applyFill="1" applyBorder="1" applyAlignment="1">
      <alignment vertical="center"/>
    </xf>
    <xf numFmtId="0" fontId="11" fillId="2" borderId="82" xfId="0" applyFont="1" applyFill="1" applyBorder="1" applyAlignment="1">
      <alignment horizontal="left" vertical="center"/>
    </xf>
    <xf numFmtId="0" fontId="11" fillId="2" borderId="82" xfId="0" applyFont="1" applyFill="1" applyBorder="1" applyAlignment="1">
      <alignment horizontal="center" vertical="center"/>
    </xf>
    <xf numFmtId="0" fontId="11" fillId="2" borderId="82" xfId="0" applyFont="1" applyFill="1" applyBorder="1" applyAlignment="1">
      <alignment vertical="center"/>
    </xf>
    <xf numFmtId="43" fontId="10" fillId="2" borderId="84" xfId="3" applyFont="1" applyFill="1" applyBorder="1" applyAlignment="1">
      <alignment vertical="center"/>
    </xf>
    <xf numFmtId="166" fontId="20" fillId="2" borderId="25" xfId="4" applyNumberFormat="1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48" xfId="0" applyFont="1" applyBorder="1"/>
    <xf numFmtId="0" fontId="10" fillId="0" borderId="41" xfId="0" applyFont="1" applyBorder="1"/>
    <xf numFmtId="166" fontId="10" fillId="0" borderId="25" xfId="4" applyNumberFormat="1" applyFont="1" applyFill="1" applyBorder="1" applyAlignment="1">
      <alignment vertical="center"/>
    </xf>
    <xf numFmtId="43" fontId="20" fillId="2" borderId="25" xfId="1" applyFont="1" applyFill="1" applyBorder="1" applyAlignment="1">
      <alignment vertical="center"/>
    </xf>
    <xf numFmtId="0" fontId="20" fillId="2" borderId="29" xfId="0" applyFont="1" applyFill="1" applyBorder="1" applyAlignment="1">
      <alignment vertical="center"/>
    </xf>
    <xf numFmtId="43" fontId="10" fillId="2" borderId="25" xfId="1" applyFont="1" applyFill="1" applyBorder="1" applyAlignment="1">
      <alignment vertical="center"/>
    </xf>
    <xf numFmtId="43" fontId="10" fillId="2" borderId="20" xfId="1" applyFont="1" applyFill="1" applyBorder="1" applyAlignment="1">
      <alignment vertical="center"/>
    </xf>
    <xf numFmtId="166" fontId="10" fillId="2" borderId="20" xfId="1" applyNumberFormat="1" applyFont="1" applyFill="1" applyBorder="1" applyAlignment="1">
      <alignment vertical="center"/>
    </xf>
    <xf numFmtId="166" fontId="10" fillId="2" borderId="83" xfId="1" applyNumberFormat="1" applyFont="1" applyFill="1" applyBorder="1" applyAlignment="1">
      <alignment vertical="center"/>
    </xf>
    <xf numFmtId="166" fontId="25" fillId="2" borderId="25" xfId="4" applyNumberFormat="1" applyFont="1" applyFill="1" applyBorder="1" applyAlignment="1">
      <alignment vertical="center"/>
    </xf>
    <xf numFmtId="166" fontId="20" fillId="2" borderId="20" xfId="1" applyNumberFormat="1" applyFont="1" applyFill="1" applyBorder="1" applyAlignment="1">
      <alignment vertical="center"/>
    </xf>
    <xf numFmtId="166" fontId="10" fillId="2" borderId="25" xfId="4" applyNumberFormat="1" applyFont="1" applyFill="1" applyBorder="1" applyAlignment="1">
      <alignment horizontal="center" vertical="center"/>
    </xf>
    <xf numFmtId="166" fontId="10" fillId="2" borderId="26" xfId="3" applyNumberFormat="1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vertical="center"/>
    </xf>
    <xf numFmtId="0" fontId="11" fillId="2" borderId="56" xfId="0" applyFont="1" applyFill="1" applyBorder="1" applyAlignment="1">
      <alignment horizontal="left" vertical="center"/>
    </xf>
    <xf numFmtId="0" fontId="11" fillId="2" borderId="56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vertical="center"/>
    </xf>
    <xf numFmtId="0" fontId="10" fillId="2" borderId="37" xfId="0" applyFont="1" applyFill="1" applyBorder="1" applyAlignment="1">
      <alignment horizontal="center" vertical="center"/>
    </xf>
    <xf numFmtId="166" fontId="10" fillId="2" borderId="37" xfId="4" applyNumberFormat="1" applyFont="1" applyFill="1" applyBorder="1" applyAlignment="1">
      <alignment vertical="center"/>
    </xf>
    <xf numFmtId="166" fontId="10" fillId="2" borderId="55" xfId="3" applyNumberFormat="1" applyFont="1" applyFill="1" applyBorder="1" applyAlignment="1">
      <alignment vertical="center"/>
    </xf>
    <xf numFmtId="166" fontId="10" fillId="2" borderId="56" xfId="1" applyNumberFormat="1" applyFont="1" applyFill="1" applyBorder="1" applyAlignment="1">
      <alignment vertical="center"/>
    </xf>
    <xf numFmtId="166" fontId="10" fillId="2" borderId="26" xfId="1" applyNumberFormat="1" applyFont="1" applyFill="1" applyBorder="1" applyAlignment="1">
      <alignment vertical="center"/>
    </xf>
    <xf numFmtId="166" fontId="20" fillId="2" borderId="37" xfId="4" applyNumberFormat="1" applyFont="1" applyFill="1" applyBorder="1" applyAlignment="1">
      <alignment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43" fontId="6" fillId="2" borderId="17" xfId="1" applyFont="1" applyFill="1" applyBorder="1" applyAlignment="1">
      <alignment vertical="center"/>
    </xf>
    <xf numFmtId="43" fontId="10" fillId="2" borderId="28" xfId="1" applyFont="1" applyFill="1" applyBorder="1" applyAlignment="1">
      <alignment horizontal="left" vertical="center"/>
    </xf>
    <xf numFmtId="43" fontId="10" fillId="2" borderId="28" xfId="1" applyFont="1" applyFill="1" applyBorder="1" applyAlignment="1">
      <alignment vertical="center"/>
    </xf>
    <xf numFmtId="43" fontId="6" fillId="2" borderId="28" xfId="1" applyFont="1" applyFill="1" applyBorder="1" applyAlignment="1">
      <alignment horizontal="left" vertical="center"/>
    </xf>
    <xf numFmtId="167" fontId="4" fillId="2" borderId="16" xfId="3" applyNumberFormat="1" applyFont="1" applyFill="1" applyBorder="1" applyAlignment="1">
      <alignment vertical="center"/>
    </xf>
    <xf numFmtId="166" fontId="8" fillId="2" borderId="16" xfId="4" applyNumberFormat="1" applyFont="1" applyFill="1" applyBorder="1" applyAlignment="1">
      <alignment vertical="center"/>
    </xf>
    <xf numFmtId="0" fontId="27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vertical="center"/>
    </xf>
    <xf numFmtId="0" fontId="35" fillId="2" borderId="4" xfId="0" applyFont="1" applyFill="1" applyBorder="1" applyAlignment="1">
      <alignment vertical="center"/>
    </xf>
    <xf numFmtId="0" fontId="25" fillId="2" borderId="41" xfId="0" applyFont="1" applyFill="1" applyBorder="1"/>
    <xf numFmtId="0" fontId="25" fillId="2" borderId="0" xfId="0" applyFont="1" applyFill="1"/>
    <xf numFmtId="0" fontId="25" fillId="2" borderId="42" xfId="0" applyFont="1" applyFill="1" applyBorder="1"/>
    <xf numFmtId="0" fontId="25" fillId="2" borderId="8" xfId="0" applyFont="1" applyFill="1" applyBorder="1"/>
    <xf numFmtId="0" fontId="25" fillId="2" borderId="9" xfId="0" applyFont="1" applyFill="1" applyBorder="1"/>
    <xf numFmtId="0" fontId="25" fillId="2" borderId="10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1" fillId="2" borderId="85" xfId="0" applyFont="1" applyFill="1" applyBorder="1" applyAlignment="1">
      <alignment horizontal="center" vertical="center"/>
    </xf>
    <xf numFmtId="0" fontId="10" fillId="2" borderId="81" xfId="0" applyFont="1" applyFill="1" applyBorder="1" applyAlignment="1">
      <alignment horizontal="left" vertical="center"/>
    </xf>
    <xf numFmtId="43" fontId="10" fillId="2" borderId="84" xfId="1" applyFont="1" applyFill="1" applyBorder="1" applyAlignment="1">
      <alignment horizontal="center" vertical="center" wrapText="1"/>
    </xf>
    <xf numFmtId="43" fontId="10" fillId="2" borderId="17" xfId="1" applyFont="1" applyFill="1" applyBorder="1" applyAlignment="1">
      <alignment horizontal="center" vertical="center" wrapText="1"/>
    </xf>
    <xf numFmtId="166" fontId="10" fillId="2" borderId="16" xfId="1" applyNumberFormat="1" applyFont="1" applyFill="1" applyBorder="1" applyAlignment="1">
      <alignment horizontal="center" vertical="center"/>
    </xf>
    <xf numFmtId="166" fontId="10" fillId="2" borderId="83" xfId="1" applyNumberFormat="1" applyFont="1" applyFill="1" applyBorder="1" applyAlignment="1">
      <alignment horizontal="center" vertical="center"/>
    </xf>
    <xf numFmtId="43" fontId="10" fillId="2" borderId="38" xfId="1" applyFont="1" applyFill="1" applyBorder="1" applyAlignment="1">
      <alignment vertical="center"/>
    </xf>
    <xf numFmtId="167" fontId="10" fillId="2" borderId="25" xfId="3" applyNumberFormat="1" applyFont="1" applyFill="1" applyBorder="1" applyAlignment="1">
      <alignment horizontal="left" vertical="center"/>
    </xf>
    <xf numFmtId="167" fontId="10" fillId="2" borderId="30" xfId="3" applyNumberFormat="1" applyFont="1" applyFill="1" applyBorder="1"/>
    <xf numFmtId="167" fontId="10" fillId="2" borderId="25" xfId="3" applyNumberFormat="1" applyFont="1" applyFill="1" applyBorder="1"/>
    <xf numFmtId="166" fontId="11" fillId="2" borderId="25" xfId="4" applyNumberFormat="1" applyFont="1" applyFill="1" applyBorder="1" applyAlignment="1">
      <alignment vertical="center"/>
    </xf>
    <xf numFmtId="166" fontId="10" fillId="2" borderId="55" xfId="3" applyNumberFormat="1" applyFont="1" applyFill="1" applyBorder="1" applyAlignment="1">
      <alignment horizontal="center" vertical="center"/>
    </xf>
    <xf numFmtId="166" fontId="11" fillId="2" borderId="56" xfId="4" applyNumberFormat="1" applyFont="1" applyFill="1" applyBorder="1" applyAlignment="1">
      <alignment vertical="center"/>
    </xf>
    <xf numFmtId="166" fontId="10" fillId="2" borderId="2" xfId="3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167" fontId="10" fillId="2" borderId="14" xfId="3" applyNumberFormat="1" applyFont="1" applyFill="1" applyBorder="1"/>
    <xf numFmtId="166" fontId="10" fillId="2" borderId="14" xfId="4" applyNumberFormat="1" applyFont="1" applyFill="1" applyBorder="1" applyAlignment="1">
      <alignment vertical="center"/>
    </xf>
    <xf numFmtId="43" fontId="10" fillId="2" borderId="17" xfId="1" applyFont="1" applyFill="1" applyBorder="1" applyAlignment="1">
      <alignment vertical="center"/>
    </xf>
    <xf numFmtId="0" fontId="11" fillId="2" borderId="13" xfId="0" applyFont="1" applyFill="1" applyBorder="1" applyAlignment="1">
      <alignment horizontal="left" vertical="center"/>
    </xf>
    <xf numFmtId="167" fontId="10" fillId="2" borderId="35" xfId="3" applyNumberFormat="1" applyFont="1" applyFill="1" applyBorder="1"/>
    <xf numFmtId="43" fontId="10" fillId="2" borderId="37" xfId="1" applyFont="1" applyFill="1" applyBorder="1"/>
    <xf numFmtId="166" fontId="11" fillId="2" borderId="37" xfId="4" applyNumberFormat="1" applyFont="1" applyFill="1" applyBorder="1" applyAlignment="1">
      <alignment vertical="center"/>
    </xf>
    <xf numFmtId="0" fontId="11" fillId="2" borderId="25" xfId="0" applyFont="1" applyFill="1" applyBorder="1" applyAlignment="1">
      <alignment horizontal="left" vertical="center"/>
    </xf>
    <xf numFmtId="10" fontId="22" fillId="2" borderId="25" xfId="4" applyNumberFormat="1" applyFont="1" applyFill="1" applyBorder="1" applyAlignment="1">
      <alignment horizontal="center" vertical="center"/>
    </xf>
    <xf numFmtId="167" fontId="12" fillId="2" borderId="25" xfId="4" applyNumberFormat="1" applyFont="1" applyFill="1" applyBorder="1" applyAlignment="1">
      <alignment horizontal="left" vertical="center"/>
    </xf>
    <xf numFmtId="43" fontId="10" fillId="2" borderId="25" xfId="1" applyFont="1" applyFill="1" applyBorder="1"/>
    <xf numFmtId="0" fontId="11" fillId="2" borderId="30" xfId="0" applyFont="1" applyFill="1" applyBorder="1" applyAlignment="1">
      <alignment vertical="center"/>
    </xf>
    <xf numFmtId="0" fontId="11" fillId="2" borderId="50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vertical="center"/>
    </xf>
    <xf numFmtId="0" fontId="6" fillId="2" borderId="44" xfId="0" applyFont="1" applyFill="1" applyBorder="1" applyAlignment="1">
      <alignment horizontal="center" vertical="center"/>
    </xf>
    <xf numFmtId="167" fontId="8" fillId="2" borderId="44" xfId="3" applyNumberFormat="1" applyFont="1" applyFill="1" applyBorder="1" applyAlignment="1">
      <alignment vertical="center"/>
    </xf>
    <xf numFmtId="166" fontId="6" fillId="2" borderId="44" xfId="4" applyNumberFormat="1" applyFont="1" applyFill="1" applyBorder="1" applyAlignment="1">
      <alignment vertical="center"/>
    </xf>
    <xf numFmtId="166" fontId="6" fillId="2" borderId="45" xfId="3" applyNumberFormat="1" applyFont="1" applyFill="1" applyBorder="1" applyAlignment="1">
      <alignment vertical="center"/>
    </xf>
    <xf numFmtId="43" fontId="11" fillId="2" borderId="36" xfId="3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167" fontId="8" fillId="2" borderId="5" xfId="3" applyNumberFormat="1" applyFont="1" applyFill="1" applyBorder="1" applyAlignment="1">
      <alignment vertical="center"/>
    </xf>
    <xf numFmtId="166" fontId="6" fillId="2" borderId="5" xfId="4" applyNumberFormat="1" applyFont="1" applyFill="1" applyBorder="1" applyAlignment="1">
      <alignment vertical="center"/>
    </xf>
    <xf numFmtId="166" fontId="6" fillId="2" borderId="6" xfId="3" applyNumberFormat="1" applyFont="1" applyFill="1" applyBorder="1" applyAlignment="1">
      <alignment vertical="center"/>
    </xf>
    <xf numFmtId="0" fontId="4" fillId="2" borderId="50" xfId="0" applyFont="1" applyFill="1" applyBorder="1" applyAlignment="1">
      <alignment horizontal="left" vertical="center"/>
    </xf>
    <xf numFmtId="43" fontId="4" fillId="2" borderId="36" xfId="1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33" xfId="0" applyFont="1" applyFill="1" applyBorder="1" applyAlignment="1">
      <alignment horizontal="left" vertical="center"/>
    </xf>
    <xf numFmtId="43" fontId="7" fillId="2" borderId="36" xfId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43" fontId="4" fillId="2" borderId="46" xfId="1" applyFont="1" applyFill="1" applyBorder="1" applyAlignment="1">
      <alignment horizontal="left" vertical="center"/>
    </xf>
    <xf numFmtId="43" fontId="11" fillId="2" borderId="36" xfId="1" applyFont="1" applyFill="1" applyBorder="1" applyAlignment="1">
      <alignment horizontal="left" vertical="center"/>
    </xf>
    <xf numFmtId="0" fontId="11" fillId="2" borderId="35" xfId="0" applyFont="1" applyFill="1" applyBorder="1" applyAlignment="1">
      <alignment horizontal="left" vertical="center"/>
    </xf>
    <xf numFmtId="166" fontId="10" fillId="8" borderId="25" xfId="4" applyNumberFormat="1" applyFont="1" applyFill="1" applyBorder="1" applyAlignment="1">
      <alignment vertical="center"/>
    </xf>
    <xf numFmtId="166" fontId="10" fillId="0" borderId="25" xfId="4" applyNumberFormat="1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38" fillId="0" borderId="40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38" fillId="0" borderId="18" xfId="2" applyFont="1" applyBorder="1" applyAlignment="1">
      <alignment horizontal="center" vertical="center"/>
    </xf>
    <xf numFmtId="0" fontId="38" fillId="0" borderId="19" xfId="2" applyFont="1" applyBorder="1" applyAlignment="1">
      <alignment horizontal="left" vertical="center"/>
    </xf>
    <xf numFmtId="0" fontId="38" fillId="0" borderId="20" xfId="2" applyFont="1" applyBorder="1" applyAlignment="1">
      <alignment horizontal="center" vertical="center"/>
    </xf>
    <xf numFmtId="0" fontId="17" fillId="0" borderId="30" xfId="0" applyFont="1" applyBorder="1"/>
    <xf numFmtId="0" fontId="17" fillId="0" borderId="25" xfId="0" applyFont="1" applyBorder="1"/>
    <xf numFmtId="0" fontId="17" fillId="0" borderId="28" xfId="0" applyFont="1" applyBorder="1"/>
    <xf numFmtId="0" fontId="38" fillId="0" borderId="24" xfId="2" applyFont="1" applyBorder="1" applyAlignment="1">
      <alignment horizontal="center" vertical="center"/>
    </xf>
    <xf numFmtId="0" fontId="17" fillId="0" borderId="19" xfId="2" applyFont="1" applyBorder="1" applyAlignment="1">
      <alignment horizontal="center" vertical="center"/>
    </xf>
    <xf numFmtId="0" fontId="17" fillId="0" borderId="20" xfId="2" applyFont="1" applyBorder="1" applyAlignment="1">
      <alignment horizontal="left" vertical="center"/>
    </xf>
    <xf numFmtId="0" fontId="17" fillId="0" borderId="25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26" xfId="0" applyFont="1" applyBorder="1" applyAlignment="1">
      <alignment vertical="center"/>
    </xf>
    <xf numFmtId="0" fontId="38" fillId="0" borderId="29" xfId="0" applyFont="1" applyBorder="1" applyAlignment="1">
      <alignment vertical="center"/>
    </xf>
    <xf numFmtId="0" fontId="38" fillId="0" borderId="30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17" fillId="0" borderId="24" xfId="0" applyFont="1" applyBorder="1"/>
    <xf numFmtId="0" fontId="17" fillId="0" borderId="29" xfId="0" applyFont="1" applyBorder="1"/>
    <xf numFmtId="0" fontId="37" fillId="0" borderId="29" xfId="0" applyFont="1" applyBorder="1"/>
    <xf numFmtId="0" fontId="17" fillId="0" borderId="41" xfId="2" applyFont="1" applyBorder="1" applyAlignment="1">
      <alignment horizontal="center" vertical="center"/>
    </xf>
    <xf numFmtId="0" fontId="17" fillId="0" borderId="56" xfId="0" applyFont="1" applyBorder="1"/>
    <xf numFmtId="0" fontId="17" fillId="0" borderId="57" xfId="0" applyFont="1" applyBorder="1"/>
    <xf numFmtId="0" fontId="17" fillId="0" borderId="37" xfId="0" applyFont="1" applyBorder="1" applyAlignment="1">
      <alignment horizontal="center" vertical="center"/>
    </xf>
    <xf numFmtId="0" fontId="38" fillId="0" borderId="26" xfId="2" applyFont="1" applyBorder="1" applyAlignment="1">
      <alignment horizontal="left" vertical="center"/>
    </xf>
    <xf numFmtId="166" fontId="17" fillId="0" borderId="27" xfId="1" applyNumberFormat="1" applyFont="1" applyFill="1" applyBorder="1"/>
    <xf numFmtId="0" fontId="17" fillId="0" borderId="26" xfId="0" applyFont="1" applyBorder="1"/>
    <xf numFmtId="0" fontId="17" fillId="0" borderId="25" xfId="0" applyFont="1" applyBorder="1" applyAlignment="1">
      <alignment horizontal="center"/>
    </xf>
    <xf numFmtId="166" fontId="17" fillId="0" borderId="27" xfId="0" applyNumberFormat="1" applyFont="1" applyBorder="1"/>
    <xf numFmtId="0" fontId="17" fillId="0" borderId="27" xfId="0" applyFont="1" applyBorder="1"/>
    <xf numFmtId="0" fontId="17" fillId="0" borderId="26" xfId="0" applyFont="1" applyBorder="1" applyAlignment="1">
      <alignment horizontal="center"/>
    </xf>
    <xf numFmtId="0" fontId="17" fillId="0" borderId="26" xfId="0" applyFont="1" applyBorder="1" applyAlignment="1">
      <alignment horizontal="left"/>
    </xf>
    <xf numFmtId="166" fontId="17" fillId="0" borderId="0" xfId="0" applyNumberFormat="1" applyFont="1"/>
    <xf numFmtId="0" fontId="17" fillId="0" borderId="31" xfId="0" applyFont="1" applyBorder="1"/>
    <xf numFmtId="0" fontId="17" fillId="0" borderId="32" xfId="0" applyFont="1" applyBorder="1" applyAlignment="1">
      <alignment horizontal="left"/>
    </xf>
    <xf numFmtId="0" fontId="17" fillId="0" borderId="33" xfId="0" applyFont="1" applyBorder="1"/>
    <xf numFmtId="0" fontId="17" fillId="0" borderId="34" xfId="0" applyFont="1" applyBorder="1"/>
    <xf numFmtId="0" fontId="17" fillId="0" borderId="35" xfId="0" applyFont="1" applyBorder="1" applyAlignment="1">
      <alignment horizontal="center"/>
    </xf>
    <xf numFmtId="0" fontId="39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9" fillId="0" borderId="0" xfId="0" applyFont="1" applyProtection="1">
      <protection locked="0"/>
    </xf>
    <xf numFmtId="0" fontId="41" fillId="0" borderId="0" xfId="2" applyFont="1" applyProtection="1">
      <protection locked="0"/>
    </xf>
    <xf numFmtId="14" fontId="41" fillId="0" borderId="0" xfId="2" applyNumberFormat="1" applyFont="1" applyProtection="1">
      <protection locked="0"/>
    </xf>
    <xf numFmtId="0" fontId="15" fillId="0" borderId="0" xfId="0" applyFont="1" applyAlignment="1">
      <alignment horizontal="right"/>
    </xf>
    <xf numFmtId="0" fontId="11" fillId="0" borderId="72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vertical="center"/>
    </xf>
    <xf numFmtId="0" fontId="4" fillId="0" borderId="50" xfId="0" applyFont="1" applyBorder="1" applyAlignment="1">
      <alignment horizontal="center" vertical="center"/>
    </xf>
    <xf numFmtId="0" fontId="4" fillId="0" borderId="50" xfId="0" applyFont="1" applyBorder="1" applyAlignment="1">
      <alignment vertical="center"/>
    </xf>
    <xf numFmtId="0" fontId="6" fillId="0" borderId="44" xfId="0" applyFont="1" applyBorder="1" applyAlignment="1">
      <alignment horizontal="center" vertical="center"/>
    </xf>
    <xf numFmtId="167" fontId="8" fillId="0" borderId="44" xfId="3" applyNumberFormat="1" applyFont="1" applyFill="1" applyBorder="1" applyAlignment="1">
      <alignment vertical="center"/>
    </xf>
    <xf numFmtId="166" fontId="6" fillId="0" borderId="44" xfId="4" applyNumberFormat="1" applyFont="1" applyFill="1" applyBorder="1" applyAlignment="1">
      <alignment vertical="center"/>
    </xf>
    <xf numFmtId="166" fontId="6" fillId="0" borderId="45" xfId="3" applyNumberFormat="1" applyFont="1" applyFill="1" applyBorder="1" applyAlignment="1">
      <alignment vertical="center"/>
    </xf>
    <xf numFmtId="0" fontId="10" fillId="0" borderId="48" xfId="0" applyFont="1" applyBorder="1" applyAlignment="1">
      <alignment horizontal="center" vertical="center"/>
    </xf>
    <xf numFmtId="166" fontId="10" fillId="0" borderId="26" xfId="3" applyNumberFormat="1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1" fillId="0" borderId="29" xfId="0" applyFont="1" applyBorder="1" applyAlignment="1">
      <alignment horizontal="left" vertical="center"/>
    </xf>
    <xf numFmtId="0" fontId="11" fillId="0" borderId="29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166" fontId="10" fillId="0" borderId="25" xfId="3" applyNumberFormat="1" applyFont="1" applyFill="1" applyBorder="1" applyAlignment="1">
      <alignment vertical="center"/>
    </xf>
    <xf numFmtId="43" fontId="10" fillId="0" borderId="28" xfId="3" applyFont="1" applyFill="1" applyBorder="1" applyAlignment="1">
      <alignment vertical="center"/>
    </xf>
    <xf numFmtId="0" fontId="10" fillId="0" borderId="49" xfId="0" applyFont="1" applyBorder="1"/>
    <xf numFmtId="0" fontId="10" fillId="0" borderId="50" xfId="0" applyFont="1" applyBorder="1"/>
    <xf numFmtId="0" fontId="10" fillId="0" borderId="51" xfId="0" applyFont="1" applyBorder="1"/>
    <xf numFmtId="0" fontId="11" fillId="0" borderId="5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43" fontId="10" fillId="0" borderId="54" xfId="3" applyFont="1" applyFill="1" applyBorder="1" applyAlignment="1">
      <alignment horizontal="left" vertical="center"/>
    </xf>
    <xf numFmtId="0" fontId="10" fillId="0" borderId="42" xfId="0" applyFont="1" applyBorder="1"/>
    <xf numFmtId="0" fontId="11" fillId="0" borderId="26" xfId="0" applyFont="1" applyBorder="1" applyAlignment="1">
      <alignment horizontal="left" vertical="center"/>
    </xf>
    <xf numFmtId="10" fontId="22" fillId="0" borderId="29" xfId="4" applyNumberFormat="1" applyFont="1" applyFill="1" applyBorder="1" applyAlignment="1">
      <alignment horizontal="center" vertical="center"/>
    </xf>
    <xf numFmtId="167" fontId="12" fillId="0" borderId="29" xfId="4" applyNumberFormat="1" applyFont="1" applyFill="1" applyBorder="1" applyAlignment="1">
      <alignment horizontal="left" vertical="center"/>
    </xf>
    <xf numFmtId="43" fontId="10" fillId="0" borderId="28" xfId="3" applyFont="1" applyFill="1" applyBorder="1" applyAlignment="1">
      <alignment horizontal="left" vertical="center"/>
    </xf>
    <xf numFmtId="0" fontId="10" fillId="0" borderId="58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32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43" fontId="11" fillId="0" borderId="36" xfId="3" applyFont="1" applyFill="1" applyBorder="1" applyAlignment="1">
      <alignment horizontal="left" vertical="center"/>
    </xf>
    <xf numFmtId="167" fontId="4" fillId="0" borderId="44" xfId="3" applyNumberFormat="1" applyFont="1" applyFill="1" applyBorder="1" applyAlignment="1">
      <alignment vertical="center"/>
    </xf>
    <xf numFmtId="10" fontId="11" fillId="0" borderId="29" xfId="4" applyNumberFormat="1" applyFont="1" applyFill="1" applyBorder="1" applyAlignment="1">
      <alignment horizontal="center" vertical="center"/>
    </xf>
    <xf numFmtId="167" fontId="11" fillId="0" borderId="29" xfId="4" applyNumberFormat="1" applyFont="1" applyFill="1" applyBorder="1" applyAlignment="1">
      <alignment horizontal="left" vertical="center"/>
    </xf>
    <xf numFmtId="43" fontId="20" fillId="0" borderId="25" xfId="3" applyFont="1" applyFill="1" applyBorder="1" applyAlignment="1">
      <alignment vertical="center"/>
    </xf>
    <xf numFmtId="166" fontId="20" fillId="0" borderId="25" xfId="3" applyNumberFormat="1" applyFont="1" applyFill="1" applyBorder="1" applyAlignment="1">
      <alignment vertical="center"/>
    </xf>
    <xf numFmtId="166" fontId="20" fillId="0" borderId="25" xfId="4" applyNumberFormat="1" applyFont="1" applyFill="1" applyBorder="1" applyAlignment="1">
      <alignment vertical="center"/>
    </xf>
    <xf numFmtId="166" fontId="10" fillId="0" borderId="20" xfId="4" applyNumberFormat="1" applyFont="1" applyFill="1" applyBorder="1" applyAlignment="1">
      <alignment vertical="center"/>
    </xf>
    <xf numFmtId="166" fontId="10" fillId="0" borderId="41" xfId="3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19" xfId="0" applyFont="1" applyBorder="1" applyAlignment="1">
      <alignment horizontal="center" vertical="center"/>
    </xf>
    <xf numFmtId="166" fontId="20" fillId="0" borderId="83" xfId="3" applyNumberFormat="1" applyFont="1" applyFill="1" applyBorder="1" applyAlignment="1">
      <alignment vertical="center"/>
    </xf>
    <xf numFmtId="166" fontId="10" fillId="0" borderId="83" xfId="4" applyNumberFormat="1" applyFont="1" applyFill="1" applyBorder="1" applyAlignment="1">
      <alignment vertical="center"/>
    </xf>
    <xf numFmtId="166" fontId="20" fillId="0" borderId="25" xfId="1" applyNumberFormat="1" applyFont="1" applyFill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66" fontId="10" fillId="0" borderId="29" xfId="4" applyNumberFormat="1" applyFont="1" applyFill="1" applyBorder="1" applyAlignment="1">
      <alignment vertical="center"/>
    </xf>
    <xf numFmtId="166" fontId="10" fillId="0" borderId="81" xfId="3" applyNumberFormat="1" applyFont="1" applyFill="1" applyBorder="1" applyAlignment="1">
      <alignment vertical="center"/>
    </xf>
    <xf numFmtId="0" fontId="10" fillId="0" borderId="82" xfId="0" applyFont="1" applyBorder="1" applyAlignment="1">
      <alignment vertical="center"/>
    </xf>
    <xf numFmtId="0" fontId="11" fillId="0" borderId="82" xfId="0" applyFont="1" applyBorder="1" applyAlignment="1">
      <alignment horizontal="left" vertical="center"/>
    </xf>
    <xf numFmtId="0" fontId="11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vertical="center"/>
    </xf>
    <xf numFmtId="0" fontId="10" fillId="0" borderId="81" xfId="0" applyFont="1" applyBorder="1" applyAlignment="1">
      <alignment horizontal="center" vertical="center"/>
    </xf>
    <xf numFmtId="166" fontId="10" fillId="0" borderId="82" xfId="4" applyNumberFormat="1" applyFont="1" applyFill="1" applyBorder="1" applyAlignment="1">
      <alignment vertical="center"/>
    </xf>
    <xf numFmtId="43" fontId="10" fillId="0" borderId="84" xfId="3" applyFont="1" applyFill="1" applyBorder="1" applyAlignment="1">
      <alignment vertical="center"/>
    </xf>
    <xf numFmtId="0" fontId="10" fillId="0" borderId="56" xfId="0" applyFont="1" applyBorder="1" applyAlignment="1">
      <alignment vertical="center"/>
    </xf>
    <xf numFmtId="0" fontId="11" fillId="0" borderId="56" xfId="0" applyFont="1" applyBorder="1" applyAlignment="1">
      <alignment horizontal="left" vertical="center"/>
    </xf>
    <xf numFmtId="0" fontId="11" fillId="0" borderId="56" xfId="0" applyFont="1" applyBorder="1" applyAlignment="1">
      <alignment horizontal="center" vertical="center"/>
    </xf>
    <xf numFmtId="0" fontId="11" fillId="0" borderId="56" xfId="0" applyFont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166" fontId="20" fillId="0" borderId="37" xfId="3" applyNumberFormat="1" applyFont="1" applyFill="1" applyBorder="1" applyAlignment="1">
      <alignment vertical="center"/>
    </xf>
    <xf numFmtId="43" fontId="10" fillId="0" borderId="38" xfId="3" applyFont="1" applyFill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0" xfId="0" applyFont="1" applyAlignment="1">
      <alignment horizontal="right"/>
    </xf>
    <xf numFmtId="166" fontId="10" fillId="0" borderId="25" xfId="1" applyNumberFormat="1" applyFont="1" applyFill="1" applyBorder="1" applyAlignment="1">
      <alignment vertical="center"/>
    </xf>
    <xf numFmtId="166" fontId="10" fillId="0" borderId="20" xfId="3" applyNumberFormat="1" applyFont="1" applyFill="1" applyBorder="1" applyAlignment="1">
      <alignment vertical="center"/>
    </xf>
    <xf numFmtId="166" fontId="20" fillId="0" borderId="20" xfId="3" applyNumberFormat="1" applyFont="1" applyFill="1" applyBorder="1" applyAlignment="1">
      <alignment vertical="center"/>
    </xf>
    <xf numFmtId="0" fontId="10" fillId="0" borderId="83" xfId="0" applyFont="1" applyBorder="1" applyAlignment="1">
      <alignment horizontal="center" vertical="center"/>
    </xf>
    <xf numFmtId="0" fontId="26" fillId="0" borderId="29" xfId="0" applyFont="1" applyBorder="1" applyAlignment="1">
      <alignment vertical="center"/>
    </xf>
    <xf numFmtId="166" fontId="25" fillId="0" borderId="25" xfId="3" applyNumberFormat="1" applyFont="1" applyFill="1" applyBorder="1" applyAlignment="1">
      <alignment vertical="center"/>
    </xf>
    <xf numFmtId="166" fontId="25" fillId="0" borderId="20" xfId="3" applyNumberFormat="1" applyFont="1" applyFill="1" applyBorder="1" applyAlignment="1">
      <alignment vertical="center"/>
    </xf>
    <xf numFmtId="9" fontId="15" fillId="6" borderId="0" xfId="0" applyNumberFormat="1" applyFont="1" applyFill="1" applyAlignment="1">
      <alignment horizontal="left"/>
    </xf>
    <xf numFmtId="9" fontId="14" fillId="6" borderId="0" xfId="0" applyNumberFormat="1" applyFont="1" applyFill="1" applyAlignment="1">
      <alignment horizontal="left"/>
    </xf>
    <xf numFmtId="166" fontId="17" fillId="6" borderId="28" xfId="1" applyNumberFormat="1" applyFont="1" applyFill="1" applyBorder="1" applyProtection="1">
      <protection locked="0"/>
    </xf>
    <xf numFmtId="43" fontId="17" fillId="6" borderId="86" xfId="1" applyFont="1" applyFill="1" applyBorder="1" applyProtection="1">
      <protection locked="0"/>
    </xf>
    <xf numFmtId="166" fontId="17" fillId="6" borderId="36" xfId="1" applyNumberFormat="1" applyFont="1" applyFill="1" applyBorder="1" applyProtection="1">
      <protection locked="0"/>
    </xf>
    <xf numFmtId="0" fontId="43" fillId="2" borderId="0" xfId="0" applyFont="1" applyFill="1" applyAlignment="1">
      <alignment vertical="top"/>
    </xf>
    <xf numFmtId="166" fontId="44" fillId="2" borderId="0" xfId="1" applyNumberFormat="1" applyFont="1" applyFill="1"/>
    <xf numFmtId="0" fontId="44" fillId="2" borderId="0" xfId="0" applyFont="1" applyFill="1"/>
    <xf numFmtId="0" fontId="42" fillId="2" borderId="0" xfId="0" applyFont="1" applyFill="1" applyAlignment="1">
      <alignment vertical="center" wrapText="1"/>
    </xf>
    <xf numFmtId="43" fontId="44" fillId="2" borderId="0" xfId="1" applyFont="1" applyFill="1"/>
    <xf numFmtId="0" fontId="46" fillId="0" borderId="0" xfId="8" applyFont="1"/>
    <xf numFmtId="0" fontId="46" fillId="0" borderId="0" xfId="8" applyFont="1" applyAlignment="1">
      <alignment horizontal="centerContinuous"/>
    </xf>
    <xf numFmtId="0" fontId="48" fillId="0" borderId="0" xfId="8" applyFont="1" applyAlignment="1">
      <alignment horizontal="centerContinuous"/>
    </xf>
    <xf numFmtId="0" fontId="46" fillId="0" borderId="72" xfId="8" applyFont="1" applyBorder="1" applyAlignment="1">
      <alignment horizontal="center" vertical="center"/>
    </xf>
    <xf numFmtId="0" fontId="46" fillId="0" borderId="21" xfId="8" applyFont="1" applyBorder="1" applyAlignment="1">
      <alignment horizontal="center" vertical="center"/>
    </xf>
    <xf numFmtId="0" fontId="46" fillId="0" borderId="24" xfId="8" applyFont="1" applyBorder="1" applyAlignment="1">
      <alignment vertical="top"/>
    </xf>
    <xf numFmtId="167" fontId="46" fillId="0" borderId="21" xfId="19" applyNumberFormat="1" applyFont="1" applyBorder="1" applyAlignment="1">
      <alignment horizontal="center" vertical="center"/>
    </xf>
    <xf numFmtId="166" fontId="46" fillId="0" borderId="21" xfId="19" applyNumberFormat="1" applyFont="1" applyBorder="1" applyAlignment="1">
      <alignment horizontal="center" vertical="center"/>
    </xf>
    <xf numFmtId="0" fontId="46" fillId="0" borderId="22" xfId="8" applyFont="1" applyBorder="1" applyAlignment="1">
      <alignment vertical="top"/>
    </xf>
    <xf numFmtId="0" fontId="46" fillId="0" borderId="27" xfId="8" applyFont="1" applyBorder="1" applyAlignment="1">
      <alignment horizontal="center" vertical="center"/>
    </xf>
    <xf numFmtId="166" fontId="46" fillId="0" borderId="25" xfId="19" applyNumberFormat="1" applyFont="1" applyBorder="1" applyAlignment="1">
      <alignment horizontal="center" vertical="center"/>
    </xf>
    <xf numFmtId="166" fontId="46" fillId="11" borderId="25" xfId="19" applyNumberFormat="1" applyFont="1" applyFill="1" applyBorder="1" applyAlignment="1">
      <alignment horizontal="right" vertical="center"/>
    </xf>
    <xf numFmtId="166" fontId="46" fillId="0" borderId="25" xfId="19" applyNumberFormat="1" applyFont="1" applyBorder="1" applyAlignment="1">
      <alignment horizontal="right" vertical="center"/>
    </xf>
    <xf numFmtId="166" fontId="46" fillId="0" borderId="28" xfId="19" applyNumberFormat="1" applyFont="1" applyBorder="1" applyAlignment="1">
      <alignment horizontal="right" vertical="center"/>
    </xf>
    <xf numFmtId="0" fontId="46" fillId="0" borderId="18" xfId="8" applyFont="1" applyBorder="1" applyAlignment="1">
      <alignment horizontal="center" vertical="center"/>
    </xf>
    <xf numFmtId="0" fontId="46" fillId="0" borderId="37" xfId="8" quotePrefix="1" applyFont="1" applyBorder="1" applyAlignment="1">
      <alignment vertical="center"/>
    </xf>
    <xf numFmtId="0" fontId="46" fillId="0" borderId="87" xfId="8" applyFont="1" applyBorder="1" applyAlignment="1">
      <alignment vertical="center"/>
    </xf>
    <xf numFmtId="166" fontId="46" fillId="0" borderId="87" xfId="19" applyNumberFormat="1" applyFont="1" applyFill="1" applyBorder="1" applyAlignment="1">
      <alignment vertical="center"/>
    </xf>
    <xf numFmtId="166" fontId="46" fillId="0" borderId="87" xfId="19" applyNumberFormat="1" applyFont="1" applyBorder="1" applyAlignment="1">
      <alignment vertical="center"/>
    </xf>
    <xf numFmtId="166" fontId="46" fillId="0" borderId="54" xfId="19" applyNumberFormat="1" applyFont="1" applyBorder="1" applyAlignment="1">
      <alignment vertical="center"/>
    </xf>
    <xf numFmtId="0" fontId="46" fillId="0" borderId="25" xfId="8" applyFont="1" applyBorder="1" applyAlignment="1">
      <alignment vertical="center" wrapText="1"/>
    </xf>
    <xf numFmtId="166" fontId="46" fillId="0" borderId="25" xfId="19" applyNumberFormat="1" applyFont="1" applyFill="1" applyBorder="1" applyAlignment="1">
      <alignment vertical="center"/>
    </xf>
    <xf numFmtId="0" fontId="46" fillId="0" borderId="26" xfId="8" applyFont="1" applyBorder="1" applyAlignment="1">
      <alignment horizontal="right" vertical="center"/>
    </xf>
    <xf numFmtId="0" fontId="46" fillId="0" borderId="29" xfId="8" applyFont="1" applyBorder="1" applyAlignment="1">
      <alignment vertical="center"/>
    </xf>
    <xf numFmtId="0" fontId="46" fillId="0" borderId="30" xfId="8" applyFont="1" applyBorder="1" applyAlignment="1">
      <alignment vertical="center"/>
    </xf>
    <xf numFmtId="0" fontId="46" fillId="2" borderId="0" xfId="8" applyFont="1" applyFill="1"/>
    <xf numFmtId="0" fontId="46" fillId="0" borderId="0" xfId="8" applyFont="1" applyAlignment="1">
      <alignment wrapText="1"/>
    </xf>
    <xf numFmtId="0" fontId="46" fillId="12" borderId="0" xfId="8" applyFont="1" applyFill="1"/>
    <xf numFmtId="0" fontId="45" fillId="3" borderId="44" xfId="8" applyFont="1" applyFill="1" applyBorder="1" applyAlignment="1">
      <alignment horizontal="left" vertical="top"/>
    </xf>
    <xf numFmtId="0" fontId="45" fillId="2" borderId="59" xfId="8" applyFont="1" applyFill="1" applyBorder="1" applyAlignment="1">
      <alignment horizontal="left" vertical="top"/>
    </xf>
    <xf numFmtId="0" fontId="45" fillId="4" borderId="59" xfId="8" applyFont="1" applyFill="1" applyBorder="1" applyAlignment="1">
      <alignment vertical="top"/>
    </xf>
    <xf numFmtId="0" fontId="45" fillId="3" borderId="43" xfId="8" applyFont="1" applyFill="1" applyBorder="1" applyAlignment="1">
      <alignment horizontal="left" vertical="top"/>
    </xf>
    <xf numFmtId="0" fontId="49" fillId="0" borderId="0" xfId="8" applyFont="1" applyAlignment="1">
      <alignment horizontal="centerContinuous"/>
    </xf>
    <xf numFmtId="0" fontId="45" fillId="3" borderId="63" xfId="8" applyFont="1" applyFill="1" applyBorder="1" applyAlignment="1">
      <alignment horizontal="left" vertical="top"/>
    </xf>
    <xf numFmtId="0" fontId="45" fillId="3" borderId="59" xfId="8" applyFont="1" applyFill="1" applyBorder="1" applyAlignment="1">
      <alignment horizontal="left" vertical="top"/>
    </xf>
    <xf numFmtId="0" fontId="45" fillId="4" borderId="59" xfId="8" applyFont="1" applyFill="1" applyBorder="1" applyAlignment="1">
      <alignment horizontal="left" vertical="top"/>
    </xf>
    <xf numFmtId="0" fontId="45" fillId="3" borderId="59" xfId="8" applyFont="1" applyFill="1" applyBorder="1" applyAlignment="1">
      <alignment vertical="top"/>
    </xf>
    <xf numFmtId="0" fontId="45" fillId="2" borderId="59" xfId="8" applyFont="1" applyFill="1" applyBorder="1" applyAlignment="1">
      <alignment vertical="top"/>
    </xf>
    <xf numFmtId="0" fontId="49" fillId="0" borderId="67" xfId="8" applyFont="1" applyBorder="1" applyAlignment="1">
      <alignment horizontal="center" vertical="center"/>
    </xf>
    <xf numFmtId="0" fontId="49" fillId="0" borderId="39" xfId="8" applyFont="1" applyBorder="1" applyAlignment="1">
      <alignment horizontal="center" vertical="center"/>
    </xf>
    <xf numFmtId="0" fontId="49" fillId="0" borderId="39" xfId="8" applyFont="1" applyBorder="1" applyAlignment="1">
      <alignment horizontal="center" vertical="center" wrapText="1"/>
    </xf>
    <xf numFmtId="0" fontId="49" fillId="0" borderId="40" xfId="8" applyFont="1" applyBorder="1" applyAlignment="1">
      <alignment horizontal="center" vertical="center" wrapText="1"/>
    </xf>
    <xf numFmtId="0" fontId="49" fillId="0" borderId="43" xfId="8" applyFont="1" applyBorder="1" applyAlignment="1">
      <alignment horizontal="center" vertical="center" wrapText="1"/>
    </xf>
    <xf numFmtId="0" fontId="49" fillId="0" borderId="47" xfId="8" applyFont="1" applyBorder="1" applyAlignment="1">
      <alignment horizontal="center" vertical="center" wrapText="1"/>
    </xf>
    <xf numFmtId="0" fontId="46" fillId="0" borderId="25" xfId="8" applyFont="1" applyBorder="1" applyAlignment="1">
      <alignment horizontal="center" vertical="center"/>
    </xf>
    <xf numFmtId="0" fontId="49" fillId="0" borderId="35" xfId="8" applyFont="1" applyBorder="1" applyAlignment="1">
      <alignment vertical="center"/>
    </xf>
    <xf numFmtId="166" fontId="49" fillId="0" borderId="35" xfId="19" applyNumberFormat="1" applyFont="1" applyFill="1" applyBorder="1" applyAlignment="1">
      <alignment vertical="center"/>
    </xf>
    <xf numFmtId="166" fontId="49" fillId="0" borderId="35" xfId="19" applyNumberFormat="1" applyFont="1" applyBorder="1" applyAlignment="1">
      <alignment vertical="center"/>
    </xf>
    <xf numFmtId="166" fontId="49" fillId="0" borderId="36" xfId="19" applyNumberFormat="1" applyFont="1" applyBorder="1" applyAlignment="1">
      <alignment vertical="center"/>
    </xf>
    <xf numFmtId="0" fontId="47" fillId="0" borderId="0" xfId="8" applyFont="1" applyAlignment="1">
      <alignment vertical="top"/>
    </xf>
    <xf numFmtId="0" fontId="47" fillId="0" borderId="0" xfId="8" applyFont="1" applyAlignment="1">
      <alignment vertical="center"/>
    </xf>
    <xf numFmtId="0" fontId="51" fillId="2" borderId="0" xfId="0" applyFont="1" applyFill="1"/>
    <xf numFmtId="0" fontId="42" fillId="2" borderId="0" xfId="0" applyFont="1" applyFill="1" applyAlignment="1">
      <alignment vertical="top"/>
    </xf>
    <xf numFmtId="0" fontId="42" fillId="10" borderId="59" xfId="9" applyFont="1" applyFill="1" applyBorder="1" applyAlignment="1">
      <alignment horizontal="center" vertical="center"/>
    </xf>
    <xf numFmtId="0" fontId="42" fillId="10" borderId="70" xfId="9" applyFont="1" applyFill="1" applyBorder="1" applyAlignment="1">
      <alignment horizontal="center" vertical="center" wrapText="1"/>
    </xf>
    <xf numFmtId="0" fontId="42" fillId="10" borderId="74" xfId="9" applyFont="1" applyFill="1" applyBorder="1" applyAlignment="1">
      <alignment horizontal="center" vertical="center"/>
    </xf>
    <xf numFmtId="0" fontId="42" fillId="10" borderId="75" xfId="9" applyFont="1" applyFill="1" applyBorder="1" applyAlignment="1">
      <alignment horizontal="center" vertical="center"/>
    </xf>
    <xf numFmtId="0" fontId="42" fillId="10" borderId="76" xfId="9" applyFont="1" applyFill="1" applyBorder="1" applyAlignment="1">
      <alignment horizontal="center" vertical="center"/>
    </xf>
    <xf numFmtId="0" fontId="42" fillId="10" borderId="77" xfId="9" applyFont="1" applyFill="1" applyBorder="1" applyAlignment="1">
      <alignment horizontal="center" vertical="center"/>
    </xf>
    <xf numFmtId="0" fontId="42" fillId="10" borderId="78" xfId="9" applyFont="1" applyFill="1" applyBorder="1" applyAlignment="1">
      <alignment horizontal="center" vertical="center" wrapText="1"/>
    </xf>
    <xf numFmtId="0" fontId="42" fillId="2" borderId="80" xfId="0" applyFont="1" applyFill="1" applyBorder="1" applyAlignment="1">
      <alignment horizontal="center" vertical="center"/>
    </xf>
    <xf numFmtId="0" fontId="42" fillId="2" borderId="20" xfId="0" applyFont="1" applyFill="1" applyBorder="1" applyAlignment="1">
      <alignment vertical="center"/>
    </xf>
    <xf numFmtId="0" fontId="44" fillId="2" borderId="20" xfId="0" applyFont="1" applyFill="1" applyBorder="1" applyAlignment="1">
      <alignment vertical="center"/>
    </xf>
    <xf numFmtId="0" fontId="44" fillId="2" borderId="21" xfId="0" applyFont="1" applyFill="1" applyBorder="1" applyAlignment="1">
      <alignment vertical="center"/>
    </xf>
    <xf numFmtId="0" fontId="44" fillId="2" borderId="23" xfId="0" applyFont="1" applyFill="1" applyBorder="1" applyAlignment="1">
      <alignment vertical="center"/>
    </xf>
    <xf numFmtId="166" fontId="44" fillId="2" borderId="80" xfId="1" applyNumberFormat="1" applyFont="1" applyFill="1" applyBorder="1" applyAlignment="1">
      <alignment horizontal="center" vertical="center"/>
    </xf>
    <xf numFmtId="0" fontId="44" fillId="2" borderId="19" xfId="0" applyFont="1" applyFill="1" applyBorder="1" applyAlignment="1">
      <alignment vertical="center"/>
    </xf>
    <xf numFmtId="0" fontId="44" fillId="2" borderId="25" xfId="0" applyFont="1" applyFill="1" applyBorder="1" applyAlignment="1">
      <alignment horizontal="center" vertical="center"/>
    </xf>
    <xf numFmtId="0" fontId="44" fillId="2" borderId="21" xfId="0" applyFont="1" applyFill="1" applyBorder="1" applyAlignment="1">
      <alignment horizontal="center" vertical="center"/>
    </xf>
    <xf numFmtId="166" fontId="44" fillId="2" borderId="21" xfId="1" applyNumberFormat="1" applyFont="1" applyFill="1" applyBorder="1" applyAlignment="1">
      <alignment vertical="center"/>
    </xf>
    <xf numFmtId="0" fontId="44" fillId="2" borderId="26" xfId="0" applyFont="1" applyFill="1" applyBorder="1" applyAlignment="1">
      <alignment vertical="center"/>
    </xf>
    <xf numFmtId="0" fontId="44" fillId="2" borderId="29" xfId="0" applyFont="1" applyFill="1" applyBorder="1" applyAlignment="1">
      <alignment vertical="center"/>
    </xf>
    <xf numFmtId="166" fontId="44" fillId="2" borderId="25" xfId="1" applyNumberFormat="1" applyFont="1" applyFill="1" applyBorder="1" applyAlignment="1">
      <alignment vertical="center"/>
    </xf>
    <xf numFmtId="0" fontId="44" fillId="2" borderId="56" xfId="0" applyFont="1" applyFill="1" applyBorder="1" applyAlignment="1">
      <alignment vertical="center"/>
    </xf>
    <xf numFmtId="0" fontId="44" fillId="2" borderId="37" xfId="0" applyFont="1" applyFill="1" applyBorder="1" applyAlignment="1">
      <alignment horizontal="center" vertical="center"/>
    </xf>
    <xf numFmtId="166" fontId="44" fillId="2" borderId="37" xfId="1" applyNumberFormat="1" applyFont="1" applyFill="1" applyBorder="1" applyAlignment="1">
      <alignment vertical="center"/>
    </xf>
    <xf numFmtId="0" fontId="44" fillId="2" borderId="55" xfId="0" applyFont="1" applyFill="1" applyBorder="1" applyAlignment="1">
      <alignment vertical="center"/>
    </xf>
    <xf numFmtId="166" fontId="44" fillId="2" borderId="59" xfId="3" applyNumberFormat="1" applyFont="1" applyFill="1" applyBorder="1" applyAlignment="1">
      <alignment vertical="center"/>
    </xf>
    <xf numFmtId="166" fontId="44" fillId="2" borderId="48" xfId="3" applyNumberFormat="1" applyFont="1" applyFill="1" applyBorder="1" applyAlignment="1">
      <alignment horizontal="center" vertical="center"/>
    </xf>
    <xf numFmtId="0" fontId="44" fillId="2" borderId="41" xfId="0" applyFont="1" applyFill="1" applyBorder="1" applyAlignment="1">
      <alignment vertical="center"/>
    </xf>
    <xf numFmtId="0" fontId="44" fillId="2" borderId="0" xfId="0" applyFont="1" applyFill="1" applyAlignment="1">
      <alignment vertical="center"/>
    </xf>
    <xf numFmtId="0" fontId="44" fillId="2" borderId="43" xfId="0" applyFont="1" applyFill="1" applyBorder="1" applyAlignment="1">
      <alignment horizontal="center" vertical="center"/>
    </xf>
    <xf numFmtId="166" fontId="44" fillId="2" borderId="43" xfId="3" applyNumberFormat="1" applyFont="1" applyFill="1" applyBorder="1" applyAlignment="1">
      <alignment vertical="center"/>
    </xf>
    <xf numFmtId="166" fontId="44" fillId="2" borderId="44" xfId="3" applyNumberFormat="1" applyFont="1" applyFill="1" applyBorder="1" applyAlignment="1">
      <alignment vertical="center"/>
    </xf>
    <xf numFmtId="166" fontId="44" fillId="2" borderId="47" xfId="3" applyNumberFormat="1" applyFont="1" applyFill="1" applyBorder="1" applyAlignment="1">
      <alignment vertical="center"/>
    </xf>
    <xf numFmtId="166" fontId="44" fillId="2" borderId="21" xfId="3" applyNumberFormat="1" applyFont="1" applyFill="1" applyBorder="1" applyAlignment="1">
      <alignment vertical="center"/>
    </xf>
    <xf numFmtId="166" fontId="44" fillId="2" borderId="80" xfId="3" applyNumberFormat="1" applyFont="1" applyFill="1" applyBorder="1" applyAlignment="1">
      <alignment horizontal="center" vertical="center"/>
    </xf>
    <xf numFmtId="166" fontId="44" fillId="2" borderId="25" xfId="3" applyNumberFormat="1" applyFont="1" applyFill="1" applyBorder="1" applyAlignment="1">
      <alignment vertical="center"/>
    </xf>
    <xf numFmtId="166" fontId="44" fillId="2" borderId="23" xfId="3" applyNumberFormat="1" applyFont="1" applyFill="1" applyBorder="1" applyAlignment="1">
      <alignment vertical="center"/>
    </xf>
    <xf numFmtId="0" fontId="44" fillId="2" borderId="81" xfId="0" applyFont="1" applyFill="1" applyBorder="1" applyAlignment="1">
      <alignment vertical="center"/>
    </xf>
    <xf numFmtId="0" fontId="44" fillId="2" borderId="82" xfId="0" applyFont="1" applyFill="1" applyBorder="1" applyAlignment="1">
      <alignment vertical="center"/>
    </xf>
    <xf numFmtId="0" fontId="44" fillId="2" borderId="83" xfId="0" applyFont="1" applyFill="1" applyBorder="1" applyAlignment="1">
      <alignment horizontal="center" vertical="center"/>
    </xf>
    <xf numFmtId="166" fontId="44" fillId="2" borderId="98" xfId="3" applyNumberFormat="1" applyFont="1" applyFill="1" applyBorder="1" applyAlignment="1">
      <alignment horizontal="center" vertical="center"/>
    </xf>
    <xf numFmtId="0" fontId="44" fillId="2" borderId="49" xfId="0" applyFont="1" applyFill="1" applyBorder="1" applyAlignment="1">
      <alignment vertical="center"/>
    </xf>
    <xf numFmtId="0" fontId="44" fillId="2" borderId="50" xfId="0" applyFont="1" applyFill="1" applyBorder="1" applyAlignment="1">
      <alignment vertical="center"/>
    </xf>
    <xf numFmtId="0" fontId="44" fillId="2" borderId="44" xfId="0" applyFont="1" applyFill="1" applyBorder="1" applyAlignment="1">
      <alignment horizontal="center" vertical="center"/>
    </xf>
    <xf numFmtId="166" fontId="44" fillId="2" borderId="45" xfId="3" applyNumberFormat="1" applyFont="1" applyFill="1" applyBorder="1" applyAlignment="1">
      <alignment vertical="center"/>
    </xf>
    <xf numFmtId="166" fontId="42" fillId="2" borderId="18" xfId="3" applyNumberFormat="1" applyFont="1" applyFill="1" applyBorder="1" applyAlignment="1">
      <alignment horizontal="center" vertical="center"/>
    </xf>
    <xf numFmtId="0" fontId="42" fillId="2" borderId="55" xfId="0" applyFont="1" applyFill="1" applyBorder="1" applyAlignment="1">
      <alignment vertical="center"/>
    </xf>
    <xf numFmtId="166" fontId="44" fillId="2" borderId="37" xfId="3" applyNumberFormat="1" applyFont="1" applyFill="1" applyBorder="1" applyAlignment="1">
      <alignment vertical="center"/>
    </xf>
    <xf numFmtId="166" fontId="44" fillId="2" borderId="38" xfId="3" applyNumberFormat="1" applyFont="1" applyFill="1" applyBorder="1" applyAlignment="1">
      <alignment vertical="center"/>
    </xf>
    <xf numFmtId="166" fontId="44" fillId="2" borderId="24" xfId="3" applyNumberFormat="1" applyFont="1" applyFill="1" applyBorder="1" applyAlignment="1">
      <alignment horizontal="center" vertical="center"/>
    </xf>
    <xf numFmtId="0" fontId="44" fillId="2" borderId="41" xfId="0" applyFont="1" applyFill="1" applyBorder="1" applyAlignment="1">
      <alignment horizontal="left" vertical="center"/>
    </xf>
    <xf numFmtId="0" fontId="44" fillId="2" borderId="49" xfId="0" applyFont="1" applyFill="1" applyBorder="1" applyAlignment="1">
      <alignment horizontal="left" vertical="center" wrapText="1"/>
    </xf>
    <xf numFmtId="0" fontId="44" fillId="2" borderId="53" xfId="0" applyFont="1" applyFill="1" applyBorder="1" applyAlignment="1">
      <alignment vertical="center"/>
    </xf>
    <xf numFmtId="0" fontId="44" fillId="2" borderId="87" xfId="0" applyFont="1" applyFill="1" applyBorder="1" applyAlignment="1">
      <alignment horizontal="center" vertical="center"/>
    </xf>
    <xf numFmtId="166" fontId="44" fillId="2" borderId="87" xfId="1" applyNumberFormat="1" applyFont="1" applyFill="1" applyBorder="1" applyAlignment="1">
      <alignment vertical="center"/>
    </xf>
    <xf numFmtId="0" fontId="44" fillId="2" borderId="41" xfId="0" applyFont="1" applyFill="1" applyBorder="1" applyAlignment="1">
      <alignment horizontal="left" vertical="center" wrapText="1"/>
    </xf>
    <xf numFmtId="0" fontId="44" fillId="2" borderId="64" xfId="0" applyFont="1" applyFill="1" applyBorder="1" applyAlignment="1">
      <alignment horizontal="left" vertical="center" wrapText="1"/>
    </xf>
    <xf numFmtId="166" fontId="44" fillId="2" borderId="83" xfId="1" applyNumberFormat="1" applyFont="1" applyFill="1" applyBorder="1" applyAlignment="1">
      <alignment vertical="center"/>
    </xf>
    <xf numFmtId="166" fontId="44" fillId="2" borderId="69" xfId="3" applyNumberFormat="1" applyFont="1" applyFill="1" applyBorder="1" applyAlignment="1">
      <alignment horizontal="center" vertical="center"/>
    </xf>
    <xf numFmtId="0" fontId="42" fillId="2" borderId="41" xfId="0" applyFont="1" applyFill="1" applyBorder="1" applyAlignment="1">
      <alignment vertical="center"/>
    </xf>
    <xf numFmtId="166" fontId="42" fillId="2" borderId="71" xfId="3" applyNumberFormat="1" applyFont="1" applyFill="1" applyBorder="1" applyAlignment="1">
      <alignment horizontal="center" vertical="center"/>
    </xf>
    <xf numFmtId="0" fontId="42" fillId="2" borderId="60" xfId="0" applyFont="1" applyFill="1" applyBorder="1" applyAlignment="1">
      <alignment vertical="center"/>
    </xf>
    <xf numFmtId="0" fontId="44" fillId="2" borderId="61" xfId="0" applyFont="1" applyFill="1" applyBorder="1" applyAlignment="1">
      <alignment vertical="center"/>
    </xf>
    <xf numFmtId="0" fontId="44" fillId="2" borderId="59" xfId="0" applyFont="1" applyFill="1" applyBorder="1" applyAlignment="1">
      <alignment horizontal="center" vertical="center"/>
    </xf>
    <xf numFmtId="166" fontId="44" fillId="2" borderId="59" xfId="1" applyNumberFormat="1" applyFont="1" applyFill="1" applyBorder="1" applyAlignment="1">
      <alignment vertical="center"/>
    </xf>
    <xf numFmtId="166" fontId="44" fillId="2" borderId="44" xfId="1" applyNumberFormat="1" applyFont="1" applyFill="1" applyBorder="1" applyAlignment="1">
      <alignment vertical="center"/>
    </xf>
    <xf numFmtId="166" fontId="44" fillId="2" borderId="93" xfId="1" applyNumberFormat="1" applyFont="1" applyFill="1" applyBorder="1" applyAlignment="1">
      <alignment horizontal="center" vertical="center"/>
    </xf>
    <xf numFmtId="166" fontId="44" fillId="2" borderId="48" xfId="1" applyNumberFormat="1" applyFont="1" applyFill="1" applyBorder="1" applyAlignment="1">
      <alignment horizontal="center" vertical="center"/>
    </xf>
    <xf numFmtId="166" fontId="44" fillId="2" borderId="97" xfId="1" applyNumberFormat="1" applyFont="1" applyFill="1" applyBorder="1" applyAlignment="1">
      <alignment horizontal="center" vertical="center"/>
    </xf>
    <xf numFmtId="166" fontId="44" fillId="2" borderId="37" xfId="0" applyNumberFormat="1" applyFont="1" applyFill="1" applyBorder="1" applyAlignment="1">
      <alignment horizontal="center" vertical="center"/>
    </xf>
    <xf numFmtId="166" fontId="44" fillId="2" borderId="28" xfId="3" applyNumberFormat="1" applyFont="1" applyFill="1" applyBorder="1" applyAlignment="1">
      <alignment vertical="center"/>
    </xf>
    <xf numFmtId="166" fontId="44" fillId="2" borderId="89" xfId="1" applyNumberFormat="1" applyFont="1" applyFill="1" applyBorder="1" applyAlignment="1">
      <alignment horizontal="center" vertical="center"/>
    </xf>
    <xf numFmtId="0" fontId="44" fillId="2" borderId="90" xfId="0" applyFont="1" applyFill="1" applyBorder="1" applyAlignment="1">
      <alignment vertical="center"/>
    </xf>
    <xf numFmtId="0" fontId="44" fillId="2" borderId="91" xfId="0" applyFont="1" applyFill="1" applyBorder="1" applyAlignment="1">
      <alignment vertical="center"/>
    </xf>
    <xf numFmtId="0" fontId="44" fillId="2" borderId="92" xfId="0" applyFont="1" applyFill="1" applyBorder="1" applyAlignment="1">
      <alignment horizontal="center" vertical="center"/>
    </xf>
    <xf numFmtId="166" fontId="44" fillId="2" borderId="92" xfId="1" applyNumberFormat="1" applyFont="1" applyFill="1" applyBorder="1" applyAlignment="1">
      <alignment vertical="center"/>
    </xf>
    <xf numFmtId="166" fontId="44" fillId="2" borderId="92" xfId="3" applyNumberFormat="1" applyFont="1" applyFill="1" applyBorder="1" applyAlignment="1">
      <alignment vertical="center"/>
    </xf>
    <xf numFmtId="166" fontId="44" fillId="2" borderId="102" xfId="3" applyNumberFormat="1" applyFont="1" applyFill="1" applyBorder="1" applyAlignment="1">
      <alignment vertical="center"/>
    </xf>
    <xf numFmtId="0" fontId="44" fillId="2" borderId="94" xfId="0" applyFont="1" applyFill="1" applyBorder="1" applyAlignment="1">
      <alignment vertical="center"/>
    </xf>
    <xf numFmtId="0" fontId="44" fillId="2" borderId="95" xfId="0" applyFont="1" applyFill="1" applyBorder="1" applyAlignment="1">
      <alignment vertical="center"/>
    </xf>
    <xf numFmtId="0" fontId="44" fillId="2" borderId="96" xfId="0" applyFont="1" applyFill="1" applyBorder="1" applyAlignment="1">
      <alignment horizontal="center" vertical="center"/>
    </xf>
    <xf numFmtId="166" fontId="44" fillId="2" borderId="35" xfId="3" applyNumberFormat="1" applyFont="1" applyFill="1" applyBorder="1" applyAlignment="1">
      <alignment vertical="center"/>
    </xf>
    <xf numFmtId="166" fontId="42" fillId="2" borderId="14" xfId="1" applyNumberFormat="1" applyFont="1" applyFill="1" applyBorder="1"/>
    <xf numFmtId="166" fontId="42" fillId="2" borderId="15" xfId="1" applyNumberFormat="1" applyFont="1" applyFill="1" applyBorder="1"/>
    <xf numFmtId="166" fontId="42" fillId="2" borderId="16" xfId="1" applyNumberFormat="1" applyFont="1" applyFill="1" applyBorder="1"/>
    <xf numFmtId="166" fontId="42" fillId="2" borderId="17" xfId="1" applyNumberFormat="1" applyFont="1" applyFill="1" applyBorder="1"/>
    <xf numFmtId="166" fontId="42" fillId="2" borderId="29" xfId="1" applyNumberFormat="1" applyFont="1" applyFill="1" applyBorder="1"/>
    <xf numFmtId="166" fontId="42" fillId="2" borderId="30" xfId="1" applyNumberFormat="1" applyFont="1" applyFill="1" applyBorder="1"/>
    <xf numFmtId="166" fontId="42" fillId="2" borderId="25" xfId="1" applyNumberFormat="1" applyFont="1" applyFill="1" applyBorder="1"/>
    <xf numFmtId="166" fontId="42" fillId="2" borderId="28" xfId="1" applyNumberFormat="1" applyFont="1" applyFill="1" applyBorder="1"/>
    <xf numFmtId="166" fontId="42" fillId="2" borderId="33" xfId="1" applyNumberFormat="1" applyFont="1" applyFill="1" applyBorder="1"/>
    <xf numFmtId="166" fontId="42" fillId="2" borderId="34" xfId="1" applyNumberFormat="1" applyFont="1" applyFill="1" applyBorder="1"/>
    <xf numFmtId="166" fontId="42" fillId="2" borderId="35" xfId="1" applyNumberFormat="1" applyFont="1" applyFill="1" applyBorder="1"/>
    <xf numFmtId="166" fontId="42" fillId="2" borderId="36" xfId="1" applyNumberFormat="1" applyFont="1" applyFill="1" applyBorder="1"/>
    <xf numFmtId="166" fontId="42" fillId="2" borderId="99" xfId="1" applyNumberFormat="1" applyFont="1" applyFill="1" applyBorder="1"/>
    <xf numFmtId="166" fontId="42" fillId="2" borderId="100" xfId="1" applyNumberFormat="1" applyFont="1" applyFill="1" applyBorder="1"/>
    <xf numFmtId="166" fontId="42" fillId="2" borderId="39" xfId="1" applyNumberFormat="1" applyFont="1" applyFill="1" applyBorder="1"/>
    <xf numFmtId="166" fontId="42" fillId="2" borderId="40" xfId="1" applyNumberFormat="1" applyFont="1" applyFill="1" applyBorder="1"/>
    <xf numFmtId="166" fontId="42" fillId="2" borderId="61" xfId="1" applyNumberFormat="1" applyFont="1" applyFill="1" applyBorder="1"/>
    <xf numFmtId="166" fontId="42" fillId="2" borderId="62" xfId="1" applyNumberFormat="1" applyFont="1" applyFill="1" applyBorder="1"/>
    <xf numFmtId="166" fontId="42" fillId="2" borderId="59" xfId="1" applyNumberFormat="1" applyFont="1" applyFill="1" applyBorder="1"/>
    <xf numFmtId="166" fontId="42" fillId="2" borderId="70" xfId="1" applyNumberFormat="1" applyFont="1" applyFill="1" applyBorder="1"/>
    <xf numFmtId="166" fontId="42" fillId="2" borderId="76" xfId="1" applyNumberFormat="1" applyFont="1" applyFill="1" applyBorder="1"/>
    <xf numFmtId="166" fontId="42" fillId="2" borderId="79" xfId="1" applyNumberFormat="1" applyFont="1" applyFill="1" applyBorder="1"/>
    <xf numFmtId="166" fontId="42" fillId="2" borderId="77" xfId="1" applyNumberFormat="1" applyFont="1" applyFill="1" applyBorder="1"/>
    <xf numFmtId="166" fontId="42" fillId="2" borderId="78" xfId="1" applyNumberFormat="1" applyFont="1" applyFill="1" applyBorder="1"/>
    <xf numFmtId="0" fontId="52" fillId="2" borderId="0" xfId="0" applyFont="1" applyFill="1"/>
    <xf numFmtId="166" fontId="44" fillId="2" borderId="23" xfId="1" applyNumberFormat="1" applyFont="1" applyFill="1" applyBorder="1" applyAlignment="1">
      <alignment vertical="center"/>
    </xf>
    <xf numFmtId="166" fontId="44" fillId="2" borderId="28" xfId="1" applyNumberFormat="1" applyFont="1" applyFill="1" applyBorder="1" applyAlignment="1">
      <alignment vertical="center"/>
    </xf>
    <xf numFmtId="43" fontId="44" fillId="2" borderId="21" xfId="1" applyFont="1" applyFill="1" applyBorder="1" applyAlignment="1">
      <alignment vertical="center"/>
    </xf>
    <xf numFmtId="166" fontId="44" fillId="2" borderId="38" xfId="1" applyNumberFormat="1" applyFont="1" applyFill="1" applyBorder="1" applyAlignment="1">
      <alignment vertical="center"/>
    </xf>
    <xf numFmtId="43" fontId="44" fillId="2" borderId="59" xfId="1" applyFont="1" applyFill="1" applyBorder="1" applyAlignment="1">
      <alignment vertical="center"/>
    </xf>
    <xf numFmtId="166" fontId="44" fillId="2" borderId="70" xfId="3" applyNumberFormat="1" applyFont="1" applyFill="1" applyBorder="1" applyAlignment="1">
      <alignment vertical="center"/>
    </xf>
    <xf numFmtId="43" fontId="44" fillId="2" borderId="43" xfId="1" applyFont="1" applyFill="1" applyBorder="1" applyAlignment="1">
      <alignment vertical="center"/>
    </xf>
    <xf numFmtId="43" fontId="44" fillId="2" borderId="25" xfId="1" applyFont="1" applyFill="1" applyBorder="1" applyAlignment="1">
      <alignment vertical="center"/>
    </xf>
    <xf numFmtId="43" fontId="44" fillId="2" borderId="44" xfId="1" applyFont="1" applyFill="1" applyBorder="1" applyAlignment="1">
      <alignment vertical="center"/>
    </xf>
    <xf numFmtId="43" fontId="44" fillId="2" borderId="37" xfId="1" applyFont="1" applyFill="1" applyBorder="1" applyAlignment="1">
      <alignment vertical="center"/>
    </xf>
    <xf numFmtId="166" fontId="44" fillId="2" borderId="87" xfId="3" applyNumberFormat="1" applyFont="1" applyFill="1" applyBorder="1" applyAlignment="1">
      <alignment vertical="center"/>
    </xf>
    <xf numFmtId="166" fontId="44" fillId="2" borderId="54" xfId="3" applyNumberFormat="1" applyFont="1" applyFill="1" applyBorder="1" applyAlignment="1">
      <alignment vertical="center"/>
    </xf>
    <xf numFmtId="166" fontId="44" fillId="2" borderId="83" xfId="3" applyNumberFormat="1" applyFont="1" applyFill="1" applyBorder="1" applyAlignment="1">
      <alignment vertical="center"/>
    </xf>
    <xf numFmtId="166" fontId="44" fillId="2" borderId="84" xfId="3" applyNumberFormat="1" applyFont="1" applyFill="1" applyBorder="1" applyAlignment="1">
      <alignment vertical="center"/>
    </xf>
    <xf numFmtId="166" fontId="44" fillId="2" borderId="43" xfId="1" applyNumberFormat="1" applyFont="1" applyFill="1" applyBorder="1" applyAlignment="1">
      <alignment vertical="center"/>
    </xf>
    <xf numFmtId="43" fontId="44" fillId="2" borderId="92" xfId="1" applyFont="1" applyFill="1" applyBorder="1" applyAlignment="1">
      <alignment vertical="center"/>
    </xf>
    <xf numFmtId="166" fontId="44" fillId="2" borderId="96" xfId="1" applyNumberFormat="1" applyFont="1" applyFill="1" applyBorder="1" applyAlignment="1">
      <alignment vertical="center"/>
    </xf>
    <xf numFmtId="166" fontId="44" fillId="2" borderId="36" xfId="3" applyNumberFormat="1" applyFont="1" applyFill="1" applyBorder="1" applyAlignment="1">
      <alignment vertical="center"/>
    </xf>
    <xf numFmtId="0" fontId="42" fillId="7" borderId="80" xfId="0" applyFont="1" applyFill="1" applyBorder="1" applyAlignment="1">
      <alignment horizontal="center" vertical="center"/>
    </xf>
    <xf numFmtId="0" fontId="42" fillId="7" borderId="19" xfId="0" applyFont="1" applyFill="1" applyBorder="1" applyAlignment="1">
      <alignment vertical="center"/>
    </xf>
    <xf numFmtId="0" fontId="42" fillId="7" borderId="20" xfId="0" applyFont="1" applyFill="1" applyBorder="1" applyAlignment="1">
      <alignment vertical="center"/>
    </xf>
    <xf numFmtId="0" fontId="44" fillId="7" borderId="20" xfId="0" applyFont="1" applyFill="1" applyBorder="1" applyAlignment="1">
      <alignment vertical="center"/>
    </xf>
    <xf numFmtId="0" fontId="44" fillId="7" borderId="21" xfId="0" applyFont="1" applyFill="1" applyBorder="1" applyAlignment="1">
      <alignment vertical="center"/>
    </xf>
    <xf numFmtId="0" fontId="44" fillId="7" borderId="23" xfId="0" applyFont="1" applyFill="1" applyBorder="1" applyAlignment="1">
      <alignment vertical="center"/>
    </xf>
    <xf numFmtId="43" fontId="44" fillId="7" borderId="21" xfId="1" applyFont="1" applyFill="1" applyBorder="1" applyAlignment="1">
      <alignment vertical="center"/>
    </xf>
    <xf numFmtId="166" fontId="44" fillId="7" borderId="21" xfId="3" applyNumberFormat="1" applyFont="1" applyFill="1" applyBorder="1" applyAlignment="1">
      <alignment vertical="center"/>
    </xf>
    <xf numFmtId="166" fontId="42" fillId="5" borderId="71" xfId="3" applyNumberFormat="1" applyFont="1" applyFill="1" applyBorder="1" applyAlignment="1">
      <alignment horizontal="center" vertical="center"/>
    </xf>
    <xf numFmtId="0" fontId="42" fillId="5" borderId="60" xfId="0" applyFont="1" applyFill="1" applyBorder="1" applyAlignment="1">
      <alignment horizontal="center" vertical="center"/>
    </xf>
    <xf numFmtId="0" fontId="42" fillId="5" borderId="61" xfId="0" applyFont="1" applyFill="1" applyBorder="1" applyAlignment="1">
      <alignment horizontal="center" vertical="center"/>
    </xf>
    <xf numFmtId="0" fontId="42" fillId="5" borderId="59" xfId="0" applyFont="1" applyFill="1" applyBorder="1" applyAlignment="1">
      <alignment horizontal="center" vertical="center"/>
    </xf>
    <xf numFmtId="43" fontId="42" fillId="5" borderId="59" xfId="1" applyFont="1" applyFill="1" applyBorder="1" applyAlignment="1">
      <alignment vertical="center"/>
    </xf>
    <xf numFmtId="166" fontId="42" fillId="5" borderId="59" xfId="3" applyNumberFormat="1" applyFont="1" applyFill="1" applyBorder="1" applyAlignment="1">
      <alignment vertical="center"/>
    </xf>
    <xf numFmtId="166" fontId="42" fillId="5" borderId="70" xfId="3" applyNumberFormat="1" applyFont="1" applyFill="1" applyBorder="1" applyAlignment="1">
      <alignment vertical="center"/>
    </xf>
    <xf numFmtId="166" fontId="42" fillId="5" borderId="59" xfId="1" applyNumberFormat="1" applyFont="1" applyFill="1" applyBorder="1" applyAlignment="1">
      <alignment horizontal="center" vertical="center"/>
    </xf>
    <xf numFmtId="0" fontId="44" fillId="7" borderId="21" xfId="0" applyFont="1" applyFill="1" applyBorder="1" applyAlignment="1">
      <alignment horizontal="center" vertical="center"/>
    </xf>
    <xf numFmtId="166" fontId="44" fillId="7" borderId="21" xfId="1" applyNumberFormat="1" applyFont="1" applyFill="1" applyBorder="1" applyAlignment="1">
      <alignment vertical="center"/>
    </xf>
    <xf numFmtId="166" fontId="42" fillId="7" borderId="80" xfId="1" applyNumberFormat="1" applyFont="1" applyFill="1" applyBorder="1" applyAlignment="1">
      <alignment horizontal="center" vertical="center"/>
    </xf>
    <xf numFmtId="166" fontId="44" fillId="7" borderId="23" xfId="3" applyNumberFormat="1" applyFont="1" applyFill="1" applyBorder="1" applyAlignment="1">
      <alignment vertical="center"/>
    </xf>
    <xf numFmtId="0" fontId="42" fillId="5" borderId="60" xfId="0" applyFont="1" applyFill="1" applyBorder="1" applyAlignment="1">
      <alignment vertical="center"/>
    </xf>
    <xf numFmtId="166" fontId="42" fillId="5" borderId="71" xfId="3" applyNumberFormat="1" applyFont="1" applyFill="1" applyBorder="1" applyAlignment="1">
      <alignment horizontal="left" vertical="center"/>
    </xf>
    <xf numFmtId="0" fontId="42" fillId="7" borderId="26" xfId="0" applyFont="1" applyFill="1" applyBorder="1" applyAlignment="1">
      <alignment vertical="center"/>
    </xf>
    <xf numFmtId="0" fontId="44" fillId="7" borderId="29" xfId="0" applyFont="1" applyFill="1" applyBorder="1" applyAlignment="1">
      <alignment vertical="center"/>
    </xf>
    <xf numFmtId="0" fontId="44" fillId="7" borderId="25" xfId="0" applyFont="1" applyFill="1" applyBorder="1" applyAlignment="1">
      <alignment horizontal="center" vertical="center"/>
    </xf>
    <xf numFmtId="43" fontId="44" fillId="7" borderId="25" xfId="1" applyFont="1" applyFill="1" applyBorder="1" applyAlignment="1">
      <alignment vertical="center"/>
    </xf>
    <xf numFmtId="166" fontId="44" fillId="7" borderId="25" xfId="1" applyNumberFormat="1" applyFont="1" applyFill="1" applyBorder="1" applyAlignment="1">
      <alignment vertical="center"/>
    </xf>
    <xf numFmtId="166" fontId="44" fillId="7" borderId="25" xfId="3" applyNumberFormat="1" applyFont="1" applyFill="1" applyBorder="1" applyAlignment="1">
      <alignment vertical="center"/>
    </xf>
    <xf numFmtId="166" fontId="44" fillId="7" borderId="28" xfId="3" applyNumberFormat="1" applyFont="1" applyFill="1" applyBorder="1" applyAlignment="1">
      <alignment vertical="center"/>
    </xf>
    <xf numFmtId="0" fontId="44" fillId="2" borderId="29" xfId="0" applyFont="1" applyFill="1" applyBorder="1" applyAlignment="1">
      <alignment horizontal="center" vertical="center"/>
    </xf>
    <xf numFmtId="0" fontId="44" fillId="2" borderId="33" xfId="0" applyFont="1" applyFill="1" applyBorder="1" applyAlignment="1">
      <alignment horizontal="center" vertical="center"/>
    </xf>
    <xf numFmtId="166" fontId="44" fillId="2" borderId="103" xfId="1" applyNumberFormat="1" applyFont="1" applyFill="1" applyBorder="1"/>
    <xf numFmtId="166" fontId="44" fillId="2" borderId="71" xfId="1" applyNumberFormat="1" applyFont="1" applyFill="1" applyBorder="1"/>
    <xf numFmtId="166" fontId="44" fillId="2" borderId="74" xfId="1" applyNumberFormat="1" applyFont="1" applyFill="1" applyBorder="1"/>
    <xf numFmtId="166" fontId="42" fillId="5" borderId="61" xfId="1" applyNumberFormat="1" applyFont="1" applyFill="1" applyBorder="1" applyAlignment="1">
      <alignment vertical="center"/>
    </xf>
    <xf numFmtId="43" fontId="44" fillId="2" borderId="29" xfId="1" applyFont="1" applyFill="1" applyBorder="1" applyAlignment="1">
      <alignment vertical="center"/>
    </xf>
    <xf numFmtId="166" fontId="44" fillId="2" borderId="29" xfId="1" applyNumberFormat="1" applyFont="1" applyFill="1" applyBorder="1" applyAlignment="1">
      <alignment vertical="center"/>
    </xf>
    <xf numFmtId="166" fontId="44" fillId="2" borderId="33" xfId="1" applyNumberFormat="1" applyFont="1" applyFill="1" applyBorder="1" applyAlignment="1">
      <alignment vertical="center"/>
    </xf>
    <xf numFmtId="0" fontId="42" fillId="5" borderId="62" xfId="0" applyFont="1" applyFill="1" applyBorder="1" applyAlignment="1">
      <alignment horizontal="center" vertical="center"/>
    </xf>
    <xf numFmtId="166" fontId="44" fillId="2" borderId="29" xfId="3" applyNumberFormat="1" applyFont="1" applyFill="1" applyBorder="1" applyAlignment="1">
      <alignment vertical="center"/>
    </xf>
    <xf numFmtId="166" fontId="44" fillId="2" borderId="30" xfId="3" applyNumberFormat="1" applyFont="1" applyFill="1" applyBorder="1" applyAlignment="1">
      <alignment vertical="center"/>
    </xf>
    <xf numFmtId="166" fontId="44" fillId="2" borderId="33" xfId="3" applyNumberFormat="1" applyFont="1" applyFill="1" applyBorder="1" applyAlignment="1">
      <alignment vertical="center"/>
    </xf>
    <xf numFmtId="166" fontId="44" fillId="2" borderId="34" xfId="3" applyNumberFormat="1" applyFont="1" applyFill="1" applyBorder="1" applyAlignment="1">
      <alignment vertical="center"/>
    </xf>
    <xf numFmtId="0" fontId="44" fillId="2" borderId="59" xfId="0" applyFont="1" applyFill="1" applyBorder="1"/>
    <xf numFmtId="0" fontId="42" fillId="10" borderId="59" xfId="0" applyFont="1" applyFill="1" applyBorder="1" applyAlignment="1">
      <alignment horizontal="center" vertical="center"/>
    </xf>
    <xf numFmtId="43" fontId="44" fillId="11" borderId="59" xfId="1" applyFont="1" applyFill="1" applyBorder="1"/>
    <xf numFmtId="0" fontId="44" fillId="11" borderId="59" xfId="0" applyFont="1" applyFill="1" applyBorder="1"/>
    <xf numFmtId="168" fontId="44" fillId="2" borderId="59" xfId="1" applyNumberFormat="1" applyFont="1" applyFill="1" applyBorder="1"/>
    <xf numFmtId="166" fontId="44" fillId="2" borderId="59" xfId="1" applyNumberFormat="1" applyFont="1" applyFill="1" applyBorder="1"/>
    <xf numFmtId="169" fontId="44" fillId="2" borderId="59" xfId="1" applyNumberFormat="1" applyFont="1" applyFill="1" applyBorder="1"/>
    <xf numFmtId="166" fontId="44" fillId="2" borderId="25" xfId="1" applyNumberFormat="1" applyFont="1" applyFill="1" applyBorder="1" applyAlignment="1">
      <alignment horizontal="center" vertical="center"/>
    </xf>
    <xf numFmtId="166" fontId="44" fillId="2" borderId="37" xfId="1" applyNumberFormat="1" applyFont="1" applyFill="1" applyBorder="1" applyAlignment="1">
      <alignment horizontal="center" vertical="center"/>
    </xf>
    <xf numFmtId="43" fontId="44" fillId="2" borderId="21" xfId="1" applyFont="1" applyFill="1" applyBorder="1" applyAlignment="1">
      <alignment horizontal="center" vertical="center"/>
    </xf>
    <xf numFmtId="166" fontId="42" fillId="2" borderId="24" xfId="3" applyNumberFormat="1" applyFont="1" applyFill="1" applyBorder="1" applyAlignment="1">
      <alignment horizontal="center" vertical="center"/>
    </xf>
    <xf numFmtId="166" fontId="42" fillId="2" borderId="72" xfId="3" applyNumberFormat="1" applyFont="1" applyFill="1" applyBorder="1" applyAlignment="1">
      <alignment horizontal="center" vertical="center"/>
    </xf>
    <xf numFmtId="0" fontId="42" fillId="2" borderId="49" xfId="0" applyFont="1" applyFill="1" applyBorder="1" applyAlignment="1">
      <alignment vertical="center"/>
    </xf>
    <xf numFmtId="0" fontId="44" fillId="2" borderId="64" xfId="0" applyFont="1" applyFill="1" applyBorder="1" applyAlignment="1">
      <alignment horizontal="left" vertical="center"/>
    </xf>
    <xf numFmtId="43" fontId="44" fillId="11" borderId="21" xfId="1" applyFont="1" applyFill="1" applyBorder="1" applyAlignment="1">
      <alignment horizontal="center" vertical="center"/>
    </xf>
    <xf numFmtId="166" fontId="44" fillId="2" borderId="21" xfId="1" applyNumberFormat="1" applyFont="1" applyFill="1" applyBorder="1" applyAlignment="1">
      <alignment horizontal="center" vertical="center"/>
    </xf>
    <xf numFmtId="43" fontId="44" fillId="11" borderId="25" xfId="1" applyFont="1" applyFill="1" applyBorder="1" applyAlignment="1">
      <alignment horizontal="center" vertical="center"/>
    </xf>
    <xf numFmtId="43" fontId="44" fillId="2" borderId="25" xfId="1" applyFont="1" applyFill="1" applyBorder="1" applyAlignment="1">
      <alignment horizontal="center" vertical="center"/>
    </xf>
    <xf numFmtId="166" fontId="44" fillId="11" borderId="21" xfId="1" applyNumberFormat="1" applyFont="1" applyFill="1" applyBorder="1" applyAlignment="1">
      <alignment horizontal="center" vertical="center"/>
    </xf>
    <xf numFmtId="166" fontId="44" fillId="11" borderId="25" xfId="1" applyNumberFormat="1" applyFont="1" applyFill="1" applyBorder="1" applyAlignment="1">
      <alignment horizontal="center" vertical="center"/>
    </xf>
    <xf numFmtId="43" fontId="42" fillId="5" borderId="59" xfId="1" applyFont="1" applyFill="1" applyBorder="1" applyAlignment="1">
      <alignment horizontal="center" vertical="center"/>
    </xf>
    <xf numFmtId="43" fontId="44" fillId="2" borderId="83" xfId="1" applyFont="1" applyFill="1" applyBorder="1" applyAlignment="1">
      <alignment vertical="center"/>
    </xf>
    <xf numFmtId="43" fontId="44" fillId="2" borderId="87" xfId="1" applyFont="1" applyFill="1" applyBorder="1" applyAlignment="1">
      <alignment vertical="center"/>
    </xf>
    <xf numFmtId="166" fontId="42" fillId="5" borderId="59" xfId="1" applyNumberFormat="1" applyFont="1" applyFill="1" applyBorder="1" applyAlignment="1">
      <alignment vertical="center"/>
    </xf>
    <xf numFmtId="166" fontId="42" fillId="5" borderId="70" xfId="1" applyNumberFormat="1" applyFont="1" applyFill="1" applyBorder="1" applyAlignment="1">
      <alignment vertical="center"/>
    </xf>
    <xf numFmtId="166" fontId="44" fillId="2" borderId="47" xfId="1" applyNumberFormat="1" applyFont="1" applyFill="1" applyBorder="1" applyAlignment="1">
      <alignment vertical="center"/>
    </xf>
    <xf numFmtId="166" fontId="44" fillId="7" borderId="23" xfId="1" applyNumberFormat="1" applyFont="1" applyFill="1" applyBorder="1" applyAlignment="1">
      <alignment vertical="center"/>
    </xf>
    <xf numFmtId="166" fontId="44" fillId="2" borderId="45" xfId="1" applyNumberFormat="1" applyFont="1" applyFill="1" applyBorder="1" applyAlignment="1">
      <alignment vertical="center"/>
    </xf>
    <xf numFmtId="166" fontId="44" fillId="2" borderId="54" xfId="1" applyNumberFormat="1" applyFont="1" applyFill="1" applyBorder="1" applyAlignment="1">
      <alignment vertical="center"/>
    </xf>
    <xf numFmtId="166" fontId="44" fillId="2" borderId="84" xfId="1" applyNumberFormat="1" applyFont="1" applyFill="1" applyBorder="1" applyAlignment="1">
      <alignment vertical="center"/>
    </xf>
    <xf numFmtId="166" fontId="44" fillId="2" borderId="70" xfId="1" applyNumberFormat="1" applyFont="1" applyFill="1" applyBorder="1" applyAlignment="1">
      <alignment vertical="center"/>
    </xf>
    <xf numFmtId="166" fontId="44" fillId="2" borderId="102" xfId="1" applyNumberFormat="1" applyFont="1" applyFill="1" applyBorder="1" applyAlignment="1">
      <alignment vertical="center"/>
    </xf>
    <xf numFmtId="166" fontId="44" fillId="7" borderId="28" xfId="1" applyNumberFormat="1" applyFont="1" applyFill="1" applyBorder="1" applyAlignment="1">
      <alignment vertical="center"/>
    </xf>
    <xf numFmtId="166" fontId="42" fillId="5" borderId="61" xfId="1" applyNumberFormat="1" applyFont="1" applyFill="1" applyBorder="1" applyAlignment="1">
      <alignment horizontal="center" vertical="center"/>
    </xf>
    <xf numFmtId="166" fontId="42" fillId="5" borderId="62" xfId="1" applyNumberFormat="1" applyFont="1" applyFill="1" applyBorder="1" applyAlignment="1">
      <alignment horizontal="center" vertical="center"/>
    </xf>
    <xf numFmtId="166" fontId="44" fillId="2" borderId="30" xfId="1" applyNumberFormat="1" applyFont="1" applyFill="1" applyBorder="1" applyAlignment="1">
      <alignment vertical="center"/>
    </xf>
    <xf numFmtId="166" fontId="44" fillId="2" borderId="34" xfId="1" applyNumberFormat="1" applyFont="1" applyFill="1" applyBorder="1" applyAlignment="1">
      <alignment vertical="center"/>
    </xf>
    <xf numFmtId="166" fontId="44" fillId="2" borderId="35" xfId="1" applyNumberFormat="1" applyFont="1" applyFill="1" applyBorder="1" applyAlignment="1">
      <alignment vertical="center"/>
    </xf>
    <xf numFmtId="166" fontId="44" fillId="2" borderId="36" xfId="1" applyNumberFormat="1" applyFont="1" applyFill="1" applyBorder="1" applyAlignment="1">
      <alignment vertical="center"/>
    </xf>
    <xf numFmtId="43" fontId="44" fillId="11" borderId="37" xfId="1" applyFont="1" applyFill="1" applyBorder="1" applyAlignment="1">
      <alignment horizontal="center" vertical="center"/>
    </xf>
    <xf numFmtId="43" fontId="44" fillId="2" borderId="37" xfId="1" applyFont="1" applyFill="1" applyBorder="1" applyAlignment="1">
      <alignment horizontal="center" vertical="center"/>
    </xf>
    <xf numFmtId="43" fontId="44" fillId="2" borderId="43" xfId="1" applyFont="1" applyFill="1" applyBorder="1" applyAlignment="1">
      <alignment horizontal="center" vertical="center"/>
    </xf>
    <xf numFmtId="43" fontId="44" fillId="2" borderId="83" xfId="1" applyFont="1" applyFill="1" applyBorder="1" applyAlignment="1">
      <alignment horizontal="center" vertical="center"/>
    </xf>
    <xf numFmtId="43" fontId="44" fillId="2" borderId="44" xfId="1" applyFont="1" applyFill="1" applyBorder="1" applyAlignment="1">
      <alignment horizontal="center" vertical="center"/>
    </xf>
    <xf numFmtId="43" fontId="44" fillId="2" borderId="87" xfId="1" applyFont="1" applyFill="1" applyBorder="1" applyAlignment="1">
      <alignment horizontal="center" vertical="center"/>
    </xf>
    <xf numFmtId="43" fontId="44" fillId="11" borderId="87" xfId="1" applyFont="1" applyFill="1" applyBorder="1" applyAlignment="1">
      <alignment horizontal="center" vertical="center"/>
    </xf>
    <xf numFmtId="43" fontId="44" fillId="11" borderId="83" xfId="1" applyFont="1" applyFill="1" applyBorder="1" applyAlignment="1">
      <alignment horizontal="center" vertical="center"/>
    </xf>
    <xf numFmtId="43" fontId="44" fillId="2" borderId="59" xfId="1" applyFont="1" applyFill="1" applyBorder="1" applyAlignment="1">
      <alignment horizontal="center" vertical="center"/>
    </xf>
    <xf numFmtId="43" fontId="44" fillId="7" borderId="21" xfId="1" applyFont="1" applyFill="1" applyBorder="1" applyAlignment="1">
      <alignment horizontal="center" vertical="center"/>
    </xf>
    <xf numFmtId="43" fontId="44" fillId="2" borderId="92" xfId="1" applyFont="1" applyFill="1" applyBorder="1" applyAlignment="1">
      <alignment horizontal="center" vertical="center"/>
    </xf>
    <xf numFmtId="43" fontId="44" fillId="7" borderId="25" xfId="1" applyFont="1" applyFill="1" applyBorder="1" applyAlignment="1">
      <alignment horizontal="center" vertical="center"/>
    </xf>
    <xf numFmtId="166" fontId="44" fillId="11" borderId="37" xfId="1" applyNumberFormat="1" applyFont="1" applyFill="1" applyBorder="1" applyAlignment="1">
      <alignment horizontal="center" vertical="center"/>
    </xf>
    <xf numFmtId="166" fontId="44" fillId="2" borderId="43" xfId="1" applyNumberFormat="1" applyFont="1" applyFill="1" applyBorder="1" applyAlignment="1">
      <alignment horizontal="center" vertical="center"/>
    </xf>
    <xf numFmtId="166" fontId="44" fillId="2" borderId="83" xfId="1" applyNumberFormat="1" applyFont="1" applyFill="1" applyBorder="1" applyAlignment="1">
      <alignment horizontal="center" vertical="center"/>
    </xf>
    <xf numFmtId="166" fontId="44" fillId="2" borderId="44" xfId="1" applyNumberFormat="1" applyFont="1" applyFill="1" applyBorder="1" applyAlignment="1">
      <alignment horizontal="center" vertical="center"/>
    </xf>
    <xf numFmtId="166" fontId="44" fillId="2" borderId="87" xfId="1" applyNumberFormat="1" applyFont="1" applyFill="1" applyBorder="1" applyAlignment="1">
      <alignment horizontal="center" vertical="center"/>
    </xf>
    <xf numFmtId="166" fontId="44" fillId="11" borderId="87" xfId="1" applyNumberFormat="1" applyFont="1" applyFill="1" applyBorder="1" applyAlignment="1">
      <alignment horizontal="center" vertical="center"/>
    </xf>
    <xf numFmtId="166" fontId="44" fillId="11" borderId="83" xfId="1" applyNumberFormat="1" applyFont="1" applyFill="1" applyBorder="1" applyAlignment="1">
      <alignment horizontal="center" vertical="center"/>
    </xf>
    <xf numFmtId="166" fontId="44" fillId="2" borderId="59" xfId="1" applyNumberFormat="1" applyFont="1" applyFill="1" applyBorder="1" applyAlignment="1">
      <alignment horizontal="center" vertical="center"/>
    </xf>
    <xf numFmtId="166" fontId="44" fillId="7" borderId="21" xfId="1" applyNumberFormat="1" applyFont="1" applyFill="1" applyBorder="1" applyAlignment="1">
      <alignment horizontal="center" vertical="center"/>
    </xf>
    <xf numFmtId="166" fontId="44" fillId="11" borderId="43" xfId="1" applyNumberFormat="1" applyFont="1" applyFill="1" applyBorder="1" applyAlignment="1">
      <alignment horizontal="center" vertical="center"/>
    </xf>
    <xf numFmtId="166" fontId="44" fillId="2" borderId="92" xfId="1" applyNumberFormat="1" applyFont="1" applyFill="1" applyBorder="1" applyAlignment="1">
      <alignment horizontal="center" vertical="center"/>
    </xf>
    <xf numFmtId="166" fontId="44" fillId="11" borderId="96" xfId="1" applyNumberFormat="1" applyFont="1" applyFill="1" applyBorder="1" applyAlignment="1">
      <alignment horizontal="center" vertical="center"/>
    </xf>
    <xf numFmtId="166" fontId="44" fillId="2" borderId="96" xfId="1" applyNumberFormat="1" applyFont="1" applyFill="1" applyBorder="1" applyAlignment="1">
      <alignment horizontal="center" vertical="center"/>
    </xf>
    <xf numFmtId="166" fontId="42" fillId="11" borderId="25" xfId="1" applyNumberFormat="1" applyFont="1" applyFill="1" applyBorder="1" applyAlignment="1">
      <alignment horizontal="center" vertical="center"/>
    </xf>
    <xf numFmtId="166" fontId="42" fillId="2" borderId="25" xfId="1" applyNumberFormat="1" applyFont="1" applyFill="1" applyBorder="1" applyAlignment="1">
      <alignment horizontal="center" vertical="center"/>
    </xf>
    <xf numFmtId="166" fontId="42" fillId="11" borderId="21" xfId="1" applyNumberFormat="1" applyFont="1" applyFill="1" applyBorder="1" applyAlignment="1">
      <alignment horizontal="center" vertical="center"/>
    </xf>
    <xf numFmtId="166" fontId="42" fillId="2" borderId="21" xfId="1" applyNumberFormat="1" applyFont="1" applyFill="1" applyBorder="1" applyAlignment="1">
      <alignment horizontal="center" vertical="center"/>
    </xf>
    <xf numFmtId="166" fontId="44" fillId="7" borderId="25" xfId="1" applyNumberFormat="1" applyFont="1" applyFill="1" applyBorder="1" applyAlignment="1">
      <alignment horizontal="center" vertical="center"/>
    </xf>
    <xf numFmtId="166" fontId="42" fillId="2" borderId="12" xfId="1" applyNumberFormat="1" applyFont="1" applyFill="1" applyBorder="1" applyAlignment="1">
      <alignment horizontal="center"/>
    </xf>
    <xf numFmtId="166" fontId="42" fillId="2" borderId="27" xfId="1" applyNumberFormat="1" applyFont="1" applyFill="1" applyBorder="1" applyAlignment="1">
      <alignment horizontal="center"/>
    </xf>
    <xf numFmtId="166" fontId="42" fillId="2" borderId="31" xfId="1" applyNumberFormat="1" applyFont="1" applyFill="1" applyBorder="1" applyAlignment="1">
      <alignment horizontal="center"/>
    </xf>
    <xf numFmtId="166" fontId="44" fillId="13" borderId="25" xfId="1" applyNumberFormat="1" applyFont="1" applyFill="1" applyBorder="1" applyAlignment="1">
      <alignment vertical="center"/>
    </xf>
    <xf numFmtId="0" fontId="42" fillId="10" borderId="1" xfId="9" applyFont="1" applyFill="1" applyBorder="1" applyAlignment="1">
      <alignment horizontal="center" vertical="center"/>
    </xf>
    <xf numFmtId="0" fontId="42" fillId="10" borderId="24" xfId="9" applyFont="1" applyFill="1" applyBorder="1" applyAlignment="1">
      <alignment horizontal="center" vertical="center"/>
    </xf>
    <xf numFmtId="0" fontId="42" fillId="10" borderId="69" xfId="9" applyFont="1" applyFill="1" applyBorder="1" applyAlignment="1">
      <alignment horizontal="center" vertical="center"/>
    </xf>
    <xf numFmtId="0" fontId="42" fillId="10" borderId="2" xfId="9" applyFont="1" applyFill="1" applyBorder="1" applyAlignment="1">
      <alignment horizontal="center" vertical="center"/>
    </xf>
    <xf numFmtId="0" fontId="42" fillId="10" borderId="3" xfId="9" applyFont="1" applyFill="1" applyBorder="1" applyAlignment="1">
      <alignment horizontal="center" vertical="center"/>
    </xf>
    <xf numFmtId="0" fontId="42" fillId="10" borderId="4" xfId="9" applyFont="1" applyFill="1" applyBorder="1" applyAlignment="1">
      <alignment horizontal="center" vertical="center"/>
    </xf>
    <xf numFmtId="0" fontId="42" fillId="10" borderId="41" xfId="9" applyFont="1" applyFill="1" applyBorder="1" applyAlignment="1">
      <alignment horizontal="center" vertical="center"/>
    </xf>
    <xf numFmtId="0" fontId="42" fillId="10" borderId="0" xfId="9" applyFont="1" applyFill="1" applyAlignment="1">
      <alignment horizontal="center" vertical="center"/>
    </xf>
    <xf numFmtId="0" fontId="42" fillId="10" borderId="42" xfId="9" applyFont="1" applyFill="1" applyBorder="1" applyAlignment="1">
      <alignment horizontal="center" vertical="center"/>
    </xf>
    <xf numFmtId="0" fontId="42" fillId="10" borderId="64" xfId="9" applyFont="1" applyFill="1" applyBorder="1" applyAlignment="1">
      <alignment horizontal="center" vertical="center"/>
    </xf>
    <xf numFmtId="0" fontId="42" fillId="10" borderId="65" xfId="9" applyFont="1" applyFill="1" applyBorder="1" applyAlignment="1">
      <alignment horizontal="center" vertical="center"/>
    </xf>
    <xf numFmtId="0" fontId="42" fillId="10" borderId="66" xfId="9" applyFont="1" applyFill="1" applyBorder="1" applyAlignment="1">
      <alignment horizontal="center" vertical="center"/>
    </xf>
    <xf numFmtId="0" fontId="42" fillId="10" borderId="59" xfId="0" applyFont="1" applyFill="1" applyBorder="1" applyAlignment="1">
      <alignment horizontal="center" vertical="center"/>
    </xf>
    <xf numFmtId="0" fontId="42" fillId="10" borderId="44" xfId="0" applyFont="1" applyFill="1" applyBorder="1" applyAlignment="1">
      <alignment horizontal="center" vertical="center" wrapText="1"/>
    </xf>
    <xf numFmtId="0" fontId="42" fillId="10" borderId="63" xfId="0" applyFont="1" applyFill="1" applyBorder="1" applyAlignment="1">
      <alignment horizontal="center" vertical="center" wrapText="1"/>
    </xf>
    <xf numFmtId="0" fontId="42" fillId="10" borderId="39" xfId="9" applyFont="1" applyFill="1" applyBorder="1" applyAlignment="1">
      <alignment horizontal="center" vertical="center"/>
    </xf>
    <xf numFmtId="0" fontId="42" fillId="10" borderId="6" xfId="9" applyFont="1" applyFill="1" applyBorder="1" applyAlignment="1">
      <alignment horizontal="center" vertical="center" wrapText="1"/>
    </xf>
    <xf numFmtId="0" fontId="42" fillId="10" borderId="73" xfId="9" applyFont="1" applyFill="1" applyBorder="1" applyAlignment="1">
      <alignment horizontal="center" vertical="center" wrapText="1"/>
    </xf>
    <xf numFmtId="0" fontId="42" fillId="10" borderId="5" xfId="9" applyFont="1" applyFill="1" applyBorder="1" applyAlignment="1">
      <alignment horizontal="center" vertical="center"/>
    </xf>
    <xf numFmtId="0" fontId="42" fillId="10" borderId="43" xfId="9" applyFont="1" applyFill="1" applyBorder="1" applyAlignment="1">
      <alignment horizontal="center" vertical="center"/>
    </xf>
    <xf numFmtId="0" fontId="42" fillId="10" borderId="63" xfId="9" applyFont="1" applyFill="1" applyBorder="1" applyAlignment="1">
      <alignment horizontal="center" vertical="center"/>
    </xf>
    <xf numFmtId="0" fontId="42" fillId="10" borderId="5" xfId="9" applyFont="1" applyFill="1" applyBorder="1" applyAlignment="1">
      <alignment horizontal="center" vertical="center" wrapText="1"/>
    </xf>
    <xf numFmtId="0" fontId="42" fillId="10" borderId="44" xfId="9" applyFont="1" applyFill="1" applyBorder="1" applyAlignment="1">
      <alignment horizontal="center" vertical="center" wrapText="1"/>
    </xf>
    <xf numFmtId="0" fontId="42" fillId="10" borderId="63" xfId="9" applyFont="1" applyFill="1" applyBorder="1" applyAlignment="1">
      <alignment horizontal="center" vertical="center" wrapText="1"/>
    </xf>
    <xf numFmtId="0" fontId="42" fillId="10" borderId="44" xfId="9" applyFont="1" applyFill="1" applyBorder="1" applyAlignment="1">
      <alignment horizontal="center" vertical="center"/>
    </xf>
    <xf numFmtId="0" fontId="46" fillId="0" borderId="81" xfId="8" applyFont="1" applyBorder="1" applyAlignment="1">
      <alignment horizontal="left" vertical="center"/>
    </xf>
    <xf numFmtId="0" fontId="46" fillId="0" borderId="82" xfId="8" applyFont="1" applyBorder="1" applyAlignment="1">
      <alignment horizontal="left" vertical="center"/>
    </xf>
    <xf numFmtId="0" fontId="46" fillId="0" borderId="88" xfId="8" applyFont="1" applyBorder="1" applyAlignment="1">
      <alignment horizontal="left" vertical="center"/>
    </xf>
    <xf numFmtId="0" fontId="50" fillId="0" borderId="98" xfId="8" applyFont="1" applyBorder="1" applyAlignment="1">
      <alignment vertical="top" wrapText="1"/>
    </xf>
    <xf numFmtId="0" fontId="50" fillId="0" borderId="50" xfId="8" applyFont="1" applyBorder="1" applyAlignment="1">
      <alignment vertical="top" wrapText="1"/>
    </xf>
    <xf numFmtId="0" fontId="50" fillId="0" borderId="51" xfId="8" applyFont="1" applyBorder="1" applyAlignment="1">
      <alignment vertical="top" wrapText="1"/>
    </xf>
    <xf numFmtId="0" fontId="50" fillId="0" borderId="48" xfId="8" applyFont="1" applyBorder="1" applyAlignment="1">
      <alignment vertical="top" wrapText="1"/>
    </xf>
    <xf numFmtId="0" fontId="50" fillId="0" borderId="0" xfId="8" applyFont="1" applyAlignment="1">
      <alignment vertical="top" wrapText="1"/>
    </xf>
    <xf numFmtId="0" fontId="50" fillId="0" borderId="42" xfId="8" applyFont="1" applyBorder="1" applyAlignment="1">
      <alignment vertical="top" wrapText="1"/>
    </xf>
    <xf numFmtId="0" fontId="50" fillId="0" borderId="58" xfId="8" applyFont="1" applyBorder="1" applyAlignment="1">
      <alignment vertical="top" wrapText="1"/>
    </xf>
    <xf numFmtId="0" fontId="50" fillId="0" borderId="9" xfId="8" applyFont="1" applyBorder="1" applyAlignment="1">
      <alignment vertical="top" wrapText="1"/>
    </xf>
    <xf numFmtId="0" fontId="50" fillId="0" borderId="10" xfId="8" applyFont="1" applyBorder="1" applyAlignment="1">
      <alignment vertical="top" wrapText="1"/>
    </xf>
    <xf numFmtId="166" fontId="46" fillId="0" borderId="44" xfId="19" applyNumberFormat="1" applyFont="1" applyFill="1" applyBorder="1" applyAlignment="1">
      <alignment horizontal="center" vertical="center"/>
    </xf>
    <xf numFmtId="166" fontId="46" fillId="0" borderId="43" xfId="19" applyNumberFormat="1" applyFont="1" applyFill="1" applyBorder="1" applyAlignment="1">
      <alignment horizontal="center" vertical="center"/>
    </xf>
    <xf numFmtId="166" fontId="46" fillId="0" borderId="21" xfId="19" applyNumberFormat="1" applyFont="1" applyFill="1" applyBorder="1" applyAlignment="1">
      <alignment horizontal="center" vertical="center"/>
    </xf>
    <xf numFmtId="166" fontId="46" fillId="0" borderId="44" xfId="19" applyNumberFormat="1" applyFont="1" applyBorder="1" applyAlignment="1">
      <alignment horizontal="center" vertical="center"/>
    </xf>
    <xf numFmtId="166" fontId="46" fillId="0" borderId="43" xfId="19" applyNumberFormat="1" applyFont="1" applyBorder="1" applyAlignment="1">
      <alignment horizontal="center" vertical="center"/>
    </xf>
    <xf numFmtId="166" fontId="46" fillId="0" borderId="21" xfId="19" applyNumberFormat="1" applyFont="1" applyBorder="1" applyAlignment="1">
      <alignment horizontal="center" vertical="center"/>
    </xf>
    <xf numFmtId="166" fontId="46" fillId="0" borderId="45" xfId="19" applyNumberFormat="1" applyFont="1" applyBorder="1" applyAlignment="1">
      <alignment horizontal="center" vertical="center"/>
    </xf>
    <xf numFmtId="166" fontId="46" fillId="0" borderId="47" xfId="19" applyNumberFormat="1" applyFont="1" applyBorder="1" applyAlignment="1">
      <alignment horizontal="center" vertical="center"/>
    </xf>
    <xf numFmtId="166" fontId="46" fillId="0" borderId="23" xfId="19" applyNumberFormat="1" applyFont="1" applyBorder="1" applyAlignment="1">
      <alignment horizontal="center" vertical="center"/>
    </xf>
    <xf numFmtId="0" fontId="46" fillId="0" borderId="26" xfId="8" applyFont="1" applyBorder="1" applyAlignment="1">
      <alignment horizontal="left" vertical="center"/>
    </xf>
    <xf numFmtId="0" fontId="46" fillId="0" borderId="29" xfId="8" applyFont="1" applyBorder="1" applyAlignment="1">
      <alignment horizontal="left" vertical="center"/>
    </xf>
    <xf numFmtId="0" fontId="46" fillId="0" borderId="30" xfId="8" applyFont="1" applyBorder="1" applyAlignment="1">
      <alignment horizontal="left" vertical="center"/>
    </xf>
    <xf numFmtId="0" fontId="47" fillId="0" borderId="0" xfId="8" applyFont="1" applyAlignment="1">
      <alignment horizontal="left" vertical="top"/>
    </xf>
    <xf numFmtId="0" fontId="47" fillId="0" borderId="0" xfId="8" applyFont="1" applyAlignment="1">
      <alignment horizontal="left" vertical="top" wrapText="1"/>
    </xf>
    <xf numFmtId="0" fontId="47" fillId="0" borderId="0" xfId="8" applyFont="1" applyAlignment="1">
      <alignment horizontal="left" vertical="center"/>
    </xf>
    <xf numFmtId="0" fontId="49" fillId="0" borderId="68" xfId="8" applyFont="1" applyBorder="1" applyAlignment="1">
      <alignment horizontal="center" vertical="center"/>
    </xf>
    <xf numFmtId="0" fontId="49" fillId="0" borderId="99" xfId="8" applyFont="1" applyBorder="1" applyAlignment="1">
      <alignment horizontal="center" vertical="center"/>
    </xf>
    <xf numFmtId="0" fontId="49" fillId="0" borderId="100" xfId="8" applyFont="1" applyBorder="1" applyAlignment="1">
      <alignment horizontal="center" vertical="center"/>
    </xf>
    <xf numFmtId="0" fontId="49" fillId="0" borderId="52" xfId="8" applyFont="1" applyBorder="1" applyAlignment="1">
      <alignment horizontal="left" vertical="center" wrapText="1"/>
    </xf>
    <xf numFmtId="0" fontId="49" fillId="0" borderId="53" xfId="8" applyFont="1" applyBorder="1" applyAlignment="1">
      <alignment horizontal="left" vertical="center" wrapText="1"/>
    </xf>
    <xf numFmtId="0" fontId="49" fillId="0" borderId="101" xfId="8" applyFont="1" applyBorder="1" applyAlignment="1">
      <alignment horizontal="left" vertical="center" wrapText="1"/>
    </xf>
    <xf numFmtId="166" fontId="11" fillId="0" borderId="49" xfId="3" applyNumberFormat="1" applyFont="1" applyFill="1" applyBorder="1" applyAlignment="1">
      <alignment horizontal="center" vertical="center"/>
    </xf>
    <xf numFmtId="166" fontId="11" fillId="0" borderId="50" xfId="3" applyNumberFormat="1" applyFont="1" applyFill="1" applyBorder="1" applyAlignment="1">
      <alignment horizontal="center" vertical="center"/>
    </xf>
    <xf numFmtId="166" fontId="11" fillId="0" borderId="49" xfId="3" applyNumberFormat="1" applyFont="1" applyFill="1" applyBorder="1" applyAlignment="1">
      <alignment horizontal="center"/>
    </xf>
    <xf numFmtId="166" fontId="11" fillId="0" borderId="50" xfId="3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166" fontId="11" fillId="2" borderId="49" xfId="3" applyNumberFormat="1" applyFont="1" applyFill="1" applyBorder="1" applyAlignment="1">
      <alignment horizontal="center" vertical="center"/>
    </xf>
    <xf numFmtId="166" fontId="11" fillId="2" borderId="5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66" fontId="11" fillId="2" borderId="52" xfId="3" applyNumberFormat="1" applyFont="1" applyFill="1" applyBorder="1" applyAlignment="1">
      <alignment horizontal="center" vertical="center"/>
    </xf>
    <xf numFmtId="166" fontId="11" fillId="2" borderId="53" xfId="3" applyNumberFormat="1" applyFont="1" applyFill="1" applyBorder="1" applyAlignment="1">
      <alignment horizontal="center" vertical="center"/>
    </xf>
    <xf numFmtId="166" fontId="11" fillId="0" borderId="13" xfId="3" applyNumberFormat="1" applyFont="1" applyFill="1" applyBorder="1" applyAlignment="1">
      <alignment horizontal="center" vertical="center"/>
    </xf>
    <xf numFmtId="166" fontId="11" fillId="0" borderId="14" xfId="3" applyNumberFormat="1" applyFont="1" applyFill="1" applyBorder="1" applyAlignment="1">
      <alignment horizontal="center" vertical="center"/>
    </xf>
    <xf numFmtId="166" fontId="11" fillId="2" borderId="13" xfId="3" applyNumberFormat="1" applyFont="1" applyFill="1" applyBorder="1" applyAlignment="1">
      <alignment horizontal="center" vertical="center"/>
    </xf>
    <xf numFmtId="166" fontId="11" fillId="2" borderId="14" xfId="3" applyNumberFormat="1" applyFont="1" applyFill="1" applyBorder="1" applyAlignment="1">
      <alignment horizontal="center" vertical="center"/>
    </xf>
    <xf numFmtId="166" fontId="11" fillId="2" borderId="2" xfId="3" applyNumberFormat="1" applyFont="1" applyFill="1" applyBorder="1" applyAlignment="1">
      <alignment horizontal="center" vertical="center"/>
    </xf>
    <xf numFmtId="166" fontId="11" fillId="2" borderId="3" xfId="3" applyNumberFormat="1" applyFont="1" applyFill="1" applyBorder="1" applyAlignment="1">
      <alignment horizontal="center" vertical="center"/>
    </xf>
    <xf numFmtId="166" fontId="27" fillId="2" borderId="2" xfId="3" applyNumberFormat="1" applyFont="1" applyFill="1" applyBorder="1" applyAlignment="1">
      <alignment horizontal="center" vertical="center"/>
    </xf>
    <xf numFmtId="166" fontId="27" fillId="2" borderId="3" xfId="3" applyNumberFormat="1" applyFont="1" applyFill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38" fillId="0" borderId="7" xfId="2" applyFont="1" applyBorder="1" applyAlignment="1">
      <alignment horizontal="center" vertical="center"/>
    </xf>
    <xf numFmtId="0" fontId="38" fillId="0" borderId="2" xfId="2" applyFont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38" fillId="0" borderId="4" xfId="2" applyFont="1" applyBorder="1" applyAlignment="1">
      <alignment horizontal="center" vertical="center"/>
    </xf>
    <xf numFmtId="0" fontId="38" fillId="0" borderId="8" xfId="2" applyFont="1" applyBorder="1" applyAlignment="1">
      <alignment horizontal="center" vertical="center"/>
    </xf>
    <xf numFmtId="0" fontId="38" fillId="0" borderId="9" xfId="2" applyFont="1" applyBorder="1" applyAlignment="1">
      <alignment horizontal="center" vertical="center"/>
    </xf>
    <xf numFmtId="0" fontId="38" fillId="0" borderId="10" xfId="2" applyFont="1" applyBorder="1" applyAlignment="1">
      <alignment horizontal="center" vertical="center"/>
    </xf>
    <xf numFmtId="0" fontId="38" fillId="0" borderId="5" xfId="2" applyFont="1" applyBorder="1" applyAlignment="1">
      <alignment horizontal="center" vertical="center"/>
    </xf>
    <xf numFmtId="0" fontId="38" fillId="0" borderId="11" xfId="2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4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2" fillId="2" borderId="26" xfId="0" applyFont="1" applyFill="1" applyBorder="1" applyAlignment="1">
      <alignment vertical="center"/>
    </xf>
  </cellXfs>
  <cellStyles count="20">
    <cellStyle name="Bad 3" xfId="12" xr:uid="{B02519DA-2003-4B0F-AAA7-7CEA3AD825A0}"/>
    <cellStyle name="Comma" xfId="1" builtinId="3"/>
    <cellStyle name="Comma [0] 3" xfId="11" xr:uid="{31DF06D8-4C52-4BEB-8C99-2C728E477801}"/>
    <cellStyle name="Comma 2" xfId="3" xr:uid="{873083E9-AB01-4D2A-B093-3F3A2ECE8675}"/>
    <cellStyle name="Comma 2 2" xfId="4" xr:uid="{2C56A81B-5620-47D9-98CC-A8A58B292336}"/>
    <cellStyle name="Comma 2 2 2" xfId="7" xr:uid="{FBCC68F7-6736-416D-9399-12452889FD82}"/>
    <cellStyle name="Comma 3" xfId="19" xr:uid="{57E8AAB1-232B-4C8E-88E2-C54389D88B40}"/>
    <cellStyle name="Comma 3 2" xfId="15" xr:uid="{171E1BE4-4FF7-45CB-A8B6-327C266BF3F3}"/>
    <cellStyle name="Normal" xfId="0" builtinId="0"/>
    <cellStyle name="Normal - Style1" xfId="9" xr:uid="{846F0ECB-F5C3-4D15-8F24-3B00247C1DA0}"/>
    <cellStyle name="Normal 106 2 2 2 2 2" xfId="6" xr:uid="{38FFA86B-AE92-46EE-97E4-D11ECE363FB2}"/>
    <cellStyle name="Normal 12" xfId="14" xr:uid="{E1420800-B95A-4A37-9329-34FC6B582376}"/>
    <cellStyle name="Normal 12 2 4" xfId="17" xr:uid="{2AED5241-0E7A-4511-BBED-A75C02D107AA}"/>
    <cellStyle name="Normal 2" xfId="2" xr:uid="{4AD34303-72A6-4EA0-8A71-B8FD7764E261}"/>
    <cellStyle name="Normal 29 2" xfId="18" xr:uid="{CCCBC4B0-E5D0-4521-85EF-6B0EFA42DE4D}"/>
    <cellStyle name="Normal 3" xfId="5" xr:uid="{C8DA23FF-BFDE-4FF8-B22B-D2AF7E80FCD1}"/>
    <cellStyle name="Normal 3 2" xfId="16" xr:uid="{6692D2AA-BB9E-49C6-9790-E31605679A7A}"/>
    <cellStyle name="Normal 4" xfId="8" xr:uid="{8D9AB111-ECF7-45E8-9C46-01D5CC63B9F9}"/>
    <cellStyle name="Normal 8 4" xfId="10" xr:uid="{45EB2D70-5701-49C5-9AA2-402E6E6288CD}"/>
    <cellStyle name="Percent 2 2" xfId="13" xr:uid="{65966068-C863-488A-9140-01FCC6E7951B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9F2FB"/>
      <color rgb="FFF9E7F7"/>
      <color rgb="FFF5F9FD"/>
      <color rgb="FFFFFFAF"/>
      <color rgb="FFE6F0FA"/>
      <color rgb="FFFDF2ED"/>
      <color rgb="FFEEF5FC"/>
      <color rgb="FFFCECE4"/>
      <color rgb="FFFDF0E9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123816</xdr:colOff>
      <xdr:row>2</xdr:row>
      <xdr:rowOff>147159</xdr:rowOff>
    </xdr:from>
    <xdr:ext cx="2336146" cy="413977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1213DD49-1C9B-498E-A158-D1A336AF4CE7}"/>
            </a:ext>
          </a:extLst>
        </xdr:cNvPr>
        <xdr:cNvSpPr txBox="1"/>
      </xdr:nvSpPr>
      <xdr:spPr>
        <a:xfrm>
          <a:off x="9603096" y="512919"/>
          <a:ext cx="2336146" cy="4139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algn="r" rtl="0"/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UIW NTT</a:t>
          </a:r>
          <a:endParaRPr lang="id-ID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/>
          <a:r>
            <a:rPr lang="en-US" sz="1100" b="1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UP3 KUPANG</a:t>
          </a:r>
          <a:endParaRPr lang="id-ID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933561</xdr:colOff>
      <xdr:row>0</xdr:row>
      <xdr:rowOff>83527</xdr:rowOff>
    </xdr:from>
    <xdr:ext cx="1429791" cy="450567"/>
    <xdr:pic>
      <xdr:nvPicPr>
        <xdr:cNvPr id="3" name="image2.png">
          <a:extLst>
            <a:ext uri="{FF2B5EF4-FFF2-40B4-BE49-F238E27FC236}">
              <a16:creationId xmlns:a16="http://schemas.microsoft.com/office/drawing/2014/main" id="{D6959675-846C-4087-898E-1872DE4DDF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12841" y="83527"/>
          <a:ext cx="1429791" cy="450567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46160</xdr:colOff>
      <xdr:row>0</xdr:row>
      <xdr:rowOff>105507</xdr:rowOff>
    </xdr:from>
    <xdr:to>
      <xdr:col>9</xdr:col>
      <xdr:colOff>1083416</xdr:colOff>
      <xdr:row>3</xdr:row>
      <xdr:rowOff>130544</xdr:rowOff>
    </xdr:to>
    <xdr:pic>
      <xdr:nvPicPr>
        <xdr:cNvPr id="4" name="Gambar 1">
          <a:extLst>
            <a:ext uri="{FF2B5EF4-FFF2-40B4-BE49-F238E27FC236}">
              <a16:creationId xmlns:a16="http://schemas.microsoft.com/office/drawing/2014/main" id="{D84D4C59-A2DA-4F5A-BE98-92802B430A50}"/>
            </a:ext>
            <a:ext uri="{147F2762-F138-4A5C-976F-8EAC2B608ADB}">
              <a16:predDERef xmlns:a16="http://schemas.microsoft.com/office/drawing/2014/main" pred="{5B4B75B3-2905-488D-BBFF-D4877372CF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700" y="105507"/>
          <a:ext cx="9143031" cy="56224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16386</xdr:colOff>
      <xdr:row>0</xdr:row>
      <xdr:rowOff>59904</xdr:rowOff>
    </xdr:from>
    <xdr:to>
      <xdr:col>13</xdr:col>
      <xdr:colOff>1044365</xdr:colOff>
      <xdr:row>3</xdr:row>
      <xdr:rowOff>135960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9A8A3E5-FF31-42A8-81E3-9D2E667480F1}"/>
            </a:ext>
          </a:extLst>
        </xdr:cNvPr>
        <xdr:cNvGrpSpPr/>
      </xdr:nvGrpSpPr>
      <xdr:grpSpPr>
        <a:xfrm>
          <a:off x="20196" y="56094"/>
          <a:ext cx="13017573" cy="611837"/>
          <a:chOff x="-164370" y="189306"/>
          <a:chExt cx="10679623" cy="992971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EB8BFFDF-417E-A32F-9BF1-63111EF6DF28}"/>
              </a:ext>
            </a:extLst>
          </xdr:cNvPr>
          <xdr:cNvSpPr txBox="1">
            <a:spLocks noChangeArrowheads="1"/>
          </xdr:cNvSpPr>
        </xdr:nvSpPr>
        <xdr:spPr>
          <a:xfrm>
            <a:off x="9632304" y="781642"/>
            <a:ext cx="882949" cy="40063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wrap="square" lIns="91440" tIns="45720" rIns="91440" bIns="45720" anchor="ctr" upright="1">
            <a:noAutofit/>
          </a:bodyPr>
          <a:lstStyle/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UIW NTT</a:t>
            </a:r>
          </a:p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UP3 KUPANG</a:t>
            </a:r>
          </a:p>
        </xdr:txBody>
      </xdr:sp>
      <xdr:pic>
        <xdr:nvPicPr>
          <xdr:cNvPr id="4" name="Picture 24">
            <a:extLst>
              <a:ext uri="{FF2B5EF4-FFF2-40B4-BE49-F238E27FC236}">
                <a16:creationId xmlns:a16="http://schemas.microsoft.com/office/drawing/2014/main" id="{EF61CBD1-4FD4-EBFA-F8BB-85FD8FC814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7892"/>
          <a:stretch>
            <a:fillRect/>
          </a:stretch>
        </xdr:blipFill>
        <xdr:spPr>
          <a:xfrm>
            <a:off x="-164370" y="189306"/>
            <a:ext cx="9618568" cy="635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" descr="Hasil gambar untuk logo pln">
            <a:extLst>
              <a:ext uri="{FF2B5EF4-FFF2-40B4-BE49-F238E27FC236}">
                <a16:creationId xmlns:a16="http://schemas.microsoft.com/office/drawing/2014/main" id="{45EE89DD-9700-0B4F-8731-A726E2BAFB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r:link="rId3" cstate="print"/>
          <a:srcRect/>
          <a:stretch>
            <a:fillRect/>
          </a:stretch>
        </xdr:blipFill>
        <xdr:spPr>
          <a:xfrm>
            <a:off x="9619938" y="190182"/>
            <a:ext cx="795510" cy="54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20196</xdr:colOff>
      <xdr:row>0</xdr:row>
      <xdr:rowOff>56094</xdr:rowOff>
    </xdr:from>
    <xdr:to>
      <xdr:col>13</xdr:col>
      <xdr:colOff>1048175</xdr:colOff>
      <xdr:row>3</xdr:row>
      <xdr:rowOff>132150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779CC37-67D0-42B7-9493-AFDA5077CA10}"/>
            </a:ext>
          </a:extLst>
        </xdr:cNvPr>
        <xdr:cNvGrpSpPr/>
      </xdr:nvGrpSpPr>
      <xdr:grpSpPr>
        <a:xfrm>
          <a:off x="16386" y="59904"/>
          <a:ext cx="12870729" cy="615806"/>
          <a:chOff x="-164370" y="189306"/>
          <a:chExt cx="10679623" cy="992971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304D413D-A8B5-751E-3A2D-D186EE87649D}"/>
              </a:ext>
            </a:extLst>
          </xdr:cNvPr>
          <xdr:cNvSpPr txBox="1">
            <a:spLocks noChangeArrowheads="1"/>
          </xdr:cNvSpPr>
        </xdr:nvSpPr>
        <xdr:spPr>
          <a:xfrm>
            <a:off x="9632304" y="781642"/>
            <a:ext cx="882949" cy="40063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wrap="square" lIns="91440" tIns="45720" rIns="91440" bIns="45720" anchor="ctr" upright="1">
            <a:noAutofit/>
          </a:bodyPr>
          <a:lstStyle/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UIW NTT</a:t>
            </a:r>
          </a:p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UP3 KUPANG</a:t>
            </a:r>
          </a:p>
        </xdr:txBody>
      </xdr:sp>
      <xdr:pic>
        <xdr:nvPicPr>
          <xdr:cNvPr id="4" name="Picture 24">
            <a:extLst>
              <a:ext uri="{FF2B5EF4-FFF2-40B4-BE49-F238E27FC236}">
                <a16:creationId xmlns:a16="http://schemas.microsoft.com/office/drawing/2014/main" id="{220FA303-5540-9B0A-F2E5-1B4C2008D1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7892"/>
          <a:stretch>
            <a:fillRect/>
          </a:stretch>
        </xdr:blipFill>
        <xdr:spPr>
          <a:xfrm>
            <a:off x="-164370" y="189306"/>
            <a:ext cx="9618568" cy="635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" descr="Hasil gambar untuk logo pln">
            <a:extLst>
              <a:ext uri="{FF2B5EF4-FFF2-40B4-BE49-F238E27FC236}">
                <a16:creationId xmlns:a16="http://schemas.microsoft.com/office/drawing/2014/main" id="{CF2D957F-58E8-B558-590D-E31FB1FEB9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r:link="rId3" cstate="print"/>
          <a:srcRect/>
          <a:stretch>
            <a:fillRect/>
          </a:stretch>
        </xdr:blipFill>
        <xdr:spPr>
          <a:xfrm>
            <a:off x="9619938" y="190182"/>
            <a:ext cx="795510" cy="54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16386</xdr:colOff>
      <xdr:row>0</xdr:row>
      <xdr:rowOff>59904</xdr:rowOff>
    </xdr:from>
    <xdr:to>
      <xdr:col>13</xdr:col>
      <xdr:colOff>1044365</xdr:colOff>
      <xdr:row>3</xdr:row>
      <xdr:rowOff>135960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91DC853-7B5A-43AC-B79F-784AD7E51917}"/>
            </a:ext>
          </a:extLst>
        </xdr:cNvPr>
        <xdr:cNvGrpSpPr/>
      </xdr:nvGrpSpPr>
      <xdr:grpSpPr>
        <a:xfrm>
          <a:off x="20196" y="56094"/>
          <a:ext cx="12870729" cy="615806"/>
          <a:chOff x="-164370" y="189306"/>
          <a:chExt cx="10679623" cy="992971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85ED2331-9D0C-EF47-E1F2-09D17322C800}"/>
              </a:ext>
            </a:extLst>
          </xdr:cNvPr>
          <xdr:cNvSpPr txBox="1">
            <a:spLocks noChangeArrowheads="1"/>
          </xdr:cNvSpPr>
        </xdr:nvSpPr>
        <xdr:spPr>
          <a:xfrm>
            <a:off x="9632304" y="781642"/>
            <a:ext cx="882949" cy="40063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wrap="square" lIns="91440" tIns="45720" rIns="91440" bIns="45720" anchor="ctr" upright="1">
            <a:noAutofit/>
          </a:bodyPr>
          <a:lstStyle/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UIW NTT</a:t>
            </a:r>
          </a:p>
          <a:p>
            <a:pPr algn="r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UP3 KUPANG</a:t>
            </a:r>
          </a:p>
        </xdr:txBody>
      </xdr:sp>
      <xdr:pic>
        <xdr:nvPicPr>
          <xdr:cNvPr id="4" name="Picture 24">
            <a:extLst>
              <a:ext uri="{FF2B5EF4-FFF2-40B4-BE49-F238E27FC236}">
                <a16:creationId xmlns:a16="http://schemas.microsoft.com/office/drawing/2014/main" id="{FD02C768-CC64-DD33-8005-669EA289B4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7892"/>
          <a:stretch>
            <a:fillRect/>
          </a:stretch>
        </xdr:blipFill>
        <xdr:spPr>
          <a:xfrm>
            <a:off x="-164370" y="189306"/>
            <a:ext cx="9618568" cy="635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" descr="Hasil gambar untuk logo pln">
            <a:extLst>
              <a:ext uri="{FF2B5EF4-FFF2-40B4-BE49-F238E27FC236}">
                <a16:creationId xmlns:a16="http://schemas.microsoft.com/office/drawing/2014/main" id="{6EF3AA9C-215C-683A-18BC-00A13C313D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r:link="rId3" cstate="print"/>
          <a:srcRect/>
          <a:stretch>
            <a:fillRect/>
          </a:stretch>
        </xdr:blipFill>
        <xdr:spPr>
          <a:xfrm>
            <a:off x="9619938" y="190182"/>
            <a:ext cx="795510" cy="54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4BBD0F-041E-46BA-A9AC-C1BA10450CCB}">
  <we:reference id="WA200004935" version="6.0.0.0" store="Omex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41AA-057C-4B01-8AE1-98BF558C5F33}">
  <sheetPr>
    <tabColor rgb="FF92D050"/>
  </sheetPr>
  <dimension ref="B2:R21"/>
  <sheetViews>
    <sheetView showGridLines="0" zoomScale="90" zoomScaleNormal="90" zoomScaleSheetLayoutView="115" workbookViewId="0">
      <selection activeCell="Q8" sqref="Q8"/>
    </sheetView>
  </sheetViews>
  <sheetFormatPr defaultColWidth="8.69921875" defaultRowHeight="14.4" x14ac:dyDescent="0.3"/>
  <cols>
    <col min="1" max="1" width="1.69921875" style="300" customWidth="1"/>
    <col min="2" max="2" width="5.19921875" style="300" customWidth="1"/>
    <col min="3" max="3" width="6.19921875" style="300" customWidth="1"/>
    <col min="4" max="4" width="6.69921875" style="300" customWidth="1"/>
    <col min="5" max="5" width="2.09765625" style="300" customWidth="1"/>
    <col min="6" max="6" width="39.19921875" style="300" customWidth="1"/>
    <col min="7" max="7" width="10.3984375" style="300" customWidth="1"/>
    <col min="8" max="8" width="20.19921875" style="300" customWidth="1"/>
    <col min="9" max="12" width="16.19921875" style="300" customWidth="1"/>
    <col min="13" max="13" width="2.09765625" style="300" customWidth="1"/>
    <col min="14" max="14" width="2.69921875" style="300" customWidth="1"/>
    <col min="15" max="15" width="11.69921875" style="300" customWidth="1"/>
    <col min="16" max="16" width="4.59765625" style="300" bestFit="1" customWidth="1"/>
    <col min="17" max="17" width="25.5" style="300" customWidth="1"/>
    <col min="18" max="18" width="2.09765625" style="300" customWidth="1"/>
    <col min="19" max="16384" width="8.69921875" style="300"/>
  </cols>
  <sheetData>
    <row r="2" spans="2:18" x14ac:dyDescent="0.3">
      <c r="N2" s="327"/>
      <c r="O2" s="327"/>
      <c r="P2" s="327"/>
      <c r="Q2" s="327"/>
      <c r="R2" s="327"/>
    </row>
    <row r="3" spans="2:18" x14ac:dyDescent="0.3">
      <c r="F3" s="326"/>
      <c r="N3" s="327"/>
      <c r="O3" s="328" t="s">
        <v>2300</v>
      </c>
      <c r="P3" s="329"/>
      <c r="Q3" s="330"/>
      <c r="R3" s="327"/>
    </row>
    <row r="4" spans="2:18" x14ac:dyDescent="0.3">
      <c r="N4" s="327"/>
      <c r="O4" s="331"/>
      <c r="P4" s="329" t="str">
        <f>IF(Q3="","",", ")</f>
        <v/>
      </c>
      <c r="Q4" s="330"/>
      <c r="R4" s="327"/>
    </row>
    <row r="5" spans="2:18" x14ac:dyDescent="0.3">
      <c r="N5" s="327"/>
      <c r="O5" s="333"/>
      <c r="P5" s="329" t="str">
        <f>IF(Q5="",""," DAN ")</f>
        <v/>
      </c>
      <c r="Q5" s="330"/>
      <c r="R5" s="327"/>
    </row>
    <row r="6" spans="2:18" ht="18" x14ac:dyDescent="0.35">
      <c r="B6" s="301"/>
      <c r="C6" s="301"/>
      <c r="D6" s="301"/>
      <c r="E6" s="301"/>
      <c r="F6" s="302" t="s">
        <v>2301</v>
      </c>
      <c r="G6" s="332"/>
      <c r="H6" s="332"/>
      <c r="I6" s="332"/>
      <c r="J6" s="332"/>
      <c r="K6" s="332"/>
      <c r="L6" s="332"/>
      <c r="N6" s="327"/>
      <c r="O6" s="334" t="s">
        <v>2305</v>
      </c>
      <c r="P6" s="329"/>
      <c r="Q6" s="335"/>
      <c r="R6" s="327"/>
    </row>
    <row r="7" spans="2:18" ht="18" x14ac:dyDescent="0.35">
      <c r="B7" s="301"/>
      <c r="C7" s="301"/>
      <c r="D7" s="301"/>
      <c r="E7" s="301"/>
      <c r="F7" s="302" t="s">
        <v>2302</v>
      </c>
      <c r="G7" s="332"/>
      <c r="H7" s="332"/>
      <c r="I7" s="332"/>
      <c r="J7" s="332"/>
      <c r="K7" s="332"/>
      <c r="L7" s="332"/>
      <c r="N7" s="327"/>
      <c r="O7" s="336" t="s">
        <v>2307</v>
      </c>
      <c r="P7" s="337"/>
      <c r="Q7" s="330"/>
      <c r="R7" s="327"/>
    </row>
    <row r="8" spans="2:18" ht="33" customHeight="1" x14ac:dyDescent="0.3">
      <c r="B8" s="642" t="s">
        <v>2303</v>
      </c>
      <c r="C8" s="642"/>
      <c r="D8" s="642"/>
      <c r="E8" s="349" t="s">
        <v>2304</v>
      </c>
      <c r="F8" s="643" t="str">
        <f>_xlfn.CONCAT(Q3,P4,Q4,P5,Q5," UNTUK ",Q6," LOKASI ",Q7)</f>
        <v xml:space="preserve"> UNTUK  LOKASI </v>
      </c>
      <c r="G8" s="643"/>
      <c r="H8" s="643"/>
      <c r="I8" s="643"/>
      <c r="J8" s="643"/>
      <c r="K8" s="643"/>
      <c r="L8" s="643"/>
      <c r="N8" s="327"/>
      <c r="O8" s="336" t="s">
        <v>2308</v>
      </c>
      <c r="P8" s="337"/>
      <c r="Q8" s="330" t="s">
        <v>2345</v>
      </c>
      <c r="R8" s="327"/>
    </row>
    <row r="9" spans="2:18" ht="18" customHeight="1" x14ac:dyDescent="0.3">
      <c r="B9" s="644" t="s">
        <v>2306</v>
      </c>
      <c r="C9" s="644"/>
      <c r="D9" s="644"/>
      <c r="E9" s="350" t="s">
        <v>2304</v>
      </c>
      <c r="F9" s="350" t="str">
        <f>Q8</f>
        <v>ULP KUPANG</v>
      </c>
      <c r="G9" s="350"/>
      <c r="H9" s="350"/>
      <c r="I9" s="350"/>
      <c r="J9" s="350"/>
      <c r="K9" s="350"/>
      <c r="L9" s="350"/>
      <c r="N9" s="327"/>
      <c r="O9" s="336" t="s">
        <v>2346</v>
      </c>
      <c r="P9" s="337"/>
      <c r="Q9" s="330" t="s">
        <v>620</v>
      </c>
      <c r="R9" s="327"/>
    </row>
    <row r="10" spans="2:18" ht="15" thickBot="1" x14ac:dyDescent="0.35">
      <c r="N10" s="327"/>
      <c r="O10" s="327"/>
      <c r="P10" s="327"/>
      <c r="Q10" s="327"/>
      <c r="R10" s="327"/>
    </row>
    <row r="11" spans="2:18" ht="36" customHeight="1" x14ac:dyDescent="0.3">
      <c r="B11" s="338" t="s">
        <v>631</v>
      </c>
      <c r="C11" s="645" t="s">
        <v>2309</v>
      </c>
      <c r="D11" s="646"/>
      <c r="E11" s="646"/>
      <c r="F11" s="647"/>
      <c r="G11" s="339" t="s">
        <v>633</v>
      </c>
      <c r="H11" s="339" t="s">
        <v>635</v>
      </c>
      <c r="I11" s="340" t="s">
        <v>2310</v>
      </c>
      <c r="J11" s="340" t="s">
        <v>2311</v>
      </c>
      <c r="K11" s="340" t="s">
        <v>2312</v>
      </c>
      <c r="L11" s="341" t="s">
        <v>2313</v>
      </c>
    </row>
    <row r="12" spans="2:18" ht="46.5" customHeight="1" x14ac:dyDescent="0.3">
      <c r="B12" s="303">
        <v>1</v>
      </c>
      <c r="C12" s="648" t="str">
        <f>F8&amp;" "&amp;F9</f>
        <v xml:space="preserve"> UNTUK  LOKASI  ULP KUPANG</v>
      </c>
      <c r="D12" s="649"/>
      <c r="E12" s="649"/>
      <c r="F12" s="650"/>
      <c r="G12" s="304"/>
      <c r="H12" s="304"/>
      <c r="I12" s="304"/>
      <c r="J12" s="304"/>
      <c r="K12" s="342"/>
      <c r="L12" s="343"/>
      <c r="N12" s="325"/>
      <c r="O12" s="325"/>
      <c r="P12" s="325"/>
      <c r="Q12" s="325"/>
    </row>
    <row r="13" spans="2:18" ht="21" customHeight="1" x14ac:dyDescent="0.3">
      <c r="B13" s="305"/>
      <c r="C13" s="322" t="s">
        <v>2267</v>
      </c>
      <c r="D13" s="323" t="s">
        <v>2314</v>
      </c>
      <c r="E13" s="323"/>
      <c r="F13" s="324"/>
      <c r="G13" s="304" t="s">
        <v>642</v>
      </c>
      <c r="H13" s="306">
        <f>'RAB Pasang'!F1050</f>
        <v>0</v>
      </c>
      <c r="I13" s="630">
        <f>'RAB Pasang'!L1062</f>
        <v>0</v>
      </c>
      <c r="J13" s="633">
        <f>SUM('RAB Pasang'!L1063:L1075)</f>
        <v>0</v>
      </c>
      <c r="K13" s="633">
        <f>'RAB Pasang'!M1076</f>
        <v>0</v>
      </c>
      <c r="L13" s="636">
        <f>SUM(I13:K15)</f>
        <v>0</v>
      </c>
      <c r="N13" s="325"/>
      <c r="O13" s="325"/>
      <c r="P13" s="325"/>
      <c r="Q13" s="325"/>
    </row>
    <row r="14" spans="2:18" ht="21" customHeight="1" x14ac:dyDescent="0.3">
      <c r="B14" s="305"/>
      <c r="C14" s="322" t="s">
        <v>2315</v>
      </c>
      <c r="D14" s="323" t="s">
        <v>2316</v>
      </c>
      <c r="E14" s="323"/>
      <c r="F14" s="324"/>
      <c r="G14" s="304" t="s">
        <v>1896</v>
      </c>
      <c r="H14" s="307">
        <f>'RAB Pasang'!G1052</f>
        <v>0</v>
      </c>
      <c r="I14" s="631"/>
      <c r="J14" s="634"/>
      <c r="K14" s="634"/>
      <c r="L14" s="637"/>
      <c r="N14" s="325"/>
      <c r="O14" s="325"/>
      <c r="P14" s="325"/>
      <c r="Q14" s="325"/>
    </row>
    <row r="15" spans="2:18" ht="21" customHeight="1" x14ac:dyDescent="0.3">
      <c r="B15" s="308"/>
      <c r="C15" s="322" t="s">
        <v>2317</v>
      </c>
      <c r="D15" s="323" t="s">
        <v>2318</v>
      </c>
      <c r="E15" s="323"/>
      <c r="F15" s="324"/>
      <c r="G15" s="304" t="s">
        <v>642</v>
      </c>
      <c r="H15" s="306">
        <f>'RAB Pasang'!H1051</f>
        <v>0</v>
      </c>
      <c r="I15" s="632"/>
      <c r="J15" s="635"/>
      <c r="K15" s="635"/>
      <c r="L15" s="638"/>
      <c r="N15" s="325"/>
      <c r="O15" s="325"/>
      <c r="P15" s="325"/>
      <c r="Q15" s="325"/>
    </row>
    <row r="16" spans="2:18" ht="21" customHeight="1" x14ac:dyDescent="0.3">
      <c r="B16" s="309">
        <v>2</v>
      </c>
      <c r="C16" s="639" t="s">
        <v>2319</v>
      </c>
      <c r="D16" s="640"/>
      <c r="E16" s="640"/>
      <c r="F16" s="641"/>
      <c r="G16" s="344" t="s">
        <v>2320</v>
      </c>
      <c r="H16" s="310">
        <f>IF(L16&gt;0,1,0)</f>
        <v>0</v>
      </c>
      <c r="I16" s="311"/>
      <c r="J16" s="311"/>
      <c r="K16" s="312">
        <f>'RAB Bongkar'!M1076</f>
        <v>0</v>
      </c>
      <c r="L16" s="313">
        <f>SUM(I16:K16)</f>
        <v>0</v>
      </c>
      <c r="N16" s="325"/>
      <c r="O16" s="325"/>
      <c r="P16" s="325"/>
      <c r="Q16" s="325"/>
    </row>
    <row r="17" spans="2:12" ht="21" customHeight="1" x14ac:dyDescent="0.3">
      <c r="B17" s="309">
        <v>3</v>
      </c>
      <c r="C17" s="639" t="s">
        <v>2321</v>
      </c>
      <c r="D17" s="640"/>
      <c r="E17" s="640"/>
      <c r="F17" s="641"/>
      <c r="G17" s="344" t="s">
        <v>2320</v>
      </c>
      <c r="H17" s="312">
        <f>IF(L17&gt;0,1,0)</f>
        <v>0</v>
      </c>
      <c r="I17" s="311"/>
      <c r="J17" s="311"/>
      <c r="K17" s="312">
        <f>'RAB Perbaikan'!M1076</f>
        <v>0</v>
      </c>
      <c r="L17" s="313">
        <f>SUM(I17:K17)</f>
        <v>0</v>
      </c>
    </row>
    <row r="18" spans="2:12" ht="14.25" customHeight="1" x14ac:dyDescent="0.3">
      <c r="B18" s="314"/>
      <c r="C18" s="618"/>
      <c r="D18" s="619"/>
      <c r="E18" s="619"/>
      <c r="F18" s="620"/>
      <c r="G18" s="315"/>
      <c r="H18" s="315"/>
      <c r="I18" s="315"/>
      <c r="J18" s="315"/>
      <c r="K18" s="315"/>
      <c r="L18" s="313"/>
    </row>
    <row r="19" spans="2:12" ht="30" customHeight="1" x14ac:dyDescent="0.3">
      <c r="B19" s="621" t="str">
        <f>"Terbilang:"&amp;CHAR(10)&amp;PROPER(IF(L21=0,"nol",IF(L21&lt;0,"minus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IF(--MID(TEXT(ABS(L21),"000000000000000"),1,3)=0,"",MID(TEXT(ABS(L21),"000000000000000"),1,1)&amp;" ratus "&amp;MID(TEXT(ABS(L21),"000000000000000"),2,1)&amp;" puluh "&amp;MID(TEXT(ABS(L21),"000000000000000"),3,1)&amp;" trilyun ")&amp; IF(--MID(TEXT(ABS(L21),"000000000000000"),4,3)=0,"",MID(TEXT(ABS(L21),"000000000000000"),4,1)&amp;" ratus "&amp;MID(TEXT(ABS(L21),"000000000000000"),5,1)&amp;" puluh "&amp;MID(TEXT(ABS(L21),"000000000000000"),6,1)&amp;" milyar ")&amp; IF(--MID(TEXT(ABS(L21),"000000000000000"),7,3)=0,"",MID(TEXT(ABS(L21),"000000000000000"),7,1)&amp;" ratus "&amp;MID(TEXT(ABS(L21),"000000000000000"),8,1)&amp;" puluh "&amp;MID(TEXT(ABS(L21),"000000000000000"),9,1)&amp;" juta ")&amp; IF(--MID(TEXT(ABS(L21),"000000000000000"),10,3)=0,"",IF(--MID(TEXT(ABS(L21),"000000000000000"),10,3)=1,"*",MID(TEXT(ABS(L21),"000000000000000"),10,1)&amp;" ratus "&amp;MID(TEXT(ABS(L21),"000000000000000"),11,1)&amp;" puluh ")&amp;MID(TEXT(ABS(L21),"000000000000000"),12,1)&amp;" ribu ")&amp; IF(--MID(TEXT(ABS(L21),"000000000000000"),13,3)=0,"",MID(TEXT(ABS(L21),"000000000000000"),13,1)&amp;" ratus "&amp;MID(TEXT(ABS(L21),"000000000000000"),14,1)&amp;" puluh "&amp;MID(TEXT(ABS(L21),"000000000000000"),15,1)),1,"satu"),2,"dua"),3,"tiga"),4,"empat"),5,"lima"),6,"enam"),7,"tujuh"),8,"delapan"),9,"sembilan"),"0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 &amp; " rupiah")</f>
        <v>Terbilang:
Nol Rupiah</v>
      </c>
      <c r="C19" s="622"/>
      <c r="D19" s="622"/>
      <c r="E19" s="622"/>
      <c r="F19" s="622"/>
      <c r="G19" s="623"/>
      <c r="H19" s="316" t="s">
        <v>715</v>
      </c>
      <c r="I19" s="317">
        <f>SUM(I13:I18)</f>
        <v>0</v>
      </c>
      <c r="J19" s="318">
        <f>SUM(J13:J18)</f>
        <v>0</v>
      </c>
      <c r="K19" s="318">
        <f>SUM(K13:K18)</f>
        <v>0</v>
      </c>
      <c r="L19" s="319">
        <f>SUM(L13:L18)</f>
        <v>0</v>
      </c>
    </row>
    <row r="20" spans="2:12" ht="30" customHeight="1" x14ac:dyDescent="0.3">
      <c r="B20" s="624"/>
      <c r="C20" s="625"/>
      <c r="D20" s="625"/>
      <c r="E20" s="625"/>
      <c r="F20" s="625"/>
      <c r="G20" s="626"/>
      <c r="H20" s="320" t="s">
        <v>2322</v>
      </c>
      <c r="I20" s="321">
        <f>((11/12)*I19)*12%</f>
        <v>0</v>
      </c>
      <c r="J20" s="321">
        <f t="shared" ref="J20:K20" si="0">((11/12)*J19)*12%</f>
        <v>0</v>
      </c>
      <c r="K20" s="321">
        <f t="shared" si="0"/>
        <v>0</v>
      </c>
      <c r="L20" s="313">
        <f>((11/12)*L19)*12%</f>
        <v>0</v>
      </c>
    </row>
    <row r="21" spans="2:12" ht="30" customHeight="1" thickBot="1" x14ac:dyDescent="0.35">
      <c r="B21" s="627"/>
      <c r="C21" s="628"/>
      <c r="D21" s="628"/>
      <c r="E21" s="628"/>
      <c r="F21" s="628"/>
      <c r="G21" s="629"/>
      <c r="H21" s="345" t="s">
        <v>604</v>
      </c>
      <c r="I21" s="346">
        <f>SUM(I19:I20)</f>
        <v>0</v>
      </c>
      <c r="J21" s="347">
        <f>SUM(J19:J20)</f>
        <v>0</v>
      </c>
      <c r="K21" s="347">
        <f>SUM(K19:K20)</f>
        <v>0</v>
      </c>
      <c r="L21" s="348">
        <f>SUM(L19:L20)</f>
        <v>0</v>
      </c>
    </row>
  </sheetData>
  <mergeCells count="13">
    <mergeCell ref="L13:L15"/>
    <mergeCell ref="C16:F16"/>
    <mergeCell ref="C17:F17"/>
    <mergeCell ref="B8:D8"/>
    <mergeCell ref="F8:L8"/>
    <mergeCell ref="B9:D9"/>
    <mergeCell ref="C11:F11"/>
    <mergeCell ref="C12:F12"/>
    <mergeCell ref="C18:F18"/>
    <mergeCell ref="B19:G21"/>
    <mergeCell ref="I13:I15"/>
    <mergeCell ref="J13:J15"/>
    <mergeCell ref="K13:K15"/>
  </mergeCells>
  <dataValidations count="6">
    <dataValidation type="list" allowBlank="1" showInputMessage="1" showErrorMessage="1" sqref="Q5" xr:uid="{72DE7941-E08F-4010-B6B5-15CE7DAC7B4E}">
      <formula1>",PEMBANGUNAN GARDU DISTRIBUSI,UPRATING GARDU DISTRIBUSI"</formula1>
    </dataValidation>
    <dataValidation type="list" allowBlank="1" showInputMessage="1" showErrorMessage="1" sqref="Q3" xr:uid="{947B7642-BE8E-44EF-A440-BAF2850D1599}">
      <formula1>"PERLUASAN JTM,UPRATING JTM"</formula1>
    </dataValidation>
    <dataValidation type="list" allowBlank="1" showInputMessage="1" showErrorMessage="1" sqref="Q6" xr:uid="{F5C35EEE-FE54-4371-BC81-3D21C83293E2}">
      <formula1>"-,PASANG BARU,PERUBAHAN DAYA,PROGRAM CORPORATE SOCIAL RESPONSIBILITY,PERBAIKAN TEGANGAN DROP"</formula1>
    </dataValidation>
    <dataValidation type="list" allowBlank="1" showInputMessage="1" showErrorMessage="1" sqref="Q4" xr:uid="{F07E19F0-8D25-4228-8D3D-7B1CE73DF666}">
      <formula1>" ,PERLUASAN JTR,UPRATING JTR,PERLUASAN JTM"</formula1>
    </dataValidation>
    <dataValidation type="list" allowBlank="1" showInputMessage="1" showErrorMessage="1" sqref="Q8" xr:uid="{991B0F25-D308-4CFC-B21B-CA892AADAA8B}">
      <formula1>"UP3 KUPANG,ULP KUPANG,ULP OESAO,ULP SOE,ULP KEFAMENANU,ULP ATAMBUA,ULP ROTE NDAO,ULP SABU RAIJUA,ULP KALABAHI"</formula1>
    </dataValidation>
    <dataValidation type="list" allowBlank="1" showInputMessage="1" showErrorMessage="1" sqref="Q9" xr:uid="{F33EEF9B-05DC-4E4A-AA3E-048F6F645D0E}">
      <formula1>"Kota Kupang,Kupang,Kupang (Naikliu-Oepoli),TTS,TTU,Belu,Malaka,Rote Ndao,Rote Ndao (P Sekitar),Sabu Raijua,Sabu Raijua (P Sekitar),Alor (P. Alor),Alor (P. Sekitar Alor),Kupang  P. Semau"</formula1>
    </dataValidation>
  </dataValidations>
  <pageMargins left="0.7" right="0.7" top="0.75" bottom="0.75" header="0.3" footer="0.3"/>
  <pageSetup paperSize="9" scale="5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3D22-8BC6-4069-82B0-4ED417C2F905}">
  <sheetPr>
    <tabColor rgb="FF00B0F0"/>
  </sheetPr>
  <dimension ref="A4:U1082"/>
  <sheetViews>
    <sheetView tabSelected="1" zoomScale="80" zoomScaleNormal="80" zoomScaleSheetLayoutView="90" workbookViewId="0">
      <pane xSplit="9" ySplit="16" topLeftCell="J654" activePane="bottomRight" state="frozen"/>
      <selection pane="topRight" activeCell="J1" sqref="J1"/>
      <selection pane="bottomLeft" activeCell="A17" sqref="A17"/>
      <selection pane="bottomRight" activeCell="C619" sqref="C619"/>
    </sheetView>
  </sheetViews>
  <sheetFormatPr defaultColWidth="8.69921875" defaultRowHeight="14.4" x14ac:dyDescent="0.3"/>
  <cols>
    <col min="1" max="1" width="5.19921875" style="297" customWidth="1"/>
    <col min="2" max="2" width="17.69921875" style="297" customWidth="1"/>
    <col min="3" max="3" width="3.3984375" style="297" customWidth="1"/>
    <col min="4" max="4" width="35.5" style="297" customWidth="1"/>
    <col min="5" max="5" width="9.5" style="297" customWidth="1"/>
    <col min="6" max="6" width="7.3984375" style="297" bestFit="1" customWidth="1"/>
    <col min="7" max="8" width="6.19921875" style="297" customWidth="1"/>
    <col min="9" max="9" width="9.3984375" style="297" customWidth="1"/>
    <col min="10" max="10" width="13.09765625" style="297" bestFit="1" customWidth="1"/>
    <col min="11" max="11" width="12.5" style="297" bestFit="1" customWidth="1"/>
    <col min="12" max="14" width="15.5" style="297" bestFit="1" customWidth="1"/>
    <col min="15" max="15" width="8.69921875" style="297"/>
    <col min="16" max="19" width="8.19921875" style="297" customWidth="1"/>
    <col min="20" max="20" width="18.8984375" style="297" bestFit="1" customWidth="1"/>
    <col min="21" max="16384" width="8.69921875" style="297"/>
  </cols>
  <sheetData>
    <row r="4" spans="1:20" ht="18" x14ac:dyDescent="0.35">
      <c r="A4" s="458" t="s">
        <v>2299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</row>
    <row r="5" spans="1:20" ht="19.2" customHeight="1" x14ac:dyDescent="0.3">
      <c r="A5" s="352"/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</row>
    <row r="6" spans="1:20" ht="19.2" customHeight="1" x14ac:dyDescent="0.3">
      <c r="A6" s="295" t="str">
        <f>REKAP!B8&amp;REKAP!E8&amp;REKAP!F8</f>
        <v xml:space="preserve">NAMA PEKERJAAN :  UNTUK  LOKASI 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</row>
    <row r="7" spans="1:20" ht="13.95" customHeight="1" x14ac:dyDescent="0.3">
      <c r="A7" s="295" t="str">
        <f>REKAP!B9&amp;REKAP!E9&amp;REKAP!F9</f>
        <v>UNIT : ULP KUPANG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</row>
    <row r="8" spans="1:20" x14ac:dyDescent="0.3">
      <c r="A8" s="298"/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</row>
    <row r="9" spans="1:20" x14ac:dyDescent="0.3">
      <c r="A9" s="298"/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</row>
    <row r="10" spans="1:20" x14ac:dyDescent="0.3">
      <c r="A10" s="298"/>
      <c r="B10" s="298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</row>
    <row r="11" spans="1:20" x14ac:dyDescent="0.3">
      <c r="A11" s="298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</row>
    <row r="12" spans="1:20" ht="15" thickBot="1" x14ac:dyDescent="0.35">
      <c r="A12" s="297" t="s">
        <v>1919</v>
      </c>
    </row>
    <row r="13" spans="1:20" x14ac:dyDescent="0.3">
      <c r="A13" s="593" t="s">
        <v>631</v>
      </c>
      <c r="B13" s="596" t="s">
        <v>632</v>
      </c>
      <c r="C13" s="597"/>
      <c r="D13" s="598"/>
      <c r="E13" s="611" t="s">
        <v>633</v>
      </c>
      <c r="F13" s="614" t="s">
        <v>635</v>
      </c>
      <c r="G13" s="614"/>
      <c r="H13" s="614"/>
      <c r="I13" s="614"/>
      <c r="J13" s="608" t="s">
        <v>634</v>
      </c>
      <c r="K13" s="608"/>
      <c r="L13" s="608" t="s">
        <v>636</v>
      </c>
      <c r="M13" s="608"/>
      <c r="N13" s="609" t="s">
        <v>637</v>
      </c>
      <c r="P13" s="605" t="s">
        <v>2337</v>
      </c>
      <c r="Q13" s="605"/>
      <c r="R13" s="605"/>
      <c r="S13" s="606" t="s">
        <v>2340</v>
      </c>
      <c r="T13" s="605" t="s">
        <v>2338</v>
      </c>
    </row>
    <row r="14" spans="1:20" x14ac:dyDescent="0.3">
      <c r="A14" s="594"/>
      <c r="B14" s="599"/>
      <c r="C14" s="600"/>
      <c r="D14" s="601"/>
      <c r="E14" s="612"/>
      <c r="F14" s="617" t="s">
        <v>2290</v>
      </c>
      <c r="G14" s="617" t="s">
        <v>2291</v>
      </c>
      <c r="H14" s="617" t="s">
        <v>2292</v>
      </c>
      <c r="I14" s="615" t="s">
        <v>604</v>
      </c>
      <c r="J14" s="353" t="s">
        <v>638</v>
      </c>
      <c r="K14" s="353" t="s">
        <v>639</v>
      </c>
      <c r="L14" s="353" t="s">
        <v>638</v>
      </c>
      <c r="M14" s="353" t="s">
        <v>639</v>
      </c>
      <c r="N14" s="610"/>
      <c r="P14" s="521" t="s">
        <v>2333</v>
      </c>
      <c r="Q14" s="521" t="s">
        <v>2335</v>
      </c>
      <c r="R14" s="521" t="s">
        <v>2336</v>
      </c>
      <c r="S14" s="607"/>
      <c r="T14" s="605"/>
    </row>
    <row r="15" spans="1:20" x14ac:dyDescent="0.3">
      <c r="A15" s="595"/>
      <c r="B15" s="602"/>
      <c r="C15" s="603"/>
      <c r="D15" s="604"/>
      <c r="E15" s="613"/>
      <c r="F15" s="613"/>
      <c r="G15" s="613"/>
      <c r="H15" s="613"/>
      <c r="I15" s="616"/>
      <c r="J15" s="353" t="s">
        <v>640</v>
      </c>
      <c r="K15" s="353" t="s">
        <v>640</v>
      </c>
      <c r="L15" s="353" t="s">
        <v>640</v>
      </c>
      <c r="M15" s="353" t="s">
        <v>640</v>
      </c>
      <c r="N15" s="354" t="s">
        <v>640</v>
      </c>
      <c r="P15" s="521" t="s">
        <v>2334</v>
      </c>
      <c r="Q15" s="521" t="s">
        <v>2334</v>
      </c>
      <c r="R15" s="521" t="s">
        <v>2334</v>
      </c>
      <c r="S15" s="521" t="s">
        <v>2341</v>
      </c>
      <c r="T15" s="521" t="s">
        <v>2339</v>
      </c>
    </row>
    <row r="16" spans="1:20" ht="15" thickBot="1" x14ac:dyDescent="0.35">
      <c r="A16" s="355">
        <v>1</v>
      </c>
      <c r="B16" s="356">
        <v>2</v>
      </c>
      <c r="C16" s="357"/>
      <c r="D16" s="357"/>
      <c r="E16" s="358">
        <v>3</v>
      </c>
      <c r="F16" s="358">
        <v>4</v>
      </c>
      <c r="G16" s="358">
        <v>5</v>
      </c>
      <c r="H16" s="358">
        <v>6</v>
      </c>
      <c r="I16" s="358" t="s">
        <v>2296</v>
      </c>
      <c r="J16" s="358">
        <v>8</v>
      </c>
      <c r="K16" s="358">
        <v>9</v>
      </c>
      <c r="L16" s="358" t="s">
        <v>2293</v>
      </c>
      <c r="M16" s="358" t="s">
        <v>2294</v>
      </c>
      <c r="N16" s="359" t="s">
        <v>2295</v>
      </c>
      <c r="P16" s="521">
        <v>13</v>
      </c>
      <c r="Q16" s="521">
        <v>14</v>
      </c>
      <c r="R16" s="521">
        <v>15</v>
      </c>
      <c r="S16" s="521">
        <v>16</v>
      </c>
      <c r="T16" s="521" t="s">
        <v>2342</v>
      </c>
    </row>
    <row r="18" spans="1:20" ht="13.95" customHeight="1" x14ac:dyDescent="0.3">
      <c r="A18" s="477" t="s">
        <v>606</v>
      </c>
      <c r="B18" s="478" t="s">
        <v>641</v>
      </c>
      <c r="C18" s="479"/>
      <c r="D18" s="480"/>
      <c r="E18" s="481"/>
      <c r="F18" s="481"/>
      <c r="G18" s="481"/>
      <c r="H18" s="481"/>
      <c r="I18" s="481"/>
      <c r="J18" s="481"/>
      <c r="K18" s="481"/>
      <c r="L18" s="481"/>
      <c r="M18" s="481"/>
      <c r="N18" s="482"/>
      <c r="P18" s="520"/>
      <c r="Q18" s="520"/>
      <c r="R18" s="520"/>
      <c r="S18" s="520"/>
      <c r="T18" s="520"/>
    </row>
    <row r="19" spans="1:20" ht="13.2" customHeight="1" x14ac:dyDescent="0.3">
      <c r="A19" s="365">
        <v>1</v>
      </c>
      <c r="B19" s="366" t="s">
        <v>1479</v>
      </c>
      <c r="C19" s="361"/>
      <c r="D19" s="362"/>
      <c r="E19" s="367" t="s">
        <v>235</v>
      </c>
      <c r="F19" s="538"/>
      <c r="G19" s="538"/>
      <c r="H19" s="535"/>
      <c r="I19" s="369">
        <f>SUM(F19:H19)</f>
        <v>0</v>
      </c>
      <c r="J19" s="369">
        <v>6304300</v>
      </c>
      <c r="K19" s="369">
        <v>1117820</v>
      </c>
      <c r="L19" s="372">
        <f t="shared" ref="L19:L50" si="0">J19*I19</f>
        <v>0</v>
      </c>
      <c r="M19" s="369">
        <f t="shared" ref="M19:M50" si="1">K19*I19</f>
        <v>0</v>
      </c>
      <c r="N19" s="459">
        <f t="shared" ref="N19" si="2">SUM(L19:M19)</f>
        <v>0</v>
      </c>
      <c r="P19" s="522"/>
      <c r="Q19" s="523"/>
      <c r="R19" s="523"/>
      <c r="S19" s="523"/>
      <c r="T19" s="523"/>
    </row>
    <row r="20" spans="1:20" ht="13.2" customHeight="1" x14ac:dyDescent="0.3">
      <c r="A20" s="365">
        <f>A19+1</f>
        <v>2</v>
      </c>
      <c r="B20" s="366" t="s">
        <v>1480</v>
      </c>
      <c r="C20" s="361"/>
      <c r="D20" s="362"/>
      <c r="E20" s="367" t="s">
        <v>235</v>
      </c>
      <c r="F20" s="535"/>
      <c r="G20" s="535"/>
      <c r="H20" s="538"/>
      <c r="I20" s="369">
        <f t="shared" ref="I20:I83" si="3">SUM(F20:H20)</f>
        <v>0</v>
      </c>
      <c r="J20" s="369">
        <v>9781500</v>
      </c>
      <c r="K20" s="369">
        <v>1597810</v>
      </c>
      <c r="L20" s="372">
        <f t="shared" si="0"/>
        <v>0</v>
      </c>
      <c r="M20" s="369">
        <f t="shared" si="1"/>
        <v>0</v>
      </c>
      <c r="N20" s="459">
        <f t="shared" ref="N20:N83" si="4">SUM(L20:M20)</f>
        <v>0</v>
      </c>
      <c r="P20" s="522"/>
      <c r="Q20" s="523"/>
      <c r="R20" s="523"/>
      <c r="S20" s="523"/>
      <c r="T20" s="523"/>
    </row>
    <row r="21" spans="1:20" ht="13.2" customHeight="1" x14ac:dyDescent="0.3">
      <c r="A21" s="365">
        <f t="shared" ref="A21:A84" si="5">A20+1</f>
        <v>3</v>
      </c>
      <c r="B21" s="366" t="s">
        <v>1481</v>
      </c>
      <c r="C21" s="361"/>
      <c r="D21" s="362"/>
      <c r="E21" s="367" t="s">
        <v>235</v>
      </c>
      <c r="F21" s="535"/>
      <c r="G21" s="535"/>
      <c r="H21" s="538"/>
      <c r="I21" s="369">
        <f t="shared" si="3"/>
        <v>0</v>
      </c>
      <c r="J21" s="369">
        <v>10485200</v>
      </c>
      <c r="K21" s="369">
        <v>1837810</v>
      </c>
      <c r="L21" s="372">
        <f t="shared" si="0"/>
        <v>0</v>
      </c>
      <c r="M21" s="369">
        <f t="shared" si="1"/>
        <v>0</v>
      </c>
      <c r="N21" s="459">
        <f t="shared" si="4"/>
        <v>0</v>
      </c>
      <c r="P21" s="522"/>
      <c r="Q21" s="523"/>
      <c r="R21" s="523"/>
      <c r="S21" s="523"/>
      <c r="T21" s="523"/>
    </row>
    <row r="22" spans="1:20" ht="13.2" customHeight="1" x14ac:dyDescent="0.3">
      <c r="A22" s="365">
        <f t="shared" si="5"/>
        <v>4</v>
      </c>
      <c r="B22" s="366" t="s">
        <v>1482</v>
      </c>
      <c r="C22" s="361"/>
      <c r="D22" s="362"/>
      <c r="E22" s="367" t="s">
        <v>235</v>
      </c>
      <c r="F22" s="535"/>
      <c r="G22" s="535"/>
      <c r="H22" s="538"/>
      <c r="I22" s="369">
        <f t="shared" si="3"/>
        <v>0</v>
      </c>
      <c r="J22" s="369">
        <v>11779400</v>
      </c>
      <c r="K22" s="369">
        <v>2130410</v>
      </c>
      <c r="L22" s="372">
        <f t="shared" si="0"/>
        <v>0</v>
      </c>
      <c r="M22" s="369">
        <f t="shared" si="1"/>
        <v>0</v>
      </c>
      <c r="N22" s="459">
        <f t="shared" si="4"/>
        <v>0</v>
      </c>
      <c r="P22" s="522"/>
      <c r="Q22" s="523"/>
      <c r="R22" s="523"/>
      <c r="S22" s="523"/>
      <c r="T22" s="523"/>
    </row>
    <row r="23" spans="1:20" ht="13.2" customHeight="1" x14ac:dyDescent="0.3">
      <c r="A23" s="365">
        <f t="shared" si="5"/>
        <v>5</v>
      </c>
      <c r="B23" s="366" t="s">
        <v>1483</v>
      </c>
      <c r="C23" s="361"/>
      <c r="D23" s="362"/>
      <c r="E23" s="367" t="s">
        <v>235</v>
      </c>
      <c r="F23" s="535"/>
      <c r="G23" s="535"/>
      <c r="H23" s="538"/>
      <c r="I23" s="369">
        <f t="shared" si="3"/>
        <v>0</v>
      </c>
      <c r="J23" s="369">
        <v>14194600</v>
      </c>
      <c r="K23" s="369">
        <v>3195620</v>
      </c>
      <c r="L23" s="372">
        <f t="shared" si="0"/>
        <v>0</v>
      </c>
      <c r="M23" s="369">
        <f t="shared" si="1"/>
        <v>0</v>
      </c>
      <c r="N23" s="459">
        <f t="shared" si="4"/>
        <v>0</v>
      </c>
      <c r="P23" s="522"/>
      <c r="Q23" s="523"/>
      <c r="R23" s="523"/>
      <c r="S23" s="523"/>
      <c r="T23" s="523"/>
    </row>
    <row r="24" spans="1:20" ht="13.2" customHeight="1" x14ac:dyDescent="0.3">
      <c r="A24" s="365">
        <f t="shared" si="5"/>
        <v>6</v>
      </c>
      <c r="B24" s="370" t="s">
        <v>1484</v>
      </c>
      <c r="C24" s="371"/>
      <c r="D24" s="371"/>
      <c r="E24" s="367" t="s">
        <v>235</v>
      </c>
      <c r="F24" s="539"/>
      <c r="G24" s="539"/>
      <c r="H24" s="539"/>
      <c r="I24" s="369">
        <f t="shared" si="3"/>
        <v>0</v>
      </c>
      <c r="J24" s="592"/>
      <c r="K24" s="372">
        <v>449710</v>
      </c>
      <c r="L24" s="372">
        <f t="shared" si="0"/>
        <v>0</v>
      </c>
      <c r="M24" s="372">
        <f t="shared" si="1"/>
        <v>0</v>
      </c>
      <c r="N24" s="460">
        <f t="shared" si="4"/>
        <v>0</v>
      </c>
      <c r="P24" s="522"/>
      <c r="Q24" s="523"/>
      <c r="R24" s="523"/>
      <c r="S24" s="523"/>
      <c r="T24" s="523"/>
    </row>
    <row r="25" spans="1:20" ht="13.2" customHeight="1" x14ac:dyDescent="0.3">
      <c r="A25" s="365">
        <f t="shared" si="5"/>
        <v>7</v>
      </c>
      <c r="B25" s="370" t="s">
        <v>1485</v>
      </c>
      <c r="C25" s="371"/>
      <c r="D25" s="371"/>
      <c r="E25" s="367" t="s">
        <v>235</v>
      </c>
      <c r="F25" s="539"/>
      <c r="G25" s="539"/>
      <c r="H25" s="527"/>
      <c r="I25" s="369">
        <f t="shared" si="3"/>
        <v>0</v>
      </c>
      <c r="J25" s="592"/>
      <c r="K25" s="372">
        <v>710140</v>
      </c>
      <c r="L25" s="372">
        <f t="shared" si="0"/>
        <v>0</v>
      </c>
      <c r="M25" s="372">
        <f t="shared" si="1"/>
        <v>0</v>
      </c>
      <c r="N25" s="460">
        <f t="shared" si="4"/>
        <v>0</v>
      </c>
      <c r="P25" s="522"/>
      <c r="Q25" s="523"/>
      <c r="R25" s="523"/>
      <c r="S25" s="523"/>
      <c r="T25" s="523"/>
    </row>
    <row r="26" spans="1:20" ht="13.2" customHeight="1" x14ac:dyDescent="0.3">
      <c r="A26" s="365">
        <f t="shared" si="5"/>
        <v>8</v>
      </c>
      <c r="B26" s="723" t="s">
        <v>1486</v>
      </c>
      <c r="C26" s="371"/>
      <c r="D26" s="371"/>
      <c r="E26" s="367" t="s">
        <v>235</v>
      </c>
      <c r="F26" s="539"/>
      <c r="G26" s="539"/>
      <c r="H26" s="527"/>
      <c r="I26" s="369">
        <f t="shared" si="3"/>
        <v>0</v>
      </c>
      <c r="J26" s="372">
        <v>3525160</v>
      </c>
      <c r="K26" s="372">
        <v>850450</v>
      </c>
      <c r="L26" s="372">
        <f t="shared" si="0"/>
        <v>0</v>
      </c>
      <c r="M26" s="372">
        <f t="shared" si="1"/>
        <v>0</v>
      </c>
      <c r="N26" s="460">
        <f t="shared" si="4"/>
        <v>0</v>
      </c>
      <c r="P26" s="522"/>
      <c r="Q26" s="523"/>
      <c r="R26" s="523"/>
      <c r="S26" s="523"/>
      <c r="T26" s="523"/>
    </row>
    <row r="27" spans="1:20" ht="13.2" customHeight="1" x14ac:dyDescent="0.3">
      <c r="A27" s="365">
        <f t="shared" si="5"/>
        <v>9</v>
      </c>
      <c r="B27" s="370" t="s">
        <v>1487</v>
      </c>
      <c r="C27" s="371"/>
      <c r="D27" s="371"/>
      <c r="E27" s="367" t="s">
        <v>235</v>
      </c>
      <c r="F27" s="539"/>
      <c r="G27" s="539"/>
      <c r="H27" s="527"/>
      <c r="I27" s="369">
        <f t="shared" si="3"/>
        <v>0</v>
      </c>
      <c r="J27" s="592"/>
      <c r="K27" s="372">
        <v>996220</v>
      </c>
      <c r="L27" s="372">
        <f t="shared" si="0"/>
        <v>0</v>
      </c>
      <c r="M27" s="372">
        <f t="shared" si="1"/>
        <v>0</v>
      </c>
      <c r="N27" s="460">
        <f t="shared" si="4"/>
        <v>0</v>
      </c>
      <c r="P27" s="522"/>
      <c r="Q27" s="523"/>
      <c r="R27" s="523"/>
      <c r="S27" s="523"/>
      <c r="T27" s="523"/>
    </row>
    <row r="28" spans="1:20" ht="13.2" customHeight="1" x14ac:dyDescent="0.3">
      <c r="A28" s="365">
        <f t="shared" si="5"/>
        <v>10</v>
      </c>
      <c r="B28" s="370" t="s">
        <v>1488</v>
      </c>
      <c r="C28" s="371"/>
      <c r="D28" s="371"/>
      <c r="E28" s="367" t="s">
        <v>235</v>
      </c>
      <c r="F28" s="527"/>
      <c r="G28" s="527"/>
      <c r="H28" s="539"/>
      <c r="I28" s="369">
        <f t="shared" si="3"/>
        <v>0</v>
      </c>
      <c r="J28" s="372">
        <v>5302899</v>
      </c>
      <c r="K28" s="372">
        <v>1138530</v>
      </c>
      <c r="L28" s="372">
        <f t="shared" si="0"/>
        <v>0</v>
      </c>
      <c r="M28" s="372">
        <f t="shared" si="1"/>
        <v>0</v>
      </c>
      <c r="N28" s="460">
        <f t="shared" si="4"/>
        <v>0</v>
      </c>
      <c r="P28" s="522"/>
      <c r="Q28" s="523"/>
      <c r="R28" s="523"/>
      <c r="S28" s="523"/>
      <c r="T28" s="523"/>
    </row>
    <row r="29" spans="1:20" ht="13.2" customHeight="1" x14ac:dyDescent="0.3">
      <c r="A29" s="365">
        <f t="shared" si="5"/>
        <v>11</v>
      </c>
      <c r="B29" s="366" t="s">
        <v>1489</v>
      </c>
      <c r="C29" s="361"/>
      <c r="D29" s="362"/>
      <c r="E29" s="367" t="s">
        <v>235</v>
      </c>
      <c r="F29" s="535"/>
      <c r="G29" s="535"/>
      <c r="H29" s="538"/>
      <c r="I29" s="369">
        <f t="shared" si="3"/>
        <v>0</v>
      </c>
      <c r="J29" s="369">
        <v>6793340</v>
      </c>
      <c r="K29" s="369">
        <v>1328290</v>
      </c>
      <c r="L29" s="372">
        <f t="shared" si="0"/>
        <v>0</v>
      </c>
      <c r="M29" s="369">
        <f t="shared" si="1"/>
        <v>0</v>
      </c>
      <c r="N29" s="459">
        <f t="shared" si="4"/>
        <v>0</v>
      </c>
      <c r="P29" s="522"/>
      <c r="Q29" s="523"/>
      <c r="R29" s="523"/>
      <c r="S29" s="523"/>
      <c r="T29" s="523"/>
    </row>
    <row r="30" spans="1:20" ht="13.2" customHeight="1" x14ac:dyDescent="0.3">
      <c r="A30" s="365">
        <f t="shared" si="5"/>
        <v>12</v>
      </c>
      <c r="B30" s="366" t="s">
        <v>1490</v>
      </c>
      <c r="C30" s="361"/>
      <c r="D30" s="362"/>
      <c r="E30" s="367" t="s">
        <v>235</v>
      </c>
      <c r="F30" s="535"/>
      <c r="G30" s="535"/>
      <c r="H30" s="538"/>
      <c r="I30" s="369">
        <f t="shared" si="3"/>
        <v>0</v>
      </c>
      <c r="J30" s="369">
        <v>8963194</v>
      </c>
      <c r="K30" s="369">
        <v>1593950</v>
      </c>
      <c r="L30" s="372">
        <f t="shared" si="0"/>
        <v>0</v>
      </c>
      <c r="M30" s="369">
        <f t="shared" si="1"/>
        <v>0</v>
      </c>
      <c r="N30" s="459">
        <f t="shared" si="4"/>
        <v>0</v>
      </c>
      <c r="P30" s="522"/>
      <c r="Q30" s="523"/>
      <c r="R30" s="523"/>
      <c r="S30" s="523"/>
      <c r="T30" s="523"/>
    </row>
    <row r="31" spans="1:20" ht="13.2" customHeight="1" x14ac:dyDescent="0.3">
      <c r="A31" s="365">
        <f t="shared" si="5"/>
        <v>13</v>
      </c>
      <c r="B31" s="366" t="s">
        <v>1491</v>
      </c>
      <c r="C31" s="361"/>
      <c r="D31" s="362"/>
      <c r="E31" s="367" t="s">
        <v>235</v>
      </c>
      <c r="F31" s="535"/>
      <c r="G31" s="535"/>
      <c r="H31" s="538"/>
      <c r="I31" s="369">
        <f t="shared" si="3"/>
        <v>0</v>
      </c>
      <c r="J31" s="369">
        <v>11304450</v>
      </c>
      <c r="K31" s="369">
        <v>1755660</v>
      </c>
      <c r="L31" s="372">
        <f t="shared" si="0"/>
        <v>0</v>
      </c>
      <c r="M31" s="369">
        <f t="shared" si="1"/>
        <v>0</v>
      </c>
      <c r="N31" s="459">
        <f t="shared" si="4"/>
        <v>0</v>
      </c>
      <c r="P31" s="522"/>
      <c r="Q31" s="523"/>
      <c r="R31" s="523"/>
      <c r="S31" s="523"/>
      <c r="T31" s="523"/>
    </row>
    <row r="32" spans="1:20" ht="13.2" customHeight="1" x14ac:dyDescent="0.3">
      <c r="A32" s="365">
        <f t="shared" si="5"/>
        <v>14</v>
      </c>
      <c r="B32" s="370" t="s">
        <v>1523</v>
      </c>
      <c r="C32" s="371"/>
      <c r="D32" s="371"/>
      <c r="E32" s="367" t="s">
        <v>203</v>
      </c>
      <c r="F32" s="527"/>
      <c r="G32" s="527"/>
      <c r="H32" s="539"/>
      <c r="I32" s="369">
        <f t="shared" si="3"/>
        <v>0</v>
      </c>
      <c r="J32" s="372">
        <v>289735</v>
      </c>
      <c r="K32" s="372">
        <v>68920</v>
      </c>
      <c r="L32" s="372">
        <f t="shared" si="0"/>
        <v>0</v>
      </c>
      <c r="M32" s="372">
        <f t="shared" si="1"/>
        <v>0</v>
      </c>
      <c r="N32" s="460">
        <f t="shared" si="4"/>
        <v>0</v>
      </c>
      <c r="P32" s="524">
        <v>15</v>
      </c>
      <c r="Q32" s="524">
        <v>15</v>
      </c>
      <c r="R32" s="524">
        <v>47</v>
      </c>
      <c r="S32" s="525">
        <v>0</v>
      </c>
      <c r="T32" s="526">
        <f t="shared" ref="T32:T95" si="6">IF(S32=0,P32*Q32*R32/10^6,P32*Q32*R32/10^6/S32)</f>
        <v>1.0574999999999999E-2</v>
      </c>
    </row>
    <row r="33" spans="1:21" ht="13.2" customHeight="1" x14ac:dyDescent="0.3">
      <c r="A33" s="365">
        <f t="shared" si="5"/>
        <v>15</v>
      </c>
      <c r="B33" s="370" t="s">
        <v>1524</v>
      </c>
      <c r="C33" s="371"/>
      <c r="D33" s="371"/>
      <c r="E33" s="367" t="s">
        <v>203</v>
      </c>
      <c r="F33" s="527"/>
      <c r="G33" s="527"/>
      <c r="H33" s="539"/>
      <c r="I33" s="369">
        <f t="shared" si="3"/>
        <v>0</v>
      </c>
      <c r="J33" s="372">
        <v>621370</v>
      </c>
      <c r="K33" s="372">
        <v>75810</v>
      </c>
      <c r="L33" s="372">
        <f t="shared" si="0"/>
        <v>0</v>
      </c>
      <c r="M33" s="372">
        <f t="shared" si="1"/>
        <v>0</v>
      </c>
      <c r="N33" s="460">
        <f t="shared" si="4"/>
        <v>0</v>
      </c>
      <c r="P33" s="524">
        <v>30</v>
      </c>
      <c r="Q33" s="524">
        <v>25.4</v>
      </c>
      <c r="R33" s="524">
        <v>25.4</v>
      </c>
      <c r="S33" s="525">
        <v>0</v>
      </c>
      <c r="T33" s="526">
        <f t="shared" si="6"/>
        <v>1.9354799999999998E-2</v>
      </c>
    </row>
    <row r="34" spans="1:21" ht="13.2" customHeight="1" x14ac:dyDescent="0.3">
      <c r="A34" s="365">
        <f t="shared" si="5"/>
        <v>16</v>
      </c>
      <c r="B34" s="370" t="s">
        <v>1525</v>
      </c>
      <c r="C34" s="371"/>
      <c r="D34" s="371"/>
      <c r="E34" s="367" t="s">
        <v>203</v>
      </c>
      <c r="F34" s="527"/>
      <c r="G34" s="527"/>
      <c r="H34" s="539"/>
      <c r="I34" s="369">
        <f t="shared" si="3"/>
        <v>0</v>
      </c>
      <c r="J34" s="372">
        <v>245400</v>
      </c>
      <c r="K34" s="372">
        <v>63180</v>
      </c>
      <c r="L34" s="372">
        <f t="shared" si="0"/>
        <v>0</v>
      </c>
      <c r="M34" s="372">
        <f t="shared" si="1"/>
        <v>0</v>
      </c>
      <c r="N34" s="460">
        <f t="shared" si="4"/>
        <v>0</v>
      </c>
      <c r="P34" s="524">
        <v>15</v>
      </c>
      <c r="Q34" s="524">
        <v>15</v>
      </c>
      <c r="R34" s="524">
        <v>47</v>
      </c>
      <c r="S34" s="525">
        <v>0</v>
      </c>
      <c r="T34" s="526">
        <f t="shared" si="6"/>
        <v>1.0574999999999999E-2</v>
      </c>
    </row>
    <row r="35" spans="1:21" ht="13.2" customHeight="1" x14ac:dyDescent="0.3">
      <c r="A35" s="365">
        <f t="shared" si="5"/>
        <v>17</v>
      </c>
      <c r="B35" s="370" t="s">
        <v>1526</v>
      </c>
      <c r="C35" s="371"/>
      <c r="D35" s="371"/>
      <c r="E35" s="367" t="s">
        <v>203</v>
      </c>
      <c r="F35" s="527"/>
      <c r="G35" s="527"/>
      <c r="H35" s="539"/>
      <c r="I35" s="369">
        <f t="shared" si="3"/>
        <v>0</v>
      </c>
      <c r="J35" s="372">
        <v>246398</v>
      </c>
      <c r="K35" s="372">
        <v>68920</v>
      </c>
      <c r="L35" s="372">
        <f t="shared" si="0"/>
        <v>0</v>
      </c>
      <c r="M35" s="372">
        <f t="shared" si="1"/>
        <v>0</v>
      </c>
      <c r="N35" s="460">
        <f t="shared" si="4"/>
        <v>0</v>
      </c>
      <c r="P35" s="524">
        <v>73</v>
      </c>
      <c r="Q35" s="524">
        <v>17</v>
      </c>
      <c r="R35" s="524">
        <v>11</v>
      </c>
      <c r="S35" s="525">
        <v>0</v>
      </c>
      <c r="T35" s="526">
        <f t="shared" si="6"/>
        <v>1.3651E-2</v>
      </c>
    </row>
    <row r="36" spans="1:21" ht="13.2" customHeight="1" x14ac:dyDescent="0.3">
      <c r="A36" s="365">
        <f t="shared" si="5"/>
        <v>18</v>
      </c>
      <c r="B36" s="370" t="s">
        <v>1527</v>
      </c>
      <c r="C36" s="371"/>
      <c r="D36" s="371"/>
      <c r="E36" s="367" t="s">
        <v>203</v>
      </c>
      <c r="F36" s="527"/>
      <c r="G36" s="527"/>
      <c r="H36" s="539"/>
      <c r="I36" s="369">
        <f t="shared" si="3"/>
        <v>0</v>
      </c>
      <c r="J36" s="372">
        <v>1269657</v>
      </c>
      <c r="K36" s="372">
        <v>68920</v>
      </c>
      <c r="L36" s="372">
        <f t="shared" si="0"/>
        <v>0</v>
      </c>
      <c r="M36" s="372">
        <f t="shared" si="1"/>
        <v>0</v>
      </c>
      <c r="N36" s="460">
        <f t="shared" si="4"/>
        <v>0</v>
      </c>
      <c r="P36" s="524">
        <v>50</v>
      </c>
      <c r="Q36" s="524">
        <v>37</v>
      </c>
      <c r="R36" s="524">
        <v>14.5</v>
      </c>
      <c r="S36" s="525">
        <v>0</v>
      </c>
      <c r="T36" s="526">
        <f t="shared" si="6"/>
        <v>2.6825000000000002E-2</v>
      </c>
    </row>
    <row r="37" spans="1:21" ht="13.2" customHeight="1" x14ac:dyDescent="0.3">
      <c r="A37" s="365">
        <f t="shared" si="5"/>
        <v>19</v>
      </c>
      <c r="B37" s="370" t="s">
        <v>1528</v>
      </c>
      <c r="C37" s="371"/>
      <c r="D37" s="371"/>
      <c r="E37" s="367" t="s">
        <v>203</v>
      </c>
      <c r="F37" s="527"/>
      <c r="G37" s="527"/>
      <c r="H37" s="539"/>
      <c r="I37" s="369">
        <f t="shared" si="3"/>
        <v>0</v>
      </c>
      <c r="J37" s="372">
        <v>699402</v>
      </c>
      <c r="K37" s="372">
        <v>68920</v>
      </c>
      <c r="L37" s="372">
        <f t="shared" si="0"/>
        <v>0</v>
      </c>
      <c r="M37" s="372">
        <f t="shared" si="1"/>
        <v>0</v>
      </c>
      <c r="N37" s="460">
        <f t="shared" si="4"/>
        <v>0</v>
      </c>
      <c r="P37" s="524">
        <v>24</v>
      </c>
      <c r="Q37" s="524">
        <v>17</v>
      </c>
      <c r="R37" s="524">
        <v>26</v>
      </c>
      <c r="S37" s="525">
        <v>0</v>
      </c>
      <c r="T37" s="526">
        <f t="shared" si="6"/>
        <v>1.0607999999999999E-2</v>
      </c>
    </row>
    <row r="38" spans="1:21" ht="13.2" customHeight="1" x14ac:dyDescent="0.3">
      <c r="A38" s="365">
        <f t="shared" si="5"/>
        <v>20</v>
      </c>
      <c r="B38" s="370" t="s">
        <v>1529</v>
      </c>
      <c r="C38" s="371"/>
      <c r="D38" s="371"/>
      <c r="E38" s="367" t="s">
        <v>203</v>
      </c>
      <c r="F38" s="539"/>
      <c r="G38" s="539"/>
      <c r="H38" s="539"/>
      <c r="I38" s="369">
        <f t="shared" si="3"/>
        <v>0</v>
      </c>
      <c r="J38" s="592"/>
      <c r="K38" s="372">
        <v>1774970</v>
      </c>
      <c r="L38" s="372">
        <f t="shared" si="0"/>
        <v>0</v>
      </c>
      <c r="M38" s="372">
        <f t="shared" si="1"/>
        <v>0</v>
      </c>
      <c r="N38" s="460">
        <f t="shared" si="4"/>
        <v>0</v>
      </c>
      <c r="P38" s="524">
        <v>76</v>
      </c>
      <c r="Q38" s="524">
        <v>51</v>
      </c>
      <c r="R38" s="524">
        <v>102</v>
      </c>
      <c r="S38" s="525">
        <v>0</v>
      </c>
      <c r="T38" s="526">
        <f t="shared" si="6"/>
        <v>0.39535199999999998</v>
      </c>
    </row>
    <row r="39" spans="1:21" ht="13.2" customHeight="1" x14ac:dyDescent="0.3">
      <c r="A39" s="365">
        <f t="shared" si="5"/>
        <v>21</v>
      </c>
      <c r="B39" s="370" t="s">
        <v>1530</v>
      </c>
      <c r="C39" s="371"/>
      <c r="D39" s="371"/>
      <c r="E39" s="367" t="s">
        <v>203</v>
      </c>
      <c r="F39" s="539"/>
      <c r="G39" s="527"/>
      <c r="H39" s="539"/>
      <c r="I39" s="369">
        <f t="shared" si="3"/>
        <v>0</v>
      </c>
      <c r="J39" s="372">
        <v>34652150</v>
      </c>
      <c r="K39" s="372">
        <v>1935380</v>
      </c>
      <c r="L39" s="372">
        <f t="shared" si="0"/>
        <v>0</v>
      </c>
      <c r="M39" s="372">
        <f t="shared" si="1"/>
        <v>0</v>
      </c>
      <c r="N39" s="460">
        <f t="shared" si="4"/>
        <v>0</v>
      </c>
      <c r="P39" s="524">
        <v>88</v>
      </c>
      <c r="Q39" s="524">
        <v>54</v>
      </c>
      <c r="R39" s="524">
        <v>111</v>
      </c>
      <c r="S39" s="525">
        <v>0</v>
      </c>
      <c r="T39" s="526">
        <f t="shared" si="6"/>
        <v>0.52747200000000005</v>
      </c>
    </row>
    <row r="40" spans="1:21" ht="13.2" customHeight="1" x14ac:dyDescent="0.3">
      <c r="A40" s="365">
        <f t="shared" si="5"/>
        <v>22</v>
      </c>
      <c r="B40" s="370" t="s">
        <v>1531</v>
      </c>
      <c r="C40" s="371"/>
      <c r="D40" s="371"/>
      <c r="E40" s="367" t="s">
        <v>203</v>
      </c>
      <c r="F40" s="539"/>
      <c r="G40" s="527"/>
      <c r="H40" s="539"/>
      <c r="I40" s="369">
        <f t="shared" si="3"/>
        <v>0</v>
      </c>
      <c r="J40" s="372">
        <v>44603470</v>
      </c>
      <c r="K40" s="372">
        <v>2176000</v>
      </c>
      <c r="L40" s="372">
        <f t="shared" si="0"/>
        <v>0</v>
      </c>
      <c r="M40" s="372">
        <f t="shared" si="1"/>
        <v>0</v>
      </c>
      <c r="N40" s="460">
        <f t="shared" si="4"/>
        <v>0</v>
      </c>
      <c r="P40" s="524">
        <v>96</v>
      </c>
      <c r="Q40" s="524">
        <v>65</v>
      </c>
      <c r="R40" s="524">
        <v>116</v>
      </c>
      <c r="S40" s="525">
        <v>0</v>
      </c>
      <c r="T40" s="526">
        <f t="shared" si="6"/>
        <v>0.72384000000000004</v>
      </c>
    </row>
    <row r="41" spans="1:21" ht="13.2" customHeight="1" x14ac:dyDescent="0.3">
      <c r="A41" s="365">
        <f t="shared" si="5"/>
        <v>23</v>
      </c>
      <c r="B41" s="370" t="s">
        <v>1532</v>
      </c>
      <c r="C41" s="371"/>
      <c r="D41" s="371"/>
      <c r="E41" s="367" t="s">
        <v>203</v>
      </c>
      <c r="F41" s="539"/>
      <c r="G41" s="527"/>
      <c r="H41" s="539"/>
      <c r="I41" s="369">
        <f t="shared" si="3"/>
        <v>0</v>
      </c>
      <c r="J41" s="372">
        <v>63981050</v>
      </c>
      <c r="K41" s="372">
        <v>2491700</v>
      </c>
      <c r="L41" s="372">
        <f t="shared" si="0"/>
        <v>0</v>
      </c>
      <c r="M41" s="372">
        <f t="shared" si="1"/>
        <v>0</v>
      </c>
      <c r="N41" s="460">
        <f t="shared" si="4"/>
        <v>0</v>
      </c>
      <c r="P41" s="524">
        <v>103</v>
      </c>
      <c r="Q41" s="524">
        <v>74</v>
      </c>
      <c r="R41" s="524">
        <v>128</v>
      </c>
      <c r="S41" s="525">
        <v>0</v>
      </c>
      <c r="T41" s="526">
        <f t="shared" si="6"/>
        <v>0.97561600000000004</v>
      </c>
    </row>
    <row r="42" spans="1:21" ht="13.2" customHeight="1" x14ac:dyDescent="0.3">
      <c r="A42" s="365">
        <f t="shared" si="5"/>
        <v>24</v>
      </c>
      <c r="B42" s="370" t="s">
        <v>1533</v>
      </c>
      <c r="C42" s="371"/>
      <c r="D42" s="371"/>
      <c r="E42" s="367" t="s">
        <v>203</v>
      </c>
      <c r="F42" s="539"/>
      <c r="G42" s="539"/>
      <c r="H42" s="539"/>
      <c r="I42" s="369">
        <f t="shared" si="3"/>
        <v>0</v>
      </c>
      <c r="J42" s="592"/>
      <c r="K42" s="372">
        <v>3050500</v>
      </c>
      <c r="L42" s="372">
        <f t="shared" si="0"/>
        <v>0</v>
      </c>
      <c r="M42" s="372">
        <f t="shared" si="1"/>
        <v>0</v>
      </c>
      <c r="N42" s="460">
        <f t="shared" si="4"/>
        <v>0</v>
      </c>
      <c r="P42" s="524">
        <v>107</v>
      </c>
      <c r="Q42" s="524">
        <v>81</v>
      </c>
      <c r="R42" s="524">
        <v>133</v>
      </c>
      <c r="S42" s="525">
        <v>0</v>
      </c>
      <c r="T42" s="526">
        <f t="shared" si="6"/>
        <v>1.152711</v>
      </c>
    </row>
    <row r="43" spans="1:21" ht="13.2" customHeight="1" x14ac:dyDescent="0.3">
      <c r="A43" s="365">
        <f t="shared" si="5"/>
        <v>25</v>
      </c>
      <c r="B43" s="370" t="s">
        <v>1534</v>
      </c>
      <c r="C43" s="371"/>
      <c r="D43" s="371"/>
      <c r="E43" s="367" t="s">
        <v>203</v>
      </c>
      <c r="F43" s="539"/>
      <c r="G43" s="527"/>
      <c r="H43" s="539"/>
      <c r="I43" s="369">
        <f t="shared" si="3"/>
        <v>0</v>
      </c>
      <c r="J43" s="372">
        <v>75212870</v>
      </c>
      <c r="K43" s="372">
        <v>3214800</v>
      </c>
      <c r="L43" s="372">
        <f t="shared" si="0"/>
        <v>0</v>
      </c>
      <c r="M43" s="372">
        <f t="shared" si="1"/>
        <v>0</v>
      </c>
      <c r="N43" s="460">
        <f t="shared" si="4"/>
        <v>0</v>
      </c>
      <c r="P43" s="524">
        <v>114</v>
      </c>
      <c r="Q43" s="524">
        <v>84</v>
      </c>
      <c r="R43" s="524">
        <v>136</v>
      </c>
      <c r="S43" s="525">
        <v>0</v>
      </c>
      <c r="T43" s="526">
        <f t="shared" si="6"/>
        <v>1.3023359999999999</v>
      </c>
    </row>
    <row r="44" spans="1:21" ht="13.2" customHeight="1" x14ac:dyDescent="0.3">
      <c r="A44" s="365">
        <f t="shared" si="5"/>
        <v>26</v>
      </c>
      <c r="B44" s="370" t="s">
        <v>1535</v>
      </c>
      <c r="C44" s="371"/>
      <c r="D44" s="371"/>
      <c r="E44" s="367" t="s">
        <v>203</v>
      </c>
      <c r="F44" s="539"/>
      <c r="G44" s="527"/>
      <c r="H44" s="539"/>
      <c r="I44" s="369">
        <f t="shared" si="3"/>
        <v>0</v>
      </c>
      <c r="J44" s="372">
        <v>93244590</v>
      </c>
      <c r="K44" s="372">
        <v>3372650</v>
      </c>
      <c r="L44" s="372">
        <f t="shared" si="0"/>
        <v>0</v>
      </c>
      <c r="M44" s="372">
        <f t="shared" si="1"/>
        <v>0</v>
      </c>
      <c r="N44" s="460">
        <f t="shared" si="4"/>
        <v>0</v>
      </c>
      <c r="P44" s="524">
        <v>132</v>
      </c>
      <c r="Q44" s="524">
        <v>91</v>
      </c>
      <c r="R44" s="524">
        <v>149</v>
      </c>
      <c r="S44" s="525">
        <v>0</v>
      </c>
      <c r="T44" s="526">
        <f t="shared" si="6"/>
        <v>1.7897879999999999</v>
      </c>
    </row>
    <row r="45" spans="1:21" ht="13.2" customHeight="1" x14ac:dyDescent="0.3">
      <c r="A45" s="365">
        <f t="shared" si="5"/>
        <v>27</v>
      </c>
      <c r="B45" s="370" t="s">
        <v>1549</v>
      </c>
      <c r="C45" s="371"/>
      <c r="D45" s="371"/>
      <c r="E45" s="367" t="s">
        <v>203</v>
      </c>
      <c r="F45" s="539"/>
      <c r="G45" s="527"/>
      <c r="H45" s="539"/>
      <c r="I45" s="369">
        <f t="shared" si="3"/>
        <v>0</v>
      </c>
      <c r="J45" s="372">
        <v>128557200</v>
      </c>
      <c r="K45" s="372">
        <v>3536950</v>
      </c>
      <c r="L45" s="372">
        <f t="shared" si="0"/>
        <v>0</v>
      </c>
      <c r="M45" s="372">
        <f t="shared" si="1"/>
        <v>0</v>
      </c>
      <c r="N45" s="460">
        <f t="shared" si="4"/>
        <v>0</v>
      </c>
      <c r="P45" s="524">
        <v>145</v>
      </c>
      <c r="Q45" s="524">
        <v>104</v>
      </c>
      <c r="R45" s="524">
        <v>165</v>
      </c>
      <c r="S45" s="525">
        <v>0</v>
      </c>
      <c r="T45" s="526">
        <f t="shared" si="6"/>
        <v>2.4882</v>
      </c>
    </row>
    <row r="46" spans="1:21" ht="13.2" customHeight="1" x14ac:dyDescent="0.3">
      <c r="A46" s="365">
        <f t="shared" si="5"/>
        <v>28</v>
      </c>
      <c r="B46" s="370" t="s">
        <v>1550</v>
      </c>
      <c r="C46" s="371"/>
      <c r="D46" s="371"/>
      <c r="E46" s="367" t="s">
        <v>203</v>
      </c>
      <c r="F46" s="539"/>
      <c r="G46" s="527"/>
      <c r="H46" s="539"/>
      <c r="I46" s="369">
        <f t="shared" si="3"/>
        <v>0</v>
      </c>
      <c r="J46" s="592"/>
      <c r="K46" s="372">
        <v>3694800</v>
      </c>
      <c r="L46" s="372">
        <f t="shared" si="0"/>
        <v>0</v>
      </c>
      <c r="M46" s="372">
        <f t="shared" si="1"/>
        <v>0</v>
      </c>
      <c r="N46" s="460">
        <f t="shared" si="4"/>
        <v>0</v>
      </c>
      <c r="P46" s="524">
        <v>166</v>
      </c>
      <c r="Q46" s="524">
        <v>112</v>
      </c>
      <c r="R46" s="524">
        <v>187</v>
      </c>
      <c r="S46" s="525">
        <v>0</v>
      </c>
      <c r="T46" s="526">
        <f t="shared" si="6"/>
        <v>3.4767039999999998</v>
      </c>
    </row>
    <row r="47" spans="1:21" ht="13.2" customHeight="1" x14ac:dyDescent="0.3">
      <c r="A47" s="365">
        <f t="shared" si="5"/>
        <v>29</v>
      </c>
      <c r="B47" s="370" t="s">
        <v>1536</v>
      </c>
      <c r="C47" s="371"/>
      <c r="D47" s="371"/>
      <c r="E47" s="367" t="s">
        <v>2348</v>
      </c>
      <c r="F47" s="539"/>
      <c r="G47" s="539"/>
      <c r="H47" s="539"/>
      <c r="I47" s="369">
        <f t="shared" si="3"/>
        <v>0</v>
      </c>
      <c r="J47" s="592"/>
      <c r="K47" s="372">
        <v>6032.15</v>
      </c>
      <c r="L47" s="372">
        <f t="shared" si="0"/>
        <v>0</v>
      </c>
      <c r="M47" s="372">
        <f t="shared" si="1"/>
        <v>0</v>
      </c>
      <c r="N47" s="460">
        <f t="shared" si="4"/>
        <v>0</v>
      </c>
      <c r="P47" s="524">
        <v>145</v>
      </c>
      <c r="Q47" s="524">
        <v>145</v>
      </c>
      <c r="R47" s="524">
        <v>60</v>
      </c>
      <c r="S47" s="525">
        <v>3000</v>
      </c>
      <c r="T47" s="526">
        <f t="shared" si="6"/>
        <v>4.2050000000000003E-4</v>
      </c>
      <c r="U47" s="297" t="s">
        <v>2347</v>
      </c>
    </row>
    <row r="48" spans="1:21" ht="13.2" customHeight="1" x14ac:dyDescent="0.3">
      <c r="A48" s="365">
        <f t="shared" si="5"/>
        <v>30</v>
      </c>
      <c r="B48" s="370" t="s">
        <v>1537</v>
      </c>
      <c r="C48" s="371"/>
      <c r="D48" s="371"/>
      <c r="E48" s="367" t="s">
        <v>2348</v>
      </c>
      <c r="F48" s="539"/>
      <c r="G48" s="539"/>
      <c r="H48" s="539"/>
      <c r="I48" s="369">
        <f t="shared" si="3"/>
        <v>0</v>
      </c>
      <c r="J48" s="592"/>
      <c r="K48" s="372">
        <v>7424.19</v>
      </c>
      <c r="L48" s="372">
        <f t="shared" si="0"/>
        <v>0</v>
      </c>
      <c r="M48" s="372">
        <f t="shared" si="1"/>
        <v>0</v>
      </c>
      <c r="N48" s="460">
        <f t="shared" si="4"/>
        <v>0</v>
      </c>
      <c r="P48" s="524">
        <v>145</v>
      </c>
      <c r="Q48" s="524">
        <v>145</v>
      </c>
      <c r="R48" s="524">
        <v>70</v>
      </c>
      <c r="S48" s="525">
        <v>3000</v>
      </c>
      <c r="T48" s="526">
        <f t="shared" si="6"/>
        <v>4.9058333333333332E-4</v>
      </c>
      <c r="U48" s="297" t="s">
        <v>2347</v>
      </c>
    </row>
    <row r="49" spans="1:21" ht="13.2" customHeight="1" x14ac:dyDescent="0.3">
      <c r="A49" s="365">
        <f t="shared" si="5"/>
        <v>31</v>
      </c>
      <c r="B49" s="370" t="s">
        <v>1538</v>
      </c>
      <c r="C49" s="371"/>
      <c r="D49" s="371"/>
      <c r="E49" s="367" t="s">
        <v>2348</v>
      </c>
      <c r="F49" s="527"/>
      <c r="G49" s="527"/>
      <c r="H49" s="539"/>
      <c r="I49" s="369">
        <f t="shared" si="3"/>
        <v>0</v>
      </c>
      <c r="J49" s="372">
        <v>18516.333333333332</v>
      </c>
      <c r="K49" s="372">
        <v>8774.0400000000009</v>
      </c>
      <c r="L49" s="372">
        <f t="shared" si="0"/>
        <v>0</v>
      </c>
      <c r="M49" s="372">
        <f t="shared" si="1"/>
        <v>0</v>
      </c>
      <c r="N49" s="460">
        <f t="shared" si="4"/>
        <v>0</v>
      </c>
      <c r="P49" s="524">
        <v>145</v>
      </c>
      <c r="Q49" s="524">
        <v>145</v>
      </c>
      <c r="R49" s="524">
        <v>85</v>
      </c>
      <c r="S49" s="525">
        <v>3000</v>
      </c>
      <c r="T49" s="526">
        <f t="shared" si="6"/>
        <v>5.957083333333334E-4</v>
      </c>
      <c r="U49" s="297" t="s">
        <v>2347</v>
      </c>
    </row>
    <row r="50" spans="1:21" ht="13.2" customHeight="1" x14ac:dyDescent="0.3">
      <c r="A50" s="365">
        <f t="shared" si="5"/>
        <v>32</v>
      </c>
      <c r="B50" s="370" t="s">
        <v>1539</v>
      </c>
      <c r="C50" s="371"/>
      <c r="D50" s="371"/>
      <c r="E50" s="367" t="s">
        <v>2348</v>
      </c>
      <c r="F50" s="539"/>
      <c r="G50" s="539"/>
      <c r="H50" s="539"/>
      <c r="I50" s="369">
        <f t="shared" si="3"/>
        <v>0</v>
      </c>
      <c r="J50" s="592"/>
      <c r="K50" s="372">
        <v>10723.83</v>
      </c>
      <c r="L50" s="372">
        <f t="shared" si="0"/>
        <v>0</v>
      </c>
      <c r="M50" s="372">
        <f t="shared" si="1"/>
        <v>0</v>
      </c>
      <c r="N50" s="460">
        <f t="shared" si="4"/>
        <v>0</v>
      </c>
      <c r="P50" s="524">
        <v>145</v>
      </c>
      <c r="Q50" s="524">
        <v>145</v>
      </c>
      <c r="R50" s="524">
        <v>95</v>
      </c>
      <c r="S50" s="525">
        <v>2000</v>
      </c>
      <c r="T50" s="526">
        <f t="shared" si="6"/>
        <v>9.9868750000000001E-4</v>
      </c>
      <c r="U50" s="297" t="s">
        <v>2347</v>
      </c>
    </row>
    <row r="51" spans="1:21" ht="13.2" customHeight="1" x14ac:dyDescent="0.3">
      <c r="A51" s="365">
        <f t="shared" si="5"/>
        <v>33</v>
      </c>
      <c r="B51" s="370" t="s">
        <v>1540</v>
      </c>
      <c r="C51" s="371"/>
      <c r="D51" s="371"/>
      <c r="E51" s="367" t="s">
        <v>2348</v>
      </c>
      <c r="F51" s="539"/>
      <c r="G51" s="539"/>
      <c r="H51" s="539"/>
      <c r="I51" s="369">
        <f t="shared" si="3"/>
        <v>0</v>
      </c>
      <c r="J51" s="592"/>
      <c r="K51" s="372">
        <v>13787.78</v>
      </c>
      <c r="L51" s="372">
        <f t="shared" ref="L51:L82" si="7">J51*I51</f>
        <v>0</v>
      </c>
      <c r="M51" s="372">
        <f t="shared" ref="M51:M82" si="8">K51*I51</f>
        <v>0</v>
      </c>
      <c r="N51" s="460">
        <f t="shared" si="4"/>
        <v>0</v>
      </c>
      <c r="P51" s="524">
        <v>145</v>
      </c>
      <c r="Q51" s="524">
        <v>145</v>
      </c>
      <c r="R51" s="524">
        <v>100</v>
      </c>
      <c r="S51" s="525">
        <v>2000</v>
      </c>
      <c r="T51" s="526">
        <f t="shared" si="6"/>
        <v>1.0512500000000001E-3</v>
      </c>
      <c r="U51" s="297" t="s">
        <v>2347</v>
      </c>
    </row>
    <row r="52" spans="1:21" ht="13.2" customHeight="1" x14ac:dyDescent="0.3">
      <c r="A52" s="365">
        <f t="shared" si="5"/>
        <v>34</v>
      </c>
      <c r="B52" s="370" t="s">
        <v>1541</v>
      </c>
      <c r="C52" s="371"/>
      <c r="D52" s="371"/>
      <c r="E52" s="367" t="s">
        <v>2348</v>
      </c>
      <c r="F52" s="527"/>
      <c r="G52" s="527"/>
      <c r="H52" s="539"/>
      <c r="I52" s="369">
        <f t="shared" si="3"/>
        <v>0</v>
      </c>
      <c r="J52" s="372">
        <v>34202.5</v>
      </c>
      <c r="K52" s="372">
        <v>16085.74</v>
      </c>
      <c r="L52" s="372">
        <f t="shared" si="7"/>
        <v>0</v>
      </c>
      <c r="M52" s="372">
        <f t="shared" si="8"/>
        <v>0</v>
      </c>
      <c r="N52" s="460">
        <f t="shared" si="4"/>
        <v>0</v>
      </c>
      <c r="P52" s="524">
        <v>145</v>
      </c>
      <c r="Q52" s="524">
        <v>145</v>
      </c>
      <c r="R52" s="524">
        <v>110</v>
      </c>
      <c r="S52" s="525">
        <v>2000</v>
      </c>
      <c r="T52" s="526">
        <f t="shared" si="6"/>
        <v>1.1563749999999999E-3</v>
      </c>
      <c r="U52" s="297" t="s">
        <v>2347</v>
      </c>
    </row>
    <row r="53" spans="1:21" ht="13.2" customHeight="1" x14ac:dyDescent="0.3">
      <c r="A53" s="365">
        <f t="shared" si="5"/>
        <v>35</v>
      </c>
      <c r="B53" s="370" t="s">
        <v>1542</v>
      </c>
      <c r="C53" s="371"/>
      <c r="D53" s="371"/>
      <c r="E53" s="367" t="s">
        <v>2348</v>
      </c>
      <c r="F53" s="527"/>
      <c r="G53" s="527"/>
      <c r="H53" s="539"/>
      <c r="I53" s="369">
        <f t="shared" si="3"/>
        <v>0</v>
      </c>
      <c r="J53" s="372">
        <v>50248</v>
      </c>
      <c r="K53" s="372">
        <v>21935.1</v>
      </c>
      <c r="L53" s="372">
        <f t="shared" si="7"/>
        <v>0</v>
      </c>
      <c r="M53" s="372">
        <f t="shared" si="8"/>
        <v>0</v>
      </c>
      <c r="N53" s="460">
        <f t="shared" si="4"/>
        <v>0</v>
      </c>
      <c r="P53" s="524">
        <v>145</v>
      </c>
      <c r="Q53" s="524">
        <v>145</v>
      </c>
      <c r="R53" s="524">
        <v>120</v>
      </c>
      <c r="S53" s="525">
        <v>1000</v>
      </c>
      <c r="T53" s="526">
        <f t="shared" si="6"/>
        <v>2.5230000000000001E-3</v>
      </c>
      <c r="U53" s="297" t="s">
        <v>2347</v>
      </c>
    </row>
    <row r="54" spans="1:21" ht="13.2" customHeight="1" x14ac:dyDescent="0.3">
      <c r="A54" s="365">
        <f t="shared" si="5"/>
        <v>36</v>
      </c>
      <c r="B54" s="370" t="s">
        <v>1543</v>
      </c>
      <c r="C54" s="371"/>
      <c r="D54" s="371"/>
      <c r="E54" s="367" t="s">
        <v>2348</v>
      </c>
      <c r="F54" s="539"/>
      <c r="G54" s="539"/>
      <c r="H54" s="539"/>
      <c r="I54" s="369">
        <f t="shared" si="3"/>
        <v>0</v>
      </c>
      <c r="J54" s="592"/>
      <c r="K54" s="372">
        <v>7540.19</v>
      </c>
      <c r="L54" s="372">
        <f t="shared" si="7"/>
        <v>0</v>
      </c>
      <c r="M54" s="372">
        <f t="shared" si="8"/>
        <v>0</v>
      </c>
      <c r="N54" s="460">
        <f t="shared" si="4"/>
        <v>0</v>
      </c>
      <c r="P54" s="524">
        <v>145</v>
      </c>
      <c r="Q54" s="524">
        <v>145</v>
      </c>
      <c r="R54" s="524">
        <v>70</v>
      </c>
      <c r="S54" s="525">
        <v>3000</v>
      </c>
      <c r="T54" s="526">
        <f t="shared" si="6"/>
        <v>4.9058333333333332E-4</v>
      </c>
      <c r="U54" s="297" t="s">
        <v>2347</v>
      </c>
    </row>
    <row r="55" spans="1:21" ht="13.2" customHeight="1" x14ac:dyDescent="0.3">
      <c r="A55" s="365">
        <f t="shared" si="5"/>
        <v>37</v>
      </c>
      <c r="B55" s="370" t="s">
        <v>1544</v>
      </c>
      <c r="C55" s="371"/>
      <c r="D55" s="371"/>
      <c r="E55" s="367" t="s">
        <v>2348</v>
      </c>
      <c r="F55" s="527"/>
      <c r="G55" s="527"/>
      <c r="H55" s="539"/>
      <c r="I55" s="369">
        <f t="shared" si="3"/>
        <v>0</v>
      </c>
      <c r="J55" s="372">
        <v>21065</v>
      </c>
      <c r="K55" s="372">
        <v>8936.52</v>
      </c>
      <c r="L55" s="372">
        <f t="shared" si="7"/>
        <v>0</v>
      </c>
      <c r="M55" s="372">
        <f t="shared" si="8"/>
        <v>0</v>
      </c>
      <c r="N55" s="460">
        <f t="shared" si="4"/>
        <v>0</v>
      </c>
      <c r="P55" s="524">
        <v>145</v>
      </c>
      <c r="Q55" s="524">
        <v>145</v>
      </c>
      <c r="R55" s="524">
        <v>85</v>
      </c>
      <c r="S55" s="525">
        <v>3000</v>
      </c>
      <c r="T55" s="526">
        <f t="shared" si="6"/>
        <v>5.957083333333334E-4</v>
      </c>
      <c r="U55" s="297" t="s">
        <v>2347</v>
      </c>
    </row>
    <row r="56" spans="1:21" ht="13.2" customHeight="1" x14ac:dyDescent="0.3">
      <c r="A56" s="365">
        <f t="shared" si="5"/>
        <v>38</v>
      </c>
      <c r="B56" s="370" t="s">
        <v>1545</v>
      </c>
      <c r="C56" s="371"/>
      <c r="D56" s="371"/>
      <c r="E56" s="367" t="s">
        <v>2348</v>
      </c>
      <c r="F56" s="539"/>
      <c r="G56" s="539"/>
      <c r="H56" s="539"/>
      <c r="I56" s="369">
        <f t="shared" si="3"/>
        <v>0</v>
      </c>
      <c r="J56" s="592"/>
      <c r="K56" s="372">
        <v>10967.55</v>
      </c>
      <c r="L56" s="372">
        <f t="shared" si="7"/>
        <v>0</v>
      </c>
      <c r="M56" s="372">
        <f t="shared" si="8"/>
        <v>0</v>
      </c>
      <c r="N56" s="460">
        <f t="shared" si="4"/>
        <v>0</v>
      </c>
      <c r="P56" s="524">
        <v>145</v>
      </c>
      <c r="Q56" s="524">
        <v>145</v>
      </c>
      <c r="R56" s="524">
        <v>95</v>
      </c>
      <c r="S56" s="525">
        <v>2000</v>
      </c>
      <c r="T56" s="526">
        <f t="shared" si="6"/>
        <v>9.9868750000000001E-4</v>
      </c>
      <c r="U56" s="297" t="s">
        <v>2347</v>
      </c>
    </row>
    <row r="57" spans="1:21" ht="13.2" customHeight="1" x14ac:dyDescent="0.3">
      <c r="A57" s="365">
        <f t="shared" si="5"/>
        <v>39</v>
      </c>
      <c r="B57" s="370" t="s">
        <v>1546</v>
      </c>
      <c r="C57" s="371"/>
      <c r="D57" s="371"/>
      <c r="E57" s="367" t="s">
        <v>2348</v>
      </c>
      <c r="F57" s="539"/>
      <c r="G57" s="539"/>
      <c r="H57" s="539"/>
      <c r="I57" s="369">
        <f t="shared" si="3"/>
        <v>0</v>
      </c>
      <c r="J57" s="592"/>
      <c r="K57" s="372">
        <v>14193.3</v>
      </c>
      <c r="L57" s="372">
        <f t="shared" si="7"/>
        <v>0</v>
      </c>
      <c r="M57" s="372">
        <f t="shared" si="8"/>
        <v>0</v>
      </c>
      <c r="N57" s="460">
        <f t="shared" si="4"/>
        <v>0</v>
      </c>
      <c r="P57" s="524">
        <v>145</v>
      </c>
      <c r="Q57" s="524">
        <v>145</v>
      </c>
      <c r="R57" s="524">
        <v>100</v>
      </c>
      <c r="S57" s="525">
        <v>2000</v>
      </c>
      <c r="T57" s="526">
        <f t="shared" si="6"/>
        <v>1.0512500000000001E-3</v>
      </c>
      <c r="U57" s="297" t="s">
        <v>2347</v>
      </c>
    </row>
    <row r="58" spans="1:21" ht="13.2" customHeight="1" x14ac:dyDescent="0.3">
      <c r="A58" s="365">
        <f t="shared" si="5"/>
        <v>40</v>
      </c>
      <c r="B58" s="370" t="s">
        <v>1547</v>
      </c>
      <c r="C58" s="371"/>
      <c r="D58" s="371"/>
      <c r="E58" s="367" t="s">
        <v>2348</v>
      </c>
      <c r="F58" s="527"/>
      <c r="G58" s="527"/>
      <c r="H58" s="539"/>
      <c r="I58" s="369">
        <f t="shared" si="3"/>
        <v>0</v>
      </c>
      <c r="J58" s="372">
        <v>37968</v>
      </c>
      <c r="K58" s="372">
        <v>16640.419999999998</v>
      </c>
      <c r="L58" s="372">
        <f t="shared" si="7"/>
        <v>0</v>
      </c>
      <c r="M58" s="372">
        <f t="shared" si="8"/>
        <v>0</v>
      </c>
      <c r="N58" s="460">
        <f t="shared" si="4"/>
        <v>0</v>
      </c>
      <c r="P58" s="524">
        <v>145</v>
      </c>
      <c r="Q58" s="524">
        <v>145</v>
      </c>
      <c r="R58" s="524">
        <v>110</v>
      </c>
      <c r="S58" s="525">
        <v>2000</v>
      </c>
      <c r="T58" s="526">
        <f t="shared" si="6"/>
        <v>1.1563749999999999E-3</v>
      </c>
      <c r="U58" s="297" t="s">
        <v>2347</v>
      </c>
    </row>
    <row r="59" spans="1:21" ht="13.2" customHeight="1" x14ac:dyDescent="0.3">
      <c r="A59" s="365">
        <f t="shared" si="5"/>
        <v>41</v>
      </c>
      <c r="B59" s="370" t="s">
        <v>1548</v>
      </c>
      <c r="C59" s="371"/>
      <c r="D59" s="371"/>
      <c r="E59" s="367" t="s">
        <v>2348</v>
      </c>
      <c r="F59" s="527"/>
      <c r="G59" s="527"/>
      <c r="H59" s="539"/>
      <c r="I59" s="369">
        <f t="shared" si="3"/>
        <v>0</v>
      </c>
      <c r="J59" s="372">
        <v>58527</v>
      </c>
      <c r="K59" s="372">
        <v>22979.63</v>
      </c>
      <c r="L59" s="372">
        <f t="shared" si="7"/>
        <v>0</v>
      </c>
      <c r="M59" s="372">
        <f t="shared" si="8"/>
        <v>0</v>
      </c>
      <c r="N59" s="460">
        <f t="shared" si="4"/>
        <v>0</v>
      </c>
      <c r="P59" s="524">
        <v>145</v>
      </c>
      <c r="Q59" s="524">
        <v>145</v>
      </c>
      <c r="R59" s="524">
        <v>120</v>
      </c>
      <c r="S59" s="525">
        <v>1000</v>
      </c>
      <c r="T59" s="526">
        <f t="shared" si="6"/>
        <v>2.5230000000000001E-3</v>
      </c>
      <c r="U59" s="297" t="s">
        <v>2347</v>
      </c>
    </row>
    <row r="60" spans="1:21" ht="13.2" customHeight="1" x14ac:dyDescent="0.3">
      <c r="A60" s="365">
        <f t="shared" si="5"/>
        <v>42</v>
      </c>
      <c r="B60" s="370" t="s">
        <v>1938</v>
      </c>
      <c r="C60" s="371"/>
      <c r="D60" s="371"/>
      <c r="E60" s="367" t="s">
        <v>2348</v>
      </c>
      <c r="F60" s="539"/>
      <c r="G60" s="539"/>
      <c r="H60" s="539"/>
      <c r="I60" s="369">
        <f t="shared" si="3"/>
        <v>0</v>
      </c>
      <c r="J60" s="592"/>
      <c r="K60" s="372">
        <v>9992.41</v>
      </c>
      <c r="L60" s="372">
        <f t="shared" si="7"/>
        <v>0</v>
      </c>
      <c r="M60" s="372">
        <f t="shared" si="8"/>
        <v>0</v>
      </c>
      <c r="N60" s="460">
        <f t="shared" si="4"/>
        <v>0</v>
      </c>
      <c r="P60" s="524">
        <v>205</v>
      </c>
      <c r="Q60" s="524">
        <v>205</v>
      </c>
      <c r="R60" s="524">
        <v>126</v>
      </c>
      <c r="S60" s="525">
        <v>1000</v>
      </c>
      <c r="T60" s="526">
        <f t="shared" si="6"/>
        <v>5.2951499999999993E-3</v>
      </c>
      <c r="U60" s="297" t="s">
        <v>2347</v>
      </c>
    </row>
    <row r="61" spans="1:21" ht="13.2" customHeight="1" x14ac:dyDescent="0.3">
      <c r="A61" s="365">
        <f t="shared" si="5"/>
        <v>43</v>
      </c>
      <c r="B61" s="370" t="s">
        <v>1939</v>
      </c>
      <c r="C61" s="371"/>
      <c r="D61" s="371"/>
      <c r="E61" s="367" t="s">
        <v>2348</v>
      </c>
      <c r="F61" s="539"/>
      <c r="G61" s="539"/>
      <c r="H61" s="539"/>
      <c r="I61" s="369">
        <f t="shared" si="3"/>
        <v>0</v>
      </c>
      <c r="J61" s="592"/>
      <c r="K61" s="372">
        <v>12780.99</v>
      </c>
      <c r="L61" s="372">
        <f t="shared" si="7"/>
        <v>0</v>
      </c>
      <c r="M61" s="372">
        <f t="shared" si="8"/>
        <v>0</v>
      </c>
      <c r="N61" s="460">
        <f t="shared" si="4"/>
        <v>0</v>
      </c>
      <c r="P61" s="524">
        <v>205</v>
      </c>
      <c r="Q61" s="524">
        <v>205</v>
      </c>
      <c r="R61" s="524">
        <v>126</v>
      </c>
      <c r="S61" s="525">
        <v>500</v>
      </c>
      <c r="T61" s="526">
        <f t="shared" si="6"/>
        <v>1.0590299999999999E-2</v>
      </c>
      <c r="U61" s="297" t="s">
        <v>2347</v>
      </c>
    </row>
    <row r="62" spans="1:21" ht="13.2" customHeight="1" x14ac:dyDescent="0.3">
      <c r="A62" s="365">
        <f t="shared" si="5"/>
        <v>44</v>
      </c>
      <c r="B62" s="370" t="s">
        <v>1940</v>
      </c>
      <c r="C62" s="371"/>
      <c r="D62" s="371"/>
      <c r="E62" s="367" t="s">
        <v>2348</v>
      </c>
      <c r="F62" s="527"/>
      <c r="G62" s="539"/>
      <c r="H62" s="539"/>
      <c r="I62" s="369">
        <f t="shared" si="3"/>
        <v>0</v>
      </c>
      <c r="J62" s="372">
        <v>483069</v>
      </c>
      <c r="K62" s="372">
        <v>13404.46</v>
      </c>
      <c r="L62" s="372">
        <f t="shared" si="7"/>
        <v>0</v>
      </c>
      <c r="M62" s="372">
        <f t="shared" si="8"/>
        <v>0</v>
      </c>
      <c r="N62" s="460">
        <f t="shared" si="4"/>
        <v>0</v>
      </c>
      <c r="P62" s="524">
        <v>205</v>
      </c>
      <c r="Q62" s="524">
        <v>205</v>
      </c>
      <c r="R62" s="524">
        <v>126</v>
      </c>
      <c r="S62" s="525">
        <v>500</v>
      </c>
      <c r="T62" s="526">
        <f t="shared" si="6"/>
        <v>1.0590299999999999E-2</v>
      </c>
      <c r="U62" s="297" t="s">
        <v>2347</v>
      </c>
    </row>
    <row r="63" spans="1:21" ht="13.2" customHeight="1" x14ac:dyDescent="0.3">
      <c r="A63" s="365">
        <f t="shared" si="5"/>
        <v>45</v>
      </c>
      <c r="B63" s="370" t="s">
        <v>1941</v>
      </c>
      <c r="C63" s="371"/>
      <c r="D63" s="371"/>
      <c r="E63" s="367" t="s">
        <v>2348</v>
      </c>
      <c r="F63" s="527"/>
      <c r="G63" s="539"/>
      <c r="H63" s="539"/>
      <c r="I63" s="369">
        <f t="shared" si="3"/>
        <v>0</v>
      </c>
      <c r="J63" s="372">
        <v>582913.33333333337</v>
      </c>
      <c r="K63" s="372">
        <v>13739.57</v>
      </c>
      <c r="L63" s="372">
        <f t="shared" si="7"/>
        <v>0</v>
      </c>
      <c r="M63" s="372">
        <f t="shared" si="8"/>
        <v>0</v>
      </c>
      <c r="N63" s="460">
        <f t="shared" si="4"/>
        <v>0</v>
      </c>
      <c r="P63" s="524">
        <v>220</v>
      </c>
      <c r="Q63" s="524">
        <v>220</v>
      </c>
      <c r="R63" s="524">
        <v>141</v>
      </c>
      <c r="S63" s="525">
        <v>300</v>
      </c>
      <c r="T63" s="526">
        <f t="shared" si="6"/>
        <v>2.2748000000000001E-2</v>
      </c>
      <c r="U63" s="297" t="s">
        <v>2347</v>
      </c>
    </row>
    <row r="64" spans="1:21" ht="13.2" customHeight="1" x14ac:dyDescent="0.3">
      <c r="A64" s="365">
        <f t="shared" si="5"/>
        <v>46</v>
      </c>
      <c r="B64" s="370" t="s">
        <v>1942</v>
      </c>
      <c r="C64" s="371"/>
      <c r="D64" s="371"/>
      <c r="E64" s="367" t="s">
        <v>264</v>
      </c>
      <c r="F64" s="539"/>
      <c r="G64" s="539"/>
      <c r="H64" s="539"/>
      <c r="I64" s="369">
        <f t="shared" si="3"/>
        <v>0</v>
      </c>
      <c r="J64" s="592"/>
      <c r="K64" s="372">
        <v>22740</v>
      </c>
      <c r="L64" s="372">
        <f t="shared" si="7"/>
        <v>0</v>
      </c>
      <c r="M64" s="372">
        <f t="shared" si="8"/>
        <v>0</v>
      </c>
      <c r="N64" s="460">
        <f t="shared" si="4"/>
        <v>0</v>
      </c>
      <c r="P64" s="524">
        <v>220</v>
      </c>
      <c r="Q64" s="524">
        <v>220</v>
      </c>
      <c r="R64" s="524">
        <v>135</v>
      </c>
      <c r="S64" s="525">
        <v>400</v>
      </c>
      <c r="T64" s="526">
        <f t="shared" si="6"/>
        <v>1.6334999999999999E-2</v>
      </c>
    </row>
    <row r="65" spans="1:20" ht="13.2" customHeight="1" x14ac:dyDescent="0.3">
      <c r="A65" s="365">
        <f t="shared" si="5"/>
        <v>47</v>
      </c>
      <c r="B65" s="370" t="s">
        <v>1943</v>
      </c>
      <c r="C65" s="371"/>
      <c r="D65" s="371"/>
      <c r="E65" s="367" t="s">
        <v>264</v>
      </c>
      <c r="F65" s="539"/>
      <c r="G65" s="539"/>
      <c r="H65" s="539"/>
      <c r="I65" s="369">
        <f t="shared" si="3"/>
        <v>0</v>
      </c>
      <c r="J65" s="592"/>
      <c r="K65" s="372">
        <v>25270</v>
      </c>
      <c r="L65" s="372">
        <f t="shared" si="7"/>
        <v>0</v>
      </c>
      <c r="M65" s="372">
        <f t="shared" si="8"/>
        <v>0</v>
      </c>
      <c r="N65" s="460">
        <f t="shared" si="4"/>
        <v>0</v>
      </c>
      <c r="P65" s="524">
        <v>220</v>
      </c>
      <c r="Q65" s="524">
        <v>220</v>
      </c>
      <c r="R65" s="524">
        <v>135</v>
      </c>
      <c r="S65" s="525">
        <v>350</v>
      </c>
      <c r="T65" s="526">
        <f t="shared" si="6"/>
        <v>1.8668571428571427E-2</v>
      </c>
    </row>
    <row r="66" spans="1:20" ht="13.2" customHeight="1" x14ac:dyDescent="0.3">
      <c r="A66" s="365">
        <f t="shared" si="5"/>
        <v>48</v>
      </c>
      <c r="B66" s="370" t="s">
        <v>1944</v>
      </c>
      <c r="C66" s="371"/>
      <c r="D66" s="371"/>
      <c r="E66" s="367" t="s">
        <v>264</v>
      </c>
      <c r="F66" s="527"/>
      <c r="G66" s="539"/>
      <c r="H66" s="539"/>
      <c r="I66" s="369">
        <f t="shared" si="3"/>
        <v>0</v>
      </c>
      <c r="J66" s="372">
        <v>576558.33333333337</v>
      </c>
      <c r="K66" s="372">
        <v>32490</v>
      </c>
      <c r="L66" s="372">
        <f t="shared" si="7"/>
        <v>0</v>
      </c>
      <c r="M66" s="372">
        <f t="shared" si="8"/>
        <v>0</v>
      </c>
      <c r="N66" s="460">
        <f t="shared" si="4"/>
        <v>0</v>
      </c>
      <c r="P66" s="524">
        <v>220</v>
      </c>
      <c r="Q66" s="524">
        <v>220</v>
      </c>
      <c r="R66" s="524">
        <v>135</v>
      </c>
      <c r="S66" s="525">
        <v>300</v>
      </c>
      <c r="T66" s="526">
        <f t="shared" si="6"/>
        <v>2.1780000000000001E-2</v>
      </c>
    </row>
    <row r="67" spans="1:20" ht="13.2" customHeight="1" x14ac:dyDescent="0.3">
      <c r="A67" s="365">
        <f t="shared" si="5"/>
        <v>49</v>
      </c>
      <c r="B67" s="370" t="s">
        <v>1945</v>
      </c>
      <c r="C67" s="371"/>
      <c r="D67" s="371"/>
      <c r="E67" s="367" t="s">
        <v>264</v>
      </c>
      <c r="F67" s="527"/>
      <c r="G67" s="539"/>
      <c r="H67" s="539"/>
      <c r="I67" s="369">
        <f t="shared" si="3"/>
        <v>0</v>
      </c>
      <c r="J67" s="372">
        <v>707642</v>
      </c>
      <c r="K67" s="372">
        <v>45490</v>
      </c>
      <c r="L67" s="372">
        <f t="shared" si="7"/>
        <v>0</v>
      </c>
      <c r="M67" s="372">
        <f t="shared" si="8"/>
        <v>0</v>
      </c>
      <c r="N67" s="460">
        <f t="shared" si="4"/>
        <v>0</v>
      </c>
      <c r="P67" s="524">
        <v>220</v>
      </c>
      <c r="Q67" s="524">
        <v>220</v>
      </c>
      <c r="R67" s="524">
        <v>135</v>
      </c>
      <c r="S67" s="525">
        <v>250</v>
      </c>
      <c r="T67" s="526">
        <f t="shared" si="6"/>
        <v>2.6136E-2</v>
      </c>
    </row>
    <row r="68" spans="1:20" ht="13.2" customHeight="1" x14ac:dyDescent="0.3">
      <c r="A68" s="365">
        <f t="shared" si="5"/>
        <v>50</v>
      </c>
      <c r="B68" s="370" t="s">
        <v>1946</v>
      </c>
      <c r="C68" s="371"/>
      <c r="D68" s="371"/>
      <c r="E68" s="367" t="s">
        <v>264</v>
      </c>
      <c r="F68" s="527"/>
      <c r="G68" s="539"/>
      <c r="H68" s="539"/>
      <c r="I68" s="369">
        <f t="shared" si="3"/>
        <v>0</v>
      </c>
      <c r="J68" s="372">
        <v>751505</v>
      </c>
      <c r="K68" s="372">
        <v>56860</v>
      </c>
      <c r="L68" s="372">
        <f t="shared" si="7"/>
        <v>0</v>
      </c>
      <c r="M68" s="372">
        <f t="shared" si="8"/>
        <v>0</v>
      </c>
      <c r="N68" s="460">
        <f t="shared" si="4"/>
        <v>0</v>
      </c>
      <c r="P68" s="524">
        <v>220</v>
      </c>
      <c r="Q68" s="524">
        <v>220</v>
      </c>
      <c r="R68" s="524">
        <v>135</v>
      </c>
      <c r="S68" s="525">
        <v>200</v>
      </c>
      <c r="T68" s="526">
        <f t="shared" si="6"/>
        <v>3.2669999999999998E-2</v>
      </c>
    </row>
    <row r="69" spans="1:20" ht="13.2" customHeight="1" x14ac:dyDescent="0.3">
      <c r="A69" s="365">
        <f t="shared" si="5"/>
        <v>51</v>
      </c>
      <c r="B69" s="370" t="s">
        <v>1947</v>
      </c>
      <c r="C69" s="371"/>
      <c r="D69" s="371"/>
      <c r="E69" s="367" t="s">
        <v>264</v>
      </c>
      <c r="F69" s="539"/>
      <c r="G69" s="539"/>
      <c r="H69" s="539"/>
      <c r="I69" s="369">
        <f t="shared" si="3"/>
        <v>0</v>
      </c>
      <c r="J69" s="592"/>
      <c r="K69" s="372">
        <v>13380</v>
      </c>
      <c r="L69" s="372">
        <f t="shared" si="7"/>
        <v>0</v>
      </c>
      <c r="M69" s="372">
        <f t="shared" si="8"/>
        <v>0</v>
      </c>
      <c r="N69" s="460">
        <f t="shared" si="4"/>
        <v>0</v>
      </c>
      <c r="P69" s="524">
        <v>220</v>
      </c>
      <c r="Q69" s="524">
        <v>220</v>
      </c>
      <c r="R69" s="524">
        <v>135</v>
      </c>
      <c r="S69" s="525">
        <v>500</v>
      </c>
      <c r="T69" s="526">
        <f t="shared" si="6"/>
        <v>1.3068E-2</v>
      </c>
    </row>
    <row r="70" spans="1:20" ht="13.2" customHeight="1" x14ac:dyDescent="0.3">
      <c r="A70" s="365">
        <f t="shared" si="5"/>
        <v>52</v>
      </c>
      <c r="B70" s="370" t="s">
        <v>1948</v>
      </c>
      <c r="C70" s="371"/>
      <c r="D70" s="371"/>
      <c r="E70" s="367" t="s">
        <v>264</v>
      </c>
      <c r="F70" s="539"/>
      <c r="G70" s="539"/>
      <c r="H70" s="539"/>
      <c r="I70" s="369">
        <f t="shared" si="3"/>
        <v>0</v>
      </c>
      <c r="J70" s="592"/>
      <c r="K70" s="372">
        <v>16250</v>
      </c>
      <c r="L70" s="372">
        <f t="shared" si="7"/>
        <v>0</v>
      </c>
      <c r="M70" s="372">
        <f t="shared" si="8"/>
        <v>0</v>
      </c>
      <c r="N70" s="460">
        <f t="shared" si="4"/>
        <v>0</v>
      </c>
      <c r="P70" s="524">
        <v>220</v>
      </c>
      <c r="Q70" s="524">
        <v>220</v>
      </c>
      <c r="R70" s="524">
        <v>135</v>
      </c>
      <c r="S70" s="525">
        <v>450</v>
      </c>
      <c r="T70" s="526">
        <f t="shared" si="6"/>
        <v>1.452E-2</v>
      </c>
    </row>
    <row r="71" spans="1:20" ht="13.2" customHeight="1" x14ac:dyDescent="0.3">
      <c r="A71" s="365">
        <f t="shared" si="5"/>
        <v>53</v>
      </c>
      <c r="B71" s="370" t="s">
        <v>1949</v>
      </c>
      <c r="C71" s="371"/>
      <c r="D71" s="371"/>
      <c r="E71" s="367" t="s">
        <v>264</v>
      </c>
      <c r="F71" s="539"/>
      <c r="G71" s="539"/>
      <c r="H71" s="539"/>
      <c r="I71" s="369">
        <f t="shared" si="3"/>
        <v>0</v>
      </c>
      <c r="J71" s="592"/>
      <c r="K71" s="372">
        <v>18950</v>
      </c>
      <c r="L71" s="372">
        <f t="shared" si="7"/>
        <v>0</v>
      </c>
      <c r="M71" s="372">
        <f t="shared" si="8"/>
        <v>0</v>
      </c>
      <c r="N71" s="460">
        <f t="shared" si="4"/>
        <v>0</v>
      </c>
      <c r="P71" s="524">
        <v>220</v>
      </c>
      <c r="Q71" s="524">
        <v>220</v>
      </c>
      <c r="R71" s="524">
        <v>135</v>
      </c>
      <c r="S71" s="525">
        <v>400</v>
      </c>
      <c r="T71" s="526">
        <f t="shared" si="6"/>
        <v>1.6334999999999999E-2</v>
      </c>
    </row>
    <row r="72" spans="1:20" ht="13.2" customHeight="1" x14ac:dyDescent="0.3">
      <c r="A72" s="365">
        <f t="shared" si="5"/>
        <v>54</v>
      </c>
      <c r="B72" s="370" t="s">
        <v>1950</v>
      </c>
      <c r="C72" s="371"/>
      <c r="D72" s="371"/>
      <c r="E72" s="367" t="s">
        <v>264</v>
      </c>
      <c r="F72" s="539"/>
      <c r="G72" s="539"/>
      <c r="H72" s="539"/>
      <c r="I72" s="369">
        <f t="shared" si="3"/>
        <v>0</v>
      </c>
      <c r="J72" s="592"/>
      <c r="K72" s="372">
        <v>22740</v>
      </c>
      <c r="L72" s="372">
        <f t="shared" si="7"/>
        <v>0</v>
      </c>
      <c r="M72" s="372">
        <f t="shared" si="8"/>
        <v>0</v>
      </c>
      <c r="N72" s="460">
        <f t="shared" si="4"/>
        <v>0</v>
      </c>
      <c r="P72" s="524">
        <v>220</v>
      </c>
      <c r="Q72" s="524">
        <v>220</v>
      </c>
      <c r="R72" s="524">
        <v>135</v>
      </c>
      <c r="S72" s="525">
        <v>350</v>
      </c>
      <c r="T72" s="526">
        <f t="shared" si="6"/>
        <v>1.8668571428571427E-2</v>
      </c>
    </row>
    <row r="73" spans="1:20" ht="13.2" customHeight="1" x14ac:dyDescent="0.3">
      <c r="A73" s="365">
        <f t="shared" si="5"/>
        <v>55</v>
      </c>
      <c r="B73" s="370" t="s">
        <v>1951</v>
      </c>
      <c r="C73" s="371"/>
      <c r="D73" s="371"/>
      <c r="E73" s="367" t="s">
        <v>264</v>
      </c>
      <c r="F73" s="527"/>
      <c r="G73" s="539"/>
      <c r="H73" s="539"/>
      <c r="I73" s="369">
        <f t="shared" si="3"/>
        <v>0</v>
      </c>
      <c r="J73" s="592"/>
      <c r="K73" s="372">
        <v>26760</v>
      </c>
      <c r="L73" s="372">
        <f t="shared" si="7"/>
        <v>0</v>
      </c>
      <c r="M73" s="372">
        <f t="shared" si="8"/>
        <v>0</v>
      </c>
      <c r="N73" s="460">
        <f t="shared" si="4"/>
        <v>0</v>
      </c>
      <c r="P73" s="524">
        <v>220</v>
      </c>
      <c r="Q73" s="524">
        <v>220</v>
      </c>
      <c r="R73" s="524">
        <v>135</v>
      </c>
      <c r="S73" s="525">
        <v>300</v>
      </c>
      <c r="T73" s="526">
        <f t="shared" si="6"/>
        <v>2.1780000000000001E-2</v>
      </c>
    </row>
    <row r="74" spans="1:20" ht="13.2" customHeight="1" x14ac:dyDescent="0.3">
      <c r="A74" s="365">
        <f t="shared" si="5"/>
        <v>56</v>
      </c>
      <c r="B74" s="370" t="s">
        <v>1952</v>
      </c>
      <c r="C74" s="371"/>
      <c r="D74" s="371"/>
      <c r="E74" s="367" t="s">
        <v>264</v>
      </c>
      <c r="F74" s="527"/>
      <c r="G74" s="539"/>
      <c r="H74" s="539"/>
      <c r="I74" s="369">
        <f t="shared" si="3"/>
        <v>0</v>
      </c>
      <c r="J74" s="592"/>
      <c r="K74" s="372">
        <v>34990</v>
      </c>
      <c r="L74" s="372">
        <f t="shared" si="7"/>
        <v>0</v>
      </c>
      <c r="M74" s="372">
        <f t="shared" si="8"/>
        <v>0</v>
      </c>
      <c r="N74" s="460">
        <f t="shared" si="4"/>
        <v>0</v>
      </c>
      <c r="P74" s="524">
        <v>220</v>
      </c>
      <c r="Q74" s="524">
        <v>220</v>
      </c>
      <c r="R74" s="524">
        <v>135</v>
      </c>
      <c r="S74" s="525">
        <v>250</v>
      </c>
      <c r="T74" s="526">
        <f t="shared" si="6"/>
        <v>2.6136E-2</v>
      </c>
    </row>
    <row r="75" spans="1:20" ht="13.2" customHeight="1" x14ac:dyDescent="0.3">
      <c r="A75" s="365">
        <f t="shared" si="5"/>
        <v>57</v>
      </c>
      <c r="B75" s="370" t="s">
        <v>1953</v>
      </c>
      <c r="C75" s="371"/>
      <c r="D75" s="371"/>
      <c r="E75" s="367" t="s">
        <v>264</v>
      </c>
      <c r="F75" s="527"/>
      <c r="G75" s="539"/>
      <c r="H75" s="539"/>
      <c r="I75" s="369">
        <f t="shared" si="3"/>
        <v>0</v>
      </c>
      <c r="J75" s="592"/>
      <c r="K75" s="372">
        <v>45490</v>
      </c>
      <c r="L75" s="372">
        <f t="shared" si="7"/>
        <v>0</v>
      </c>
      <c r="M75" s="372">
        <f t="shared" si="8"/>
        <v>0</v>
      </c>
      <c r="N75" s="460">
        <f t="shared" si="4"/>
        <v>0</v>
      </c>
      <c r="P75" s="524">
        <v>220</v>
      </c>
      <c r="Q75" s="524">
        <v>220</v>
      </c>
      <c r="R75" s="524">
        <v>135</v>
      </c>
      <c r="S75" s="525">
        <v>200</v>
      </c>
      <c r="T75" s="526">
        <f t="shared" si="6"/>
        <v>3.2669999999999998E-2</v>
      </c>
    </row>
    <row r="76" spans="1:20" ht="13.2" customHeight="1" x14ac:dyDescent="0.3">
      <c r="A76" s="365">
        <f t="shared" si="5"/>
        <v>58</v>
      </c>
      <c r="B76" s="370" t="s">
        <v>1551</v>
      </c>
      <c r="C76" s="371"/>
      <c r="D76" s="371"/>
      <c r="E76" s="367" t="s">
        <v>264</v>
      </c>
      <c r="F76" s="539"/>
      <c r="G76" s="539"/>
      <c r="H76" s="539"/>
      <c r="I76" s="369">
        <f t="shared" si="3"/>
        <v>0</v>
      </c>
      <c r="J76" s="592"/>
      <c r="K76" s="372">
        <v>8680</v>
      </c>
      <c r="L76" s="372">
        <f t="shared" si="7"/>
        <v>0</v>
      </c>
      <c r="M76" s="372">
        <f t="shared" si="8"/>
        <v>0</v>
      </c>
      <c r="N76" s="460">
        <f t="shared" si="4"/>
        <v>0</v>
      </c>
      <c r="P76" s="524">
        <v>151</v>
      </c>
      <c r="Q76" s="524">
        <v>151</v>
      </c>
      <c r="R76" s="524">
        <v>104</v>
      </c>
      <c r="S76" s="525">
        <v>1000</v>
      </c>
      <c r="T76" s="526">
        <f t="shared" si="6"/>
        <v>2.3713039999999999E-3</v>
      </c>
    </row>
    <row r="77" spans="1:20" ht="13.2" customHeight="1" x14ac:dyDescent="0.3">
      <c r="A77" s="365">
        <f t="shared" si="5"/>
        <v>59</v>
      </c>
      <c r="B77" s="370" t="s">
        <v>1552</v>
      </c>
      <c r="C77" s="371"/>
      <c r="D77" s="371"/>
      <c r="E77" s="367" t="s">
        <v>264</v>
      </c>
      <c r="F77" s="539"/>
      <c r="G77" s="527"/>
      <c r="H77" s="539"/>
      <c r="I77" s="369">
        <f t="shared" si="3"/>
        <v>0</v>
      </c>
      <c r="J77" s="372">
        <v>174125</v>
      </c>
      <c r="K77" s="372">
        <v>9990</v>
      </c>
      <c r="L77" s="372">
        <f t="shared" si="7"/>
        <v>0</v>
      </c>
      <c r="M77" s="372">
        <f t="shared" si="8"/>
        <v>0</v>
      </c>
      <c r="N77" s="460">
        <f t="shared" si="4"/>
        <v>0</v>
      </c>
      <c r="P77" s="524">
        <v>151</v>
      </c>
      <c r="Q77" s="524">
        <v>151</v>
      </c>
      <c r="R77" s="524">
        <v>104</v>
      </c>
      <c r="S77" s="525">
        <v>1000</v>
      </c>
      <c r="T77" s="526">
        <f t="shared" si="6"/>
        <v>2.3713039999999999E-3</v>
      </c>
    </row>
    <row r="78" spans="1:20" ht="13.2" customHeight="1" x14ac:dyDescent="0.3">
      <c r="A78" s="365">
        <f t="shared" si="5"/>
        <v>60</v>
      </c>
      <c r="B78" s="370" t="s">
        <v>1553</v>
      </c>
      <c r="C78" s="371"/>
      <c r="D78" s="371"/>
      <c r="E78" s="367" t="s">
        <v>264</v>
      </c>
      <c r="F78" s="539"/>
      <c r="G78" s="527"/>
      <c r="H78" s="539"/>
      <c r="I78" s="369">
        <f t="shared" si="3"/>
        <v>0</v>
      </c>
      <c r="J78" s="372">
        <v>253151</v>
      </c>
      <c r="K78" s="372">
        <v>12480</v>
      </c>
      <c r="L78" s="372">
        <f t="shared" si="7"/>
        <v>0</v>
      </c>
      <c r="M78" s="372">
        <f t="shared" si="8"/>
        <v>0</v>
      </c>
      <c r="N78" s="460">
        <f t="shared" si="4"/>
        <v>0</v>
      </c>
      <c r="P78" s="524">
        <v>151</v>
      </c>
      <c r="Q78" s="524">
        <v>151</v>
      </c>
      <c r="R78" s="524">
        <v>104</v>
      </c>
      <c r="S78" s="525">
        <v>1000</v>
      </c>
      <c r="T78" s="526">
        <f t="shared" si="6"/>
        <v>2.3713039999999999E-3</v>
      </c>
    </row>
    <row r="79" spans="1:20" ht="13.2" customHeight="1" x14ac:dyDescent="0.3">
      <c r="A79" s="365">
        <f t="shared" si="5"/>
        <v>61</v>
      </c>
      <c r="B79" s="370" t="s">
        <v>1554</v>
      </c>
      <c r="C79" s="371"/>
      <c r="D79" s="371"/>
      <c r="E79" s="367" t="s">
        <v>264</v>
      </c>
      <c r="F79" s="539"/>
      <c r="G79" s="527"/>
      <c r="H79" s="539"/>
      <c r="I79" s="369">
        <f t="shared" si="3"/>
        <v>0</v>
      </c>
      <c r="J79" s="372">
        <v>400906</v>
      </c>
      <c r="K79" s="372">
        <v>14270</v>
      </c>
      <c r="L79" s="372">
        <f t="shared" si="7"/>
        <v>0</v>
      </c>
      <c r="M79" s="372">
        <f t="shared" si="8"/>
        <v>0</v>
      </c>
      <c r="N79" s="460">
        <f t="shared" si="4"/>
        <v>0</v>
      </c>
      <c r="P79" s="524">
        <v>151</v>
      </c>
      <c r="Q79" s="524">
        <v>151</v>
      </c>
      <c r="R79" s="524">
        <v>104</v>
      </c>
      <c r="S79" s="525">
        <v>1000</v>
      </c>
      <c r="T79" s="526">
        <f t="shared" si="6"/>
        <v>2.3713039999999999E-3</v>
      </c>
    </row>
    <row r="80" spans="1:20" ht="13.2" customHeight="1" x14ac:dyDescent="0.3">
      <c r="A80" s="365">
        <f t="shared" si="5"/>
        <v>62</v>
      </c>
      <c r="B80" s="370" t="s">
        <v>1555</v>
      </c>
      <c r="C80" s="371"/>
      <c r="D80" s="371"/>
      <c r="E80" s="367" t="s">
        <v>264</v>
      </c>
      <c r="F80" s="539"/>
      <c r="G80" s="527"/>
      <c r="H80" s="539"/>
      <c r="I80" s="369">
        <f t="shared" si="3"/>
        <v>0</v>
      </c>
      <c r="J80" s="372">
        <v>632600</v>
      </c>
      <c r="K80" s="372">
        <v>16640</v>
      </c>
      <c r="L80" s="372">
        <f t="shared" si="7"/>
        <v>0</v>
      </c>
      <c r="M80" s="372">
        <f t="shared" si="8"/>
        <v>0</v>
      </c>
      <c r="N80" s="460">
        <f t="shared" si="4"/>
        <v>0</v>
      </c>
      <c r="P80" s="524">
        <v>151</v>
      </c>
      <c r="Q80" s="524">
        <v>151</v>
      </c>
      <c r="R80" s="524">
        <v>104</v>
      </c>
      <c r="S80" s="525">
        <v>1000</v>
      </c>
      <c r="T80" s="526">
        <f t="shared" si="6"/>
        <v>2.3713039999999999E-3</v>
      </c>
    </row>
    <row r="81" spans="1:21" ht="13.2" customHeight="1" x14ac:dyDescent="0.3">
      <c r="A81" s="365">
        <f t="shared" si="5"/>
        <v>63</v>
      </c>
      <c r="B81" s="370" t="s">
        <v>1559</v>
      </c>
      <c r="C81" s="371"/>
      <c r="D81" s="371"/>
      <c r="E81" s="367" t="s">
        <v>2348</v>
      </c>
      <c r="F81" s="539"/>
      <c r="G81" s="539"/>
      <c r="H81" s="527"/>
      <c r="I81" s="369">
        <f t="shared" si="3"/>
        <v>0</v>
      </c>
      <c r="J81" s="372">
        <v>47807</v>
      </c>
      <c r="K81" s="372">
        <v>4674.7</v>
      </c>
      <c r="L81" s="372">
        <f t="shared" si="7"/>
        <v>0</v>
      </c>
      <c r="M81" s="372">
        <f t="shared" si="8"/>
        <v>0</v>
      </c>
      <c r="N81" s="460">
        <f t="shared" si="4"/>
        <v>0</v>
      </c>
      <c r="P81" s="524">
        <v>151</v>
      </c>
      <c r="Q81" s="524">
        <v>151</v>
      </c>
      <c r="R81" s="524">
        <v>104</v>
      </c>
      <c r="S81" s="525">
        <v>1000</v>
      </c>
      <c r="T81" s="526">
        <f t="shared" si="6"/>
        <v>2.3713039999999999E-3</v>
      </c>
      <c r="U81" s="297" t="s">
        <v>2347</v>
      </c>
    </row>
    <row r="82" spans="1:21" ht="13.2" customHeight="1" x14ac:dyDescent="0.3">
      <c r="A82" s="365">
        <f t="shared" si="5"/>
        <v>64</v>
      </c>
      <c r="B82" s="370" t="s">
        <v>1560</v>
      </c>
      <c r="C82" s="371"/>
      <c r="D82" s="371"/>
      <c r="E82" s="367" t="s">
        <v>2348</v>
      </c>
      <c r="F82" s="539"/>
      <c r="G82" s="539"/>
      <c r="H82" s="527"/>
      <c r="I82" s="369">
        <f t="shared" si="3"/>
        <v>0</v>
      </c>
      <c r="J82" s="592"/>
      <c r="K82" s="372">
        <v>6472.66</v>
      </c>
      <c r="L82" s="372">
        <f t="shared" si="7"/>
        <v>0</v>
      </c>
      <c r="M82" s="372">
        <f t="shared" si="8"/>
        <v>0</v>
      </c>
      <c r="N82" s="460">
        <f t="shared" si="4"/>
        <v>0</v>
      </c>
      <c r="P82" s="524">
        <v>151</v>
      </c>
      <c r="Q82" s="524">
        <v>151</v>
      </c>
      <c r="R82" s="524">
        <v>104</v>
      </c>
      <c r="S82" s="525">
        <v>1000</v>
      </c>
      <c r="T82" s="526">
        <f t="shared" si="6"/>
        <v>2.3713039999999999E-3</v>
      </c>
      <c r="U82" s="297" t="s">
        <v>2347</v>
      </c>
    </row>
    <row r="83" spans="1:21" ht="13.2" customHeight="1" x14ac:dyDescent="0.3">
      <c r="A83" s="365">
        <f t="shared" si="5"/>
        <v>65</v>
      </c>
      <c r="B83" s="370" t="s">
        <v>1561</v>
      </c>
      <c r="C83" s="371"/>
      <c r="D83" s="371"/>
      <c r="E83" s="367" t="s">
        <v>2348</v>
      </c>
      <c r="F83" s="539"/>
      <c r="G83" s="539"/>
      <c r="H83" s="527"/>
      <c r="I83" s="369">
        <f t="shared" si="3"/>
        <v>0</v>
      </c>
      <c r="J83" s="372">
        <v>84971</v>
      </c>
      <c r="K83" s="372">
        <v>8414.4599999999991</v>
      </c>
      <c r="L83" s="372">
        <f t="shared" ref="L83:L114" si="9">J83*I83</f>
        <v>0</v>
      </c>
      <c r="M83" s="372">
        <f t="shared" ref="M83:M114" si="10">K83*I83</f>
        <v>0</v>
      </c>
      <c r="N83" s="460">
        <f t="shared" si="4"/>
        <v>0</v>
      </c>
      <c r="P83" s="524">
        <v>151</v>
      </c>
      <c r="Q83" s="524">
        <v>151</v>
      </c>
      <c r="R83" s="524">
        <v>104</v>
      </c>
      <c r="S83" s="525">
        <v>1000</v>
      </c>
      <c r="T83" s="526">
        <f t="shared" si="6"/>
        <v>2.3713039999999999E-3</v>
      </c>
      <c r="U83" s="297" t="s">
        <v>2347</v>
      </c>
    </row>
    <row r="84" spans="1:21" ht="13.2" customHeight="1" x14ac:dyDescent="0.3">
      <c r="A84" s="365">
        <f t="shared" si="5"/>
        <v>66</v>
      </c>
      <c r="B84" s="370" t="s">
        <v>1562</v>
      </c>
      <c r="C84" s="371"/>
      <c r="D84" s="371"/>
      <c r="E84" s="367" t="s">
        <v>2348</v>
      </c>
      <c r="F84" s="539"/>
      <c r="G84" s="539"/>
      <c r="H84" s="527"/>
      <c r="I84" s="369">
        <f t="shared" ref="I84:I124" si="11">SUM(F84:H84)</f>
        <v>0</v>
      </c>
      <c r="J84" s="592"/>
      <c r="K84" s="372">
        <v>10518.07</v>
      </c>
      <c r="L84" s="372">
        <f t="shared" si="9"/>
        <v>0</v>
      </c>
      <c r="M84" s="372">
        <f t="shared" si="10"/>
        <v>0</v>
      </c>
      <c r="N84" s="460">
        <f t="shared" ref="N84:N124" si="12">SUM(L84:M84)</f>
        <v>0</v>
      </c>
      <c r="P84" s="524">
        <v>151</v>
      </c>
      <c r="Q84" s="524">
        <v>151</v>
      </c>
      <c r="R84" s="524">
        <v>104</v>
      </c>
      <c r="S84" s="525">
        <v>1000</v>
      </c>
      <c r="T84" s="526">
        <f t="shared" si="6"/>
        <v>2.3713039999999999E-3</v>
      </c>
      <c r="U84" s="297" t="s">
        <v>2347</v>
      </c>
    </row>
    <row r="85" spans="1:21" ht="13.2" customHeight="1" x14ac:dyDescent="0.3">
      <c r="A85" s="365">
        <f t="shared" ref="A85:A124" si="13">A84+1</f>
        <v>67</v>
      </c>
      <c r="B85" s="370" t="s">
        <v>1557</v>
      </c>
      <c r="C85" s="373"/>
      <c r="D85" s="373"/>
      <c r="E85" s="374" t="s">
        <v>264</v>
      </c>
      <c r="F85" s="571"/>
      <c r="G85" s="571"/>
      <c r="H85" s="528"/>
      <c r="I85" s="369">
        <f t="shared" si="11"/>
        <v>0</v>
      </c>
      <c r="J85" s="375">
        <v>6686.333333333333</v>
      </c>
      <c r="K85" s="375">
        <v>5660</v>
      </c>
      <c r="L85" s="372">
        <f t="shared" si="9"/>
        <v>0</v>
      </c>
      <c r="M85" s="375">
        <f t="shared" si="10"/>
        <v>0</v>
      </c>
      <c r="N85" s="462">
        <f t="shared" si="12"/>
        <v>0</v>
      </c>
      <c r="P85" s="524">
        <v>151</v>
      </c>
      <c r="Q85" s="524">
        <v>151</v>
      </c>
      <c r="R85" s="524">
        <v>104</v>
      </c>
      <c r="S85" s="525">
        <v>3000</v>
      </c>
      <c r="T85" s="526">
        <f t="shared" si="6"/>
        <v>7.9043466666666666E-4</v>
      </c>
    </row>
    <row r="86" spans="1:21" ht="13.2" customHeight="1" x14ac:dyDescent="0.3">
      <c r="A86" s="365">
        <f t="shared" si="13"/>
        <v>68</v>
      </c>
      <c r="B86" s="370" t="s">
        <v>1558</v>
      </c>
      <c r="C86" s="373"/>
      <c r="D86" s="373"/>
      <c r="E86" s="374" t="s">
        <v>264</v>
      </c>
      <c r="F86" s="571"/>
      <c r="G86" s="571"/>
      <c r="H86" s="528"/>
      <c r="I86" s="369">
        <f t="shared" si="11"/>
        <v>0</v>
      </c>
      <c r="J86" s="375">
        <v>10133</v>
      </c>
      <c r="K86" s="375">
        <v>6510</v>
      </c>
      <c r="L86" s="372">
        <f t="shared" si="9"/>
        <v>0</v>
      </c>
      <c r="M86" s="375">
        <f t="shared" si="10"/>
        <v>0</v>
      </c>
      <c r="N86" s="462">
        <f t="shared" si="12"/>
        <v>0</v>
      </c>
      <c r="P86" s="524">
        <v>151</v>
      </c>
      <c r="Q86" s="524">
        <v>151</v>
      </c>
      <c r="R86" s="524">
        <v>104</v>
      </c>
      <c r="S86" s="525">
        <v>2000</v>
      </c>
      <c r="T86" s="526">
        <f t="shared" si="6"/>
        <v>1.1856519999999999E-3</v>
      </c>
    </row>
    <row r="87" spans="1:21" ht="13.2" customHeight="1" x14ac:dyDescent="0.3">
      <c r="A87" s="365">
        <f t="shared" si="13"/>
        <v>69</v>
      </c>
      <c r="B87" s="370" t="s">
        <v>1567</v>
      </c>
      <c r="C87" s="373"/>
      <c r="D87" s="373"/>
      <c r="E87" s="374" t="s">
        <v>264</v>
      </c>
      <c r="F87" s="571"/>
      <c r="G87" s="571"/>
      <c r="H87" s="528"/>
      <c r="I87" s="369">
        <f t="shared" si="11"/>
        <v>0</v>
      </c>
      <c r="J87" s="375">
        <v>20881</v>
      </c>
      <c r="K87" s="375">
        <v>13010</v>
      </c>
      <c r="L87" s="372">
        <f t="shared" si="9"/>
        <v>0</v>
      </c>
      <c r="M87" s="375">
        <f t="shared" si="10"/>
        <v>0</v>
      </c>
      <c r="N87" s="462">
        <f t="shared" si="12"/>
        <v>0</v>
      </c>
      <c r="P87" s="524">
        <v>151</v>
      </c>
      <c r="Q87" s="524">
        <v>151</v>
      </c>
      <c r="R87" s="524">
        <v>104</v>
      </c>
      <c r="S87" s="525">
        <v>1000</v>
      </c>
      <c r="T87" s="526">
        <f t="shared" si="6"/>
        <v>2.3713039999999999E-3</v>
      </c>
    </row>
    <row r="88" spans="1:21" ht="13.2" customHeight="1" x14ac:dyDescent="0.3">
      <c r="A88" s="365">
        <f t="shared" si="13"/>
        <v>70</v>
      </c>
      <c r="B88" s="370" t="s">
        <v>1556</v>
      </c>
      <c r="C88" s="373"/>
      <c r="D88" s="373"/>
      <c r="E88" s="374" t="s">
        <v>264</v>
      </c>
      <c r="F88" s="571"/>
      <c r="G88" s="571"/>
      <c r="H88" s="528"/>
      <c r="I88" s="369">
        <f t="shared" si="11"/>
        <v>0</v>
      </c>
      <c r="J88" s="592"/>
      <c r="K88" s="375">
        <v>5010</v>
      </c>
      <c r="L88" s="372">
        <f t="shared" si="9"/>
        <v>0</v>
      </c>
      <c r="M88" s="375">
        <f t="shared" si="10"/>
        <v>0</v>
      </c>
      <c r="N88" s="462">
        <f t="shared" si="12"/>
        <v>0</v>
      </c>
      <c r="P88" s="524">
        <v>151</v>
      </c>
      <c r="Q88" s="524">
        <v>151</v>
      </c>
      <c r="R88" s="524">
        <v>104</v>
      </c>
      <c r="S88" s="525">
        <v>3000</v>
      </c>
      <c r="T88" s="526">
        <f t="shared" si="6"/>
        <v>7.9043466666666666E-4</v>
      </c>
    </row>
    <row r="89" spans="1:21" ht="13.2" customHeight="1" x14ac:dyDescent="0.3">
      <c r="A89" s="365">
        <f t="shared" si="13"/>
        <v>71</v>
      </c>
      <c r="B89" s="370" t="s">
        <v>1563</v>
      </c>
      <c r="C89" s="373"/>
      <c r="D89" s="373"/>
      <c r="E89" s="374" t="s">
        <v>264</v>
      </c>
      <c r="F89" s="571"/>
      <c r="G89" s="571"/>
      <c r="H89" s="528"/>
      <c r="I89" s="369">
        <f t="shared" si="11"/>
        <v>0</v>
      </c>
      <c r="J89" s="592"/>
      <c r="K89" s="375">
        <v>5920</v>
      </c>
      <c r="L89" s="372">
        <f t="shared" si="9"/>
        <v>0</v>
      </c>
      <c r="M89" s="375">
        <f t="shared" si="10"/>
        <v>0</v>
      </c>
      <c r="N89" s="462">
        <f t="shared" si="12"/>
        <v>0</v>
      </c>
      <c r="P89" s="524">
        <v>151</v>
      </c>
      <c r="Q89" s="524">
        <v>151</v>
      </c>
      <c r="R89" s="524">
        <v>104</v>
      </c>
      <c r="S89" s="525">
        <v>2000</v>
      </c>
      <c r="T89" s="526">
        <f t="shared" si="6"/>
        <v>1.1856519999999999E-3</v>
      </c>
    </row>
    <row r="90" spans="1:21" ht="13.2" customHeight="1" x14ac:dyDescent="0.3">
      <c r="A90" s="365">
        <f t="shared" si="13"/>
        <v>72</v>
      </c>
      <c r="B90" s="370" t="s">
        <v>1564</v>
      </c>
      <c r="C90" s="373"/>
      <c r="D90" s="373"/>
      <c r="E90" s="374" t="s">
        <v>264</v>
      </c>
      <c r="F90" s="571"/>
      <c r="G90" s="571"/>
      <c r="H90" s="528"/>
      <c r="I90" s="369">
        <f t="shared" si="11"/>
        <v>0</v>
      </c>
      <c r="J90" s="592"/>
      <c r="K90" s="375">
        <v>19460</v>
      </c>
      <c r="L90" s="372">
        <f t="shared" si="9"/>
        <v>0</v>
      </c>
      <c r="M90" s="375">
        <f t="shared" si="10"/>
        <v>0</v>
      </c>
      <c r="N90" s="462">
        <f t="shared" si="12"/>
        <v>0</v>
      </c>
      <c r="P90" s="524">
        <v>151</v>
      </c>
      <c r="Q90" s="524">
        <v>151</v>
      </c>
      <c r="R90" s="524">
        <v>104</v>
      </c>
      <c r="S90" s="525">
        <v>500</v>
      </c>
      <c r="T90" s="526">
        <f t="shared" si="6"/>
        <v>4.7426079999999997E-3</v>
      </c>
    </row>
    <row r="91" spans="1:21" ht="13.2" customHeight="1" x14ac:dyDescent="0.3">
      <c r="A91" s="365">
        <f t="shared" si="13"/>
        <v>73</v>
      </c>
      <c r="B91" s="370" t="s">
        <v>1565</v>
      </c>
      <c r="C91" s="373"/>
      <c r="D91" s="373"/>
      <c r="E91" s="374" t="s">
        <v>264</v>
      </c>
      <c r="F91" s="571"/>
      <c r="G91" s="571"/>
      <c r="H91" s="528"/>
      <c r="I91" s="369">
        <f t="shared" si="11"/>
        <v>0</v>
      </c>
      <c r="J91" s="592"/>
      <c r="K91" s="375">
        <v>29190</v>
      </c>
      <c r="L91" s="372">
        <f t="shared" si="9"/>
        <v>0</v>
      </c>
      <c r="M91" s="375">
        <f t="shared" si="10"/>
        <v>0</v>
      </c>
      <c r="N91" s="462">
        <f t="shared" si="12"/>
        <v>0</v>
      </c>
      <c r="P91" s="524">
        <v>151</v>
      </c>
      <c r="Q91" s="524">
        <v>151</v>
      </c>
      <c r="R91" s="524">
        <v>104</v>
      </c>
      <c r="S91" s="525">
        <v>450</v>
      </c>
      <c r="T91" s="526">
        <f t="shared" si="6"/>
        <v>5.2695644444444439E-3</v>
      </c>
    </row>
    <row r="92" spans="1:21" ht="13.2" customHeight="1" x14ac:dyDescent="0.3">
      <c r="A92" s="365">
        <f t="shared" si="13"/>
        <v>74</v>
      </c>
      <c r="B92" s="370" t="s">
        <v>1566</v>
      </c>
      <c r="C92" s="373"/>
      <c r="D92" s="373"/>
      <c r="E92" s="374" t="s">
        <v>264</v>
      </c>
      <c r="F92" s="571"/>
      <c r="G92" s="571"/>
      <c r="H92" s="528"/>
      <c r="I92" s="369">
        <f t="shared" si="11"/>
        <v>0</v>
      </c>
      <c r="J92" s="592"/>
      <c r="K92" s="375">
        <v>38920</v>
      </c>
      <c r="L92" s="372">
        <f t="shared" si="9"/>
        <v>0</v>
      </c>
      <c r="M92" s="375">
        <f t="shared" si="10"/>
        <v>0</v>
      </c>
      <c r="N92" s="462">
        <f t="shared" si="12"/>
        <v>0</v>
      </c>
      <c r="P92" s="524">
        <v>151</v>
      </c>
      <c r="Q92" s="524">
        <v>151</v>
      </c>
      <c r="R92" s="524">
        <v>104</v>
      </c>
      <c r="S92" s="525">
        <v>400</v>
      </c>
      <c r="T92" s="526">
        <f t="shared" si="6"/>
        <v>5.9282599999999994E-3</v>
      </c>
    </row>
    <row r="93" spans="1:21" ht="13.2" customHeight="1" x14ac:dyDescent="0.3">
      <c r="A93" s="365">
        <f t="shared" si="13"/>
        <v>75</v>
      </c>
      <c r="B93" s="376" t="s">
        <v>1492</v>
      </c>
      <c r="C93" s="373"/>
      <c r="D93" s="373"/>
      <c r="E93" s="374" t="s">
        <v>399</v>
      </c>
      <c r="F93" s="528"/>
      <c r="G93" s="571"/>
      <c r="H93" s="571"/>
      <c r="I93" s="369">
        <f t="shared" si="11"/>
        <v>0</v>
      </c>
      <c r="J93" s="592"/>
      <c r="K93" s="375">
        <v>3908130</v>
      </c>
      <c r="L93" s="372">
        <f t="shared" si="9"/>
        <v>0</v>
      </c>
      <c r="M93" s="375">
        <f t="shared" si="10"/>
        <v>0</v>
      </c>
      <c r="N93" s="462">
        <f t="shared" si="12"/>
        <v>0</v>
      </c>
      <c r="P93" s="524">
        <v>120</v>
      </c>
      <c r="Q93" s="524">
        <v>115</v>
      </c>
      <c r="R93" s="524">
        <v>76</v>
      </c>
      <c r="S93" s="525">
        <v>0</v>
      </c>
      <c r="T93" s="526">
        <f t="shared" si="6"/>
        <v>1.0488</v>
      </c>
    </row>
    <row r="94" spans="1:21" ht="13.2" customHeight="1" x14ac:dyDescent="0.3">
      <c r="A94" s="365">
        <f t="shared" si="13"/>
        <v>76</v>
      </c>
      <c r="B94" s="376" t="s">
        <v>1493</v>
      </c>
      <c r="C94" s="373"/>
      <c r="D94" s="373"/>
      <c r="E94" s="374" t="s">
        <v>399</v>
      </c>
      <c r="F94" s="528"/>
      <c r="G94" s="571"/>
      <c r="H94" s="571"/>
      <c r="I94" s="369">
        <f t="shared" si="11"/>
        <v>0</v>
      </c>
      <c r="J94" s="375">
        <v>103598700</v>
      </c>
      <c r="K94" s="375">
        <v>3908130</v>
      </c>
      <c r="L94" s="372">
        <f t="shared" si="9"/>
        <v>0</v>
      </c>
      <c r="M94" s="375">
        <f t="shared" si="10"/>
        <v>0</v>
      </c>
      <c r="N94" s="462">
        <f t="shared" si="12"/>
        <v>0</v>
      </c>
      <c r="P94" s="524">
        <v>120</v>
      </c>
      <c r="Q94" s="524">
        <v>115</v>
      </c>
      <c r="R94" s="524">
        <v>75.5</v>
      </c>
      <c r="S94" s="525">
        <v>0</v>
      </c>
      <c r="T94" s="526">
        <f t="shared" si="6"/>
        <v>1.0419</v>
      </c>
    </row>
    <row r="95" spans="1:21" ht="13.2" customHeight="1" x14ac:dyDescent="0.3">
      <c r="A95" s="365">
        <f t="shared" si="13"/>
        <v>77</v>
      </c>
      <c r="B95" s="376" t="s">
        <v>1494</v>
      </c>
      <c r="C95" s="373"/>
      <c r="D95" s="373"/>
      <c r="E95" s="374" t="s">
        <v>399</v>
      </c>
      <c r="F95" s="528"/>
      <c r="G95" s="571"/>
      <c r="H95" s="571"/>
      <c r="I95" s="369">
        <f t="shared" si="11"/>
        <v>0</v>
      </c>
      <c r="J95" s="375">
        <v>354480000.00000006</v>
      </c>
      <c r="K95" s="375">
        <v>4236730</v>
      </c>
      <c r="L95" s="372">
        <f t="shared" si="9"/>
        <v>0</v>
      </c>
      <c r="M95" s="375">
        <f t="shared" si="10"/>
        <v>0</v>
      </c>
      <c r="N95" s="462">
        <f t="shared" si="12"/>
        <v>0</v>
      </c>
      <c r="P95" s="524">
        <v>120</v>
      </c>
      <c r="Q95" s="524">
        <v>115</v>
      </c>
      <c r="R95" s="524">
        <v>75.5</v>
      </c>
      <c r="S95" s="525">
        <v>0</v>
      </c>
      <c r="T95" s="526">
        <f t="shared" si="6"/>
        <v>1.0419</v>
      </c>
    </row>
    <row r="96" spans="1:21" ht="13.2" customHeight="1" x14ac:dyDescent="0.3">
      <c r="A96" s="365">
        <f t="shared" si="13"/>
        <v>78</v>
      </c>
      <c r="B96" s="376" t="s">
        <v>1495</v>
      </c>
      <c r="C96" s="373"/>
      <c r="D96" s="373"/>
      <c r="E96" s="374" t="s">
        <v>399</v>
      </c>
      <c r="F96" s="528"/>
      <c r="G96" s="571"/>
      <c r="H96" s="571"/>
      <c r="I96" s="369">
        <f t="shared" si="11"/>
        <v>0</v>
      </c>
      <c r="J96" s="375">
        <v>195294400.00000003</v>
      </c>
      <c r="K96" s="375">
        <v>4565330</v>
      </c>
      <c r="L96" s="372">
        <f t="shared" si="9"/>
        <v>0</v>
      </c>
      <c r="M96" s="375">
        <f t="shared" si="10"/>
        <v>0</v>
      </c>
      <c r="N96" s="462">
        <f t="shared" si="12"/>
        <v>0</v>
      </c>
      <c r="P96" s="524">
        <v>120</v>
      </c>
      <c r="Q96" s="524">
        <v>115</v>
      </c>
      <c r="R96" s="524">
        <v>75.5</v>
      </c>
      <c r="S96" s="525">
        <v>0</v>
      </c>
      <c r="T96" s="526">
        <f t="shared" ref="T96:T124" si="14">IF(S96=0,P96*Q96*R96/10^6,P96*Q96*R96/10^6/S96)</f>
        <v>1.0419</v>
      </c>
    </row>
    <row r="97" spans="1:21" ht="13.2" customHeight="1" x14ac:dyDescent="0.3">
      <c r="A97" s="365">
        <f t="shared" si="13"/>
        <v>79</v>
      </c>
      <c r="B97" s="376" t="s">
        <v>1496</v>
      </c>
      <c r="C97" s="373"/>
      <c r="D97" s="373"/>
      <c r="E97" s="374" t="s">
        <v>399</v>
      </c>
      <c r="F97" s="528"/>
      <c r="G97" s="571"/>
      <c r="H97" s="571"/>
      <c r="I97" s="369">
        <f t="shared" si="11"/>
        <v>0</v>
      </c>
      <c r="J97" s="592"/>
      <c r="K97" s="375">
        <v>4893930</v>
      </c>
      <c r="L97" s="372">
        <f t="shared" si="9"/>
        <v>0</v>
      </c>
      <c r="M97" s="375">
        <f t="shared" si="10"/>
        <v>0</v>
      </c>
      <c r="N97" s="462">
        <f t="shared" si="12"/>
        <v>0</v>
      </c>
      <c r="P97" s="524">
        <v>122</v>
      </c>
      <c r="Q97" s="524">
        <v>128</v>
      </c>
      <c r="R97" s="524">
        <v>160</v>
      </c>
      <c r="S97" s="525">
        <v>0</v>
      </c>
      <c r="T97" s="526">
        <f t="shared" si="14"/>
        <v>2.4985599999999999</v>
      </c>
    </row>
    <row r="98" spans="1:21" ht="13.2" customHeight="1" x14ac:dyDescent="0.3">
      <c r="A98" s="365">
        <f t="shared" si="13"/>
        <v>80</v>
      </c>
      <c r="B98" s="376" t="s">
        <v>1497</v>
      </c>
      <c r="C98" s="373"/>
      <c r="D98" s="373"/>
      <c r="E98" s="374" t="s">
        <v>399</v>
      </c>
      <c r="F98" s="528"/>
      <c r="G98" s="528"/>
      <c r="H98" s="571"/>
      <c r="I98" s="369">
        <f t="shared" si="11"/>
        <v>0</v>
      </c>
      <c r="J98" s="375">
        <v>19118000</v>
      </c>
      <c r="K98" s="375">
        <v>2948130</v>
      </c>
      <c r="L98" s="372">
        <f t="shared" si="9"/>
        <v>0</v>
      </c>
      <c r="M98" s="375">
        <f t="shared" si="10"/>
        <v>0</v>
      </c>
      <c r="N98" s="462">
        <f t="shared" si="12"/>
        <v>0</v>
      </c>
      <c r="P98" s="524">
        <v>50</v>
      </c>
      <c r="Q98" s="524">
        <v>37</v>
      </c>
      <c r="R98" s="524">
        <v>14.5</v>
      </c>
      <c r="S98" s="525">
        <v>0</v>
      </c>
      <c r="T98" s="526">
        <f>IF(S98=0,P98*Q98*R98/10^6,P98*Q98*R98/10^6/S98)*3</f>
        <v>8.0475000000000005E-2</v>
      </c>
      <c r="U98" s="297" t="s">
        <v>2343</v>
      </c>
    </row>
    <row r="99" spans="1:21" ht="13.2" customHeight="1" x14ac:dyDescent="0.3">
      <c r="A99" s="365">
        <f t="shared" si="13"/>
        <v>81</v>
      </c>
      <c r="B99" s="376" t="s">
        <v>1498</v>
      </c>
      <c r="C99" s="373"/>
      <c r="D99" s="373"/>
      <c r="E99" s="374" t="s">
        <v>399</v>
      </c>
      <c r="F99" s="571"/>
      <c r="G99" s="528"/>
      <c r="H99" s="571"/>
      <c r="I99" s="369">
        <f t="shared" si="11"/>
        <v>0</v>
      </c>
      <c r="J99" s="375">
        <v>192252500</v>
      </c>
      <c r="K99" s="375">
        <v>8254970</v>
      </c>
      <c r="L99" s="372">
        <f t="shared" si="9"/>
        <v>0</v>
      </c>
      <c r="M99" s="375">
        <f t="shared" si="10"/>
        <v>0</v>
      </c>
      <c r="N99" s="462">
        <f t="shared" si="12"/>
        <v>0</v>
      </c>
      <c r="P99" s="524">
        <v>95</v>
      </c>
      <c r="Q99" s="524">
        <v>75</v>
      </c>
      <c r="R99" s="524">
        <v>190</v>
      </c>
      <c r="S99" s="525">
        <v>0</v>
      </c>
      <c r="T99" s="526">
        <f t="shared" si="14"/>
        <v>1.35375</v>
      </c>
    </row>
    <row r="100" spans="1:21" ht="13.2" customHeight="1" x14ac:dyDescent="0.3">
      <c r="A100" s="365">
        <f t="shared" si="13"/>
        <v>82</v>
      </c>
      <c r="B100" s="376" t="s">
        <v>1499</v>
      </c>
      <c r="C100" s="373"/>
      <c r="D100" s="373"/>
      <c r="E100" s="374" t="s">
        <v>399</v>
      </c>
      <c r="F100" s="571"/>
      <c r="G100" s="528"/>
      <c r="H100" s="571"/>
      <c r="I100" s="369">
        <f t="shared" si="11"/>
        <v>0</v>
      </c>
      <c r="J100" s="375">
        <v>57510900</v>
      </c>
      <c r="K100" s="375">
        <v>8254970</v>
      </c>
      <c r="L100" s="372">
        <f t="shared" si="9"/>
        <v>0</v>
      </c>
      <c r="M100" s="375">
        <f t="shared" si="10"/>
        <v>0</v>
      </c>
      <c r="N100" s="462">
        <f t="shared" si="12"/>
        <v>0</v>
      </c>
      <c r="P100" s="524">
        <v>95</v>
      </c>
      <c r="Q100" s="524">
        <v>75</v>
      </c>
      <c r="R100" s="524">
        <v>190</v>
      </c>
      <c r="S100" s="525">
        <v>0</v>
      </c>
      <c r="T100" s="526">
        <f t="shared" si="14"/>
        <v>1.35375</v>
      </c>
    </row>
    <row r="101" spans="1:21" ht="13.2" customHeight="1" x14ac:dyDescent="0.3">
      <c r="A101" s="365">
        <f t="shared" si="13"/>
        <v>83</v>
      </c>
      <c r="B101" s="376" t="s">
        <v>1500</v>
      </c>
      <c r="C101" s="373"/>
      <c r="D101" s="373"/>
      <c r="E101" s="374" t="s">
        <v>399</v>
      </c>
      <c r="F101" s="571"/>
      <c r="G101" s="528"/>
      <c r="H101" s="571"/>
      <c r="I101" s="369">
        <f t="shared" si="11"/>
        <v>0</v>
      </c>
      <c r="J101" s="375">
        <v>77046900</v>
      </c>
      <c r="K101" s="375">
        <v>8254970</v>
      </c>
      <c r="L101" s="372">
        <f t="shared" si="9"/>
        <v>0</v>
      </c>
      <c r="M101" s="375">
        <f t="shared" si="10"/>
        <v>0</v>
      </c>
      <c r="N101" s="462">
        <f t="shared" si="12"/>
        <v>0</v>
      </c>
      <c r="P101" s="524">
        <v>95</v>
      </c>
      <c r="Q101" s="524">
        <v>60</v>
      </c>
      <c r="R101" s="524">
        <v>190</v>
      </c>
      <c r="S101" s="525">
        <v>0</v>
      </c>
      <c r="T101" s="526">
        <f t="shared" si="14"/>
        <v>1.083</v>
      </c>
    </row>
    <row r="102" spans="1:21" ht="13.2" customHeight="1" x14ac:dyDescent="0.3">
      <c r="A102" s="365">
        <f t="shared" si="13"/>
        <v>84</v>
      </c>
      <c r="B102" s="376" t="s">
        <v>1501</v>
      </c>
      <c r="C102" s="373"/>
      <c r="D102" s="373"/>
      <c r="E102" s="374" t="s">
        <v>399</v>
      </c>
      <c r="F102" s="571"/>
      <c r="G102" s="528"/>
      <c r="H102" s="571"/>
      <c r="I102" s="369">
        <f t="shared" si="11"/>
        <v>0</v>
      </c>
      <c r="J102" s="375">
        <v>245630000</v>
      </c>
      <c r="K102" s="375">
        <v>8254970</v>
      </c>
      <c r="L102" s="372">
        <f t="shared" si="9"/>
        <v>0</v>
      </c>
      <c r="M102" s="375">
        <f t="shared" si="10"/>
        <v>0</v>
      </c>
      <c r="N102" s="462">
        <f t="shared" si="12"/>
        <v>0</v>
      </c>
      <c r="P102" s="524">
        <v>100</v>
      </c>
      <c r="Q102" s="524">
        <v>100</v>
      </c>
      <c r="R102" s="524">
        <v>190</v>
      </c>
      <c r="S102" s="525">
        <v>0</v>
      </c>
      <c r="T102" s="526">
        <f t="shared" si="14"/>
        <v>1.9</v>
      </c>
    </row>
    <row r="103" spans="1:21" ht="13.2" customHeight="1" x14ac:dyDescent="0.3">
      <c r="A103" s="365">
        <f t="shared" si="13"/>
        <v>85</v>
      </c>
      <c r="B103" s="376" t="s">
        <v>1502</v>
      </c>
      <c r="C103" s="373"/>
      <c r="D103" s="373"/>
      <c r="E103" s="374" t="s">
        <v>399</v>
      </c>
      <c r="F103" s="571"/>
      <c r="G103" s="528"/>
      <c r="H103" s="571"/>
      <c r="I103" s="369">
        <f t="shared" si="11"/>
        <v>0</v>
      </c>
      <c r="J103" s="375">
        <v>55240000</v>
      </c>
      <c r="K103" s="375">
        <v>8254970</v>
      </c>
      <c r="L103" s="372">
        <f t="shared" si="9"/>
        <v>0</v>
      </c>
      <c r="M103" s="375">
        <f t="shared" si="10"/>
        <v>0</v>
      </c>
      <c r="N103" s="462">
        <f t="shared" si="12"/>
        <v>0</v>
      </c>
      <c r="P103" s="524">
        <v>100</v>
      </c>
      <c r="Q103" s="524">
        <v>100</v>
      </c>
      <c r="R103" s="524">
        <v>190</v>
      </c>
      <c r="S103" s="525">
        <v>0</v>
      </c>
      <c r="T103" s="526">
        <f t="shared" si="14"/>
        <v>1.9</v>
      </c>
    </row>
    <row r="104" spans="1:21" ht="13.2" customHeight="1" x14ac:dyDescent="0.3">
      <c r="A104" s="365">
        <f t="shared" si="13"/>
        <v>86</v>
      </c>
      <c r="B104" s="376" t="s">
        <v>1503</v>
      </c>
      <c r="C104" s="373"/>
      <c r="D104" s="373"/>
      <c r="E104" s="374" t="s">
        <v>399</v>
      </c>
      <c r="F104" s="571"/>
      <c r="G104" s="528"/>
      <c r="H104" s="571"/>
      <c r="I104" s="369">
        <f t="shared" si="11"/>
        <v>0</v>
      </c>
      <c r="J104" s="375">
        <v>68776400</v>
      </c>
      <c r="K104" s="375">
        <v>8254970</v>
      </c>
      <c r="L104" s="372">
        <f t="shared" si="9"/>
        <v>0</v>
      </c>
      <c r="M104" s="375">
        <f t="shared" si="10"/>
        <v>0</v>
      </c>
      <c r="N104" s="462">
        <f t="shared" si="12"/>
        <v>0</v>
      </c>
      <c r="P104" s="524">
        <v>100</v>
      </c>
      <c r="Q104" s="524">
        <v>100</v>
      </c>
      <c r="R104" s="524">
        <v>190</v>
      </c>
      <c r="S104" s="525">
        <v>0</v>
      </c>
      <c r="T104" s="526">
        <f t="shared" si="14"/>
        <v>1.9</v>
      </c>
    </row>
    <row r="105" spans="1:21" ht="13.2" customHeight="1" x14ac:dyDescent="0.3">
      <c r="A105" s="365">
        <f t="shared" si="13"/>
        <v>87</v>
      </c>
      <c r="B105" s="376" t="s">
        <v>1504</v>
      </c>
      <c r="C105" s="373"/>
      <c r="D105" s="373"/>
      <c r="E105" s="374" t="s">
        <v>399</v>
      </c>
      <c r="F105" s="571"/>
      <c r="G105" s="528"/>
      <c r="H105" s="571"/>
      <c r="I105" s="369">
        <f t="shared" si="11"/>
        <v>0</v>
      </c>
      <c r="J105" s="375">
        <v>193902500</v>
      </c>
      <c r="K105" s="375">
        <v>8254970</v>
      </c>
      <c r="L105" s="372">
        <f t="shared" si="9"/>
        <v>0</v>
      </c>
      <c r="M105" s="375">
        <f t="shared" si="10"/>
        <v>0</v>
      </c>
      <c r="N105" s="462">
        <f t="shared" si="12"/>
        <v>0</v>
      </c>
      <c r="P105" s="524">
        <v>90</v>
      </c>
      <c r="Q105" s="524">
        <v>50</v>
      </c>
      <c r="R105" s="524">
        <v>165</v>
      </c>
      <c r="S105" s="525">
        <v>0</v>
      </c>
      <c r="T105" s="526">
        <f t="shared" si="14"/>
        <v>0.74250000000000005</v>
      </c>
    </row>
    <row r="106" spans="1:21" ht="13.2" customHeight="1" x14ac:dyDescent="0.3">
      <c r="A106" s="365">
        <f t="shared" si="13"/>
        <v>88</v>
      </c>
      <c r="B106" s="376" t="s">
        <v>1505</v>
      </c>
      <c r="C106" s="373"/>
      <c r="D106" s="373"/>
      <c r="E106" s="374" t="s">
        <v>399</v>
      </c>
      <c r="F106" s="571"/>
      <c r="G106" s="528"/>
      <c r="H106" s="571"/>
      <c r="I106" s="369">
        <f t="shared" si="11"/>
        <v>0</v>
      </c>
      <c r="J106" s="375">
        <v>64330900</v>
      </c>
      <c r="K106" s="375">
        <v>8254970</v>
      </c>
      <c r="L106" s="372">
        <f t="shared" si="9"/>
        <v>0</v>
      </c>
      <c r="M106" s="375">
        <f t="shared" si="10"/>
        <v>0</v>
      </c>
      <c r="N106" s="462">
        <f t="shared" si="12"/>
        <v>0</v>
      </c>
      <c r="P106" s="524">
        <v>90</v>
      </c>
      <c r="Q106" s="524">
        <v>50</v>
      </c>
      <c r="R106" s="524">
        <v>165</v>
      </c>
      <c r="S106" s="525">
        <v>0</v>
      </c>
      <c r="T106" s="526">
        <f t="shared" si="14"/>
        <v>0.74250000000000005</v>
      </c>
    </row>
    <row r="107" spans="1:21" ht="13.2" customHeight="1" x14ac:dyDescent="0.3">
      <c r="A107" s="365">
        <f t="shared" si="13"/>
        <v>89</v>
      </c>
      <c r="B107" s="376" t="s">
        <v>1506</v>
      </c>
      <c r="C107" s="373"/>
      <c r="D107" s="373"/>
      <c r="E107" s="374" t="s">
        <v>399</v>
      </c>
      <c r="F107" s="571"/>
      <c r="G107" s="528"/>
      <c r="H107" s="571"/>
      <c r="I107" s="369">
        <f t="shared" si="11"/>
        <v>0</v>
      </c>
      <c r="J107" s="375">
        <v>78930900</v>
      </c>
      <c r="K107" s="375">
        <v>8254970</v>
      </c>
      <c r="L107" s="372">
        <f t="shared" si="9"/>
        <v>0</v>
      </c>
      <c r="M107" s="375">
        <f t="shared" si="10"/>
        <v>0</v>
      </c>
      <c r="N107" s="462">
        <f t="shared" si="12"/>
        <v>0</v>
      </c>
      <c r="P107" s="524">
        <v>90</v>
      </c>
      <c r="Q107" s="524">
        <v>50</v>
      </c>
      <c r="R107" s="524">
        <v>165</v>
      </c>
      <c r="S107" s="525">
        <v>0</v>
      </c>
      <c r="T107" s="526">
        <f t="shared" si="14"/>
        <v>0.74250000000000005</v>
      </c>
    </row>
    <row r="108" spans="1:21" ht="13.2" customHeight="1" x14ac:dyDescent="0.3">
      <c r="A108" s="365">
        <f t="shared" si="13"/>
        <v>90</v>
      </c>
      <c r="B108" s="376" t="s">
        <v>1507</v>
      </c>
      <c r="C108" s="373"/>
      <c r="D108" s="373"/>
      <c r="E108" s="374" t="s">
        <v>399</v>
      </c>
      <c r="F108" s="571"/>
      <c r="G108" s="528"/>
      <c r="H108" s="571"/>
      <c r="I108" s="369">
        <f t="shared" si="11"/>
        <v>0</v>
      </c>
      <c r="J108" s="375">
        <v>245630000</v>
      </c>
      <c r="K108" s="375">
        <v>8254970</v>
      </c>
      <c r="L108" s="372">
        <f t="shared" si="9"/>
        <v>0</v>
      </c>
      <c r="M108" s="375">
        <f t="shared" si="10"/>
        <v>0</v>
      </c>
      <c r="N108" s="462">
        <f t="shared" si="12"/>
        <v>0</v>
      </c>
      <c r="P108" s="524">
        <v>95</v>
      </c>
      <c r="Q108" s="524">
        <v>75</v>
      </c>
      <c r="R108" s="524">
        <v>180</v>
      </c>
      <c r="S108" s="525">
        <v>0</v>
      </c>
      <c r="T108" s="526">
        <f t="shared" si="14"/>
        <v>1.2825</v>
      </c>
    </row>
    <row r="109" spans="1:21" ht="13.2" customHeight="1" x14ac:dyDescent="0.3">
      <c r="A109" s="365">
        <f t="shared" si="13"/>
        <v>91</v>
      </c>
      <c r="B109" s="376" t="s">
        <v>1508</v>
      </c>
      <c r="C109" s="373"/>
      <c r="D109" s="373"/>
      <c r="E109" s="374" t="s">
        <v>399</v>
      </c>
      <c r="F109" s="571"/>
      <c r="G109" s="528"/>
      <c r="H109" s="571"/>
      <c r="I109" s="369">
        <f t="shared" si="11"/>
        <v>0</v>
      </c>
      <c r="J109" s="375">
        <v>55240000</v>
      </c>
      <c r="K109" s="375">
        <v>8254970</v>
      </c>
      <c r="L109" s="372">
        <f t="shared" si="9"/>
        <v>0</v>
      </c>
      <c r="M109" s="375">
        <f t="shared" si="10"/>
        <v>0</v>
      </c>
      <c r="N109" s="462">
        <f t="shared" si="12"/>
        <v>0</v>
      </c>
      <c r="P109" s="524">
        <v>95</v>
      </c>
      <c r="Q109" s="524">
        <v>75</v>
      </c>
      <c r="R109" s="524">
        <v>180</v>
      </c>
      <c r="S109" s="525">
        <v>0</v>
      </c>
      <c r="T109" s="526">
        <f t="shared" si="14"/>
        <v>1.2825</v>
      </c>
    </row>
    <row r="110" spans="1:21" ht="13.2" customHeight="1" x14ac:dyDescent="0.3">
      <c r="A110" s="365">
        <f t="shared" si="13"/>
        <v>92</v>
      </c>
      <c r="B110" s="376" t="s">
        <v>1509</v>
      </c>
      <c r="C110" s="373"/>
      <c r="D110" s="373"/>
      <c r="E110" s="374" t="s">
        <v>399</v>
      </c>
      <c r="F110" s="571"/>
      <c r="G110" s="528"/>
      <c r="H110" s="571"/>
      <c r="I110" s="369">
        <f t="shared" si="11"/>
        <v>0</v>
      </c>
      <c r="J110" s="375">
        <v>68776400</v>
      </c>
      <c r="K110" s="375">
        <v>8254970</v>
      </c>
      <c r="L110" s="372">
        <f t="shared" si="9"/>
        <v>0</v>
      </c>
      <c r="M110" s="375">
        <f t="shared" si="10"/>
        <v>0</v>
      </c>
      <c r="N110" s="462">
        <f t="shared" si="12"/>
        <v>0</v>
      </c>
      <c r="P110" s="524">
        <v>95</v>
      </c>
      <c r="Q110" s="524">
        <v>75</v>
      </c>
      <c r="R110" s="524">
        <v>180</v>
      </c>
      <c r="S110" s="525">
        <v>0</v>
      </c>
      <c r="T110" s="526">
        <f t="shared" si="14"/>
        <v>1.2825</v>
      </c>
    </row>
    <row r="111" spans="1:21" ht="13.2" customHeight="1" x14ac:dyDescent="0.3">
      <c r="A111" s="365">
        <f t="shared" si="13"/>
        <v>93</v>
      </c>
      <c r="B111" s="376" t="s">
        <v>1510</v>
      </c>
      <c r="C111" s="373"/>
      <c r="D111" s="373"/>
      <c r="E111" s="374" t="s">
        <v>399</v>
      </c>
      <c r="F111" s="571"/>
      <c r="G111" s="528"/>
      <c r="H111" s="571"/>
      <c r="I111" s="369">
        <f t="shared" si="11"/>
        <v>0</v>
      </c>
      <c r="J111" s="375">
        <v>74250000</v>
      </c>
      <c r="K111" s="375">
        <v>2274330</v>
      </c>
      <c r="L111" s="372">
        <f t="shared" si="9"/>
        <v>0</v>
      </c>
      <c r="M111" s="375">
        <f t="shared" si="10"/>
        <v>0</v>
      </c>
      <c r="N111" s="462">
        <f t="shared" si="12"/>
        <v>0</v>
      </c>
      <c r="P111" s="524">
        <v>50</v>
      </c>
      <c r="Q111" s="524">
        <v>60</v>
      </c>
      <c r="R111" s="524">
        <v>120</v>
      </c>
      <c r="S111" s="525">
        <v>0</v>
      </c>
      <c r="T111" s="526">
        <f t="shared" si="14"/>
        <v>0.36</v>
      </c>
    </row>
    <row r="112" spans="1:21" ht="13.2" customHeight="1" x14ac:dyDescent="0.3">
      <c r="A112" s="365">
        <f t="shared" si="13"/>
        <v>94</v>
      </c>
      <c r="B112" s="376" t="s">
        <v>1511</v>
      </c>
      <c r="C112" s="373"/>
      <c r="D112" s="373"/>
      <c r="E112" s="367" t="s">
        <v>203</v>
      </c>
      <c r="F112" s="571"/>
      <c r="G112" s="528"/>
      <c r="H112" s="571"/>
      <c r="I112" s="369">
        <f t="shared" si="11"/>
        <v>0</v>
      </c>
      <c r="J112" s="375">
        <v>5921560</v>
      </c>
      <c r="K112" s="375">
        <v>543360</v>
      </c>
      <c r="L112" s="372">
        <f t="shared" si="9"/>
        <v>0</v>
      </c>
      <c r="M112" s="375">
        <f t="shared" si="10"/>
        <v>0</v>
      </c>
      <c r="N112" s="462">
        <f t="shared" si="12"/>
        <v>0</v>
      </c>
      <c r="P112" s="524">
        <v>28</v>
      </c>
      <c r="Q112" s="524">
        <v>18</v>
      </c>
      <c r="R112" s="524">
        <v>26</v>
      </c>
      <c r="S112" s="525">
        <v>0</v>
      </c>
      <c r="T112" s="526">
        <f t="shared" si="14"/>
        <v>1.3103999999999999E-2</v>
      </c>
    </row>
    <row r="113" spans="1:21" ht="13.2" customHeight="1" x14ac:dyDescent="0.3">
      <c r="A113" s="365">
        <f t="shared" si="13"/>
        <v>95</v>
      </c>
      <c r="B113" s="376" t="s">
        <v>1512</v>
      </c>
      <c r="C113" s="373"/>
      <c r="D113" s="373"/>
      <c r="E113" s="367" t="s">
        <v>203</v>
      </c>
      <c r="F113" s="571"/>
      <c r="G113" s="528"/>
      <c r="H113" s="571"/>
      <c r="I113" s="369">
        <f t="shared" si="11"/>
        <v>0</v>
      </c>
      <c r="J113" s="375">
        <v>5731560</v>
      </c>
      <c r="K113" s="375">
        <v>543360</v>
      </c>
      <c r="L113" s="372">
        <f t="shared" si="9"/>
        <v>0</v>
      </c>
      <c r="M113" s="375">
        <f t="shared" si="10"/>
        <v>0</v>
      </c>
      <c r="N113" s="462">
        <f t="shared" si="12"/>
        <v>0</v>
      </c>
      <c r="P113" s="524">
        <v>30</v>
      </c>
      <c r="Q113" s="524">
        <v>20</v>
      </c>
      <c r="R113" s="524">
        <v>28</v>
      </c>
      <c r="S113" s="525">
        <v>0</v>
      </c>
      <c r="T113" s="526">
        <f t="shared" si="14"/>
        <v>1.6799999999999999E-2</v>
      </c>
    </row>
    <row r="114" spans="1:21" ht="13.2" customHeight="1" x14ac:dyDescent="0.3">
      <c r="A114" s="365">
        <f t="shared" si="13"/>
        <v>96</v>
      </c>
      <c r="B114" s="376" t="s">
        <v>1513</v>
      </c>
      <c r="C114" s="373"/>
      <c r="D114" s="373"/>
      <c r="E114" s="367" t="s">
        <v>203</v>
      </c>
      <c r="F114" s="528"/>
      <c r="G114" s="571"/>
      <c r="H114" s="571"/>
      <c r="I114" s="369">
        <f t="shared" si="11"/>
        <v>0</v>
      </c>
      <c r="J114" s="375">
        <v>8201560</v>
      </c>
      <c r="K114" s="375">
        <v>488590</v>
      </c>
      <c r="L114" s="372">
        <f t="shared" si="9"/>
        <v>0</v>
      </c>
      <c r="M114" s="375">
        <f t="shared" si="10"/>
        <v>0</v>
      </c>
      <c r="N114" s="462">
        <f t="shared" si="12"/>
        <v>0</v>
      </c>
      <c r="P114" s="524">
        <v>30</v>
      </c>
      <c r="Q114" s="524">
        <v>25</v>
      </c>
      <c r="R114" s="524">
        <v>50</v>
      </c>
      <c r="S114" s="525">
        <v>0</v>
      </c>
      <c r="T114" s="526">
        <f t="shared" si="14"/>
        <v>3.7499999999999999E-2</v>
      </c>
    </row>
    <row r="115" spans="1:21" ht="13.2" customHeight="1" x14ac:dyDescent="0.3">
      <c r="A115" s="365">
        <f t="shared" si="13"/>
        <v>97</v>
      </c>
      <c r="B115" s="376" t="s">
        <v>1514</v>
      </c>
      <c r="C115" s="373"/>
      <c r="D115" s="373"/>
      <c r="E115" s="367" t="s">
        <v>203</v>
      </c>
      <c r="F115" s="528"/>
      <c r="G115" s="571"/>
      <c r="H115" s="571"/>
      <c r="I115" s="369">
        <f t="shared" si="11"/>
        <v>0</v>
      </c>
      <c r="J115" s="375">
        <v>7331560</v>
      </c>
      <c r="K115" s="375">
        <v>488590</v>
      </c>
      <c r="L115" s="372">
        <f t="shared" ref="L115:L124" si="15">J115*I115</f>
        <v>0</v>
      </c>
      <c r="M115" s="375">
        <f t="shared" ref="M115:M124" si="16">K115*I115</f>
        <v>0</v>
      </c>
      <c r="N115" s="462">
        <f t="shared" si="12"/>
        <v>0</v>
      </c>
      <c r="P115" s="524">
        <v>35</v>
      </c>
      <c r="Q115" s="524">
        <v>28</v>
      </c>
      <c r="R115" s="524">
        <v>55</v>
      </c>
      <c r="S115" s="525">
        <v>0</v>
      </c>
      <c r="T115" s="526">
        <f t="shared" si="14"/>
        <v>5.3900000000000003E-2</v>
      </c>
    </row>
    <row r="116" spans="1:21" ht="13.2" customHeight="1" x14ac:dyDescent="0.3">
      <c r="A116" s="365">
        <f t="shared" si="13"/>
        <v>98</v>
      </c>
      <c r="B116" s="370" t="s">
        <v>1515</v>
      </c>
      <c r="C116" s="371"/>
      <c r="D116" s="371"/>
      <c r="E116" s="367" t="s">
        <v>203</v>
      </c>
      <c r="F116" s="571"/>
      <c r="G116" s="527"/>
      <c r="H116" s="571"/>
      <c r="I116" s="369">
        <f t="shared" si="11"/>
        <v>0</v>
      </c>
      <c r="J116" s="372">
        <v>19221700</v>
      </c>
      <c r="K116" s="372">
        <v>758110</v>
      </c>
      <c r="L116" s="372">
        <f t="shared" si="15"/>
        <v>0</v>
      </c>
      <c r="M116" s="372">
        <f t="shared" si="16"/>
        <v>0</v>
      </c>
      <c r="N116" s="460">
        <f t="shared" si="12"/>
        <v>0</v>
      </c>
      <c r="P116" s="524">
        <v>68</v>
      </c>
      <c r="Q116" s="524">
        <v>53</v>
      </c>
      <c r="R116" s="524">
        <v>130</v>
      </c>
      <c r="S116" s="525">
        <v>0</v>
      </c>
      <c r="T116" s="526">
        <f t="shared" si="14"/>
        <v>0.46851999999999999</v>
      </c>
    </row>
    <row r="117" spans="1:21" ht="13.2" customHeight="1" x14ac:dyDescent="0.3">
      <c r="A117" s="365">
        <f t="shared" si="13"/>
        <v>99</v>
      </c>
      <c r="B117" s="370" t="s">
        <v>1516</v>
      </c>
      <c r="C117" s="371"/>
      <c r="D117" s="371"/>
      <c r="E117" s="367" t="s">
        <v>203</v>
      </c>
      <c r="F117" s="571"/>
      <c r="G117" s="527"/>
      <c r="H117" s="571"/>
      <c r="I117" s="369">
        <f t="shared" si="11"/>
        <v>0</v>
      </c>
      <c r="J117" s="372">
        <v>29199000</v>
      </c>
      <c r="K117" s="372">
        <v>1073810</v>
      </c>
      <c r="L117" s="372">
        <f t="shared" si="15"/>
        <v>0</v>
      </c>
      <c r="M117" s="372">
        <f t="shared" si="16"/>
        <v>0</v>
      </c>
      <c r="N117" s="460">
        <f t="shared" si="12"/>
        <v>0</v>
      </c>
      <c r="P117" s="524">
        <v>104</v>
      </c>
      <c r="Q117" s="524">
        <v>53</v>
      </c>
      <c r="R117" s="524">
        <v>130</v>
      </c>
      <c r="S117" s="525">
        <v>0</v>
      </c>
      <c r="T117" s="526">
        <f t="shared" si="14"/>
        <v>0.71655999999999997</v>
      </c>
    </row>
    <row r="118" spans="1:21" ht="13.2" customHeight="1" x14ac:dyDescent="0.3">
      <c r="A118" s="365">
        <f t="shared" si="13"/>
        <v>100</v>
      </c>
      <c r="B118" s="370" t="s">
        <v>1517</v>
      </c>
      <c r="C118" s="371"/>
      <c r="D118" s="371"/>
      <c r="E118" s="367" t="s">
        <v>399</v>
      </c>
      <c r="F118" s="571"/>
      <c r="G118" s="527"/>
      <c r="H118" s="527"/>
      <c r="I118" s="369">
        <f t="shared" si="11"/>
        <v>0</v>
      </c>
      <c r="J118" s="592"/>
      <c r="K118" s="372">
        <v>985730</v>
      </c>
      <c r="L118" s="372">
        <f t="shared" si="15"/>
        <v>0</v>
      </c>
      <c r="M118" s="372">
        <f t="shared" si="16"/>
        <v>0</v>
      </c>
      <c r="N118" s="460">
        <f t="shared" si="12"/>
        <v>0</v>
      </c>
      <c r="P118" s="524">
        <v>120</v>
      </c>
      <c r="Q118" s="524">
        <v>80</v>
      </c>
      <c r="R118" s="524">
        <v>60</v>
      </c>
      <c r="S118" s="525">
        <v>0</v>
      </c>
      <c r="T118" s="526">
        <f t="shared" si="14"/>
        <v>0.57599999999999996</v>
      </c>
    </row>
    <row r="119" spans="1:21" ht="13.2" customHeight="1" x14ac:dyDescent="0.3">
      <c r="A119" s="365">
        <f t="shared" si="13"/>
        <v>101</v>
      </c>
      <c r="B119" s="370" t="s">
        <v>1518</v>
      </c>
      <c r="C119" s="371"/>
      <c r="D119" s="371"/>
      <c r="E119" s="367" t="s">
        <v>399</v>
      </c>
      <c r="F119" s="571"/>
      <c r="G119" s="527"/>
      <c r="H119" s="527"/>
      <c r="I119" s="369">
        <f t="shared" si="11"/>
        <v>0</v>
      </c>
      <c r="J119" s="592"/>
      <c r="K119" s="372">
        <v>486430</v>
      </c>
      <c r="L119" s="372">
        <f t="shared" si="15"/>
        <v>0</v>
      </c>
      <c r="M119" s="372">
        <f t="shared" si="16"/>
        <v>0</v>
      </c>
      <c r="N119" s="460">
        <f t="shared" si="12"/>
        <v>0</v>
      </c>
      <c r="P119" s="524">
        <v>40</v>
      </c>
      <c r="Q119" s="524">
        <v>20</v>
      </c>
      <c r="R119" s="524">
        <v>65</v>
      </c>
      <c r="S119" s="525">
        <v>0</v>
      </c>
      <c r="T119" s="526">
        <f t="shared" si="14"/>
        <v>5.1999999999999998E-2</v>
      </c>
    </row>
    <row r="120" spans="1:21" ht="13.2" customHeight="1" x14ac:dyDescent="0.3">
      <c r="A120" s="365">
        <f t="shared" si="13"/>
        <v>102</v>
      </c>
      <c r="B120" s="370" t="s">
        <v>1519</v>
      </c>
      <c r="C120" s="371"/>
      <c r="D120" s="371"/>
      <c r="E120" s="367" t="s">
        <v>399</v>
      </c>
      <c r="F120" s="571"/>
      <c r="G120" s="527"/>
      <c r="H120" s="527"/>
      <c r="I120" s="369">
        <f t="shared" si="11"/>
        <v>0</v>
      </c>
      <c r="J120" s="592"/>
      <c r="K120" s="372">
        <v>565360</v>
      </c>
      <c r="L120" s="372">
        <f t="shared" si="15"/>
        <v>0</v>
      </c>
      <c r="M120" s="372">
        <f t="shared" si="16"/>
        <v>0</v>
      </c>
      <c r="N120" s="460">
        <f t="shared" si="12"/>
        <v>0</v>
      </c>
      <c r="P120" s="524">
        <v>40</v>
      </c>
      <c r="Q120" s="524">
        <v>20</v>
      </c>
      <c r="R120" s="524">
        <v>65</v>
      </c>
      <c r="S120" s="525">
        <v>0</v>
      </c>
      <c r="T120" s="526">
        <f t="shared" si="14"/>
        <v>5.1999999999999998E-2</v>
      </c>
    </row>
    <row r="121" spans="1:21" ht="13.2" customHeight="1" x14ac:dyDescent="0.3">
      <c r="A121" s="365">
        <f t="shared" si="13"/>
        <v>103</v>
      </c>
      <c r="B121" s="370" t="s">
        <v>1520</v>
      </c>
      <c r="C121" s="371"/>
      <c r="D121" s="371"/>
      <c r="E121" s="367" t="s">
        <v>399</v>
      </c>
      <c r="F121" s="571"/>
      <c r="G121" s="527"/>
      <c r="H121" s="527"/>
      <c r="I121" s="369">
        <f t="shared" si="11"/>
        <v>0</v>
      </c>
      <c r="J121" s="592"/>
      <c r="K121" s="372">
        <v>1630030</v>
      </c>
      <c r="L121" s="372">
        <f t="shared" si="15"/>
        <v>0</v>
      </c>
      <c r="M121" s="372">
        <f t="shared" si="16"/>
        <v>0</v>
      </c>
      <c r="N121" s="460">
        <f t="shared" si="12"/>
        <v>0</v>
      </c>
      <c r="P121" s="524">
        <v>42</v>
      </c>
      <c r="Q121" s="524">
        <v>25</v>
      </c>
      <c r="R121" s="524">
        <v>121</v>
      </c>
      <c r="S121" s="525">
        <v>0</v>
      </c>
      <c r="T121" s="526">
        <f t="shared" si="14"/>
        <v>0.12705</v>
      </c>
    </row>
    <row r="122" spans="1:21" ht="13.2" customHeight="1" x14ac:dyDescent="0.3">
      <c r="A122" s="365">
        <f t="shared" si="13"/>
        <v>104</v>
      </c>
      <c r="B122" s="370" t="s">
        <v>1521</v>
      </c>
      <c r="C122" s="371"/>
      <c r="D122" s="371"/>
      <c r="E122" s="367" t="s">
        <v>399</v>
      </c>
      <c r="F122" s="571"/>
      <c r="G122" s="527"/>
      <c r="H122" s="539"/>
      <c r="I122" s="369">
        <f t="shared" si="11"/>
        <v>0</v>
      </c>
      <c r="J122" s="592"/>
      <c r="K122" s="372">
        <v>1630030</v>
      </c>
      <c r="L122" s="372">
        <f t="shared" si="15"/>
        <v>0</v>
      </c>
      <c r="M122" s="372">
        <f t="shared" si="16"/>
        <v>0</v>
      </c>
      <c r="N122" s="460">
        <f t="shared" si="12"/>
        <v>0</v>
      </c>
      <c r="P122" s="524">
        <v>46</v>
      </c>
      <c r="Q122" s="524">
        <v>37</v>
      </c>
      <c r="R122" s="524">
        <v>70</v>
      </c>
      <c r="S122" s="525">
        <v>0</v>
      </c>
      <c r="T122" s="526">
        <f t="shared" si="14"/>
        <v>0.11914</v>
      </c>
    </row>
    <row r="123" spans="1:21" ht="13.2" customHeight="1" x14ac:dyDescent="0.3">
      <c r="A123" s="365">
        <f t="shared" si="13"/>
        <v>105</v>
      </c>
      <c r="B123" s="370" t="s">
        <v>1522</v>
      </c>
      <c r="C123" s="371"/>
      <c r="D123" s="371"/>
      <c r="E123" s="367" t="s">
        <v>399</v>
      </c>
      <c r="F123" s="571"/>
      <c r="G123" s="527"/>
      <c r="H123" s="528"/>
      <c r="I123" s="369">
        <f t="shared" si="11"/>
        <v>0</v>
      </c>
      <c r="J123" s="592"/>
      <c r="K123" s="372">
        <v>1630030</v>
      </c>
      <c r="L123" s="372">
        <f t="shared" si="15"/>
        <v>0</v>
      </c>
      <c r="M123" s="372">
        <f t="shared" si="16"/>
        <v>0</v>
      </c>
      <c r="N123" s="460">
        <f t="shared" si="12"/>
        <v>0</v>
      </c>
      <c r="P123" s="524">
        <v>100</v>
      </c>
      <c r="Q123" s="524">
        <v>40</v>
      </c>
      <c r="R123" s="524">
        <v>120</v>
      </c>
      <c r="S123" s="525">
        <v>0</v>
      </c>
      <c r="T123" s="526">
        <f t="shared" si="14"/>
        <v>0.48</v>
      </c>
    </row>
    <row r="124" spans="1:21" ht="13.2" customHeight="1" x14ac:dyDescent="0.3">
      <c r="A124" s="365">
        <f t="shared" si="13"/>
        <v>106</v>
      </c>
      <c r="B124" s="370" t="s">
        <v>1937</v>
      </c>
      <c r="C124" s="371"/>
      <c r="D124" s="371"/>
      <c r="E124" s="367" t="s">
        <v>399</v>
      </c>
      <c r="F124" s="539"/>
      <c r="G124" s="539"/>
      <c r="H124" s="527"/>
      <c r="I124" s="369">
        <f t="shared" si="11"/>
        <v>0</v>
      </c>
      <c r="J124" s="592"/>
      <c r="K124" s="372">
        <v>2182610</v>
      </c>
      <c r="L124" s="372">
        <f t="shared" si="15"/>
        <v>0</v>
      </c>
      <c r="M124" s="372">
        <f t="shared" si="16"/>
        <v>0</v>
      </c>
      <c r="N124" s="460">
        <f t="shared" si="12"/>
        <v>0</v>
      </c>
      <c r="P124" s="524">
        <v>230</v>
      </c>
      <c r="Q124" s="524">
        <v>113</v>
      </c>
      <c r="R124" s="524">
        <v>3.5</v>
      </c>
      <c r="S124" s="525">
        <v>0</v>
      </c>
      <c r="T124" s="526">
        <f t="shared" si="14"/>
        <v>9.0965000000000004E-2</v>
      </c>
      <c r="U124" s="297" t="s">
        <v>2344</v>
      </c>
    </row>
    <row r="125" spans="1:21" ht="13.95" customHeight="1" x14ac:dyDescent="0.3">
      <c r="A125" s="485"/>
      <c r="B125" s="486" t="s">
        <v>643</v>
      </c>
      <c r="C125" s="487"/>
      <c r="D125" s="487"/>
      <c r="E125" s="488"/>
      <c r="F125" s="540"/>
      <c r="G125" s="540"/>
      <c r="H125" s="540"/>
      <c r="I125" s="489"/>
      <c r="J125" s="492"/>
      <c r="K125" s="492"/>
      <c r="L125" s="543">
        <f t="shared" ref="L125:N125" si="17">SUM(L19:L124)</f>
        <v>0</v>
      </c>
      <c r="M125" s="543">
        <f t="shared" si="17"/>
        <v>0</v>
      </c>
      <c r="N125" s="544">
        <f t="shared" si="17"/>
        <v>0</v>
      </c>
    </row>
    <row r="126" spans="1:21" ht="7.95" customHeight="1" x14ac:dyDescent="0.3">
      <c r="A126" s="378"/>
      <c r="B126" s="379"/>
      <c r="C126" s="380"/>
      <c r="D126" s="380"/>
      <c r="E126" s="381"/>
      <c r="F126" s="561"/>
      <c r="G126" s="561"/>
      <c r="H126" s="561"/>
      <c r="I126" s="465"/>
      <c r="J126" s="473"/>
      <c r="K126" s="473"/>
      <c r="L126" s="417"/>
      <c r="M126" s="473"/>
      <c r="N126" s="545"/>
    </row>
    <row r="127" spans="1:21" ht="13.2" customHeight="1" x14ac:dyDescent="0.3">
      <c r="A127" s="477" t="s">
        <v>607</v>
      </c>
      <c r="B127" s="478" t="s">
        <v>644</v>
      </c>
      <c r="C127" s="479"/>
      <c r="D127" s="480"/>
      <c r="E127" s="481"/>
      <c r="F127" s="483"/>
      <c r="G127" s="483"/>
      <c r="H127" s="483"/>
      <c r="I127" s="483"/>
      <c r="J127" s="494"/>
      <c r="K127" s="494"/>
      <c r="L127" s="494"/>
      <c r="M127" s="494"/>
      <c r="N127" s="546"/>
    </row>
    <row r="128" spans="1:21" ht="13.2" customHeight="1" x14ac:dyDescent="0.3">
      <c r="A128" s="386">
        <v>1</v>
      </c>
      <c r="B128" s="370" t="s">
        <v>1568</v>
      </c>
      <c r="C128" s="371"/>
      <c r="D128" s="371"/>
      <c r="E128" s="367" t="s">
        <v>203</v>
      </c>
      <c r="F128" s="527"/>
      <c r="G128" s="527"/>
      <c r="H128" s="539"/>
      <c r="I128" s="372">
        <f t="shared" ref="I128:I191" si="18">SUM(F128:H128)</f>
        <v>0</v>
      </c>
      <c r="J128" s="372">
        <f>'Harga Satuan Dasar mat'!G455</f>
        <v>45000</v>
      </c>
      <c r="K128" s="372">
        <v>13690</v>
      </c>
      <c r="L128" s="372">
        <f t="shared" ref="L128:L159" si="19">J128*I128</f>
        <v>0</v>
      </c>
      <c r="M128" s="372">
        <f t="shared" ref="M128:M159" si="20">K128*I128</f>
        <v>0</v>
      </c>
      <c r="N128" s="460">
        <f t="shared" ref="N128:N137" si="21">SUM(L128:M128)</f>
        <v>0</v>
      </c>
      <c r="P128" s="299"/>
      <c r="R128" s="299"/>
      <c r="S128" s="299"/>
    </row>
    <row r="129" spans="1:14" ht="13.2" customHeight="1" x14ac:dyDescent="0.3">
      <c r="A129" s="386">
        <f>A128+1</f>
        <v>2</v>
      </c>
      <c r="B129" s="366" t="s">
        <v>645</v>
      </c>
      <c r="C129" s="362"/>
      <c r="D129" s="362"/>
      <c r="E129" s="368" t="s">
        <v>203</v>
      </c>
      <c r="F129" s="535"/>
      <c r="G129" s="535"/>
      <c r="H129" s="538"/>
      <c r="I129" s="372">
        <f t="shared" si="18"/>
        <v>0</v>
      </c>
      <c r="J129" s="369">
        <f>'Harga Satuan Dasar mat'!G442</f>
        <v>120000</v>
      </c>
      <c r="K129" s="369">
        <v>29210</v>
      </c>
      <c r="L129" s="372">
        <f t="shared" si="19"/>
        <v>0</v>
      </c>
      <c r="M129" s="369">
        <f t="shared" si="20"/>
        <v>0</v>
      </c>
      <c r="N129" s="459">
        <f t="shared" si="21"/>
        <v>0</v>
      </c>
    </row>
    <row r="130" spans="1:14" ht="13.2" customHeight="1" x14ac:dyDescent="0.3">
      <c r="A130" s="386">
        <f t="shared" ref="A130:A193" si="22">A129+1</f>
        <v>3</v>
      </c>
      <c r="B130" s="366" t="s">
        <v>646</v>
      </c>
      <c r="C130" s="362"/>
      <c r="D130" s="362"/>
      <c r="E130" s="368" t="s">
        <v>203</v>
      </c>
      <c r="F130" s="535"/>
      <c r="G130" s="535"/>
      <c r="H130" s="538"/>
      <c r="I130" s="372">
        <f t="shared" si="18"/>
        <v>0</v>
      </c>
      <c r="J130" s="369">
        <f>'Harga Satuan Dasar mat'!G445</f>
        <v>120000</v>
      </c>
      <c r="K130" s="369">
        <v>29210</v>
      </c>
      <c r="L130" s="372">
        <f t="shared" si="19"/>
        <v>0</v>
      </c>
      <c r="M130" s="369">
        <f t="shared" si="20"/>
        <v>0</v>
      </c>
      <c r="N130" s="459">
        <f t="shared" si="21"/>
        <v>0</v>
      </c>
    </row>
    <row r="131" spans="1:14" ht="13.2" customHeight="1" x14ac:dyDescent="0.3">
      <c r="A131" s="386">
        <f t="shared" si="22"/>
        <v>4</v>
      </c>
      <c r="B131" s="366" t="s">
        <v>1661</v>
      </c>
      <c r="C131" s="362"/>
      <c r="D131" s="362"/>
      <c r="E131" s="368" t="s">
        <v>203</v>
      </c>
      <c r="F131" s="535"/>
      <c r="G131" s="535"/>
      <c r="H131" s="538"/>
      <c r="I131" s="372">
        <f t="shared" si="18"/>
        <v>0</v>
      </c>
      <c r="J131" s="369">
        <f>'Harga Satuan Dasar mat'!G443</f>
        <v>130000</v>
      </c>
      <c r="K131" s="369">
        <v>29210</v>
      </c>
      <c r="L131" s="372">
        <f t="shared" si="19"/>
        <v>0</v>
      </c>
      <c r="M131" s="369">
        <f t="shared" si="20"/>
        <v>0</v>
      </c>
      <c r="N131" s="459">
        <f t="shared" si="21"/>
        <v>0</v>
      </c>
    </row>
    <row r="132" spans="1:14" ht="13.2" customHeight="1" x14ac:dyDescent="0.3">
      <c r="A132" s="386">
        <f t="shared" si="22"/>
        <v>5</v>
      </c>
      <c r="B132" s="366" t="s">
        <v>2006</v>
      </c>
      <c r="C132" s="362"/>
      <c r="D132" s="362"/>
      <c r="E132" s="368" t="s">
        <v>203</v>
      </c>
      <c r="F132" s="535"/>
      <c r="G132" s="535"/>
      <c r="H132" s="538"/>
      <c r="I132" s="372">
        <f t="shared" si="18"/>
        <v>0</v>
      </c>
      <c r="J132" s="369">
        <f>'Harga Satuan Dasar mat'!G446</f>
        <v>125000</v>
      </c>
      <c r="K132" s="369">
        <v>29210</v>
      </c>
      <c r="L132" s="372">
        <f t="shared" si="19"/>
        <v>0</v>
      </c>
      <c r="M132" s="369">
        <f t="shared" si="20"/>
        <v>0</v>
      </c>
      <c r="N132" s="459">
        <f t="shared" si="21"/>
        <v>0</v>
      </c>
    </row>
    <row r="133" spans="1:14" ht="13.2" customHeight="1" x14ac:dyDescent="0.3">
      <c r="A133" s="386">
        <f t="shared" si="22"/>
        <v>6</v>
      </c>
      <c r="B133" s="366" t="s">
        <v>1662</v>
      </c>
      <c r="C133" s="362"/>
      <c r="D133" s="362"/>
      <c r="E133" s="368" t="s">
        <v>203</v>
      </c>
      <c r="F133" s="535"/>
      <c r="G133" s="535"/>
      <c r="H133" s="538"/>
      <c r="I133" s="372">
        <f t="shared" si="18"/>
        <v>0</v>
      </c>
      <c r="J133" s="369">
        <f>'Harga Satuan Dasar mat'!G444</f>
        <v>135000</v>
      </c>
      <c r="K133" s="369">
        <v>29210</v>
      </c>
      <c r="L133" s="372">
        <f t="shared" si="19"/>
        <v>0</v>
      </c>
      <c r="M133" s="369">
        <f t="shared" si="20"/>
        <v>0</v>
      </c>
      <c r="N133" s="459">
        <f t="shared" si="21"/>
        <v>0</v>
      </c>
    </row>
    <row r="134" spans="1:14" ht="13.2" customHeight="1" x14ac:dyDescent="0.3">
      <c r="A134" s="386">
        <f t="shared" si="22"/>
        <v>7</v>
      </c>
      <c r="B134" s="366" t="s">
        <v>2007</v>
      </c>
      <c r="C134" s="362"/>
      <c r="D134" s="362"/>
      <c r="E134" s="368" t="s">
        <v>203</v>
      </c>
      <c r="F134" s="535"/>
      <c r="G134" s="535"/>
      <c r="H134" s="538"/>
      <c r="I134" s="372">
        <f t="shared" si="18"/>
        <v>0</v>
      </c>
      <c r="J134" s="369">
        <f>'Harga Satuan Dasar mat'!G447</f>
        <v>135000</v>
      </c>
      <c r="K134" s="369">
        <v>29210</v>
      </c>
      <c r="L134" s="372">
        <f t="shared" si="19"/>
        <v>0</v>
      </c>
      <c r="M134" s="369">
        <f t="shared" si="20"/>
        <v>0</v>
      </c>
      <c r="N134" s="459">
        <f t="shared" si="21"/>
        <v>0</v>
      </c>
    </row>
    <row r="135" spans="1:14" ht="13.2" customHeight="1" x14ac:dyDescent="0.3">
      <c r="A135" s="386">
        <f t="shared" si="22"/>
        <v>8</v>
      </c>
      <c r="B135" s="366" t="s">
        <v>588</v>
      </c>
      <c r="C135" s="362"/>
      <c r="D135" s="362"/>
      <c r="E135" s="368" t="s">
        <v>264</v>
      </c>
      <c r="F135" s="535"/>
      <c r="G135" s="535"/>
      <c r="H135" s="538"/>
      <c r="I135" s="372">
        <f t="shared" si="18"/>
        <v>0</v>
      </c>
      <c r="J135" s="369">
        <f>'Harga Satuan Dasar mat'!G736</f>
        <v>21750</v>
      </c>
      <c r="K135" s="369">
        <v>29210</v>
      </c>
      <c r="L135" s="372">
        <f t="shared" si="19"/>
        <v>0</v>
      </c>
      <c r="M135" s="369">
        <f t="shared" si="20"/>
        <v>0</v>
      </c>
      <c r="N135" s="459">
        <f t="shared" si="21"/>
        <v>0</v>
      </c>
    </row>
    <row r="136" spans="1:14" ht="13.2" customHeight="1" x14ac:dyDescent="0.3">
      <c r="A136" s="386">
        <f t="shared" si="22"/>
        <v>9</v>
      </c>
      <c r="B136" s="366" t="s">
        <v>466</v>
      </c>
      <c r="C136" s="362"/>
      <c r="D136" s="362"/>
      <c r="E136" s="368" t="s">
        <v>203</v>
      </c>
      <c r="F136" s="538"/>
      <c r="G136" s="538"/>
      <c r="H136" s="535"/>
      <c r="I136" s="372">
        <f t="shared" si="18"/>
        <v>0</v>
      </c>
      <c r="J136" s="369">
        <f>'Harga Satuan Dasar mat'!G598</f>
        <v>15000</v>
      </c>
      <c r="K136" s="372">
        <v>28160</v>
      </c>
      <c r="L136" s="372">
        <f t="shared" si="19"/>
        <v>0</v>
      </c>
      <c r="M136" s="369">
        <f t="shared" si="20"/>
        <v>0</v>
      </c>
      <c r="N136" s="459">
        <f t="shared" si="21"/>
        <v>0</v>
      </c>
    </row>
    <row r="137" spans="1:14" ht="13.2" customHeight="1" x14ac:dyDescent="0.3">
      <c r="A137" s="386">
        <f t="shared" si="22"/>
        <v>10</v>
      </c>
      <c r="B137" s="366" t="s">
        <v>467</v>
      </c>
      <c r="C137" s="362"/>
      <c r="D137" s="362"/>
      <c r="E137" s="368" t="s">
        <v>203</v>
      </c>
      <c r="F137" s="538"/>
      <c r="G137" s="538"/>
      <c r="H137" s="535"/>
      <c r="I137" s="372">
        <f t="shared" si="18"/>
        <v>0</v>
      </c>
      <c r="J137" s="369">
        <f>'Harga Satuan Dasar mat'!G599</f>
        <v>18200</v>
      </c>
      <c r="K137" s="372">
        <v>28160</v>
      </c>
      <c r="L137" s="372">
        <f t="shared" si="19"/>
        <v>0</v>
      </c>
      <c r="M137" s="369">
        <f t="shared" si="20"/>
        <v>0</v>
      </c>
      <c r="N137" s="459">
        <f t="shared" si="21"/>
        <v>0</v>
      </c>
    </row>
    <row r="138" spans="1:14" ht="13.2" customHeight="1" x14ac:dyDescent="0.3">
      <c r="A138" s="386">
        <f t="shared" si="22"/>
        <v>11</v>
      </c>
      <c r="B138" s="366" t="s">
        <v>468</v>
      </c>
      <c r="C138" s="362"/>
      <c r="D138" s="362"/>
      <c r="E138" s="368" t="s">
        <v>203</v>
      </c>
      <c r="F138" s="538"/>
      <c r="G138" s="538"/>
      <c r="H138" s="535"/>
      <c r="I138" s="372">
        <f t="shared" si="18"/>
        <v>0</v>
      </c>
      <c r="J138" s="369">
        <f>'Harga Satuan Dasar mat'!G600</f>
        <v>19250</v>
      </c>
      <c r="K138" s="372">
        <v>28160</v>
      </c>
      <c r="L138" s="372">
        <f t="shared" si="19"/>
        <v>0</v>
      </c>
      <c r="M138" s="369">
        <f t="shared" si="20"/>
        <v>0</v>
      </c>
      <c r="N138" s="459">
        <f t="shared" ref="N138:N201" si="23">SUM(L138:M138)</f>
        <v>0</v>
      </c>
    </row>
    <row r="139" spans="1:14" ht="13.2" customHeight="1" x14ac:dyDescent="0.3">
      <c r="A139" s="386">
        <f t="shared" si="22"/>
        <v>12</v>
      </c>
      <c r="B139" s="366" t="s">
        <v>469</v>
      </c>
      <c r="C139" s="362"/>
      <c r="D139" s="362"/>
      <c r="E139" s="368" t="s">
        <v>203</v>
      </c>
      <c r="F139" s="538"/>
      <c r="G139" s="538"/>
      <c r="H139" s="535"/>
      <c r="I139" s="372">
        <f t="shared" si="18"/>
        <v>0</v>
      </c>
      <c r="J139" s="369">
        <f>'Harga Satuan Dasar mat'!G601</f>
        <v>19500</v>
      </c>
      <c r="K139" s="372">
        <v>28160</v>
      </c>
      <c r="L139" s="372">
        <f t="shared" si="19"/>
        <v>0</v>
      </c>
      <c r="M139" s="369">
        <f t="shared" si="20"/>
        <v>0</v>
      </c>
      <c r="N139" s="459">
        <f t="shared" si="23"/>
        <v>0</v>
      </c>
    </row>
    <row r="140" spans="1:14" ht="13.2" customHeight="1" x14ac:dyDescent="0.3">
      <c r="A140" s="386">
        <f t="shared" si="22"/>
        <v>13</v>
      </c>
      <c r="B140" s="370" t="s">
        <v>470</v>
      </c>
      <c r="C140" s="371"/>
      <c r="D140" s="371"/>
      <c r="E140" s="367" t="s">
        <v>203</v>
      </c>
      <c r="F140" s="527"/>
      <c r="G140" s="527"/>
      <c r="H140" s="527"/>
      <c r="I140" s="372">
        <f t="shared" si="18"/>
        <v>0</v>
      </c>
      <c r="J140" s="372">
        <f>'Harga Satuan Dasar mat'!G602</f>
        <v>17188</v>
      </c>
      <c r="K140" s="372">
        <v>28160</v>
      </c>
      <c r="L140" s="372">
        <f t="shared" si="19"/>
        <v>0</v>
      </c>
      <c r="M140" s="369">
        <f t="shared" si="20"/>
        <v>0</v>
      </c>
      <c r="N140" s="459">
        <f t="shared" si="23"/>
        <v>0</v>
      </c>
    </row>
    <row r="141" spans="1:14" ht="13.2" customHeight="1" x14ac:dyDescent="0.3">
      <c r="A141" s="386">
        <f t="shared" si="22"/>
        <v>14</v>
      </c>
      <c r="B141" s="370" t="s">
        <v>471</v>
      </c>
      <c r="C141" s="371"/>
      <c r="D141" s="371"/>
      <c r="E141" s="367" t="s">
        <v>203</v>
      </c>
      <c r="F141" s="527"/>
      <c r="G141" s="527"/>
      <c r="H141" s="527"/>
      <c r="I141" s="372">
        <f t="shared" si="18"/>
        <v>0</v>
      </c>
      <c r="J141" s="372">
        <f>'Harga Satuan Dasar mat'!G603</f>
        <v>19144</v>
      </c>
      <c r="K141" s="372">
        <v>28160</v>
      </c>
      <c r="L141" s="372">
        <f t="shared" si="19"/>
        <v>0</v>
      </c>
      <c r="M141" s="369">
        <f t="shared" si="20"/>
        <v>0</v>
      </c>
      <c r="N141" s="459">
        <f t="shared" si="23"/>
        <v>0</v>
      </c>
    </row>
    <row r="142" spans="1:14" ht="13.2" customHeight="1" x14ac:dyDescent="0.3">
      <c r="A142" s="386">
        <f t="shared" si="22"/>
        <v>15</v>
      </c>
      <c r="B142" s="370" t="s">
        <v>472</v>
      </c>
      <c r="C142" s="371"/>
      <c r="D142" s="371"/>
      <c r="E142" s="367" t="s">
        <v>203</v>
      </c>
      <c r="F142" s="527"/>
      <c r="G142" s="527"/>
      <c r="H142" s="527"/>
      <c r="I142" s="372">
        <f t="shared" si="18"/>
        <v>0</v>
      </c>
      <c r="J142" s="372">
        <f>'Harga Satuan Dasar mat'!G604</f>
        <v>19298</v>
      </c>
      <c r="K142" s="372">
        <v>28160</v>
      </c>
      <c r="L142" s="372">
        <f t="shared" si="19"/>
        <v>0</v>
      </c>
      <c r="M142" s="369">
        <f t="shared" si="20"/>
        <v>0</v>
      </c>
      <c r="N142" s="459">
        <f t="shared" si="23"/>
        <v>0</v>
      </c>
    </row>
    <row r="143" spans="1:14" ht="13.2" customHeight="1" x14ac:dyDescent="0.3">
      <c r="A143" s="386">
        <f t="shared" si="22"/>
        <v>16</v>
      </c>
      <c r="B143" s="723" t="s">
        <v>473</v>
      </c>
      <c r="C143" s="371"/>
      <c r="D143" s="371"/>
      <c r="E143" s="367" t="s">
        <v>203</v>
      </c>
      <c r="F143" s="527"/>
      <c r="G143" s="527"/>
      <c r="H143" s="527"/>
      <c r="I143" s="372">
        <f t="shared" si="18"/>
        <v>0</v>
      </c>
      <c r="J143" s="372">
        <f>'Harga Satuan Dasar mat'!G605</f>
        <v>22200</v>
      </c>
      <c r="K143" s="372">
        <v>28160</v>
      </c>
      <c r="L143" s="372">
        <f t="shared" si="19"/>
        <v>0</v>
      </c>
      <c r="M143" s="369">
        <f t="shared" si="20"/>
        <v>0</v>
      </c>
      <c r="N143" s="459">
        <f t="shared" si="23"/>
        <v>0</v>
      </c>
    </row>
    <row r="144" spans="1:14" ht="13.2" customHeight="1" x14ac:dyDescent="0.3">
      <c r="A144" s="386">
        <f t="shared" si="22"/>
        <v>17</v>
      </c>
      <c r="B144" s="370" t="s">
        <v>474</v>
      </c>
      <c r="C144" s="371"/>
      <c r="D144" s="371"/>
      <c r="E144" s="367" t="s">
        <v>203</v>
      </c>
      <c r="F144" s="527"/>
      <c r="G144" s="527"/>
      <c r="H144" s="527"/>
      <c r="I144" s="372">
        <f t="shared" si="18"/>
        <v>0</v>
      </c>
      <c r="J144" s="372">
        <f>'Harga Satuan Dasar mat'!G606</f>
        <v>43500</v>
      </c>
      <c r="K144" s="372">
        <v>28160</v>
      </c>
      <c r="L144" s="372">
        <f t="shared" si="19"/>
        <v>0</v>
      </c>
      <c r="M144" s="369">
        <f t="shared" si="20"/>
        <v>0</v>
      </c>
      <c r="N144" s="459">
        <f t="shared" si="23"/>
        <v>0</v>
      </c>
    </row>
    <row r="145" spans="1:14" ht="13.2" customHeight="1" x14ac:dyDescent="0.3">
      <c r="A145" s="386">
        <f t="shared" si="22"/>
        <v>18</v>
      </c>
      <c r="B145" s="370" t="s">
        <v>475</v>
      </c>
      <c r="C145" s="371"/>
      <c r="D145" s="371"/>
      <c r="E145" s="367" t="s">
        <v>203</v>
      </c>
      <c r="F145" s="527"/>
      <c r="G145" s="527"/>
      <c r="H145" s="527"/>
      <c r="I145" s="372">
        <f t="shared" si="18"/>
        <v>0</v>
      </c>
      <c r="J145" s="372">
        <f>'Harga Satuan Dasar mat'!G607</f>
        <v>45000</v>
      </c>
      <c r="K145" s="372">
        <v>28160</v>
      </c>
      <c r="L145" s="372">
        <f t="shared" si="19"/>
        <v>0</v>
      </c>
      <c r="M145" s="369">
        <f t="shared" si="20"/>
        <v>0</v>
      </c>
      <c r="N145" s="459">
        <f t="shared" si="23"/>
        <v>0</v>
      </c>
    </row>
    <row r="146" spans="1:14" ht="13.2" customHeight="1" x14ac:dyDescent="0.3">
      <c r="A146" s="386">
        <f t="shared" si="22"/>
        <v>19</v>
      </c>
      <c r="B146" s="370" t="s">
        <v>476</v>
      </c>
      <c r="C146" s="371"/>
      <c r="D146" s="371"/>
      <c r="E146" s="367" t="s">
        <v>203</v>
      </c>
      <c r="F146" s="527"/>
      <c r="G146" s="527"/>
      <c r="H146" s="527"/>
      <c r="I146" s="372">
        <f t="shared" si="18"/>
        <v>0</v>
      </c>
      <c r="J146" s="372">
        <f>'Harga Satuan Dasar mat'!G608</f>
        <v>52500</v>
      </c>
      <c r="K146" s="372">
        <v>28160</v>
      </c>
      <c r="L146" s="372">
        <f t="shared" si="19"/>
        <v>0</v>
      </c>
      <c r="M146" s="369">
        <f t="shared" si="20"/>
        <v>0</v>
      </c>
      <c r="N146" s="459">
        <f t="shared" si="23"/>
        <v>0</v>
      </c>
    </row>
    <row r="147" spans="1:14" ht="13.2" customHeight="1" x14ac:dyDescent="0.3">
      <c r="A147" s="386">
        <f t="shared" si="22"/>
        <v>20</v>
      </c>
      <c r="B147" s="370" t="s">
        <v>477</v>
      </c>
      <c r="C147" s="371"/>
      <c r="D147" s="371"/>
      <c r="E147" s="367" t="s">
        <v>203</v>
      </c>
      <c r="F147" s="527"/>
      <c r="G147" s="527"/>
      <c r="H147" s="527"/>
      <c r="I147" s="372">
        <f t="shared" si="18"/>
        <v>0</v>
      </c>
      <c r="J147" s="372">
        <f>'Harga Satuan Dasar mat'!G609</f>
        <v>51673</v>
      </c>
      <c r="K147" s="372">
        <v>28160</v>
      </c>
      <c r="L147" s="372">
        <f t="shared" si="19"/>
        <v>0</v>
      </c>
      <c r="M147" s="369">
        <f t="shared" si="20"/>
        <v>0</v>
      </c>
      <c r="N147" s="459">
        <f t="shared" si="23"/>
        <v>0</v>
      </c>
    </row>
    <row r="148" spans="1:14" ht="13.2" customHeight="1" x14ac:dyDescent="0.3">
      <c r="A148" s="386">
        <f t="shared" si="22"/>
        <v>21</v>
      </c>
      <c r="B148" s="370" t="s">
        <v>478</v>
      </c>
      <c r="C148" s="371"/>
      <c r="D148" s="371"/>
      <c r="E148" s="367" t="s">
        <v>203</v>
      </c>
      <c r="F148" s="527"/>
      <c r="G148" s="527"/>
      <c r="H148" s="527"/>
      <c r="I148" s="372">
        <f t="shared" si="18"/>
        <v>0</v>
      </c>
      <c r="J148" s="372">
        <f>'Harga Satuan Dasar mat'!G610</f>
        <v>16000</v>
      </c>
      <c r="K148" s="372">
        <v>28160</v>
      </c>
      <c r="L148" s="372">
        <f t="shared" si="19"/>
        <v>0</v>
      </c>
      <c r="M148" s="369">
        <f t="shared" si="20"/>
        <v>0</v>
      </c>
      <c r="N148" s="459">
        <f t="shared" si="23"/>
        <v>0</v>
      </c>
    </row>
    <row r="149" spans="1:14" ht="13.2" customHeight="1" x14ac:dyDescent="0.3">
      <c r="A149" s="386">
        <f t="shared" si="22"/>
        <v>22</v>
      </c>
      <c r="B149" s="370" t="s">
        <v>1916</v>
      </c>
      <c r="C149" s="371"/>
      <c r="D149" s="371"/>
      <c r="E149" s="367" t="s">
        <v>203</v>
      </c>
      <c r="F149" s="527"/>
      <c r="G149" s="527"/>
      <c r="H149" s="539"/>
      <c r="I149" s="372">
        <f t="shared" si="18"/>
        <v>0</v>
      </c>
      <c r="J149" s="372">
        <f>'Harga Satuan Dasar mat'!G594</f>
        <v>290000</v>
      </c>
      <c r="K149" s="372">
        <v>32860</v>
      </c>
      <c r="L149" s="372">
        <f t="shared" si="19"/>
        <v>0</v>
      </c>
      <c r="M149" s="369">
        <f t="shared" si="20"/>
        <v>0</v>
      </c>
      <c r="N149" s="459">
        <f t="shared" si="23"/>
        <v>0</v>
      </c>
    </row>
    <row r="150" spans="1:14" ht="13.2" customHeight="1" x14ac:dyDescent="0.3">
      <c r="A150" s="386">
        <f t="shared" si="22"/>
        <v>23</v>
      </c>
      <c r="B150" s="370" t="s">
        <v>1917</v>
      </c>
      <c r="C150" s="371"/>
      <c r="D150" s="371"/>
      <c r="E150" s="367" t="s">
        <v>203</v>
      </c>
      <c r="F150" s="527"/>
      <c r="G150" s="527"/>
      <c r="H150" s="539"/>
      <c r="I150" s="372">
        <f t="shared" si="18"/>
        <v>0</v>
      </c>
      <c r="J150" s="372">
        <f>'Harga Satuan Dasar mat'!G595</f>
        <v>301000</v>
      </c>
      <c r="K150" s="372">
        <v>32860</v>
      </c>
      <c r="L150" s="372">
        <f t="shared" si="19"/>
        <v>0</v>
      </c>
      <c r="M150" s="369">
        <f t="shared" si="20"/>
        <v>0</v>
      </c>
      <c r="N150" s="459">
        <f t="shared" si="23"/>
        <v>0</v>
      </c>
    </row>
    <row r="151" spans="1:14" ht="13.2" customHeight="1" x14ac:dyDescent="0.3">
      <c r="A151" s="386">
        <f t="shared" si="22"/>
        <v>24</v>
      </c>
      <c r="B151" s="370" t="s">
        <v>1918</v>
      </c>
      <c r="C151" s="371"/>
      <c r="D151" s="371"/>
      <c r="E151" s="367" t="s">
        <v>203</v>
      </c>
      <c r="F151" s="527"/>
      <c r="G151" s="527"/>
      <c r="H151" s="539"/>
      <c r="I151" s="372">
        <f t="shared" si="18"/>
        <v>0</v>
      </c>
      <c r="J151" s="372">
        <f>'Harga Satuan Dasar mat'!G596</f>
        <v>355000</v>
      </c>
      <c r="K151" s="372">
        <v>32860</v>
      </c>
      <c r="L151" s="372">
        <f t="shared" si="19"/>
        <v>0</v>
      </c>
      <c r="M151" s="369">
        <f t="shared" si="20"/>
        <v>0</v>
      </c>
      <c r="N151" s="459">
        <f t="shared" si="23"/>
        <v>0</v>
      </c>
    </row>
    <row r="152" spans="1:14" ht="13.2" customHeight="1" x14ac:dyDescent="0.3">
      <c r="A152" s="386">
        <f t="shared" si="22"/>
        <v>25</v>
      </c>
      <c r="B152" s="370" t="s">
        <v>489</v>
      </c>
      <c r="C152" s="371"/>
      <c r="D152" s="371"/>
      <c r="E152" s="367" t="s">
        <v>203</v>
      </c>
      <c r="F152" s="527"/>
      <c r="G152" s="527"/>
      <c r="H152" s="539"/>
      <c r="I152" s="372">
        <f t="shared" si="18"/>
        <v>0</v>
      </c>
      <c r="J152" s="372">
        <f>'Harga Satuan Dasar mat'!G620</f>
        <v>18000</v>
      </c>
      <c r="K152" s="372">
        <v>28160</v>
      </c>
      <c r="L152" s="372">
        <f t="shared" si="19"/>
        <v>0</v>
      </c>
      <c r="M152" s="369">
        <f t="shared" si="20"/>
        <v>0</v>
      </c>
      <c r="N152" s="459">
        <f t="shared" si="23"/>
        <v>0</v>
      </c>
    </row>
    <row r="153" spans="1:14" ht="13.2" customHeight="1" x14ac:dyDescent="0.3">
      <c r="A153" s="386">
        <f t="shared" si="22"/>
        <v>26</v>
      </c>
      <c r="B153" s="723" t="s">
        <v>490</v>
      </c>
      <c r="C153" s="371"/>
      <c r="D153" s="371"/>
      <c r="E153" s="367" t="s">
        <v>203</v>
      </c>
      <c r="F153" s="527"/>
      <c r="G153" s="527"/>
      <c r="H153" s="539"/>
      <c r="I153" s="372">
        <f t="shared" si="18"/>
        <v>0</v>
      </c>
      <c r="J153" s="372">
        <f>'Harga Satuan Dasar mat'!G621</f>
        <v>38000</v>
      </c>
      <c r="K153" s="372">
        <v>28160</v>
      </c>
      <c r="L153" s="372">
        <f t="shared" si="19"/>
        <v>0</v>
      </c>
      <c r="M153" s="369">
        <f t="shared" si="20"/>
        <v>0</v>
      </c>
      <c r="N153" s="459">
        <f t="shared" si="23"/>
        <v>0</v>
      </c>
    </row>
    <row r="154" spans="1:14" ht="13.2" customHeight="1" x14ac:dyDescent="0.3">
      <c r="A154" s="386">
        <f t="shared" si="22"/>
        <v>27</v>
      </c>
      <c r="B154" s="370" t="s">
        <v>491</v>
      </c>
      <c r="C154" s="371"/>
      <c r="D154" s="371"/>
      <c r="E154" s="367" t="s">
        <v>203</v>
      </c>
      <c r="F154" s="527"/>
      <c r="G154" s="527"/>
      <c r="H154" s="539"/>
      <c r="I154" s="372">
        <f t="shared" si="18"/>
        <v>0</v>
      </c>
      <c r="J154" s="372">
        <f>'Harga Satuan Dasar mat'!G622</f>
        <v>46000</v>
      </c>
      <c r="K154" s="372">
        <v>28160</v>
      </c>
      <c r="L154" s="372">
        <f t="shared" si="19"/>
        <v>0</v>
      </c>
      <c r="M154" s="369">
        <f t="shared" si="20"/>
        <v>0</v>
      </c>
      <c r="N154" s="459">
        <f t="shared" si="23"/>
        <v>0</v>
      </c>
    </row>
    <row r="155" spans="1:14" ht="13.2" customHeight="1" x14ac:dyDescent="0.3">
      <c r="A155" s="386">
        <f t="shared" si="22"/>
        <v>28</v>
      </c>
      <c r="B155" s="370" t="s">
        <v>492</v>
      </c>
      <c r="C155" s="371"/>
      <c r="D155" s="371"/>
      <c r="E155" s="367" t="s">
        <v>203</v>
      </c>
      <c r="F155" s="527"/>
      <c r="G155" s="527"/>
      <c r="H155" s="539"/>
      <c r="I155" s="372">
        <f t="shared" si="18"/>
        <v>0</v>
      </c>
      <c r="J155" s="372">
        <f>'Harga Satuan Dasar mat'!G623</f>
        <v>46000</v>
      </c>
      <c r="K155" s="372">
        <v>28160</v>
      </c>
      <c r="L155" s="372">
        <f t="shared" si="19"/>
        <v>0</v>
      </c>
      <c r="M155" s="369">
        <f t="shared" si="20"/>
        <v>0</v>
      </c>
      <c r="N155" s="459">
        <f t="shared" si="23"/>
        <v>0</v>
      </c>
    </row>
    <row r="156" spans="1:14" ht="13.2" customHeight="1" x14ac:dyDescent="0.3">
      <c r="A156" s="386">
        <f t="shared" si="22"/>
        <v>29</v>
      </c>
      <c r="B156" s="370" t="s">
        <v>493</v>
      </c>
      <c r="C156" s="371"/>
      <c r="D156" s="371"/>
      <c r="E156" s="367" t="s">
        <v>203</v>
      </c>
      <c r="F156" s="527"/>
      <c r="G156" s="527"/>
      <c r="H156" s="539"/>
      <c r="I156" s="372">
        <f t="shared" si="18"/>
        <v>0</v>
      </c>
      <c r="J156" s="372">
        <f>'Harga Satuan Dasar mat'!G624</f>
        <v>46000</v>
      </c>
      <c r="K156" s="372">
        <v>28160</v>
      </c>
      <c r="L156" s="372">
        <f t="shared" si="19"/>
        <v>0</v>
      </c>
      <c r="M156" s="369">
        <f t="shared" si="20"/>
        <v>0</v>
      </c>
      <c r="N156" s="459">
        <f t="shared" si="23"/>
        <v>0</v>
      </c>
    </row>
    <row r="157" spans="1:14" ht="13.2" customHeight="1" x14ac:dyDescent="0.3">
      <c r="A157" s="386">
        <f t="shared" si="22"/>
        <v>30</v>
      </c>
      <c r="B157" s="370" t="s">
        <v>494</v>
      </c>
      <c r="C157" s="371"/>
      <c r="D157" s="371"/>
      <c r="E157" s="367" t="s">
        <v>203</v>
      </c>
      <c r="F157" s="527"/>
      <c r="G157" s="527"/>
      <c r="H157" s="539"/>
      <c r="I157" s="372">
        <f t="shared" si="18"/>
        <v>0</v>
      </c>
      <c r="J157" s="372">
        <f>'Harga Satuan Dasar mat'!G625</f>
        <v>46000</v>
      </c>
      <c r="K157" s="372">
        <v>28160</v>
      </c>
      <c r="L157" s="372">
        <f t="shared" si="19"/>
        <v>0</v>
      </c>
      <c r="M157" s="369">
        <f t="shared" si="20"/>
        <v>0</v>
      </c>
      <c r="N157" s="459">
        <f t="shared" si="23"/>
        <v>0</v>
      </c>
    </row>
    <row r="158" spans="1:14" ht="13.2" customHeight="1" x14ac:dyDescent="0.3">
      <c r="A158" s="386">
        <f t="shared" si="22"/>
        <v>31</v>
      </c>
      <c r="B158" s="370" t="s">
        <v>497</v>
      </c>
      <c r="C158" s="371"/>
      <c r="D158" s="371"/>
      <c r="E158" s="367" t="s">
        <v>203</v>
      </c>
      <c r="F158" s="527"/>
      <c r="G158" s="539"/>
      <c r="H158" s="527"/>
      <c r="I158" s="372">
        <f t="shared" si="18"/>
        <v>0</v>
      </c>
      <c r="J158" s="372">
        <f>'Harga Satuan Dasar mat'!G627</f>
        <v>25000</v>
      </c>
      <c r="K158" s="372">
        <v>28160</v>
      </c>
      <c r="L158" s="372">
        <f t="shared" si="19"/>
        <v>0</v>
      </c>
      <c r="M158" s="369">
        <f t="shared" si="20"/>
        <v>0</v>
      </c>
      <c r="N158" s="459">
        <f t="shared" si="23"/>
        <v>0</v>
      </c>
    </row>
    <row r="159" spans="1:14" ht="13.2" customHeight="1" x14ac:dyDescent="0.3">
      <c r="A159" s="386">
        <f t="shared" si="22"/>
        <v>32</v>
      </c>
      <c r="B159" s="370" t="s">
        <v>498</v>
      </c>
      <c r="C159" s="371"/>
      <c r="D159" s="371"/>
      <c r="E159" s="367" t="s">
        <v>203</v>
      </c>
      <c r="F159" s="527"/>
      <c r="G159" s="539"/>
      <c r="H159" s="527"/>
      <c r="I159" s="372">
        <f t="shared" si="18"/>
        <v>0</v>
      </c>
      <c r="J159" s="372">
        <f>'Harga Satuan Dasar mat'!G628</f>
        <v>40000</v>
      </c>
      <c r="K159" s="372">
        <v>28160</v>
      </c>
      <c r="L159" s="372">
        <f t="shared" si="19"/>
        <v>0</v>
      </c>
      <c r="M159" s="369">
        <f t="shared" si="20"/>
        <v>0</v>
      </c>
      <c r="N159" s="459">
        <f t="shared" si="23"/>
        <v>0</v>
      </c>
    </row>
    <row r="160" spans="1:14" ht="13.2" customHeight="1" x14ac:dyDescent="0.3">
      <c r="A160" s="386">
        <f t="shared" si="22"/>
        <v>33</v>
      </c>
      <c r="B160" s="370" t="s">
        <v>499</v>
      </c>
      <c r="C160" s="371"/>
      <c r="D160" s="371"/>
      <c r="E160" s="367" t="s">
        <v>203</v>
      </c>
      <c r="F160" s="527"/>
      <c r="G160" s="539"/>
      <c r="H160" s="527"/>
      <c r="I160" s="372">
        <f t="shared" si="18"/>
        <v>0</v>
      </c>
      <c r="J160" s="372">
        <f>'Harga Satuan Dasar mat'!G629</f>
        <v>44500</v>
      </c>
      <c r="K160" s="372">
        <v>28160</v>
      </c>
      <c r="L160" s="372">
        <f t="shared" ref="L160:L191" si="24">J160*I160</f>
        <v>0</v>
      </c>
      <c r="M160" s="369">
        <f t="shared" ref="M160:M191" si="25">K160*I160</f>
        <v>0</v>
      </c>
      <c r="N160" s="459">
        <f t="shared" si="23"/>
        <v>0</v>
      </c>
    </row>
    <row r="161" spans="1:14" ht="13.2" customHeight="1" x14ac:dyDescent="0.3">
      <c r="A161" s="386">
        <f t="shared" si="22"/>
        <v>34</v>
      </c>
      <c r="B161" s="370" t="s">
        <v>500</v>
      </c>
      <c r="C161" s="371"/>
      <c r="D161" s="371"/>
      <c r="E161" s="367" t="s">
        <v>203</v>
      </c>
      <c r="F161" s="527"/>
      <c r="G161" s="539"/>
      <c r="H161" s="527"/>
      <c r="I161" s="372">
        <f t="shared" si="18"/>
        <v>0</v>
      </c>
      <c r="J161" s="372">
        <f>'Harga Satuan Dasar mat'!G630</f>
        <v>60500</v>
      </c>
      <c r="K161" s="372">
        <v>28160</v>
      </c>
      <c r="L161" s="372">
        <f t="shared" si="24"/>
        <v>0</v>
      </c>
      <c r="M161" s="369">
        <f t="shared" si="25"/>
        <v>0</v>
      </c>
      <c r="N161" s="459">
        <f t="shared" si="23"/>
        <v>0</v>
      </c>
    </row>
    <row r="162" spans="1:14" ht="13.2" customHeight="1" x14ac:dyDescent="0.3">
      <c r="A162" s="386">
        <f t="shared" si="22"/>
        <v>35</v>
      </c>
      <c r="B162" s="370" t="s">
        <v>501</v>
      </c>
      <c r="C162" s="371"/>
      <c r="D162" s="371"/>
      <c r="E162" s="367" t="s">
        <v>203</v>
      </c>
      <c r="F162" s="527"/>
      <c r="G162" s="539"/>
      <c r="H162" s="527"/>
      <c r="I162" s="372">
        <f t="shared" si="18"/>
        <v>0</v>
      </c>
      <c r="J162" s="372">
        <f>'Harga Satuan Dasar mat'!G631</f>
        <v>76184</v>
      </c>
      <c r="K162" s="372">
        <v>28160</v>
      </c>
      <c r="L162" s="372">
        <f t="shared" si="24"/>
        <v>0</v>
      </c>
      <c r="M162" s="369">
        <f t="shared" si="25"/>
        <v>0</v>
      </c>
      <c r="N162" s="459">
        <f t="shared" si="23"/>
        <v>0</v>
      </c>
    </row>
    <row r="163" spans="1:14" ht="13.2" customHeight="1" x14ac:dyDescent="0.3">
      <c r="A163" s="386">
        <f t="shared" si="22"/>
        <v>36</v>
      </c>
      <c r="B163" s="370" t="s">
        <v>502</v>
      </c>
      <c r="C163" s="371"/>
      <c r="D163" s="371"/>
      <c r="E163" s="367" t="s">
        <v>203</v>
      </c>
      <c r="F163" s="527"/>
      <c r="G163" s="539"/>
      <c r="H163" s="527"/>
      <c r="I163" s="372">
        <f t="shared" si="18"/>
        <v>0</v>
      </c>
      <c r="J163" s="372">
        <f>'Harga Satuan Dasar mat'!G632</f>
        <v>115000</v>
      </c>
      <c r="K163" s="372">
        <v>28160</v>
      </c>
      <c r="L163" s="372">
        <f t="shared" si="24"/>
        <v>0</v>
      </c>
      <c r="M163" s="369">
        <f t="shared" si="25"/>
        <v>0</v>
      </c>
      <c r="N163" s="459">
        <f t="shared" si="23"/>
        <v>0</v>
      </c>
    </row>
    <row r="164" spans="1:14" ht="13.2" customHeight="1" x14ac:dyDescent="0.3">
      <c r="A164" s="386">
        <f t="shared" si="22"/>
        <v>37</v>
      </c>
      <c r="B164" s="370" t="s">
        <v>503</v>
      </c>
      <c r="C164" s="371"/>
      <c r="D164" s="371"/>
      <c r="E164" s="367" t="s">
        <v>203</v>
      </c>
      <c r="F164" s="527"/>
      <c r="G164" s="539"/>
      <c r="H164" s="527"/>
      <c r="I164" s="372">
        <f t="shared" si="18"/>
        <v>0</v>
      </c>
      <c r="J164" s="372">
        <f>'Harga Satuan Dasar mat'!G633</f>
        <v>142000</v>
      </c>
      <c r="K164" s="372">
        <v>28160</v>
      </c>
      <c r="L164" s="372">
        <f t="shared" si="24"/>
        <v>0</v>
      </c>
      <c r="M164" s="369">
        <f t="shared" si="25"/>
        <v>0</v>
      </c>
      <c r="N164" s="459">
        <f t="shared" si="23"/>
        <v>0</v>
      </c>
    </row>
    <row r="165" spans="1:14" ht="13.2" customHeight="1" x14ac:dyDescent="0.3">
      <c r="A165" s="386">
        <f t="shared" si="22"/>
        <v>38</v>
      </c>
      <c r="B165" s="370" t="s">
        <v>506</v>
      </c>
      <c r="C165" s="371"/>
      <c r="D165" s="371"/>
      <c r="E165" s="367" t="s">
        <v>203</v>
      </c>
      <c r="F165" s="527"/>
      <c r="G165" s="539"/>
      <c r="H165" s="527"/>
      <c r="I165" s="372">
        <f t="shared" si="18"/>
        <v>0</v>
      </c>
      <c r="J165" s="372">
        <f>'Harga Satuan Dasar mat'!G635</f>
        <v>27500</v>
      </c>
      <c r="K165" s="372">
        <v>28160</v>
      </c>
      <c r="L165" s="372">
        <f t="shared" si="24"/>
        <v>0</v>
      </c>
      <c r="M165" s="369">
        <f t="shared" si="25"/>
        <v>0</v>
      </c>
      <c r="N165" s="459">
        <f t="shared" si="23"/>
        <v>0</v>
      </c>
    </row>
    <row r="166" spans="1:14" ht="13.2" customHeight="1" x14ac:dyDescent="0.3">
      <c r="A166" s="386">
        <f t="shared" si="22"/>
        <v>39</v>
      </c>
      <c r="B166" s="370" t="s">
        <v>507</v>
      </c>
      <c r="C166" s="371"/>
      <c r="D166" s="371"/>
      <c r="E166" s="367" t="s">
        <v>203</v>
      </c>
      <c r="F166" s="527"/>
      <c r="G166" s="539"/>
      <c r="H166" s="527"/>
      <c r="I166" s="372">
        <f t="shared" si="18"/>
        <v>0</v>
      </c>
      <c r="J166" s="372">
        <f>'Harga Satuan Dasar mat'!G636</f>
        <v>31000</v>
      </c>
      <c r="K166" s="372">
        <v>28160</v>
      </c>
      <c r="L166" s="372">
        <f t="shared" si="24"/>
        <v>0</v>
      </c>
      <c r="M166" s="369">
        <f t="shared" si="25"/>
        <v>0</v>
      </c>
      <c r="N166" s="459">
        <f t="shared" si="23"/>
        <v>0</v>
      </c>
    </row>
    <row r="167" spans="1:14" ht="13.2" customHeight="1" x14ac:dyDescent="0.3">
      <c r="A167" s="386">
        <f t="shared" si="22"/>
        <v>40</v>
      </c>
      <c r="B167" s="370" t="s">
        <v>508</v>
      </c>
      <c r="C167" s="371"/>
      <c r="D167" s="371"/>
      <c r="E167" s="367" t="s">
        <v>203</v>
      </c>
      <c r="F167" s="527"/>
      <c r="G167" s="539"/>
      <c r="H167" s="527"/>
      <c r="I167" s="372">
        <f t="shared" si="18"/>
        <v>0</v>
      </c>
      <c r="J167" s="372">
        <f>'Harga Satuan Dasar mat'!G637</f>
        <v>44000</v>
      </c>
      <c r="K167" s="372">
        <v>28160</v>
      </c>
      <c r="L167" s="372">
        <f t="shared" si="24"/>
        <v>0</v>
      </c>
      <c r="M167" s="369">
        <f t="shared" si="25"/>
        <v>0</v>
      </c>
      <c r="N167" s="459">
        <f t="shared" si="23"/>
        <v>0</v>
      </c>
    </row>
    <row r="168" spans="1:14" ht="13.2" customHeight="1" x14ac:dyDescent="0.3">
      <c r="A168" s="386">
        <f t="shared" si="22"/>
        <v>41</v>
      </c>
      <c r="B168" s="370" t="s">
        <v>509</v>
      </c>
      <c r="C168" s="371"/>
      <c r="D168" s="371"/>
      <c r="E168" s="367" t="s">
        <v>203</v>
      </c>
      <c r="F168" s="527"/>
      <c r="G168" s="539"/>
      <c r="H168" s="527"/>
      <c r="I168" s="372">
        <f t="shared" si="18"/>
        <v>0</v>
      </c>
      <c r="J168" s="372">
        <f>'Harga Satuan Dasar mat'!G638</f>
        <v>54087</v>
      </c>
      <c r="K168" s="372">
        <v>28160</v>
      </c>
      <c r="L168" s="372">
        <f t="shared" si="24"/>
        <v>0</v>
      </c>
      <c r="M168" s="369">
        <f t="shared" si="25"/>
        <v>0</v>
      </c>
      <c r="N168" s="459">
        <f t="shared" si="23"/>
        <v>0</v>
      </c>
    </row>
    <row r="169" spans="1:14" ht="13.2" customHeight="1" x14ac:dyDescent="0.3">
      <c r="A169" s="386">
        <f t="shared" si="22"/>
        <v>42</v>
      </c>
      <c r="B169" s="370" t="s">
        <v>510</v>
      </c>
      <c r="C169" s="371"/>
      <c r="D169" s="371"/>
      <c r="E169" s="367" t="s">
        <v>203</v>
      </c>
      <c r="F169" s="527"/>
      <c r="G169" s="539"/>
      <c r="H169" s="527"/>
      <c r="I169" s="372">
        <f t="shared" si="18"/>
        <v>0</v>
      </c>
      <c r="J169" s="372">
        <f>'Harga Satuan Dasar mat'!G639</f>
        <v>68000</v>
      </c>
      <c r="K169" s="372">
        <v>28160</v>
      </c>
      <c r="L169" s="372">
        <f t="shared" si="24"/>
        <v>0</v>
      </c>
      <c r="M169" s="369">
        <f t="shared" si="25"/>
        <v>0</v>
      </c>
      <c r="N169" s="459">
        <f t="shared" si="23"/>
        <v>0</v>
      </c>
    </row>
    <row r="170" spans="1:14" ht="13.2" customHeight="1" x14ac:dyDescent="0.3">
      <c r="A170" s="386">
        <f t="shared" si="22"/>
        <v>43</v>
      </c>
      <c r="B170" s="370" t="s">
        <v>511</v>
      </c>
      <c r="C170" s="371"/>
      <c r="D170" s="371"/>
      <c r="E170" s="367" t="s">
        <v>203</v>
      </c>
      <c r="F170" s="527"/>
      <c r="G170" s="539"/>
      <c r="H170" s="527"/>
      <c r="I170" s="372">
        <f t="shared" si="18"/>
        <v>0</v>
      </c>
      <c r="J170" s="372">
        <f>'Harga Satuan Dasar mat'!G640</f>
        <v>67000</v>
      </c>
      <c r="K170" s="372">
        <v>28160</v>
      </c>
      <c r="L170" s="372">
        <f t="shared" si="24"/>
        <v>0</v>
      </c>
      <c r="M170" s="369">
        <f t="shared" si="25"/>
        <v>0</v>
      </c>
      <c r="N170" s="459">
        <f t="shared" si="23"/>
        <v>0</v>
      </c>
    </row>
    <row r="171" spans="1:14" ht="13.2" customHeight="1" x14ac:dyDescent="0.3">
      <c r="A171" s="386">
        <f t="shared" si="22"/>
        <v>44</v>
      </c>
      <c r="B171" s="370" t="s">
        <v>512</v>
      </c>
      <c r="C171" s="371"/>
      <c r="D171" s="371"/>
      <c r="E171" s="367" t="s">
        <v>203</v>
      </c>
      <c r="F171" s="527"/>
      <c r="G171" s="539"/>
      <c r="H171" s="527"/>
      <c r="I171" s="372">
        <f t="shared" si="18"/>
        <v>0</v>
      </c>
      <c r="J171" s="372">
        <f>'Harga Satuan Dasar mat'!G641</f>
        <v>67000</v>
      </c>
      <c r="K171" s="372">
        <v>28160</v>
      </c>
      <c r="L171" s="372">
        <f t="shared" si="24"/>
        <v>0</v>
      </c>
      <c r="M171" s="369">
        <f t="shared" si="25"/>
        <v>0</v>
      </c>
      <c r="N171" s="459">
        <f t="shared" si="23"/>
        <v>0</v>
      </c>
    </row>
    <row r="172" spans="1:14" ht="13.2" customHeight="1" x14ac:dyDescent="0.3">
      <c r="A172" s="386">
        <f t="shared" si="22"/>
        <v>45</v>
      </c>
      <c r="B172" s="370" t="s">
        <v>513</v>
      </c>
      <c r="C172" s="371"/>
      <c r="D172" s="371"/>
      <c r="E172" s="367" t="s">
        <v>203</v>
      </c>
      <c r="F172" s="527"/>
      <c r="G172" s="539"/>
      <c r="H172" s="527"/>
      <c r="I172" s="372">
        <f t="shared" si="18"/>
        <v>0</v>
      </c>
      <c r="J172" s="372">
        <f>'Harga Satuan Dasar mat'!G642</f>
        <v>67037.25</v>
      </c>
      <c r="K172" s="372">
        <v>28160</v>
      </c>
      <c r="L172" s="372">
        <f t="shared" si="24"/>
        <v>0</v>
      </c>
      <c r="M172" s="369">
        <f t="shared" si="25"/>
        <v>0</v>
      </c>
      <c r="N172" s="459">
        <f t="shared" si="23"/>
        <v>0</v>
      </c>
    </row>
    <row r="173" spans="1:14" ht="13.2" customHeight="1" x14ac:dyDescent="0.3">
      <c r="A173" s="386">
        <f t="shared" si="22"/>
        <v>46</v>
      </c>
      <c r="B173" s="370" t="s">
        <v>514</v>
      </c>
      <c r="C173" s="371"/>
      <c r="D173" s="371"/>
      <c r="E173" s="367" t="s">
        <v>203</v>
      </c>
      <c r="F173" s="527"/>
      <c r="G173" s="539"/>
      <c r="H173" s="527"/>
      <c r="I173" s="372">
        <f t="shared" si="18"/>
        <v>0</v>
      </c>
      <c r="J173" s="372">
        <f>'Harga Satuan Dasar mat'!G643</f>
        <v>67492</v>
      </c>
      <c r="K173" s="372">
        <v>28160</v>
      </c>
      <c r="L173" s="372">
        <f t="shared" si="24"/>
        <v>0</v>
      </c>
      <c r="M173" s="369">
        <f t="shared" si="25"/>
        <v>0</v>
      </c>
      <c r="N173" s="459">
        <f t="shared" si="23"/>
        <v>0</v>
      </c>
    </row>
    <row r="174" spans="1:14" ht="13.2" customHeight="1" x14ac:dyDescent="0.3">
      <c r="A174" s="386">
        <f t="shared" si="22"/>
        <v>47</v>
      </c>
      <c r="B174" s="370" t="s">
        <v>515</v>
      </c>
      <c r="C174" s="371"/>
      <c r="D174" s="371"/>
      <c r="E174" s="367" t="s">
        <v>203</v>
      </c>
      <c r="F174" s="527"/>
      <c r="G174" s="539"/>
      <c r="H174" s="527"/>
      <c r="I174" s="372">
        <f t="shared" si="18"/>
        <v>0</v>
      </c>
      <c r="J174" s="372">
        <f>'Harga Satuan Dasar mat'!G644</f>
        <v>82500</v>
      </c>
      <c r="K174" s="372">
        <v>28160</v>
      </c>
      <c r="L174" s="372">
        <f t="shared" si="24"/>
        <v>0</v>
      </c>
      <c r="M174" s="369">
        <f t="shared" si="25"/>
        <v>0</v>
      </c>
      <c r="N174" s="459">
        <f t="shared" si="23"/>
        <v>0</v>
      </c>
    </row>
    <row r="175" spans="1:14" ht="13.2" customHeight="1" x14ac:dyDescent="0.3">
      <c r="A175" s="386">
        <f t="shared" si="22"/>
        <v>48</v>
      </c>
      <c r="B175" s="370" t="s">
        <v>516</v>
      </c>
      <c r="C175" s="371"/>
      <c r="D175" s="371"/>
      <c r="E175" s="367" t="s">
        <v>203</v>
      </c>
      <c r="F175" s="527"/>
      <c r="G175" s="539"/>
      <c r="H175" s="527"/>
      <c r="I175" s="372">
        <f t="shared" si="18"/>
        <v>0</v>
      </c>
      <c r="J175" s="372">
        <f>'Harga Satuan Dasar mat'!G645</f>
        <v>105664</v>
      </c>
      <c r="K175" s="372">
        <v>28160</v>
      </c>
      <c r="L175" s="372">
        <f t="shared" si="24"/>
        <v>0</v>
      </c>
      <c r="M175" s="369">
        <f t="shared" si="25"/>
        <v>0</v>
      </c>
      <c r="N175" s="459">
        <f t="shared" si="23"/>
        <v>0</v>
      </c>
    </row>
    <row r="176" spans="1:14" ht="13.2" customHeight="1" x14ac:dyDescent="0.3">
      <c r="A176" s="386">
        <f t="shared" si="22"/>
        <v>49</v>
      </c>
      <c r="B176" s="370" t="s">
        <v>542</v>
      </c>
      <c r="C176" s="371"/>
      <c r="D176" s="371"/>
      <c r="E176" s="367" t="s">
        <v>203</v>
      </c>
      <c r="F176" s="527"/>
      <c r="G176" s="527"/>
      <c r="H176" s="527"/>
      <c r="I176" s="372">
        <f t="shared" si="18"/>
        <v>0</v>
      </c>
      <c r="J176" s="372">
        <f>'Harga Satuan Dasar mat'!G670</f>
        <v>50500</v>
      </c>
      <c r="K176" s="372">
        <v>16430</v>
      </c>
      <c r="L176" s="372">
        <f t="shared" si="24"/>
        <v>0</v>
      </c>
      <c r="M176" s="369">
        <f t="shared" si="25"/>
        <v>0</v>
      </c>
      <c r="N176" s="459">
        <f t="shared" si="23"/>
        <v>0</v>
      </c>
    </row>
    <row r="177" spans="1:14" ht="13.2" customHeight="1" x14ac:dyDescent="0.3">
      <c r="A177" s="386">
        <f t="shared" si="22"/>
        <v>50</v>
      </c>
      <c r="B177" s="370" t="s">
        <v>543</v>
      </c>
      <c r="C177" s="371"/>
      <c r="D177" s="371"/>
      <c r="E177" s="367" t="s">
        <v>203</v>
      </c>
      <c r="F177" s="527"/>
      <c r="G177" s="527"/>
      <c r="H177" s="527"/>
      <c r="I177" s="372">
        <f t="shared" si="18"/>
        <v>0</v>
      </c>
      <c r="J177" s="372">
        <f>'Harga Satuan Dasar mat'!G671</f>
        <v>62500</v>
      </c>
      <c r="K177" s="372">
        <v>16430</v>
      </c>
      <c r="L177" s="372">
        <f t="shared" si="24"/>
        <v>0</v>
      </c>
      <c r="M177" s="369">
        <f t="shared" si="25"/>
        <v>0</v>
      </c>
      <c r="N177" s="459">
        <f t="shared" si="23"/>
        <v>0</v>
      </c>
    </row>
    <row r="178" spans="1:14" ht="13.2" customHeight="1" x14ac:dyDescent="0.3">
      <c r="A178" s="386">
        <f t="shared" si="22"/>
        <v>51</v>
      </c>
      <c r="B178" s="370" t="s">
        <v>544</v>
      </c>
      <c r="C178" s="371"/>
      <c r="D178" s="371"/>
      <c r="E178" s="367" t="s">
        <v>203</v>
      </c>
      <c r="F178" s="527"/>
      <c r="G178" s="527"/>
      <c r="H178" s="527"/>
      <c r="I178" s="372">
        <f t="shared" si="18"/>
        <v>0</v>
      </c>
      <c r="J178" s="372">
        <f>'Harga Satuan Dasar mat'!G672</f>
        <v>30492</v>
      </c>
      <c r="K178" s="372">
        <v>16430</v>
      </c>
      <c r="L178" s="372">
        <f t="shared" si="24"/>
        <v>0</v>
      </c>
      <c r="M178" s="369">
        <f t="shared" si="25"/>
        <v>0</v>
      </c>
      <c r="N178" s="459">
        <f t="shared" si="23"/>
        <v>0</v>
      </c>
    </row>
    <row r="179" spans="1:14" ht="13.2" customHeight="1" x14ac:dyDescent="0.3">
      <c r="A179" s="386">
        <f t="shared" si="22"/>
        <v>52</v>
      </c>
      <c r="B179" s="370" t="s">
        <v>545</v>
      </c>
      <c r="C179" s="371"/>
      <c r="D179" s="371"/>
      <c r="E179" s="367" t="s">
        <v>203</v>
      </c>
      <c r="F179" s="527"/>
      <c r="G179" s="527"/>
      <c r="H179" s="527"/>
      <c r="I179" s="372">
        <f t="shared" si="18"/>
        <v>0</v>
      </c>
      <c r="J179" s="372">
        <f>'Harga Satuan Dasar mat'!G673</f>
        <v>44000</v>
      </c>
      <c r="K179" s="372">
        <v>16430</v>
      </c>
      <c r="L179" s="372">
        <f t="shared" si="24"/>
        <v>0</v>
      </c>
      <c r="M179" s="369">
        <f t="shared" si="25"/>
        <v>0</v>
      </c>
      <c r="N179" s="459">
        <f t="shared" si="23"/>
        <v>0</v>
      </c>
    </row>
    <row r="180" spans="1:14" ht="13.2" customHeight="1" x14ac:dyDescent="0.3">
      <c r="A180" s="386">
        <f t="shared" si="22"/>
        <v>53</v>
      </c>
      <c r="B180" s="723" t="s">
        <v>546</v>
      </c>
      <c r="C180" s="371"/>
      <c r="D180" s="371"/>
      <c r="E180" s="367" t="s">
        <v>203</v>
      </c>
      <c r="F180" s="527"/>
      <c r="G180" s="527"/>
      <c r="H180" s="527"/>
      <c r="I180" s="372">
        <f t="shared" si="18"/>
        <v>0</v>
      </c>
      <c r="J180" s="372">
        <f>'Harga Satuan Dasar mat'!G674</f>
        <v>75000</v>
      </c>
      <c r="K180" s="372">
        <v>16430</v>
      </c>
      <c r="L180" s="372">
        <f t="shared" si="24"/>
        <v>0</v>
      </c>
      <c r="M180" s="369">
        <f t="shared" si="25"/>
        <v>0</v>
      </c>
      <c r="N180" s="459">
        <f t="shared" si="23"/>
        <v>0</v>
      </c>
    </row>
    <row r="181" spans="1:14" ht="13.2" customHeight="1" x14ac:dyDescent="0.3">
      <c r="A181" s="386">
        <f t="shared" si="22"/>
        <v>54</v>
      </c>
      <c r="B181" s="370" t="s">
        <v>547</v>
      </c>
      <c r="C181" s="371"/>
      <c r="D181" s="371"/>
      <c r="E181" s="367" t="s">
        <v>203</v>
      </c>
      <c r="F181" s="527"/>
      <c r="G181" s="527"/>
      <c r="H181" s="527"/>
      <c r="I181" s="372">
        <f t="shared" si="18"/>
        <v>0</v>
      </c>
      <c r="J181" s="372">
        <f>'Harga Satuan Dasar mat'!G675</f>
        <v>86300</v>
      </c>
      <c r="K181" s="372">
        <v>16430</v>
      </c>
      <c r="L181" s="372">
        <f t="shared" si="24"/>
        <v>0</v>
      </c>
      <c r="M181" s="369">
        <f t="shared" si="25"/>
        <v>0</v>
      </c>
      <c r="N181" s="459">
        <f t="shared" si="23"/>
        <v>0</v>
      </c>
    </row>
    <row r="182" spans="1:14" ht="13.2" customHeight="1" x14ac:dyDescent="0.3">
      <c r="A182" s="386">
        <f t="shared" si="22"/>
        <v>55</v>
      </c>
      <c r="B182" s="370" t="s">
        <v>548</v>
      </c>
      <c r="C182" s="371"/>
      <c r="D182" s="371"/>
      <c r="E182" s="367" t="s">
        <v>203</v>
      </c>
      <c r="F182" s="527"/>
      <c r="G182" s="527"/>
      <c r="H182" s="527"/>
      <c r="I182" s="372">
        <f t="shared" si="18"/>
        <v>0</v>
      </c>
      <c r="J182" s="372">
        <f>'Harga Satuan Dasar mat'!G676</f>
        <v>102400</v>
      </c>
      <c r="K182" s="372">
        <v>16430</v>
      </c>
      <c r="L182" s="372">
        <f t="shared" si="24"/>
        <v>0</v>
      </c>
      <c r="M182" s="369">
        <f t="shared" si="25"/>
        <v>0</v>
      </c>
      <c r="N182" s="459">
        <f t="shared" si="23"/>
        <v>0</v>
      </c>
    </row>
    <row r="183" spans="1:14" ht="13.2" customHeight="1" x14ac:dyDescent="0.3">
      <c r="A183" s="386">
        <f t="shared" si="22"/>
        <v>56</v>
      </c>
      <c r="B183" s="723" t="s">
        <v>549</v>
      </c>
      <c r="C183" s="371"/>
      <c r="D183" s="371"/>
      <c r="E183" s="367" t="s">
        <v>203</v>
      </c>
      <c r="F183" s="527"/>
      <c r="G183" s="527"/>
      <c r="H183" s="527"/>
      <c r="I183" s="372">
        <f t="shared" si="18"/>
        <v>0</v>
      </c>
      <c r="J183" s="372">
        <f>'Harga Satuan Dasar mat'!G677</f>
        <v>116000</v>
      </c>
      <c r="K183" s="372">
        <v>16430</v>
      </c>
      <c r="L183" s="372">
        <f t="shared" si="24"/>
        <v>0</v>
      </c>
      <c r="M183" s="369">
        <f t="shared" si="25"/>
        <v>0</v>
      </c>
      <c r="N183" s="459">
        <f t="shared" si="23"/>
        <v>0</v>
      </c>
    </row>
    <row r="184" spans="1:14" ht="13.2" customHeight="1" x14ac:dyDescent="0.3">
      <c r="A184" s="386">
        <f t="shared" si="22"/>
        <v>57</v>
      </c>
      <c r="B184" s="370" t="s">
        <v>550</v>
      </c>
      <c r="C184" s="371"/>
      <c r="D184" s="371"/>
      <c r="E184" s="367" t="s">
        <v>203</v>
      </c>
      <c r="F184" s="527"/>
      <c r="G184" s="527"/>
      <c r="H184" s="527"/>
      <c r="I184" s="372">
        <f t="shared" si="18"/>
        <v>0</v>
      </c>
      <c r="J184" s="372">
        <f>'Harga Satuan Dasar mat'!G678</f>
        <v>170600</v>
      </c>
      <c r="K184" s="372">
        <v>16430</v>
      </c>
      <c r="L184" s="372">
        <f t="shared" si="24"/>
        <v>0</v>
      </c>
      <c r="M184" s="369">
        <f t="shared" si="25"/>
        <v>0</v>
      </c>
      <c r="N184" s="459">
        <f t="shared" si="23"/>
        <v>0</v>
      </c>
    </row>
    <row r="185" spans="1:14" ht="13.2" customHeight="1" x14ac:dyDescent="0.3">
      <c r="A185" s="386">
        <f t="shared" si="22"/>
        <v>58</v>
      </c>
      <c r="B185" s="370" t="s">
        <v>551</v>
      </c>
      <c r="C185" s="371"/>
      <c r="D185" s="371"/>
      <c r="E185" s="367" t="s">
        <v>203</v>
      </c>
      <c r="F185" s="527"/>
      <c r="G185" s="527"/>
      <c r="H185" s="527"/>
      <c r="I185" s="372">
        <f t="shared" si="18"/>
        <v>0</v>
      </c>
      <c r="J185" s="372">
        <f>'Harga Satuan Dasar mat'!G679</f>
        <v>155000</v>
      </c>
      <c r="K185" s="372">
        <v>16430</v>
      </c>
      <c r="L185" s="372">
        <f t="shared" si="24"/>
        <v>0</v>
      </c>
      <c r="M185" s="369">
        <f t="shared" si="25"/>
        <v>0</v>
      </c>
      <c r="N185" s="459">
        <f t="shared" si="23"/>
        <v>0</v>
      </c>
    </row>
    <row r="186" spans="1:14" ht="13.2" customHeight="1" x14ac:dyDescent="0.3">
      <c r="A186" s="386">
        <f t="shared" si="22"/>
        <v>59</v>
      </c>
      <c r="B186" s="370" t="s">
        <v>552</v>
      </c>
      <c r="C186" s="371"/>
      <c r="D186" s="371"/>
      <c r="E186" s="367" t="s">
        <v>203</v>
      </c>
      <c r="F186" s="527"/>
      <c r="G186" s="527"/>
      <c r="H186" s="527"/>
      <c r="I186" s="372">
        <f t="shared" si="18"/>
        <v>0</v>
      </c>
      <c r="J186" s="372">
        <f>'Harga Satuan Dasar mat'!G680</f>
        <v>337107</v>
      </c>
      <c r="K186" s="372">
        <v>16430</v>
      </c>
      <c r="L186" s="372">
        <f t="shared" si="24"/>
        <v>0</v>
      </c>
      <c r="M186" s="369">
        <f t="shared" si="25"/>
        <v>0</v>
      </c>
      <c r="N186" s="459">
        <f t="shared" si="23"/>
        <v>0</v>
      </c>
    </row>
    <row r="187" spans="1:14" ht="13.2" customHeight="1" x14ac:dyDescent="0.3">
      <c r="A187" s="386">
        <f t="shared" si="22"/>
        <v>60</v>
      </c>
      <c r="B187" s="370" t="s">
        <v>553</v>
      </c>
      <c r="C187" s="371"/>
      <c r="D187" s="371"/>
      <c r="E187" s="367" t="s">
        <v>203</v>
      </c>
      <c r="F187" s="527"/>
      <c r="G187" s="527"/>
      <c r="H187" s="527"/>
      <c r="I187" s="372">
        <f t="shared" si="18"/>
        <v>0</v>
      </c>
      <c r="J187" s="372">
        <f>'Harga Satuan Dasar mat'!G681</f>
        <v>160000</v>
      </c>
      <c r="K187" s="372">
        <v>16430</v>
      </c>
      <c r="L187" s="372">
        <f t="shared" si="24"/>
        <v>0</v>
      </c>
      <c r="M187" s="369">
        <f t="shared" si="25"/>
        <v>0</v>
      </c>
      <c r="N187" s="459">
        <f t="shared" si="23"/>
        <v>0</v>
      </c>
    </row>
    <row r="188" spans="1:14" ht="13.2" customHeight="1" x14ac:dyDescent="0.3">
      <c r="A188" s="386">
        <f t="shared" si="22"/>
        <v>61</v>
      </c>
      <c r="B188" s="370" t="s">
        <v>554</v>
      </c>
      <c r="C188" s="371"/>
      <c r="D188" s="371"/>
      <c r="E188" s="367" t="s">
        <v>203</v>
      </c>
      <c r="F188" s="527"/>
      <c r="G188" s="527"/>
      <c r="H188" s="527"/>
      <c r="I188" s="372">
        <f t="shared" si="18"/>
        <v>0</v>
      </c>
      <c r="J188" s="372">
        <f>'Harga Satuan Dasar mat'!G682</f>
        <v>185000</v>
      </c>
      <c r="K188" s="372">
        <v>16430</v>
      </c>
      <c r="L188" s="372">
        <f t="shared" si="24"/>
        <v>0</v>
      </c>
      <c r="M188" s="369">
        <f t="shared" si="25"/>
        <v>0</v>
      </c>
      <c r="N188" s="459">
        <f t="shared" si="23"/>
        <v>0</v>
      </c>
    </row>
    <row r="189" spans="1:14" ht="13.2" customHeight="1" x14ac:dyDescent="0.3">
      <c r="A189" s="386">
        <f t="shared" si="22"/>
        <v>62</v>
      </c>
      <c r="B189" s="370" t="s">
        <v>555</v>
      </c>
      <c r="C189" s="371"/>
      <c r="D189" s="371"/>
      <c r="E189" s="367" t="s">
        <v>203</v>
      </c>
      <c r="F189" s="527"/>
      <c r="G189" s="527"/>
      <c r="H189" s="527"/>
      <c r="I189" s="372">
        <f t="shared" si="18"/>
        <v>0</v>
      </c>
      <c r="J189" s="372">
        <f>'Harga Satuan Dasar mat'!G683</f>
        <v>210000</v>
      </c>
      <c r="K189" s="372">
        <v>16430</v>
      </c>
      <c r="L189" s="372">
        <f t="shared" si="24"/>
        <v>0</v>
      </c>
      <c r="M189" s="369">
        <f t="shared" si="25"/>
        <v>0</v>
      </c>
      <c r="N189" s="459">
        <f t="shared" si="23"/>
        <v>0</v>
      </c>
    </row>
    <row r="190" spans="1:14" ht="13.2" customHeight="1" x14ac:dyDescent="0.3">
      <c r="A190" s="386">
        <f t="shared" si="22"/>
        <v>63</v>
      </c>
      <c r="B190" s="370" t="s">
        <v>558</v>
      </c>
      <c r="C190" s="371"/>
      <c r="D190" s="371"/>
      <c r="E190" s="367" t="s">
        <v>203</v>
      </c>
      <c r="F190" s="527"/>
      <c r="G190" s="527"/>
      <c r="H190" s="527"/>
      <c r="I190" s="372">
        <f t="shared" si="18"/>
        <v>0</v>
      </c>
      <c r="J190" s="372">
        <f>'Harga Satuan Dasar mat'!G685</f>
        <v>35500</v>
      </c>
      <c r="K190" s="372">
        <v>16430</v>
      </c>
      <c r="L190" s="372">
        <f t="shared" si="24"/>
        <v>0</v>
      </c>
      <c r="M190" s="369">
        <f t="shared" si="25"/>
        <v>0</v>
      </c>
      <c r="N190" s="459">
        <f t="shared" si="23"/>
        <v>0</v>
      </c>
    </row>
    <row r="191" spans="1:14" ht="13.2" customHeight="1" x14ac:dyDescent="0.3">
      <c r="A191" s="386">
        <f t="shared" si="22"/>
        <v>64</v>
      </c>
      <c r="B191" s="370" t="s">
        <v>559</v>
      </c>
      <c r="C191" s="371"/>
      <c r="D191" s="371"/>
      <c r="E191" s="367" t="s">
        <v>203</v>
      </c>
      <c r="F191" s="527"/>
      <c r="G191" s="527"/>
      <c r="H191" s="527"/>
      <c r="I191" s="372">
        <f t="shared" si="18"/>
        <v>0</v>
      </c>
      <c r="J191" s="372">
        <f>'Harga Satuan Dasar mat'!G686</f>
        <v>38000</v>
      </c>
      <c r="K191" s="372">
        <v>16430</v>
      </c>
      <c r="L191" s="372">
        <f t="shared" si="24"/>
        <v>0</v>
      </c>
      <c r="M191" s="369">
        <f t="shared" si="25"/>
        <v>0</v>
      </c>
      <c r="N191" s="459">
        <f t="shared" si="23"/>
        <v>0</v>
      </c>
    </row>
    <row r="192" spans="1:14" ht="13.2" customHeight="1" x14ac:dyDescent="0.3">
      <c r="A192" s="386">
        <f t="shared" si="22"/>
        <v>65</v>
      </c>
      <c r="B192" s="370" t="s">
        <v>560</v>
      </c>
      <c r="C192" s="371"/>
      <c r="D192" s="371"/>
      <c r="E192" s="367" t="s">
        <v>203</v>
      </c>
      <c r="F192" s="527"/>
      <c r="G192" s="527"/>
      <c r="H192" s="527"/>
      <c r="I192" s="372">
        <f t="shared" ref="I192:I255" si="26">SUM(F192:H192)</f>
        <v>0</v>
      </c>
      <c r="J192" s="372">
        <f>'Harga Satuan Dasar mat'!G687</f>
        <v>40000</v>
      </c>
      <c r="K192" s="372">
        <v>16430</v>
      </c>
      <c r="L192" s="372">
        <f t="shared" ref="L192:L223" si="27">J192*I192</f>
        <v>0</v>
      </c>
      <c r="M192" s="369">
        <f t="shared" ref="M192:M223" si="28">K192*I192</f>
        <v>0</v>
      </c>
      <c r="N192" s="459">
        <f t="shared" si="23"/>
        <v>0</v>
      </c>
    </row>
    <row r="193" spans="1:14" ht="13.2" customHeight="1" x14ac:dyDescent="0.3">
      <c r="A193" s="386">
        <f t="shared" si="22"/>
        <v>66</v>
      </c>
      <c r="B193" s="370" t="s">
        <v>561</v>
      </c>
      <c r="C193" s="371"/>
      <c r="D193" s="371"/>
      <c r="E193" s="367" t="s">
        <v>203</v>
      </c>
      <c r="F193" s="527"/>
      <c r="G193" s="527"/>
      <c r="H193" s="527"/>
      <c r="I193" s="372">
        <f t="shared" si="26"/>
        <v>0</v>
      </c>
      <c r="J193" s="372">
        <f>'Harga Satuan Dasar mat'!G688</f>
        <v>56000</v>
      </c>
      <c r="K193" s="372">
        <v>16430</v>
      </c>
      <c r="L193" s="372">
        <f t="shared" si="27"/>
        <v>0</v>
      </c>
      <c r="M193" s="369">
        <f t="shared" si="28"/>
        <v>0</v>
      </c>
      <c r="N193" s="459">
        <f t="shared" si="23"/>
        <v>0</v>
      </c>
    </row>
    <row r="194" spans="1:14" ht="13.2" customHeight="1" x14ac:dyDescent="0.3">
      <c r="A194" s="386">
        <f t="shared" ref="A194:A257" si="29">A193+1</f>
        <v>67</v>
      </c>
      <c r="B194" s="723" t="s">
        <v>562</v>
      </c>
      <c r="C194" s="371"/>
      <c r="D194" s="371"/>
      <c r="E194" s="367" t="s">
        <v>203</v>
      </c>
      <c r="F194" s="527"/>
      <c r="G194" s="527"/>
      <c r="H194" s="527"/>
      <c r="I194" s="372">
        <f t="shared" si="26"/>
        <v>0</v>
      </c>
      <c r="J194" s="372">
        <f>'Harga Satuan Dasar mat'!G689</f>
        <v>75000</v>
      </c>
      <c r="K194" s="372">
        <v>16430</v>
      </c>
      <c r="L194" s="372">
        <f t="shared" si="27"/>
        <v>0</v>
      </c>
      <c r="M194" s="369">
        <f t="shared" si="28"/>
        <v>0</v>
      </c>
      <c r="N194" s="459">
        <f t="shared" si="23"/>
        <v>0</v>
      </c>
    </row>
    <row r="195" spans="1:14" ht="13.2" customHeight="1" x14ac:dyDescent="0.3">
      <c r="A195" s="386">
        <f t="shared" si="29"/>
        <v>68</v>
      </c>
      <c r="B195" s="723" t="s">
        <v>563</v>
      </c>
      <c r="C195" s="371"/>
      <c r="D195" s="371"/>
      <c r="E195" s="367" t="s">
        <v>203</v>
      </c>
      <c r="F195" s="527"/>
      <c r="G195" s="527"/>
      <c r="H195" s="527"/>
      <c r="I195" s="372">
        <f t="shared" si="26"/>
        <v>0</v>
      </c>
      <c r="J195" s="372">
        <f>'Harga Satuan Dasar mat'!G690</f>
        <v>85000</v>
      </c>
      <c r="K195" s="372">
        <v>16430</v>
      </c>
      <c r="L195" s="372">
        <f t="shared" si="27"/>
        <v>0</v>
      </c>
      <c r="M195" s="369">
        <f t="shared" si="28"/>
        <v>0</v>
      </c>
      <c r="N195" s="459">
        <f t="shared" si="23"/>
        <v>0</v>
      </c>
    </row>
    <row r="196" spans="1:14" ht="13.2" customHeight="1" x14ac:dyDescent="0.3">
      <c r="A196" s="386">
        <f t="shared" si="29"/>
        <v>69</v>
      </c>
      <c r="B196" s="370" t="s">
        <v>564</v>
      </c>
      <c r="C196" s="371"/>
      <c r="D196" s="371"/>
      <c r="E196" s="367" t="s">
        <v>203</v>
      </c>
      <c r="F196" s="527"/>
      <c r="G196" s="527"/>
      <c r="H196" s="527"/>
      <c r="I196" s="372">
        <f t="shared" si="26"/>
        <v>0</v>
      </c>
      <c r="J196" s="372">
        <f>'Harga Satuan Dasar mat'!G691</f>
        <v>91209</v>
      </c>
      <c r="K196" s="372">
        <v>16430</v>
      </c>
      <c r="L196" s="372">
        <f t="shared" si="27"/>
        <v>0</v>
      </c>
      <c r="M196" s="369">
        <f t="shared" si="28"/>
        <v>0</v>
      </c>
      <c r="N196" s="459">
        <f t="shared" si="23"/>
        <v>0</v>
      </c>
    </row>
    <row r="197" spans="1:14" ht="13.2" customHeight="1" x14ac:dyDescent="0.3">
      <c r="A197" s="386">
        <f t="shared" si="29"/>
        <v>70</v>
      </c>
      <c r="B197" s="370" t="s">
        <v>565</v>
      </c>
      <c r="C197" s="371"/>
      <c r="D197" s="371"/>
      <c r="E197" s="367" t="s">
        <v>203</v>
      </c>
      <c r="F197" s="527"/>
      <c r="G197" s="527"/>
      <c r="H197" s="527"/>
      <c r="I197" s="372">
        <f t="shared" si="26"/>
        <v>0</v>
      </c>
      <c r="J197" s="372">
        <f>'Harga Satuan Dasar mat'!G692</f>
        <v>142500</v>
      </c>
      <c r="K197" s="372">
        <v>16430</v>
      </c>
      <c r="L197" s="372">
        <f t="shared" si="27"/>
        <v>0</v>
      </c>
      <c r="M197" s="369">
        <f t="shared" si="28"/>
        <v>0</v>
      </c>
      <c r="N197" s="459">
        <f t="shared" si="23"/>
        <v>0</v>
      </c>
    </row>
    <row r="198" spans="1:14" ht="13.2" customHeight="1" x14ac:dyDescent="0.3">
      <c r="A198" s="386">
        <f t="shared" si="29"/>
        <v>71</v>
      </c>
      <c r="B198" s="370" t="s">
        <v>566</v>
      </c>
      <c r="C198" s="371"/>
      <c r="D198" s="371"/>
      <c r="E198" s="367" t="s">
        <v>203</v>
      </c>
      <c r="F198" s="527"/>
      <c r="G198" s="527"/>
      <c r="H198" s="527"/>
      <c r="I198" s="372">
        <f t="shared" si="26"/>
        <v>0</v>
      </c>
      <c r="J198" s="372">
        <f>'Harga Satuan Dasar mat'!G693</f>
        <v>213500</v>
      </c>
      <c r="K198" s="372">
        <v>16430</v>
      </c>
      <c r="L198" s="372">
        <f t="shared" si="27"/>
        <v>0</v>
      </c>
      <c r="M198" s="369">
        <f t="shared" si="28"/>
        <v>0</v>
      </c>
      <c r="N198" s="459">
        <f t="shared" si="23"/>
        <v>0</v>
      </c>
    </row>
    <row r="199" spans="1:14" ht="13.2" customHeight="1" x14ac:dyDescent="0.3">
      <c r="A199" s="386">
        <f t="shared" si="29"/>
        <v>72</v>
      </c>
      <c r="B199" s="370" t="s">
        <v>567</v>
      </c>
      <c r="C199" s="371"/>
      <c r="D199" s="371"/>
      <c r="E199" s="367" t="s">
        <v>203</v>
      </c>
      <c r="F199" s="527"/>
      <c r="G199" s="527"/>
      <c r="H199" s="527"/>
      <c r="I199" s="372">
        <f t="shared" si="26"/>
        <v>0</v>
      </c>
      <c r="J199" s="372">
        <f>'Harga Satuan Dasar mat'!G694</f>
        <v>185000</v>
      </c>
      <c r="K199" s="372">
        <v>16430</v>
      </c>
      <c r="L199" s="372">
        <f t="shared" si="27"/>
        <v>0</v>
      </c>
      <c r="M199" s="369">
        <f t="shared" si="28"/>
        <v>0</v>
      </c>
      <c r="N199" s="459">
        <f t="shared" si="23"/>
        <v>0</v>
      </c>
    </row>
    <row r="200" spans="1:14" ht="13.2" customHeight="1" x14ac:dyDescent="0.3">
      <c r="A200" s="386">
        <f t="shared" si="29"/>
        <v>73</v>
      </c>
      <c r="B200" s="370" t="s">
        <v>568</v>
      </c>
      <c r="C200" s="371"/>
      <c r="D200" s="371"/>
      <c r="E200" s="367" t="s">
        <v>203</v>
      </c>
      <c r="F200" s="527"/>
      <c r="G200" s="527"/>
      <c r="H200" s="527"/>
      <c r="I200" s="372">
        <f t="shared" si="26"/>
        <v>0</v>
      </c>
      <c r="J200" s="372">
        <f>'Harga Satuan Dasar mat'!G695</f>
        <v>410535</v>
      </c>
      <c r="K200" s="372">
        <v>16430</v>
      </c>
      <c r="L200" s="372">
        <f t="shared" si="27"/>
        <v>0</v>
      </c>
      <c r="M200" s="369">
        <f t="shared" si="28"/>
        <v>0</v>
      </c>
      <c r="N200" s="459">
        <f t="shared" si="23"/>
        <v>0</v>
      </c>
    </row>
    <row r="201" spans="1:14" ht="13.2" customHeight="1" x14ac:dyDescent="0.3">
      <c r="A201" s="386">
        <f t="shared" si="29"/>
        <v>74</v>
      </c>
      <c r="B201" s="370" t="s">
        <v>570</v>
      </c>
      <c r="C201" s="371"/>
      <c r="D201" s="371"/>
      <c r="E201" s="367" t="s">
        <v>203</v>
      </c>
      <c r="F201" s="527"/>
      <c r="G201" s="527"/>
      <c r="H201" s="527"/>
      <c r="I201" s="372">
        <f t="shared" si="26"/>
        <v>0</v>
      </c>
      <c r="J201" s="372">
        <f>'Harga Satuan Dasar mat'!G697</f>
        <v>11300</v>
      </c>
      <c r="K201" s="372">
        <v>16430</v>
      </c>
      <c r="L201" s="372">
        <f t="shared" si="27"/>
        <v>0</v>
      </c>
      <c r="M201" s="369">
        <f t="shared" si="28"/>
        <v>0</v>
      </c>
      <c r="N201" s="459">
        <f t="shared" si="23"/>
        <v>0</v>
      </c>
    </row>
    <row r="202" spans="1:14" ht="13.2" customHeight="1" x14ac:dyDescent="0.3">
      <c r="A202" s="386">
        <f t="shared" si="29"/>
        <v>75</v>
      </c>
      <c r="B202" s="370" t="s">
        <v>571</v>
      </c>
      <c r="C202" s="371"/>
      <c r="D202" s="371"/>
      <c r="E202" s="367" t="s">
        <v>203</v>
      </c>
      <c r="F202" s="527"/>
      <c r="G202" s="527"/>
      <c r="H202" s="527"/>
      <c r="I202" s="372">
        <f t="shared" si="26"/>
        <v>0</v>
      </c>
      <c r="J202" s="372">
        <f>'Harga Satuan Dasar mat'!G698</f>
        <v>12250</v>
      </c>
      <c r="K202" s="372">
        <v>16430</v>
      </c>
      <c r="L202" s="372">
        <f t="shared" si="27"/>
        <v>0</v>
      </c>
      <c r="M202" s="369">
        <f t="shared" si="28"/>
        <v>0</v>
      </c>
      <c r="N202" s="459">
        <f t="shared" ref="N202:N262" si="30">SUM(L202:M202)</f>
        <v>0</v>
      </c>
    </row>
    <row r="203" spans="1:14" ht="13.2" customHeight="1" x14ac:dyDescent="0.3">
      <c r="A203" s="386">
        <f t="shared" si="29"/>
        <v>76</v>
      </c>
      <c r="B203" s="370" t="s">
        <v>572</v>
      </c>
      <c r="C203" s="371"/>
      <c r="D203" s="371"/>
      <c r="E203" s="367" t="s">
        <v>203</v>
      </c>
      <c r="F203" s="527"/>
      <c r="G203" s="527"/>
      <c r="H203" s="527"/>
      <c r="I203" s="372">
        <f t="shared" si="26"/>
        <v>0</v>
      </c>
      <c r="J203" s="372">
        <f>'Harga Satuan Dasar mat'!G699</f>
        <v>15000</v>
      </c>
      <c r="K203" s="372">
        <v>16430</v>
      </c>
      <c r="L203" s="372">
        <f t="shared" si="27"/>
        <v>0</v>
      </c>
      <c r="M203" s="369">
        <f t="shared" si="28"/>
        <v>0</v>
      </c>
      <c r="N203" s="459">
        <f t="shared" si="30"/>
        <v>0</v>
      </c>
    </row>
    <row r="204" spans="1:14" ht="13.2" customHeight="1" x14ac:dyDescent="0.3">
      <c r="A204" s="386">
        <f t="shared" si="29"/>
        <v>77</v>
      </c>
      <c r="B204" s="370" t="s">
        <v>573</v>
      </c>
      <c r="C204" s="371"/>
      <c r="D204" s="371"/>
      <c r="E204" s="367" t="s">
        <v>203</v>
      </c>
      <c r="F204" s="527"/>
      <c r="G204" s="527"/>
      <c r="H204" s="527"/>
      <c r="I204" s="372">
        <f t="shared" si="26"/>
        <v>0</v>
      </c>
      <c r="J204" s="372">
        <f>'Harga Satuan Dasar mat'!G700</f>
        <v>19300</v>
      </c>
      <c r="K204" s="372">
        <v>16430</v>
      </c>
      <c r="L204" s="372">
        <f t="shared" si="27"/>
        <v>0</v>
      </c>
      <c r="M204" s="369">
        <f t="shared" si="28"/>
        <v>0</v>
      </c>
      <c r="N204" s="459">
        <f t="shared" si="30"/>
        <v>0</v>
      </c>
    </row>
    <row r="205" spans="1:14" ht="13.2" customHeight="1" x14ac:dyDescent="0.3">
      <c r="A205" s="386">
        <f t="shared" si="29"/>
        <v>78</v>
      </c>
      <c r="B205" s="370" t="s">
        <v>574</v>
      </c>
      <c r="C205" s="371"/>
      <c r="D205" s="371"/>
      <c r="E205" s="367" t="s">
        <v>203</v>
      </c>
      <c r="F205" s="527"/>
      <c r="G205" s="527"/>
      <c r="H205" s="527"/>
      <c r="I205" s="372">
        <f t="shared" si="26"/>
        <v>0</v>
      </c>
      <c r="J205" s="372">
        <f>'Harga Satuan Dasar mat'!G701</f>
        <v>25000</v>
      </c>
      <c r="K205" s="372">
        <v>16430</v>
      </c>
      <c r="L205" s="372">
        <f t="shared" si="27"/>
        <v>0</v>
      </c>
      <c r="M205" s="369">
        <f t="shared" si="28"/>
        <v>0</v>
      </c>
      <c r="N205" s="459">
        <f t="shared" si="30"/>
        <v>0</v>
      </c>
    </row>
    <row r="206" spans="1:14" ht="13.2" customHeight="1" x14ac:dyDescent="0.3">
      <c r="A206" s="386">
        <f t="shared" si="29"/>
        <v>79</v>
      </c>
      <c r="B206" s="370" t="s">
        <v>575</v>
      </c>
      <c r="C206" s="371"/>
      <c r="D206" s="371"/>
      <c r="E206" s="367" t="s">
        <v>203</v>
      </c>
      <c r="F206" s="527"/>
      <c r="G206" s="527"/>
      <c r="H206" s="527"/>
      <c r="I206" s="372">
        <f t="shared" si="26"/>
        <v>0</v>
      </c>
      <c r="J206" s="372">
        <f>'Harga Satuan Dasar mat'!G702</f>
        <v>29500</v>
      </c>
      <c r="K206" s="372">
        <v>16430</v>
      </c>
      <c r="L206" s="372">
        <f t="shared" si="27"/>
        <v>0</v>
      </c>
      <c r="M206" s="369">
        <f t="shared" si="28"/>
        <v>0</v>
      </c>
      <c r="N206" s="459">
        <f t="shared" si="30"/>
        <v>0</v>
      </c>
    </row>
    <row r="207" spans="1:14" ht="13.2" customHeight="1" x14ac:dyDescent="0.3">
      <c r="A207" s="386">
        <f t="shared" si="29"/>
        <v>80</v>
      </c>
      <c r="B207" s="370" t="s">
        <v>576</v>
      </c>
      <c r="C207" s="371"/>
      <c r="D207" s="371"/>
      <c r="E207" s="367" t="s">
        <v>203</v>
      </c>
      <c r="F207" s="527"/>
      <c r="G207" s="527"/>
      <c r="H207" s="527"/>
      <c r="I207" s="372">
        <f t="shared" si="26"/>
        <v>0</v>
      </c>
      <c r="J207" s="372">
        <f>'Harga Satuan Dasar mat'!G703</f>
        <v>90000</v>
      </c>
      <c r="K207" s="372">
        <v>16430</v>
      </c>
      <c r="L207" s="372">
        <f t="shared" si="27"/>
        <v>0</v>
      </c>
      <c r="M207" s="369">
        <f t="shared" si="28"/>
        <v>0</v>
      </c>
      <c r="N207" s="459">
        <f t="shared" si="30"/>
        <v>0</v>
      </c>
    </row>
    <row r="208" spans="1:14" ht="13.2" customHeight="1" x14ac:dyDescent="0.3">
      <c r="A208" s="386">
        <f t="shared" si="29"/>
        <v>81</v>
      </c>
      <c r="B208" s="370" t="s">
        <v>577</v>
      </c>
      <c r="C208" s="371"/>
      <c r="D208" s="371"/>
      <c r="E208" s="367" t="s">
        <v>203</v>
      </c>
      <c r="F208" s="527"/>
      <c r="G208" s="527"/>
      <c r="H208" s="527"/>
      <c r="I208" s="372">
        <f t="shared" si="26"/>
        <v>0</v>
      </c>
      <c r="J208" s="372">
        <f>'Harga Satuan Dasar mat'!G704</f>
        <v>50100</v>
      </c>
      <c r="K208" s="372">
        <v>16430</v>
      </c>
      <c r="L208" s="372">
        <f t="shared" si="27"/>
        <v>0</v>
      </c>
      <c r="M208" s="369">
        <f t="shared" si="28"/>
        <v>0</v>
      </c>
      <c r="N208" s="459">
        <f t="shared" si="30"/>
        <v>0</v>
      </c>
    </row>
    <row r="209" spans="1:14" ht="13.2" customHeight="1" x14ac:dyDescent="0.3">
      <c r="A209" s="386">
        <f t="shared" si="29"/>
        <v>82</v>
      </c>
      <c r="B209" s="370" t="s">
        <v>578</v>
      </c>
      <c r="C209" s="371"/>
      <c r="D209" s="371"/>
      <c r="E209" s="367" t="s">
        <v>203</v>
      </c>
      <c r="F209" s="527"/>
      <c r="G209" s="527"/>
      <c r="H209" s="527"/>
      <c r="I209" s="372">
        <f t="shared" si="26"/>
        <v>0</v>
      </c>
      <c r="J209" s="372">
        <f>'Harga Satuan Dasar mat'!G705</f>
        <v>129300</v>
      </c>
      <c r="K209" s="372">
        <v>16430</v>
      </c>
      <c r="L209" s="372">
        <f t="shared" si="27"/>
        <v>0</v>
      </c>
      <c r="M209" s="369">
        <f t="shared" si="28"/>
        <v>0</v>
      </c>
      <c r="N209" s="459">
        <f t="shared" si="30"/>
        <v>0</v>
      </c>
    </row>
    <row r="210" spans="1:14" ht="13.2" customHeight="1" x14ac:dyDescent="0.3">
      <c r="A210" s="386">
        <f t="shared" si="29"/>
        <v>83</v>
      </c>
      <c r="B210" s="370" t="s">
        <v>579</v>
      </c>
      <c r="C210" s="371"/>
      <c r="D210" s="371"/>
      <c r="E210" s="367" t="s">
        <v>203</v>
      </c>
      <c r="F210" s="527"/>
      <c r="G210" s="527"/>
      <c r="H210" s="527"/>
      <c r="I210" s="372">
        <f t="shared" si="26"/>
        <v>0</v>
      </c>
      <c r="J210" s="372">
        <f>'Harga Satuan Dasar mat'!G706</f>
        <v>158300</v>
      </c>
      <c r="K210" s="372">
        <v>16430</v>
      </c>
      <c r="L210" s="372">
        <f t="shared" si="27"/>
        <v>0</v>
      </c>
      <c r="M210" s="369">
        <f t="shared" si="28"/>
        <v>0</v>
      </c>
      <c r="N210" s="459">
        <f t="shared" si="30"/>
        <v>0</v>
      </c>
    </row>
    <row r="211" spans="1:14" ht="13.2" customHeight="1" x14ac:dyDescent="0.3">
      <c r="A211" s="386">
        <f t="shared" si="29"/>
        <v>84</v>
      </c>
      <c r="B211" s="370" t="s">
        <v>518</v>
      </c>
      <c r="C211" s="371"/>
      <c r="D211" s="371"/>
      <c r="E211" s="367" t="s">
        <v>203</v>
      </c>
      <c r="F211" s="527"/>
      <c r="G211" s="527"/>
      <c r="H211" s="527"/>
      <c r="I211" s="372">
        <f t="shared" si="26"/>
        <v>0</v>
      </c>
      <c r="J211" s="372">
        <f>'Harga Satuan Dasar mat'!G647</f>
        <v>33500</v>
      </c>
      <c r="K211" s="372">
        <v>30800</v>
      </c>
      <c r="L211" s="372">
        <f t="shared" si="27"/>
        <v>0</v>
      </c>
      <c r="M211" s="369">
        <f t="shared" si="28"/>
        <v>0</v>
      </c>
      <c r="N211" s="459">
        <f t="shared" si="30"/>
        <v>0</v>
      </c>
    </row>
    <row r="212" spans="1:14" ht="13.2" customHeight="1" x14ac:dyDescent="0.3">
      <c r="A212" s="386">
        <f t="shared" si="29"/>
        <v>85</v>
      </c>
      <c r="B212" s="370" t="s">
        <v>519</v>
      </c>
      <c r="C212" s="371"/>
      <c r="D212" s="371"/>
      <c r="E212" s="367" t="s">
        <v>203</v>
      </c>
      <c r="F212" s="527"/>
      <c r="G212" s="527"/>
      <c r="H212" s="527"/>
      <c r="I212" s="372">
        <f t="shared" si="26"/>
        <v>0</v>
      </c>
      <c r="J212" s="372">
        <f>'Harga Satuan Dasar mat'!G648</f>
        <v>33500</v>
      </c>
      <c r="K212" s="372">
        <v>30800</v>
      </c>
      <c r="L212" s="372">
        <f t="shared" si="27"/>
        <v>0</v>
      </c>
      <c r="M212" s="369">
        <f t="shared" si="28"/>
        <v>0</v>
      </c>
      <c r="N212" s="459">
        <f t="shared" si="30"/>
        <v>0</v>
      </c>
    </row>
    <row r="213" spans="1:14" ht="13.2" customHeight="1" x14ac:dyDescent="0.3">
      <c r="A213" s="386">
        <f t="shared" si="29"/>
        <v>86</v>
      </c>
      <c r="B213" s="370" t="s">
        <v>520</v>
      </c>
      <c r="C213" s="371"/>
      <c r="D213" s="371"/>
      <c r="E213" s="367" t="s">
        <v>203</v>
      </c>
      <c r="F213" s="527"/>
      <c r="G213" s="527"/>
      <c r="H213" s="527"/>
      <c r="I213" s="372">
        <f t="shared" si="26"/>
        <v>0</v>
      </c>
      <c r="J213" s="372">
        <f>'Harga Satuan Dasar mat'!G649</f>
        <v>48500</v>
      </c>
      <c r="K213" s="372">
        <v>30800</v>
      </c>
      <c r="L213" s="372">
        <f t="shared" si="27"/>
        <v>0</v>
      </c>
      <c r="M213" s="369">
        <f t="shared" si="28"/>
        <v>0</v>
      </c>
      <c r="N213" s="459">
        <f t="shared" si="30"/>
        <v>0</v>
      </c>
    </row>
    <row r="214" spans="1:14" ht="13.2" customHeight="1" x14ac:dyDescent="0.3">
      <c r="A214" s="386">
        <f t="shared" si="29"/>
        <v>87</v>
      </c>
      <c r="B214" s="370" t="s">
        <v>521</v>
      </c>
      <c r="C214" s="371"/>
      <c r="D214" s="371"/>
      <c r="E214" s="367" t="s">
        <v>203</v>
      </c>
      <c r="F214" s="527"/>
      <c r="G214" s="527"/>
      <c r="H214" s="527"/>
      <c r="I214" s="372">
        <f t="shared" si="26"/>
        <v>0</v>
      </c>
      <c r="J214" s="372">
        <f>'Harga Satuan Dasar mat'!G650</f>
        <v>48500</v>
      </c>
      <c r="K214" s="372">
        <v>30800</v>
      </c>
      <c r="L214" s="372">
        <f t="shared" si="27"/>
        <v>0</v>
      </c>
      <c r="M214" s="369">
        <f t="shared" si="28"/>
        <v>0</v>
      </c>
      <c r="N214" s="459">
        <f t="shared" si="30"/>
        <v>0</v>
      </c>
    </row>
    <row r="215" spans="1:14" ht="13.2" customHeight="1" x14ac:dyDescent="0.3">
      <c r="A215" s="386">
        <f t="shared" si="29"/>
        <v>88</v>
      </c>
      <c r="B215" s="370" t="s">
        <v>522</v>
      </c>
      <c r="C215" s="371"/>
      <c r="D215" s="371"/>
      <c r="E215" s="367" t="s">
        <v>203</v>
      </c>
      <c r="F215" s="527"/>
      <c r="G215" s="527"/>
      <c r="H215" s="527"/>
      <c r="I215" s="372">
        <f t="shared" si="26"/>
        <v>0</v>
      </c>
      <c r="J215" s="372">
        <f>'Harga Satuan Dasar mat'!G651</f>
        <v>50000</v>
      </c>
      <c r="K215" s="372">
        <v>30800</v>
      </c>
      <c r="L215" s="372">
        <f t="shared" si="27"/>
        <v>0</v>
      </c>
      <c r="M215" s="369">
        <f t="shared" si="28"/>
        <v>0</v>
      </c>
      <c r="N215" s="459">
        <f t="shared" si="30"/>
        <v>0</v>
      </c>
    </row>
    <row r="216" spans="1:14" ht="13.2" customHeight="1" x14ac:dyDescent="0.3">
      <c r="A216" s="386">
        <f t="shared" si="29"/>
        <v>89</v>
      </c>
      <c r="B216" s="370" t="s">
        <v>523</v>
      </c>
      <c r="C216" s="371"/>
      <c r="D216" s="371"/>
      <c r="E216" s="367" t="s">
        <v>203</v>
      </c>
      <c r="F216" s="527"/>
      <c r="G216" s="527"/>
      <c r="H216" s="527"/>
      <c r="I216" s="372">
        <f t="shared" si="26"/>
        <v>0</v>
      </c>
      <c r="J216" s="372">
        <f>'Harga Satuan Dasar mat'!G652</f>
        <v>57900</v>
      </c>
      <c r="K216" s="372">
        <v>30800</v>
      </c>
      <c r="L216" s="372">
        <f t="shared" si="27"/>
        <v>0</v>
      </c>
      <c r="M216" s="369">
        <f t="shared" si="28"/>
        <v>0</v>
      </c>
      <c r="N216" s="459">
        <f t="shared" si="30"/>
        <v>0</v>
      </c>
    </row>
    <row r="217" spans="1:14" ht="13.2" customHeight="1" x14ac:dyDescent="0.3">
      <c r="A217" s="386">
        <f t="shared" si="29"/>
        <v>90</v>
      </c>
      <c r="B217" s="370" t="s">
        <v>524</v>
      </c>
      <c r="C217" s="371"/>
      <c r="D217" s="371"/>
      <c r="E217" s="367" t="s">
        <v>203</v>
      </c>
      <c r="F217" s="527"/>
      <c r="G217" s="527"/>
      <c r="H217" s="527"/>
      <c r="I217" s="372">
        <f t="shared" si="26"/>
        <v>0</v>
      </c>
      <c r="J217" s="372">
        <f>'Harga Satuan Dasar mat'!G653</f>
        <v>71500</v>
      </c>
      <c r="K217" s="372">
        <v>30800</v>
      </c>
      <c r="L217" s="372">
        <f t="shared" si="27"/>
        <v>0</v>
      </c>
      <c r="M217" s="369">
        <f t="shared" si="28"/>
        <v>0</v>
      </c>
      <c r="N217" s="459">
        <f t="shared" si="30"/>
        <v>0</v>
      </c>
    </row>
    <row r="218" spans="1:14" ht="13.2" customHeight="1" x14ac:dyDescent="0.3">
      <c r="A218" s="386">
        <f t="shared" si="29"/>
        <v>91</v>
      </c>
      <c r="B218" s="370" t="s">
        <v>525</v>
      </c>
      <c r="C218" s="371"/>
      <c r="D218" s="371"/>
      <c r="E218" s="367" t="s">
        <v>203</v>
      </c>
      <c r="F218" s="527"/>
      <c r="G218" s="527"/>
      <c r="H218" s="527"/>
      <c r="I218" s="372">
        <f t="shared" si="26"/>
        <v>0</v>
      </c>
      <c r="J218" s="372">
        <f>'Harga Satuan Dasar mat'!G654</f>
        <v>76500</v>
      </c>
      <c r="K218" s="372">
        <v>30800</v>
      </c>
      <c r="L218" s="372">
        <f t="shared" si="27"/>
        <v>0</v>
      </c>
      <c r="M218" s="369">
        <f t="shared" si="28"/>
        <v>0</v>
      </c>
      <c r="N218" s="459">
        <f t="shared" si="30"/>
        <v>0</v>
      </c>
    </row>
    <row r="219" spans="1:14" ht="13.2" customHeight="1" x14ac:dyDescent="0.3">
      <c r="A219" s="386">
        <f t="shared" si="29"/>
        <v>92</v>
      </c>
      <c r="B219" s="370" t="s">
        <v>526</v>
      </c>
      <c r="C219" s="371"/>
      <c r="D219" s="371"/>
      <c r="E219" s="367" t="s">
        <v>203</v>
      </c>
      <c r="F219" s="527"/>
      <c r="G219" s="527"/>
      <c r="H219" s="527"/>
      <c r="I219" s="372">
        <f t="shared" si="26"/>
        <v>0</v>
      </c>
      <c r="J219" s="372">
        <f>'Harga Satuan Dasar mat'!G655</f>
        <v>73000</v>
      </c>
      <c r="K219" s="372">
        <v>30800</v>
      </c>
      <c r="L219" s="372">
        <f t="shared" si="27"/>
        <v>0</v>
      </c>
      <c r="M219" s="369">
        <f t="shared" si="28"/>
        <v>0</v>
      </c>
      <c r="N219" s="459">
        <f t="shared" si="30"/>
        <v>0</v>
      </c>
    </row>
    <row r="220" spans="1:14" ht="13.2" customHeight="1" x14ac:dyDescent="0.3">
      <c r="A220" s="386">
        <f t="shared" si="29"/>
        <v>93</v>
      </c>
      <c r="B220" s="370" t="s">
        <v>527</v>
      </c>
      <c r="C220" s="371"/>
      <c r="D220" s="371"/>
      <c r="E220" s="367" t="s">
        <v>203</v>
      </c>
      <c r="F220" s="527"/>
      <c r="G220" s="527"/>
      <c r="H220" s="527"/>
      <c r="I220" s="372">
        <f t="shared" si="26"/>
        <v>0</v>
      </c>
      <c r="J220" s="372">
        <f>'Harga Satuan Dasar mat'!G656</f>
        <v>83000</v>
      </c>
      <c r="K220" s="372">
        <v>30800</v>
      </c>
      <c r="L220" s="372">
        <f t="shared" si="27"/>
        <v>0</v>
      </c>
      <c r="M220" s="369">
        <f t="shared" si="28"/>
        <v>0</v>
      </c>
      <c r="N220" s="459">
        <f t="shared" si="30"/>
        <v>0</v>
      </c>
    </row>
    <row r="221" spans="1:14" ht="13.2" customHeight="1" x14ac:dyDescent="0.3">
      <c r="A221" s="386">
        <f t="shared" si="29"/>
        <v>94</v>
      </c>
      <c r="B221" s="370" t="s">
        <v>528</v>
      </c>
      <c r="C221" s="371"/>
      <c r="D221" s="371"/>
      <c r="E221" s="367" t="s">
        <v>203</v>
      </c>
      <c r="F221" s="527"/>
      <c r="G221" s="527"/>
      <c r="H221" s="527"/>
      <c r="I221" s="372">
        <f t="shared" si="26"/>
        <v>0</v>
      </c>
      <c r="J221" s="372">
        <f>'Harga Satuan Dasar mat'!G657</f>
        <v>88000</v>
      </c>
      <c r="K221" s="372">
        <v>30800</v>
      </c>
      <c r="L221" s="372">
        <f t="shared" si="27"/>
        <v>0</v>
      </c>
      <c r="M221" s="369">
        <f t="shared" si="28"/>
        <v>0</v>
      </c>
      <c r="N221" s="459">
        <f t="shared" si="30"/>
        <v>0</v>
      </c>
    </row>
    <row r="222" spans="1:14" ht="13.2" customHeight="1" x14ac:dyDescent="0.3">
      <c r="A222" s="386">
        <f t="shared" si="29"/>
        <v>95</v>
      </c>
      <c r="B222" s="370" t="s">
        <v>529</v>
      </c>
      <c r="C222" s="371"/>
      <c r="D222" s="371"/>
      <c r="E222" s="367" t="s">
        <v>203</v>
      </c>
      <c r="F222" s="527"/>
      <c r="G222" s="527"/>
      <c r="H222" s="527"/>
      <c r="I222" s="372">
        <f t="shared" si="26"/>
        <v>0</v>
      </c>
      <c r="J222" s="372">
        <f>'Harga Satuan Dasar mat'!G658</f>
        <v>78000</v>
      </c>
      <c r="K222" s="372">
        <v>30800</v>
      </c>
      <c r="L222" s="372">
        <f t="shared" si="27"/>
        <v>0</v>
      </c>
      <c r="M222" s="369">
        <f t="shared" si="28"/>
        <v>0</v>
      </c>
      <c r="N222" s="459">
        <f t="shared" si="30"/>
        <v>0</v>
      </c>
    </row>
    <row r="223" spans="1:14" ht="13.2" customHeight="1" x14ac:dyDescent="0.3">
      <c r="A223" s="386">
        <f t="shared" si="29"/>
        <v>96</v>
      </c>
      <c r="B223" s="370" t="s">
        <v>530</v>
      </c>
      <c r="C223" s="371"/>
      <c r="D223" s="371"/>
      <c r="E223" s="367" t="s">
        <v>203</v>
      </c>
      <c r="F223" s="527"/>
      <c r="G223" s="527"/>
      <c r="H223" s="527"/>
      <c r="I223" s="372">
        <f t="shared" si="26"/>
        <v>0</v>
      </c>
      <c r="J223" s="372">
        <f>'Harga Satuan Dasar mat'!G659</f>
        <v>65000</v>
      </c>
      <c r="K223" s="372">
        <v>30800</v>
      </c>
      <c r="L223" s="372">
        <f t="shared" si="27"/>
        <v>0</v>
      </c>
      <c r="M223" s="369">
        <f t="shared" si="28"/>
        <v>0</v>
      </c>
      <c r="N223" s="459">
        <f t="shared" si="30"/>
        <v>0</v>
      </c>
    </row>
    <row r="224" spans="1:14" ht="13.2" customHeight="1" x14ac:dyDescent="0.3">
      <c r="A224" s="386">
        <f t="shared" si="29"/>
        <v>97</v>
      </c>
      <c r="B224" s="370" t="s">
        <v>531</v>
      </c>
      <c r="C224" s="371"/>
      <c r="D224" s="371"/>
      <c r="E224" s="367" t="s">
        <v>203</v>
      </c>
      <c r="F224" s="527"/>
      <c r="G224" s="527"/>
      <c r="H224" s="527"/>
      <c r="I224" s="372">
        <f t="shared" si="26"/>
        <v>0</v>
      </c>
      <c r="J224" s="372">
        <f>'Harga Satuan Dasar mat'!G660</f>
        <v>84000</v>
      </c>
      <c r="K224" s="372">
        <v>30800</v>
      </c>
      <c r="L224" s="372">
        <f t="shared" ref="L224:L255" si="31">J224*I224</f>
        <v>0</v>
      </c>
      <c r="M224" s="369">
        <f t="shared" ref="M224:M255" si="32">K224*I224</f>
        <v>0</v>
      </c>
      <c r="N224" s="459">
        <f t="shared" si="30"/>
        <v>0</v>
      </c>
    </row>
    <row r="225" spans="1:14" ht="13.2" customHeight="1" x14ac:dyDescent="0.3">
      <c r="A225" s="386">
        <f t="shared" si="29"/>
        <v>98</v>
      </c>
      <c r="B225" s="370" t="s">
        <v>532</v>
      </c>
      <c r="C225" s="371"/>
      <c r="D225" s="371"/>
      <c r="E225" s="367" t="s">
        <v>203</v>
      </c>
      <c r="F225" s="527"/>
      <c r="G225" s="527"/>
      <c r="H225" s="527"/>
      <c r="I225" s="372">
        <f t="shared" si="26"/>
        <v>0</v>
      </c>
      <c r="J225" s="372">
        <f>'Harga Satuan Dasar mat'!G661</f>
        <v>83000</v>
      </c>
      <c r="K225" s="372">
        <v>30800</v>
      </c>
      <c r="L225" s="372">
        <f t="shared" si="31"/>
        <v>0</v>
      </c>
      <c r="M225" s="369">
        <f t="shared" si="32"/>
        <v>0</v>
      </c>
      <c r="N225" s="459">
        <f t="shared" si="30"/>
        <v>0</v>
      </c>
    </row>
    <row r="226" spans="1:14" ht="13.2" customHeight="1" x14ac:dyDescent="0.3">
      <c r="A226" s="386">
        <f t="shared" si="29"/>
        <v>99</v>
      </c>
      <c r="B226" s="370" t="s">
        <v>533</v>
      </c>
      <c r="C226" s="371"/>
      <c r="D226" s="371"/>
      <c r="E226" s="367" t="s">
        <v>203</v>
      </c>
      <c r="F226" s="527"/>
      <c r="G226" s="527"/>
      <c r="H226" s="527"/>
      <c r="I226" s="372">
        <f t="shared" si="26"/>
        <v>0</v>
      </c>
      <c r="J226" s="372">
        <f>'Harga Satuan Dasar mat'!G662</f>
        <v>230000</v>
      </c>
      <c r="K226" s="372">
        <v>30800</v>
      </c>
      <c r="L226" s="372">
        <f t="shared" si="31"/>
        <v>0</v>
      </c>
      <c r="M226" s="369">
        <f t="shared" si="32"/>
        <v>0</v>
      </c>
      <c r="N226" s="459">
        <f t="shared" si="30"/>
        <v>0</v>
      </c>
    </row>
    <row r="227" spans="1:14" ht="13.2" customHeight="1" x14ac:dyDescent="0.3">
      <c r="A227" s="386">
        <f t="shared" si="29"/>
        <v>100</v>
      </c>
      <c r="B227" s="370" t="s">
        <v>534</v>
      </c>
      <c r="C227" s="371"/>
      <c r="D227" s="371"/>
      <c r="E227" s="367" t="s">
        <v>203</v>
      </c>
      <c r="F227" s="527"/>
      <c r="G227" s="527"/>
      <c r="H227" s="527"/>
      <c r="I227" s="372">
        <f t="shared" si="26"/>
        <v>0</v>
      </c>
      <c r="J227" s="372">
        <f>'Harga Satuan Dasar mat'!G663</f>
        <v>114900</v>
      </c>
      <c r="K227" s="372">
        <v>30800</v>
      </c>
      <c r="L227" s="372">
        <f t="shared" si="31"/>
        <v>0</v>
      </c>
      <c r="M227" s="369">
        <f t="shared" si="32"/>
        <v>0</v>
      </c>
      <c r="N227" s="459">
        <f t="shared" si="30"/>
        <v>0</v>
      </c>
    </row>
    <row r="228" spans="1:14" ht="13.2" customHeight="1" x14ac:dyDescent="0.3">
      <c r="A228" s="386">
        <f t="shared" si="29"/>
        <v>101</v>
      </c>
      <c r="B228" s="370" t="s">
        <v>535</v>
      </c>
      <c r="C228" s="371"/>
      <c r="D228" s="371"/>
      <c r="E228" s="367" t="s">
        <v>203</v>
      </c>
      <c r="F228" s="527"/>
      <c r="G228" s="527"/>
      <c r="H228" s="527"/>
      <c r="I228" s="372">
        <f t="shared" si="26"/>
        <v>0</v>
      </c>
      <c r="J228" s="372">
        <f>'Harga Satuan Dasar mat'!G664</f>
        <v>108568</v>
      </c>
      <c r="K228" s="372">
        <v>30800</v>
      </c>
      <c r="L228" s="372">
        <f t="shared" si="31"/>
        <v>0</v>
      </c>
      <c r="M228" s="369">
        <f t="shared" si="32"/>
        <v>0</v>
      </c>
      <c r="N228" s="459">
        <f t="shared" si="30"/>
        <v>0</v>
      </c>
    </row>
    <row r="229" spans="1:14" ht="13.2" customHeight="1" x14ac:dyDescent="0.3">
      <c r="A229" s="386">
        <f t="shared" si="29"/>
        <v>102</v>
      </c>
      <c r="B229" s="370" t="s">
        <v>536</v>
      </c>
      <c r="C229" s="371"/>
      <c r="D229" s="371"/>
      <c r="E229" s="367" t="s">
        <v>203</v>
      </c>
      <c r="F229" s="527"/>
      <c r="G229" s="527"/>
      <c r="H229" s="527"/>
      <c r="I229" s="372">
        <f t="shared" si="26"/>
        <v>0</v>
      </c>
      <c r="J229" s="372">
        <f>'Harga Satuan Dasar mat'!G665</f>
        <v>129300</v>
      </c>
      <c r="K229" s="372">
        <v>30800</v>
      </c>
      <c r="L229" s="372">
        <f t="shared" si="31"/>
        <v>0</v>
      </c>
      <c r="M229" s="369">
        <f t="shared" si="32"/>
        <v>0</v>
      </c>
      <c r="N229" s="459">
        <f t="shared" si="30"/>
        <v>0</v>
      </c>
    </row>
    <row r="230" spans="1:14" ht="13.2" customHeight="1" x14ac:dyDescent="0.3">
      <c r="A230" s="386">
        <f t="shared" si="29"/>
        <v>103</v>
      </c>
      <c r="B230" s="370" t="s">
        <v>537</v>
      </c>
      <c r="C230" s="371"/>
      <c r="D230" s="371"/>
      <c r="E230" s="367" t="s">
        <v>203</v>
      </c>
      <c r="F230" s="527"/>
      <c r="G230" s="527"/>
      <c r="H230" s="527"/>
      <c r="I230" s="372">
        <f t="shared" si="26"/>
        <v>0</v>
      </c>
      <c r="J230" s="372">
        <f>'Harga Satuan Dasar mat'!G666</f>
        <v>175000</v>
      </c>
      <c r="K230" s="372">
        <v>30800</v>
      </c>
      <c r="L230" s="372">
        <f t="shared" si="31"/>
        <v>0</v>
      </c>
      <c r="M230" s="369">
        <f t="shared" si="32"/>
        <v>0</v>
      </c>
      <c r="N230" s="459">
        <f t="shared" si="30"/>
        <v>0</v>
      </c>
    </row>
    <row r="231" spans="1:14" ht="13.2" customHeight="1" x14ac:dyDescent="0.3">
      <c r="A231" s="386">
        <f t="shared" si="29"/>
        <v>104</v>
      </c>
      <c r="B231" s="370" t="s">
        <v>538</v>
      </c>
      <c r="C231" s="371"/>
      <c r="D231" s="371"/>
      <c r="E231" s="367" t="s">
        <v>203</v>
      </c>
      <c r="F231" s="527"/>
      <c r="G231" s="527"/>
      <c r="H231" s="527"/>
      <c r="I231" s="372">
        <f t="shared" si="26"/>
        <v>0</v>
      </c>
      <c r="J231" s="372">
        <f>'Harga Satuan Dasar mat'!G667</f>
        <v>145000</v>
      </c>
      <c r="K231" s="372">
        <v>30800</v>
      </c>
      <c r="L231" s="372">
        <f t="shared" si="31"/>
        <v>0</v>
      </c>
      <c r="M231" s="369">
        <f t="shared" si="32"/>
        <v>0</v>
      </c>
      <c r="N231" s="459">
        <f t="shared" si="30"/>
        <v>0</v>
      </c>
    </row>
    <row r="232" spans="1:14" ht="13.2" customHeight="1" x14ac:dyDescent="0.3">
      <c r="A232" s="386">
        <f t="shared" si="29"/>
        <v>105</v>
      </c>
      <c r="B232" s="370" t="s">
        <v>539</v>
      </c>
      <c r="C232" s="371"/>
      <c r="D232" s="371"/>
      <c r="E232" s="367" t="s">
        <v>203</v>
      </c>
      <c r="F232" s="527"/>
      <c r="G232" s="527"/>
      <c r="H232" s="527"/>
      <c r="I232" s="372">
        <f t="shared" si="26"/>
        <v>0</v>
      </c>
      <c r="J232" s="372">
        <f>'Harga Satuan Dasar mat'!G668</f>
        <v>200000</v>
      </c>
      <c r="K232" s="372">
        <v>30800</v>
      </c>
      <c r="L232" s="372">
        <f t="shared" si="31"/>
        <v>0</v>
      </c>
      <c r="M232" s="369">
        <f t="shared" si="32"/>
        <v>0</v>
      </c>
      <c r="N232" s="459">
        <f t="shared" si="30"/>
        <v>0</v>
      </c>
    </row>
    <row r="233" spans="1:14" ht="13.2" customHeight="1" x14ac:dyDescent="0.3">
      <c r="A233" s="386">
        <f t="shared" si="29"/>
        <v>106</v>
      </c>
      <c r="B233" s="370" t="s">
        <v>445</v>
      </c>
      <c r="C233" s="371"/>
      <c r="D233" s="371"/>
      <c r="E233" s="367" t="s">
        <v>203</v>
      </c>
      <c r="F233" s="527"/>
      <c r="G233" s="527"/>
      <c r="H233" s="527"/>
      <c r="I233" s="372">
        <f t="shared" si="26"/>
        <v>0</v>
      </c>
      <c r="J233" s="372">
        <f>'Harga Satuan Dasar mat'!G579</f>
        <v>118000</v>
      </c>
      <c r="K233" s="372">
        <v>16430</v>
      </c>
      <c r="L233" s="372">
        <f t="shared" si="31"/>
        <v>0</v>
      </c>
      <c r="M233" s="369">
        <f t="shared" si="32"/>
        <v>0</v>
      </c>
      <c r="N233" s="459">
        <f t="shared" si="30"/>
        <v>0</v>
      </c>
    </row>
    <row r="234" spans="1:14" ht="13.2" customHeight="1" x14ac:dyDescent="0.3">
      <c r="A234" s="386">
        <f t="shared" si="29"/>
        <v>107</v>
      </c>
      <c r="B234" s="370" t="s">
        <v>446</v>
      </c>
      <c r="C234" s="371"/>
      <c r="D234" s="371"/>
      <c r="E234" s="367" t="s">
        <v>203</v>
      </c>
      <c r="F234" s="527"/>
      <c r="G234" s="527"/>
      <c r="H234" s="527"/>
      <c r="I234" s="372">
        <f t="shared" si="26"/>
        <v>0</v>
      </c>
      <c r="J234" s="372">
        <f>'Harga Satuan Dasar mat'!G580</f>
        <v>111000</v>
      </c>
      <c r="K234" s="372">
        <v>16430</v>
      </c>
      <c r="L234" s="372">
        <f t="shared" si="31"/>
        <v>0</v>
      </c>
      <c r="M234" s="369">
        <f t="shared" si="32"/>
        <v>0</v>
      </c>
      <c r="N234" s="459">
        <f t="shared" si="30"/>
        <v>0</v>
      </c>
    </row>
    <row r="235" spans="1:14" ht="13.2" customHeight="1" x14ac:dyDescent="0.3">
      <c r="A235" s="386">
        <f t="shared" si="29"/>
        <v>108</v>
      </c>
      <c r="B235" s="370" t="s">
        <v>447</v>
      </c>
      <c r="C235" s="371"/>
      <c r="D235" s="371"/>
      <c r="E235" s="367" t="s">
        <v>203</v>
      </c>
      <c r="F235" s="527"/>
      <c r="G235" s="527"/>
      <c r="H235" s="527"/>
      <c r="I235" s="372">
        <f t="shared" si="26"/>
        <v>0</v>
      </c>
      <c r="J235" s="372">
        <f>'Harga Satuan Dasar mat'!G581</f>
        <v>112000</v>
      </c>
      <c r="K235" s="372">
        <v>16430</v>
      </c>
      <c r="L235" s="372">
        <f t="shared" si="31"/>
        <v>0</v>
      </c>
      <c r="M235" s="369">
        <f t="shared" si="32"/>
        <v>0</v>
      </c>
      <c r="N235" s="459">
        <f t="shared" si="30"/>
        <v>0</v>
      </c>
    </row>
    <row r="236" spans="1:14" ht="13.2" customHeight="1" x14ac:dyDescent="0.3">
      <c r="A236" s="386">
        <f t="shared" si="29"/>
        <v>109</v>
      </c>
      <c r="B236" s="370" t="s">
        <v>448</v>
      </c>
      <c r="C236" s="371"/>
      <c r="D236" s="371"/>
      <c r="E236" s="367" t="s">
        <v>203</v>
      </c>
      <c r="F236" s="527"/>
      <c r="G236" s="527"/>
      <c r="H236" s="527"/>
      <c r="I236" s="372">
        <f t="shared" si="26"/>
        <v>0</v>
      </c>
      <c r="J236" s="372">
        <f>'Harga Satuan Dasar mat'!G582</f>
        <v>101000</v>
      </c>
      <c r="K236" s="372">
        <v>16430</v>
      </c>
      <c r="L236" s="372">
        <f t="shared" si="31"/>
        <v>0</v>
      </c>
      <c r="M236" s="369">
        <f t="shared" si="32"/>
        <v>0</v>
      </c>
      <c r="N236" s="459">
        <f t="shared" si="30"/>
        <v>0</v>
      </c>
    </row>
    <row r="237" spans="1:14" ht="13.2" customHeight="1" x14ac:dyDescent="0.3">
      <c r="A237" s="386">
        <f t="shared" si="29"/>
        <v>110</v>
      </c>
      <c r="B237" s="370" t="s">
        <v>449</v>
      </c>
      <c r="C237" s="371"/>
      <c r="D237" s="371"/>
      <c r="E237" s="367" t="s">
        <v>203</v>
      </c>
      <c r="F237" s="527"/>
      <c r="G237" s="527"/>
      <c r="H237" s="527"/>
      <c r="I237" s="372">
        <f t="shared" si="26"/>
        <v>0</v>
      </c>
      <c r="J237" s="372">
        <f>'Harga Satuan Dasar mat'!G583</f>
        <v>122000</v>
      </c>
      <c r="K237" s="372">
        <v>16430</v>
      </c>
      <c r="L237" s="372">
        <f t="shared" si="31"/>
        <v>0</v>
      </c>
      <c r="M237" s="369">
        <f t="shared" si="32"/>
        <v>0</v>
      </c>
      <c r="N237" s="459">
        <f t="shared" si="30"/>
        <v>0</v>
      </c>
    </row>
    <row r="238" spans="1:14" ht="13.2" customHeight="1" x14ac:dyDescent="0.3">
      <c r="A238" s="386">
        <f t="shared" si="29"/>
        <v>111</v>
      </c>
      <c r="B238" s="370" t="s">
        <v>450</v>
      </c>
      <c r="C238" s="371"/>
      <c r="D238" s="371"/>
      <c r="E238" s="367" t="s">
        <v>203</v>
      </c>
      <c r="F238" s="527"/>
      <c r="G238" s="527"/>
      <c r="H238" s="527"/>
      <c r="I238" s="372">
        <f t="shared" si="26"/>
        <v>0</v>
      </c>
      <c r="J238" s="372">
        <f>'Harga Satuan Dasar mat'!G584</f>
        <v>103000</v>
      </c>
      <c r="K238" s="372">
        <v>16430</v>
      </c>
      <c r="L238" s="372">
        <f t="shared" si="31"/>
        <v>0</v>
      </c>
      <c r="M238" s="369">
        <f t="shared" si="32"/>
        <v>0</v>
      </c>
      <c r="N238" s="459">
        <f t="shared" si="30"/>
        <v>0</v>
      </c>
    </row>
    <row r="239" spans="1:14" ht="13.2" customHeight="1" x14ac:dyDescent="0.3">
      <c r="A239" s="386">
        <f t="shared" si="29"/>
        <v>112</v>
      </c>
      <c r="B239" s="370" t="s">
        <v>451</v>
      </c>
      <c r="C239" s="371"/>
      <c r="D239" s="371"/>
      <c r="E239" s="367" t="s">
        <v>203</v>
      </c>
      <c r="F239" s="527"/>
      <c r="G239" s="527"/>
      <c r="H239" s="527"/>
      <c r="I239" s="372">
        <f t="shared" si="26"/>
        <v>0</v>
      </c>
      <c r="J239" s="372">
        <f>'Harga Satuan Dasar mat'!G585</f>
        <v>122000</v>
      </c>
      <c r="K239" s="372">
        <v>16430</v>
      </c>
      <c r="L239" s="372">
        <f t="shared" si="31"/>
        <v>0</v>
      </c>
      <c r="M239" s="369">
        <f t="shared" si="32"/>
        <v>0</v>
      </c>
      <c r="N239" s="459">
        <f t="shared" si="30"/>
        <v>0</v>
      </c>
    </row>
    <row r="240" spans="1:14" ht="13.2" customHeight="1" x14ac:dyDescent="0.3">
      <c r="A240" s="386">
        <f t="shared" si="29"/>
        <v>113</v>
      </c>
      <c r="B240" s="370" t="s">
        <v>452</v>
      </c>
      <c r="C240" s="371"/>
      <c r="D240" s="371"/>
      <c r="E240" s="367" t="s">
        <v>203</v>
      </c>
      <c r="F240" s="527"/>
      <c r="G240" s="527"/>
      <c r="H240" s="527"/>
      <c r="I240" s="372">
        <f t="shared" si="26"/>
        <v>0</v>
      </c>
      <c r="J240" s="372">
        <f>'Harga Satuan Dasar mat'!G586</f>
        <v>69000</v>
      </c>
      <c r="K240" s="372">
        <v>16430</v>
      </c>
      <c r="L240" s="372">
        <f t="shared" si="31"/>
        <v>0</v>
      </c>
      <c r="M240" s="369">
        <f t="shared" si="32"/>
        <v>0</v>
      </c>
      <c r="N240" s="459">
        <f t="shared" si="30"/>
        <v>0</v>
      </c>
    </row>
    <row r="241" spans="1:14" ht="13.2" customHeight="1" x14ac:dyDescent="0.3">
      <c r="A241" s="386">
        <f t="shared" si="29"/>
        <v>114</v>
      </c>
      <c r="B241" s="370" t="s">
        <v>453</v>
      </c>
      <c r="C241" s="371"/>
      <c r="D241" s="371"/>
      <c r="E241" s="367" t="s">
        <v>203</v>
      </c>
      <c r="F241" s="527"/>
      <c r="G241" s="527"/>
      <c r="H241" s="527"/>
      <c r="I241" s="372">
        <f t="shared" si="26"/>
        <v>0</v>
      </c>
      <c r="J241" s="372">
        <f>'Harga Satuan Dasar mat'!G587</f>
        <v>145000</v>
      </c>
      <c r="K241" s="372">
        <v>16430</v>
      </c>
      <c r="L241" s="372">
        <f t="shared" si="31"/>
        <v>0</v>
      </c>
      <c r="M241" s="369">
        <f t="shared" si="32"/>
        <v>0</v>
      </c>
      <c r="N241" s="459">
        <f t="shared" si="30"/>
        <v>0</v>
      </c>
    </row>
    <row r="242" spans="1:14" ht="13.2" customHeight="1" x14ac:dyDescent="0.3">
      <c r="A242" s="386">
        <f t="shared" si="29"/>
        <v>115</v>
      </c>
      <c r="B242" s="370" t="s">
        <v>454</v>
      </c>
      <c r="C242" s="371"/>
      <c r="D242" s="371"/>
      <c r="E242" s="367" t="s">
        <v>203</v>
      </c>
      <c r="F242" s="527"/>
      <c r="G242" s="527"/>
      <c r="H242" s="527"/>
      <c r="I242" s="372">
        <f t="shared" si="26"/>
        <v>0</v>
      </c>
      <c r="J242" s="372">
        <f>'Harga Satuan Dasar mat'!G588</f>
        <v>135000</v>
      </c>
      <c r="K242" s="372">
        <v>16430</v>
      </c>
      <c r="L242" s="372">
        <f t="shared" si="31"/>
        <v>0</v>
      </c>
      <c r="M242" s="369">
        <f t="shared" si="32"/>
        <v>0</v>
      </c>
      <c r="N242" s="459">
        <f t="shared" si="30"/>
        <v>0</v>
      </c>
    </row>
    <row r="243" spans="1:14" ht="13.2" customHeight="1" x14ac:dyDescent="0.3">
      <c r="A243" s="386">
        <f t="shared" si="29"/>
        <v>116</v>
      </c>
      <c r="B243" s="370" t="s">
        <v>455</v>
      </c>
      <c r="C243" s="371"/>
      <c r="D243" s="371"/>
      <c r="E243" s="367" t="s">
        <v>203</v>
      </c>
      <c r="F243" s="527"/>
      <c r="G243" s="527"/>
      <c r="H243" s="527"/>
      <c r="I243" s="372">
        <f t="shared" si="26"/>
        <v>0</v>
      </c>
      <c r="J243" s="372">
        <f>'Harga Satuan Dasar mat'!G589</f>
        <v>69000</v>
      </c>
      <c r="K243" s="372">
        <v>16430</v>
      </c>
      <c r="L243" s="372">
        <f t="shared" si="31"/>
        <v>0</v>
      </c>
      <c r="M243" s="369">
        <f t="shared" si="32"/>
        <v>0</v>
      </c>
      <c r="N243" s="459">
        <f t="shared" si="30"/>
        <v>0</v>
      </c>
    </row>
    <row r="244" spans="1:14" ht="13.2" customHeight="1" x14ac:dyDescent="0.3">
      <c r="A244" s="386">
        <f t="shared" si="29"/>
        <v>117</v>
      </c>
      <c r="B244" s="370" t="s">
        <v>456</v>
      </c>
      <c r="C244" s="371"/>
      <c r="D244" s="371"/>
      <c r="E244" s="367" t="s">
        <v>203</v>
      </c>
      <c r="F244" s="527"/>
      <c r="G244" s="527"/>
      <c r="H244" s="527"/>
      <c r="I244" s="372">
        <f t="shared" si="26"/>
        <v>0</v>
      </c>
      <c r="J244" s="372">
        <f>'Harga Satuan Dasar mat'!G590</f>
        <v>75000</v>
      </c>
      <c r="K244" s="372">
        <v>16430</v>
      </c>
      <c r="L244" s="372">
        <f t="shared" si="31"/>
        <v>0</v>
      </c>
      <c r="M244" s="369">
        <f t="shared" si="32"/>
        <v>0</v>
      </c>
      <c r="N244" s="459">
        <f t="shared" si="30"/>
        <v>0</v>
      </c>
    </row>
    <row r="245" spans="1:14" ht="13.2" customHeight="1" x14ac:dyDescent="0.3">
      <c r="A245" s="386">
        <f t="shared" si="29"/>
        <v>118</v>
      </c>
      <c r="B245" s="370" t="s">
        <v>457</v>
      </c>
      <c r="C245" s="371"/>
      <c r="D245" s="371"/>
      <c r="E245" s="367" t="s">
        <v>203</v>
      </c>
      <c r="F245" s="527"/>
      <c r="G245" s="527"/>
      <c r="H245" s="527"/>
      <c r="I245" s="372">
        <f t="shared" si="26"/>
        <v>0</v>
      </c>
      <c r="J245" s="372">
        <f>'Harga Satuan Dasar mat'!G591</f>
        <v>211500</v>
      </c>
      <c r="K245" s="372">
        <v>16430</v>
      </c>
      <c r="L245" s="372">
        <f t="shared" si="31"/>
        <v>0</v>
      </c>
      <c r="M245" s="369">
        <f t="shared" si="32"/>
        <v>0</v>
      </c>
      <c r="N245" s="459">
        <f t="shared" si="30"/>
        <v>0</v>
      </c>
    </row>
    <row r="246" spans="1:14" ht="13.2" customHeight="1" x14ac:dyDescent="0.3">
      <c r="A246" s="386">
        <f t="shared" si="29"/>
        <v>119</v>
      </c>
      <c r="B246" s="370" t="s">
        <v>458</v>
      </c>
      <c r="C246" s="371"/>
      <c r="D246" s="371"/>
      <c r="E246" s="367" t="s">
        <v>203</v>
      </c>
      <c r="F246" s="527"/>
      <c r="G246" s="527"/>
      <c r="H246" s="527"/>
      <c r="I246" s="372">
        <f t="shared" si="26"/>
        <v>0</v>
      </c>
      <c r="J246" s="372">
        <f>'Harga Satuan Dasar mat'!G592</f>
        <v>135000</v>
      </c>
      <c r="K246" s="372">
        <v>16430</v>
      </c>
      <c r="L246" s="372">
        <f t="shared" si="31"/>
        <v>0</v>
      </c>
      <c r="M246" s="369">
        <f t="shared" si="32"/>
        <v>0</v>
      </c>
      <c r="N246" s="459">
        <f t="shared" si="30"/>
        <v>0</v>
      </c>
    </row>
    <row r="247" spans="1:14" ht="13.2" customHeight="1" x14ac:dyDescent="0.3">
      <c r="A247" s="386">
        <f t="shared" si="29"/>
        <v>120</v>
      </c>
      <c r="B247" s="370" t="s">
        <v>1654</v>
      </c>
      <c r="C247" s="371"/>
      <c r="D247" s="371"/>
      <c r="E247" s="367" t="s">
        <v>203</v>
      </c>
      <c r="F247" s="527"/>
      <c r="G247" s="527"/>
      <c r="H247" s="527"/>
      <c r="I247" s="372">
        <f t="shared" si="26"/>
        <v>0</v>
      </c>
      <c r="J247" s="372">
        <f>'Harga Satuan Dasar mat'!G779</f>
        <v>204500</v>
      </c>
      <c r="K247" s="372">
        <v>19140</v>
      </c>
      <c r="L247" s="372">
        <f t="shared" si="31"/>
        <v>0</v>
      </c>
      <c r="M247" s="369">
        <f t="shared" si="32"/>
        <v>0</v>
      </c>
      <c r="N247" s="459">
        <f t="shared" si="30"/>
        <v>0</v>
      </c>
    </row>
    <row r="248" spans="1:14" ht="13.2" customHeight="1" x14ac:dyDescent="0.3">
      <c r="A248" s="386">
        <f t="shared" si="29"/>
        <v>121</v>
      </c>
      <c r="B248" s="370" t="s">
        <v>1660</v>
      </c>
      <c r="C248" s="371"/>
      <c r="D248" s="371"/>
      <c r="E248" s="367" t="s">
        <v>264</v>
      </c>
      <c r="F248" s="527"/>
      <c r="G248" s="527"/>
      <c r="H248" s="527"/>
      <c r="I248" s="372">
        <f t="shared" si="26"/>
        <v>0</v>
      </c>
      <c r="J248" s="372">
        <f>'Harga Satuan Dasar mat'!G366</f>
        <v>33700</v>
      </c>
      <c r="K248" s="372">
        <v>26030</v>
      </c>
      <c r="L248" s="372">
        <f t="shared" si="31"/>
        <v>0</v>
      </c>
      <c r="M248" s="369">
        <f t="shared" si="32"/>
        <v>0</v>
      </c>
      <c r="N248" s="459">
        <f t="shared" si="30"/>
        <v>0</v>
      </c>
    </row>
    <row r="249" spans="1:14" ht="13.2" customHeight="1" x14ac:dyDescent="0.3">
      <c r="A249" s="386">
        <f t="shared" si="29"/>
        <v>122</v>
      </c>
      <c r="B249" s="370" t="s">
        <v>1954</v>
      </c>
      <c r="C249" s="373"/>
      <c r="D249" s="373"/>
      <c r="E249" s="367" t="s">
        <v>264</v>
      </c>
      <c r="F249" s="527"/>
      <c r="G249" s="527"/>
      <c r="H249" s="527"/>
      <c r="I249" s="372">
        <f t="shared" si="26"/>
        <v>0</v>
      </c>
      <c r="J249" s="372">
        <f>'Harga Satuan Dasar mat'!G367</f>
        <v>25500</v>
      </c>
      <c r="K249" s="375">
        <v>26030</v>
      </c>
      <c r="L249" s="372">
        <f t="shared" si="31"/>
        <v>0</v>
      </c>
      <c r="M249" s="369">
        <f t="shared" si="32"/>
        <v>0</v>
      </c>
      <c r="N249" s="459">
        <f t="shared" si="30"/>
        <v>0</v>
      </c>
    </row>
    <row r="250" spans="1:14" ht="13.2" customHeight="1" x14ac:dyDescent="0.3">
      <c r="A250" s="386">
        <f t="shared" si="29"/>
        <v>123</v>
      </c>
      <c r="B250" s="370" t="s">
        <v>1695</v>
      </c>
      <c r="C250" s="373"/>
      <c r="D250" s="373"/>
      <c r="E250" s="367" t="s">
        <v>264</v>
      </c>
      <c r="F250" s="527"/>
      <c r="G250" s="527"/>
      <c r="H250" s="527"/>
      <c r="I250" s="372">
        <f t="shared" si="26"/>
        <v>0</v>
      </c>
      <c r="J250" s="372">
        <f>'Harga Satuan Dasar mat'!G368</f>
        <v>21250</v>
      </c>
      <c r="K250" s="375">
        <v>26030</v>
      </c>
      <c r="L250" s="372">
        <f t="shared" si="31"/>
        <v>0</v>
      </c>
      <c r="M250" s="369">
        <f t="shared" si="32"/>
        <v>0</v>
      </c>
      <c r="N250" s="459">
        <f t="shared" si="30"/>
        <v>0</v>
      </c>
    </row>
    <row r="251" spans="1:14" ht="13.2" customHeight="1" x14ac:dyDescent="0.3">
      <c r="A251" s="386">
        <f t="shared" si="29"/>
        <v>124</v>
      </c>
      <c r="B251" s="370" t="s">
        <v>581</v>
      </c>
      <c r="C251" s="371"/>
      <c r="D251" s="371"/>
      <c r="E251" s="367" t="s">
        <v>203</v>
      </c>
      <c r="F251" s="527"/>
      <c r="G251" s="527"/>
      <c r="H251" s="527"/>
      <c r="I251" s="372">
        <f t="shared" si="26"/>
        <v>0</v>
      </c>
      <c r="J251" s="372">
        <f>'Harga Satuan Dasar mat'!G708</f>
        <v>47700</v>
      </c>
      <c r="K251" s="372">
        <v>26290</v>
      </c>
      <c r="L251" s="372">
        <f t="shared" si="31"/>
        <v>0</v>
      </c>
      <c r="M251" s="369">
        <f t="shared" si="32"/>
        <v>0</v>
      </c>
      <c r="N251" s="459">
        <f t="shared" si="30"/>
        <v>0</v>
      </c>
    </row>
    <row r="252" spans="1:14" ht="13.2" customHeight="1" x14ac:dyDescent="0.3">
      <c r="A252" s="386">
        <f t="shared" si="29"/>
        <v>125</v>
      </c>
      <c r="B252" s="376" t="s">
        <v>1703</v>
      </c>
      <c r="C252" s="373"/>
      <c r="D252" s="373"/>
      <c r="E252" s="374" t="s">
        <v>235</v>
      </c>
      <c r="F252" s="528"/>
      <c r="G252" s="528"/>
      <c r="H252" s="528"/>
      <c r="I252" s="372">
        <f t="shared" si="26"/>
        <v>0</v>
      </c>
      <c r="J252" s="375">
        <f>'Harga Satuan Dasar mat'!G750</f>
        <v>208500</v>
      </c>
      <c r="K252" s="375">
        <v>24640</v>
      </c>
      <c r="L252" s="372">
        <f t="shared" si="31"/>
        <v>0</v>
      </c>
      <c r="M252" s="369">
        <f t="shared" si="32"/>
        <v>0</v>
      </c>
      <c r="N252" s="459">
        <f t="shared" si="30"/>
        <v>0</v>
      </c>
    </row>
    <row r="253" spans="1:14" ht="13.2" customHeight="1" x14ac:dyDescent="0.3">
      <c r="A253" s="386">
        <f t="shared" si="29"/>
        <v>126</v>
      </c>
      <c r="B253" s="376" t="s">
        <v>1713</v>
      </c>
      <c r="C253" s="373"/>
      <c r="D253" s="373"/>
      <c r="E253" s="374" t="s">
        <v>235</v>
      </c>
      <c r="F253" s="528"/>
      <c r="G253" s="528"/>
      <c r="H253" s="528"/>
      <c r="I253" s="372">
        <f t="shared" si="26"/>
        <v>0</v>
      </c>
      <c r="J253" s="375">
        <f>'Harga Satuan Dasar mat'!G749</f>
        <v>101500</v>
      </c>
      <c r="K253" s="375">
        <v>24640</v>
      </c>
      <c r="L253" s="372">
        <f t="shared" si="31"/>
        <v>0</v>
      </c>
      <c r="M253" s="369">
        <f t="shared" si="32"/>
        <v>0</v>
      </c>
      <c r="N253" s="459">
        <f t="shared" si="30"/>
        <v>0</v>
      </c>
    </row>
    <row r="254" spans="1:14" ht="13.2" customHeight="1" x14ac:dyDescent="0.3">
      <c r="A254" s="386">
        <f t="shared" si="29"/>
        <v>127</v>
      </c>
      <c r="B254" s="376" t="s">
        <v>1693</v>
      </c>
      <c r="C254" s="373"/>
      <c r="D254" s="373"/>
      <c r="E254" s="374" t="s">
        <v>203</v>
      </c>
      <c r="F254" s="528"/>
      <c r="G254" s="528"/>
      <c r="H254" s="528"/>
      <c r="I254" s="372">
        <f t="shared" si="26"/>
        <v>0</v>
      </c>
      <c r="J254" s="375">
        <f>'Harga Satuan Dasar mat'!G784</f>
        <v>535000</v>
      </c>
      <c r="K254" s="375">
        <v>70410</v>
      </c>
      <c r="L254" s="372">
        <f t="shared" si="31"/>
        <v>0</v>
      </c>
      <c r="M254" s="369">
        <f t="shared" si="32"/>
        <v>0</v>
      </c>
      <c r="N254" s="459">
        <f t="shared" si="30"/>
        <v>0</v>
      </c>
    </row>
    <row r="255" spans="1:14" ht="13.2" customHeight="1" x14ac:dyDescent="0.3">
      <c r="A255" s="386">
        <f t="shared" si="29"/>
        <v>128</v>
      </c>
      <c r="B255" s="376" t="s">
        <v>1694</v>
      </c>
      <c r="C255" s="373"/>
      <c r="D255" s="373"/>
      <c r="E255" s="374" t="s">
        <v>203</v>
      </c>
      <c r="F255" s="528"/>
      <c r="G255" s="528"/>
      <c r="H255" s="528"/>
      <c r="I255" s="372">
        <f t="shared" si="26"/>
        <v>0</v>
      </c>
      <c r="J255" s="375">
        <f>'Harga Satuan Dasar mat'!G785</f>
        <v>1655000</v>
      </c>
      <c r="K255" s="375">
        <v>181110</v>
      </c>
      <c r="L255" s="372">
        <f t="shared" si="31"/>
        <v>0</v>
      </c>
      <c r="M255" s="369">
        <f t="shared" si="32"/>
        <v>0</v>
      </c>
      <c r="N255" s="459">
        <f t="shared" si="30"/>
        <v>0</v>
      </c>
    </row>
    <row r="256" spans="1:14" ht="13.2" customHeight="1" x14ac:dyDescent="0.3">
      <c r="A256" s="386">
        <f t="shared" si="29"/>
        <v>129</v>
      </c>
      <c r="B256" s="376" t="s">
        <v>1696</v>
      </c>
      <c r="C256" s="373"/>
      <c r="D256" s="373"/>
      <c r="E256" s="374" t="s">
        <v>203</v>
      </c>
      <c r="F256" s="528"/>
      <c r="G256" s="528"/>
      <c r="H256" s="528"/>
      <c r="I256" s="372">
        <f t="shared" ref="I256:I263" si="33">SUM(F256:H256)</f>
        <v>0</v>
      </c>
      <c r="J256" s="375">
        <f>'Harga Satuan Dasar mat'!G786</f>
        <v>94000</v>
      </c>
      <c r="K256" s="375">
        <v>16430</v>
      </c>
      <c r="L256" s="372">
        <f t="shared" ref="L256:L263" si="34">J256*I256</f>
        <v>0</v>
      </c>
      <c r="M256" s="369">
        <f t="shared" ref="M256:M263" si="35">K256*I256</f>
        <v>0</v>
      </c>
      <c r="N256" s="459">
        <f t="shared" si="30"/>
        <v>0</v>
      </c>
    </row>
    <row r="257" spans="1:14" ht="13.2" customHeight="1" x14ac:dyDescent="0.3">
      <c r="A257" s="386">
        <f t="shared" si="29"/>
        <v>130</v>
      </c>
      <c r="B257" s="376" t="s">
        <v>1697</v>
      </c>
      <c r="C257" s="373"/>
      <c r="D257" s="373"/>
      <c r="E257" s="374" t="s">
        <v>203</v>
      </c>
      <c r="F257" s="528"/>
      <c r="G257" s="528"/>
      <c r="H257" s="528"/>
      <c r="I257" s="372">
        <f t="shared" si="33"/>
        <v>0</v>
      </c>
      <c r="J257" s="375">
        <f>'Harga Satuan Dasar mat'!G787</f>
        <v>208500</v>
      </c>
      <c r="K257" s="375">
        <v>16430</v>
      </c>
      <c r="L257" s="372">
        <f t="shared" si="34"/>
        <v>0</v>
      </c>
      <c r="M257" s="369">
        <f t="shared" si="35"/>
        <v>0</v>
      </c>
      <c r="N257" s="459">
        <f t="shared" si="30"/>
        <v>0</v>
      </c>
    </row>
    <row r="258" spans="1:14" ht="13.2" customHeight="1" x14ac:dyDescent="0.3">
      <c r="A258" s="386">
        <f t="shared" ref="A258:A263" si="36">A257+1</f>
        <v>131</v>
      </c>
      <c r="B258" s="376" t="s">
        <v>1698</v>
      </c>
      <c r="C258" s="373"/>
      <c r="D258" s="373"/>
      <c r="E258" s="374" t="s">
        <v>203</v>
      </c>
      <c r="F258" s="528"/>
      <c r="G258" s="528"/>
      <c r="H258" s="528"/>
      <c r="I258" s="372">
        <f t="shared" si="33"/>
        <v>0</v>
      </c>
      <c r="J258" s="375">
        <f>'Harga Satuan Dasar mat'!G788</f>
        <v>138500</v>
      </c>
      <c r="K258" s="375">
        <v>16430</v>
      </c>
      <c r="L258" s="372">
        <f t="shared" si="34"/>
        <v>0</v>
      </c>
      <c r="M258" s="369">
        <f t="shared" si="35"/>
        <v>0</v>
      </c>
      <c r="N258" s="459">
        <f t="shared" si="30"/>
        <v>0</v>
      </c>
    </row>
    <row r="259" spans="1:14" ht="13.2" customHeight="1" x14ac:dyDescent="0.3">
      <c r="A259" s="386">
        <f t="shared" si="36"/>
        <v>132</v>
      </c>
      <c r="B259" s="376" t="s">
        <v>1699</v>
      </c>
      <c r="C259" s="373"/>
      <c r="D259" s="373"/>
      <c r="E259" s="374" t="s">
        <v>203</v>
      </c>
      <c r="F259" s="528"/>
      <c r="G259" s="528"/>
      <c r="H259" s="528"/>
      <c r="I259" s="372">
        <f t="shared" si="33"/>
        <v>0</v>
      </c>
      <c r="J259" s="375">
        <f>'Harga Satuan Dasar mat'!G789</f>
        <v>143500</v>
      </c>
      <c r="K259" s="375">
        <v>16430</v>
      </c>
      <c r="L259" s="372">
        <f t="shared" si="34"/>
        <v>0</v>
      </c>
      <c r="M259" s="369">
        <f t="shared" si="35"/>
        <v>0</v>
      </c>
      <c r="N259" s="459">
        <f t="shared" si="30"/>
        <v>0</v>
      </c>
    </row>
    <row r="260" spans="1:14" ht="13.2" customHeight="1" x14ac:dyDescent="0.3">
      <c r="A260" s="386">
        <f t="shared" si="36"/>
        <v>133</v>
      </c>
      <c r="B260" s="376" t="s">
        <v>1700</v>
      </c>
      <c r="C260" s="373"/>
      <c r="D260" s="373"/>
      <c r="E260" s="374" t="s">
        <v>203</v>
      </c>
      <c r="F260" s="528"/>
      <c r="G260" s="528"/>
      <c r="H260" s="528"/>
      <c r="I260" s="372">
        <f t="shared" si="33"/>
        <v>0</v>
      </c>
      <c r="J260" s="375">
        <f>'Harga Satuan Dasar mat'!G790</f>
        <v>89500</v>
      </c>
      <c r="K260" s="375">
        <v>16430</v>
      </c>
      <c r="L260" s="372">
        <f t="shared" si="34"/>
        <v>0</v>
      </c>
      <c r="M260" s="369">
        <f t="shared" si="35"/>
        <v>0</v>
      </c>
      <c r="N260" s="459">
        <f t="shared" si="30"/>
        <v>0</v>
      </c>
    </row>
    <row r="261" spans="1:14" ht="13.2" customHeight="1" x14ac:dyDescent="0.3">
      <c r="A261" s="386">
        <f t="shared" si="36"/>
        <v>134</v>
      </c>
      <c r="B261" s="376" t="s">
        <v>1701</v>
      </c>
      <c r="C261" s="373"/>
      <c r="D261" s="373"/>
      <c r="E261" s="374" t="s">
        <v>203</v>
      </c>
      <c r="F261" s="528"/>
      <c r="G261" s="528"/>
      <c r="H261" s="528"/>
      <c r="I261" s="372">
        <f t="shared" si="33"/>
        <v>0</v>
      </c>
      <c r="J261" s="375">
        <f>'Harga Satuan Dasar mat'!G791</f>
        <v>125000</v>
      </c>
      <c r="K261" s="375">
        <v>16430</v>
      </c>
      <c r="L261" s="372">
        <f t="shared" si="34"/>
        <v>0</v>
      </c>
      <c r="M261" s="369">
        <f t="shared" si="35"/>
        <v>0</v>
      </c>
      <c r="N261" s="459">
        <f t="shared" si="30"/>
        <v>0</v>
      </c>
    </row>
    <row r="262" spans="1:14" ht="13.2" customHeight="1" x14ac:dyDescent="0.3">
      <c r="A262" s="386">
        <f t="shared" si="36"/>
        <v>135</v>
      </c>
      <c r="B262" s="370" t="s">
        <v>1702</v>
      </c>
      <c r="C262" s="371"/>
      <c r="D262" s="371"/>
      <c r="E262" s="367" t="s">
        <v>203</v>
      </c>
      <c r="F262" s="527"/>
      <c r="G262" s="527"/>
      <c r="H262" s="527"/>
      <c r="I262" s="372">
        <f t="shared" si="33"/>
        <v>0</v>
      </c>
      <c r="J262" s="372">
        <f>'Harga Satuan Dasar mat'!G792</f>
        <v>55700</v>
      </c>
      <c r="K262" s="372">
        <v>16430</v>
      </c>
      <c r="L262" s="372">
        <f t="shared" si="34"/>
        <v>0</v>
      </c>
      <c r="M262" s="372">
        <f t="shared" si="35"/>
        <v>0</v>
      </c>
      <c r="N262" s="460">
        <f t="shared" si="30"/>
        <v>0</v>
      </c>
    </row>
    <row r="263" spans="1:14" ht="13.2" customHeight="1" x14ac:dyDescent="0.3">
      <c r="A263" s="386">
        <f t="shared" si="36"/>
        <v>136</v>
      </c>
      <c r="B263" s="389" t="s">
        <v>1641</v>
      </c>
      <c r="C263" s="390"/>
      <c r="D263" s="390"/>
      <c r="E263" s="391" t="s">
        <v>1653</v>
      </c>
      <c r="F263" s="562"/>
      <c r="G263" s="562"/>
      <c r="H263" s="562"/>
      <c r="I263" s="541">
        <f t="shared" si="33"/>
        <v>0</v>
      </c>
      <c r="J263" s="409">
        <f>'Harga Satuan Dasar mat'!G757</f>
        <v>1250000</v>
      </c>
      <c r="K263" s="409">
        <v>123220</v>
      </c>
      <c r="L263" s="372">
        <f t="shared" si="34"/>
        <v>0</v>
      </c>
      <c r="M263" s="372">
        <f t="shared" si="35"/>
        <v>0</v>
      </c>
      <c r="N263" s="460">
        <f t="shared" ref="N263" si="37">SUM(L263:M263)</f>
        <v>0</v>
      </c>
    </row>
    <row r="264" spans="1:14" ht="13.95" customHeight="1" x14ac:dyDescent="0.3">
      <c r="A264" s="485"/>
      <c r="B264" s="486" t="s">
        <v>647</v>
      </c>
      <c r="C264" s="487"/>
      <c r="D264" s="487"/>
      <c r="E264" s="488"/>
      <c r="F264" s="540"/>
      <c r="G264" s="540"/>
      <c r="H264" s="540"/>
      <c r="I264" s="489"/>
      <c r="J264" s="492"/>
      <c r="K264" s="492"/>
      <c r="L264" s="543">
        <f>SUM(L128:L263)</f>
        <v>0</v>
      </c>
      <c r="M264" s="543">
        <f t="shared" ref="M264:N264" si="38">SUM(M128:M263)</f>
        <v>0</v>
      </c>
      <c r="N264" s="544">
        <f t="shared" si="38"/>
        <v>0</v>
      </c>
    </row>
    <row r="265" spans="1:14" ht="7.2" customHeight="1" x14ac:dyDescent="0.3">
      <c r="A265" s="392"/>
      <c r="B265" s="393"/>
      <c r="C265" s="394"/>
      <c r="D265" s="394"/>
      <c r="E265" s="395"/>
      <c r="F265" s="563"/>
      <c r="G265" s="563"/>
      <c r="H265" s="563"/>
      <c r="I265" s="467"/>
      <c r="J265" s="417"/>
      <c r="K265" s="417"/>
      <c r="L265" s="417"/>
      <c r="M265" s="417"/>
      <c r="N265" s="547"/>
    </row>
    <row r="266" spans="1:14" ht="13.2" customHeight="1" x14ac:dyDescent="0.3">
      <c r="A266" s="477" t="s">
        <v>608</v>
      </c>
      <c r="B266" s="478" t="s">
        <v>619</v>
      </c>
      <c r="C266" s="479"/>
      <c r="D266" s="480"/>
      <c r="E266" s="481"/>
      <c r="F266" s="483"/>
      <c r="G266" s="483"/>
      <c r="H266" s="483"/>
      <c r="I266" s="483"/>
      <c r="J266" s="494"/>
      <c r="K266" s="494"/>
      <c r="L266" s="494"/>
      <c r="M266" s="494"/>
      <c r="N266" s="546"/>
    </row>
    <row r="267" spans="1:14" ht="13.2" customHeight="1" x14ac:dyDescent="0.3">
      <c r="A267" s="397">
        <v>1</v>
      </c>
      <c r="B267" s="398" t="s">
        <v>648</v>
      </c>
      <c r="C267" s="373"/>
      <c r="D267" s="373"/>
      <c r="E267" s="374"/>
      <c r="F267" s="560"/>
      <c r="G267" s="560"/>
      <c r="H267" s="560"/>
      <c r="I267" s="468"/>
      <c r="J267" s="375"/>
      <c r="K267" s="375"/>
      <c r="L267" s="375"/>
      <c r="M267" s="375"/>
      <c r="N267" s="462"/>
    </row>
    <row r="268" spans="1:14" ht="13.2" customHeight="1" x14ac:dyDescent="0.3">
      <c r="A268" s="401"/>
      <c r="B268" s="402" t="s">
        <v>1828</v>
      </c>
      <c r="C268" s="371" t="s">
        <v>650</v>
      </c>
      <c r="D268" s="371" t="s">
        <v>651</v>
      </c>
      <c r="E268" s="367" t="s">
        <v>596</v>
      </c>
      <c r="F268" s="537">
        <f>IF(REKAP!$Q$9="Kota Kupang",SUMPRODUCT('RAB Pasang'!F$32:F$124,'RAB Pasang'!$T$32:$T$124),0)</f>
        <v>0</v>
      </c>
      <c r="G268" s="537">
        <f>IF(REKAP!$Q$9="Kota Kupang",SUMPRODUCT('RAB Pasang'!G$32:G$124,'RAB Pasang'!$T$32:$T$124),0)</f>
        <v>0</v>
      </c>
      <c r="H268" s="537">
        <f>IF(REKAP!$Q$9="Kota Kupang",SUMPRODUCT('RAB Pasang'!H$32:H$124,'RAB Pasang'!$T$32:$T$124),0)</f>
        <v>0</v>
      </c>
      <c r="I268" s="466">
        <f t="shared" ref="I268:I482" si="39">SUM(F268:H268)</f>
        <v>0</v>
      </c>
      <c r="J268" s="372"/>
      <c r="K268" s="372">
        <v>450000</v>
      </c>
      <c r="L268" s="372">
        <f t="shared" ref="L268:L482" si="40">J268*I268</f>
        <v>0</v>
      </c>
      <c r="M268" s="372">
        <f t="shared" ref="M268:M482" si="41">K268*I268</f>
        <v>0</v>
      </c>
      <c r="N268" s="460">
        <f t="shared" ref="N268:N482" si="42">SUM(L268:M268)</f>
        <v>0</v>
      </c>
    </row>
    <row r="269" spans="1:14" ht="13.2" customHeight="1" x14ac:dyDescent="0.3">
      <c r="A269" s="401"/>
      <c r="B269" s="402"/>
      <c r="C269" s="371" t="s">
        <v>652</v>
      </c>
      <c r="D269" s="371" t="s">
        <v>651</v>
      </c>
      <c r="E269" s="367" t="s">
        <v>596</v>
      </c>
      <c r="F269" s="537">
        <f>IF(REKAP!$Q$9=$D269,SUMPRODUCT('RAB Pasang'!F$32:F$124,'RAB Pasang'!$T$32:$T$124),0)</f>
        <v>0</v>
      </c>
      <c r="G269" s="537">
        <f>IF(REKAP!$Q$9=$D269,SUMPRODUCT('RAB Pasang'!G$32:G$124,'RAB Pasang'!$T$32:$T$124),0)</f>
        <v>0</v>
      </c>
      <c r="H269" s="537">
        <f>IF(REKAP!$Q$9=$D269,SUMPRODUCT('RAB Pasang'!H$32:H$124,'RAB Pasang'!$T$32:$T$124),0)</f>
        <v>0</v>
      </c>
      <c r="I269" s="466">
        <f t="shared" si="39"/>
        <v>0</v>
      </c>
      <c r="J269" s="372"/>
      <c r="K269" s="372">
        <v>540000</v>
      </c>
      <c r="L269" s="372">
        <f t="shared" si="40"/>
        <v>0</v>
      </c>
      <c r="M269" s="372">
        <f t="shared" si="41"/>
        <v>0</v>
      </c>
      <c r="N269" s="460">
        <f t="shared" si="42"/>
        <v>0</v>
      </c>
    </row>
    <row r="270" spans="1:14" ht="13.2" customHeight="1" x14ac:dyDescent="0.3">
      <c r="A270" s="401"/>
      <c r="B270" s="402"/>
      <c r="C270" s="371" t="s">
        <v>652</v>
      </c>
      <c r="D270" s="371" t="s">
        <v>653</v>
      </c>
      <c r="E270" s="367" t="s">
        <v>596</v>
      </c>
      <c r="F270" s="537">
        <f>IF(REKAP!$Q$9=$D270,SUMPRODUCT('RAB Pasang'!F$32:F$124,'RAB Pasang'!$T$32:$T$124),0)</f>
        <v>0</v>
      </c>
      <c r="G270" s="537">
        <f>IF(REKAP!$Q$9=$D270,SUMPRODUCT('RAB Pasang'!G$32:G$124,'RAB Pasang'!$T$32:$T$124),0)</f>
        <v>0</v>
      </c>
      <c r="H270" s="537">
        <f>IF(REKAP!$Q$9=$D270,SUMPRODUCT('RAB Pasang'!H$32:H$124,'RAB Pasang'!$T$32:$T$124),0)</f>
        <v>0</v>
      </c>
      <c r="I270" s="466">
        <f t="shared" si="39"/>
        <v>0</v>
      </c>
      <c r="J270" s="372"/>
      <c r="K270" s="372">
        <v>675000</v>
      </c>
      <c r="L270" s="372">
        <f t="shared" si="40"/>
        <v>0</v>
      </c>
      <c r="M270" s="372">
        <f t="shared" si="41"/>
        <v>0</v>
      </c>
      <c r="N270" s="460">
        <f t="shared" si="42"/>
        <v>0</v>
      </c>
    </row>
    <row r="271" spans="1:14" ht="13.2" customHeight="1" x14ac:dyDescent="0.3">
      <c r="A271" s="401"/>
      <c r="B271" s="402"/>
      <c r="C271" s="371" t="s">
        <v>652</v>
      </c>
      <c r="D271" s="371" t="s">
        <v>654</v>
      </c>
      <c r="E271" s="367" t="s">
        <v>596</v>
      </c>
      <c r="F271" s="537">
        <f>IF(REKAP!$Q$9=$D271,SUMPRODUCT('RAB Pasang'!F$32:F$124,'RAB Pasang'!$T$32:$T$124),0)</f>
        <v>0</v>
      </c>
      <c r="G271" s="537">
        <f>IF(REKAP!$Q$9=$D271,SUMPRODUCT('RAB Pasang'!G$32:G$124,'RAB Pasang'!$T$32:$T$124),0)</f>
        <v>0</v>
      </c>
      <c r="H271" s="537">
        <f>IF(REKAP!$Q$9=$D271,SUMPRODUCT('RAB Pasang'!H$32:H$124,'RAB Pasang'!$T$32:$T$124),0)</f>
        <v>0</v>
      </c>
      <c r="I271" s="466">
        <f t="shared" si="39"/>
        <v>0</v>
      </c>
      <c r="J271" s="372"/>
      <c r="K271" s="372">
        <v>990000</v>
      </c>
      <c r="L271" s="372">
        <f t="shared" si="40"/>
        <v>0</v>
      </c>
      <c r="M271" s="372">
        <f t="shared" si="41"/>
        <v>0</v>
      </c>
      <c r="N271" s="460">
        <f t="shared" si="42"/>
        <v>0</v>
      </c>
    </row>
    <row r="272" spans="1:14" ht="13.2" customHeight="1" x14ac:dyDescent="0.3">
      <c r="A272" s="401"/>
      <c r="B272" s="402"/>
      <c r="C272" s="371" t="s">
        <v>652</v>
      </c>
      <c r="D272" s="371" t="s">
        <v>655</v>
      </c>
      <c r="E272" s="367" t="s">
        <v>596</v>
      </c>
      <c r="F272" s="537">
        <f>IF(REKAP!$Q$9=$D272,SUMPRODUCT('RAB Pasang'!F$32:F$124,'RAB Pasang'!$T$32:$T$124),0)</f>
        <v>0</v>
      </c>
      <c r="G272" s="537">
        <f>IF(REKAP!$Q$9=$D272,SUMPRODUCT('RAB Pasang'!G$32:G$124,'RAB Pasang'!$T$32:$T$124),0)</f>
        <v>0</v>
      </c>
      <c r="H272" s="537">
        <f>IF(REKAP!$Q$9=$D272,SUMPRODUCT('RAB Pasang'!H$32:H$124,'RAB Pasang'!$T$32:$T$124),0)</f>
        <v>0</v>
      </c>
      <c r="I272" s="466">
        <f t="shared" si="39"/>
        <v>0</v>
      </c>
      <c r="J272" s="372"/>
      <c r="K272" s="372">
        <v>1125000</v>
      </c>
      <c r="L272" s="372">
        <f t="shared" si="40"/>
        <v>0</v>
      </c>
      <c r="M272" s="372">
        <f t="shared" si="41"/>
        <v>0</v>
      </c>
      <c r="N272" s="460">
        <f t="shared" si="42"/>
        <v>0</v>
      </c>
    </row>
    <row r="273" spans="1:14" ht="13.2" customHeight="1" x14ac:dyDescent="0.3">
      <c r="A273" s="401"/>
      <c r="B273" s="402"/>
      <c r="C273" s="371" t="s">
        <v>652</v>
      </c>
      <c r="D273" s="371" t="s">
        <v>656</v>
      </c>
      <c r="E273" s="367" t="s">
        <v>596</v>
      </c>
      <c r="F273" s="537">
        <f>IF(REKAP!$Q$9=$D273,SUMPRODUCT('RAB Pasang'!F$32:F$124,'RAB Pasang'!$T$32:$T$124),0)</f>
        <v>0</v>
      </c>
      <c r="G273" s="537">
        <f>IF(REKAP!$Q$9=$D273,SUMPRODUCT('RAB Pasang'!G$32:G$124,'RAB Pasang'!$T$32:$T$124),0)</f>
        <v>0</v>
      </c>
      <c r="H273" s="537">
        <f>IF(REKAP!$Q$9=$D273,SUMPRODUCT('RAB Pasang'!H$32:H$124,'RAB Pasang'!$T$32:$T$124),0)</f>
        <v>0</v>
      </c>
      <c r="I273" s="466">
        <f t="shared" si="39"/>
        <v>0</v>
      </c>
      <c r="J273" s="372"/>
      <c r="K273" s="372">
        <v>1215000</v>
      </c>
      <c r="L273" s="372">
        <f t="shared" si="40"/>
        <v>0</v>
      </c>
      <c r="M273" s="372">
        <f t="shared" si="41"/>
        <v>0</v>
      </c>
      <c r="N273" s="460">
        <f t="shared" si="42"/>
        <v>0</v>
      </c>
    </row>
    <row r="274" spans="1:14" ht="13.2" customHeight="1" x14ac:dyDescent="0.3">
      <c r="A274" s="401"/>
      <c r="B274" s="402"/>
      <c r="C274" s="371" t="s">
        <v>652</v>
      </c>
      <c r="D274" s="371" t="s">
        <v>657</v>
      </c>
      <c r="E274" s="367" t="s">
        <v>596</v>
      </c>
      <c r="F274" s="537">
        <f>IF(REKAP!$Q$9=$D274,SUMPRODUCT('RAB Pasang'!F$32:F$124,'RAB Pasang'!$T$32:$T$124),0)</f>
        <v>0</v>
      </c>
      <c r="G274" s="537">
        <f>IF(REKAP!$Q$9=$D274,SUMPRODUCT('RAB Pasang'!G$32:G$124,'RAB Pasang'!$T$32:$T$124),0)</f>
        <v>0</v>
      </c>
      <c r="H274" s="537">
        <f>IF(REKAP!$Q$9=$D274,SUMPRODUCT('RAB Pasang'!H$32:H$124,'RAB Pasang'!$T$32:$T$124),0)</f>
        <v>0</v>
      </c>
      <c r="I274" s="466">
        <f t="shared" si="39"/>
        <v>0</v>
      </c>
      <c r="J274" s="372"/>
      <c r="K274" s="372">
        <v>1350000</v>
      </c>
      <c r="L274" s="372">
        <f t="shared" si="40"/>
        <v>0</v>
      </c>
      <c r="M274" s="372">
        <f t="shared" si="41"/>
        <v>0</v>
      </c>
      <c r="N274" s="460">
        <f t="shared" si="42"/>
        <v>0</v>
      </c>
    </row>
    <row r="275" spans="1:14" ht="13.2" customHeight="1" x14ac:dyDescent="0.3">
      <c r="A275" s="401"/>
      <c r="B275" s="402"/>
      <c r="C275" s="371" t="s">
        <v>652</v>
      </c>
      <c r="D275" s="371" t="s">
        <v>658</v>
      </c>
      <c r="E275" s="367" t="s">
        <v>596</v>
      </c>
      <c r="F275" s="537">
        <f>IF(REKAP!$Q$9=$D275,SUMPRODUCT('RAB Pasang'!F$32:F$124,'RAB Pasang'!$T$32:$T$124),0)</f>
        <v>0</v>
      </c>
      <c r="G275" s="537">
        <f>IF(REKAP!$Q$9=$D275,SUMPRODUCT('RAB Pasang'!G$32:G$124,'RAB Pasang'!$T$32:$T$124),0)</f>
        <v>0</v>
      </c>
      <c r="H275" s="537">
        <f>IF(REKAP!$Q$9=$D275,SUMPRODUCT('RAB Pasang'!H$32:H$124,'RAB Pasang'!$T$32:$T$124),0)</f>
        <v>0</v>
      </c>
      <c r="I275" s="466">
        <f t="shared" si="39"/>
        <v>0</v>
      </c>
      <c r="J275" s="372"/>
      <c r="K275" s="372">
        <v>1575000</v>
      </c>
      <c r="L275" s="372">
        <f t="shared" si="40"/>
        <v>0</v>
      </c>
      <c r="M275" s="372">
        <f t="shared" si="41"/>
        <v>0</v>
      </c>
      <c r="N275" s="460">
        <f t="shared" si="42"/>
        <v>0</v>
      </c>
    </row>
    <row r="276" spans="1:14" ht="13.2" customHeight="1" x14ac:dyDescent="0.3">
      <c r="A276" s="401"/>
      <c r="B276" s="402"/>
      <c r="C276" s="371" t="s">
        <v>652</v>
      </c>
      <c r="D276" s="371" t="s">
        <v>659</v>
      </c>
      <c r="E276" s="367" t="s">
        <v>596</v>
      </c>
      <c r="F276" s="537">
        <f>IF(REKAP!$Q$9=$D276,SUMPRODUCT('RAB Pasang'!F$32:F$124,'RAB Pasang'!$T$32:$T$124),0)</f>
        <v>0</v>
      </c>
      <c r="G276" s="537">
        <f>IF(REKAP!$Q$9=$D276,SUMPRODUCT('RAB Pasang'!G$32:G$124,'RAB Pasang'!$T$32:$T$124),0)</f>
        <v>0</v>
      </c>
      <c r="H276" s="537">
        <f>IF(REKAP!$Q$9=$D276,SUMPRODUCT('RAB Pasang'!H$32:H$124,'RAB Pasang'!$T$32:$T$124),0)</f>
        <v>0</v>
      </c>
      <c r="I276" s="466">
        <f t="shared" si="39"/>
        <v>0</v>
      </c>
      <c r="J276" s="372"/>
      <c r="K276" s="372">
        <v>2475000</v>
      </c>
      <c r="L276" s="372">
        <f t="shared" si="40"/>
        <v>0</v>
      </c>
      <c r="M276" s="372">
        <f t="shared" si="41"/>
        <v>0</v>
      </c>
      <c r="N276" s="460">
        <f t="shared" si="42"/>
        <v>0</v>
      </c>
    </row>
    <row r="277" spans="1:14" ht="13.2" customHeight="1" x14ac:dyDescent="0.3">
      <c r="A277" s="401"/>
      <c r="B277" s="402"/>
      <c r="C277" s="371" t="s">
        <v>652</v>
      </c>
      <c r="D277" s="371" t="s">
        <v>660</v>
      </c>
      <c r="E277" s="367" t="s">
        <v>596</v>
      </c>
      <c r="F277" s="537">
        <f>IF(REKAP!$Q$9=$D277,SUMPRODUCT('RAB Pasang'!F$32:F$124,'RAB Pasang'!$T$32:$T$124),0)</f>
        <v>0</v>
      </c>
      <c r="G277" s="537">
        <f>IF(REKAP!$Q$9=$D277,SUMPRODUCT('RAB Pasang'!G$32:G$124,'RAB Pasang'!$T$32:$T$124),0)</f>
        <v>0</v>
      </c>
      <c r="H277" s="537">
        <f>IF(REKAP!$Q$9=$D277,SUMPRODUCT('RAB Pasang'!H$32:H$124,'RAB Pasang'!$T$32:$T$124),0)</f>
        <v>0</v>
      </c>
      <c r="I277" s="466">
        <f t="shared" si="39"/>
        <v>0</v>
      </c>
      <c r="J277" s="372"/>
      <c r="K277" s="372">
        <v>2250000</v>
      </c>
      <c r="L277" s="372">
        <f t="shared" si="40"/>
        <v>0</v>
      </c>
      <c r="M277" s="372">
        <f t="shared" si="41"/>
        <v>0</v>
      </c>
      <c r="N277" s="460">
        <f t="shared" si="42"/>
        <v>0</v>
      </c>
    </row>
    <row r="278" spans="1:14" ht="13.2" customHeight="1" x14ac:dyDescent="0.3">
      <c r="A278" s="401"/>
      <c r="B278" s="402"/>
      <c r="C278" s="371" t="s">
        <v>652</v>
      </c>
      <c r="D278" s="371" t="s">
        <v>661</v>
      </c>
      <c r="E278" s="367" t="s">
        <v>596</v>
      </c>
      <c r="F278" s="537">
        <f>IF(REKAP!$Q$9=$D278,SUMPRODUCT('RAB Pasang'!F$32:F$124,'RAB Pasang'!$T$32:$T$124),0)</f>
        <v>0</v>
      </c>
      <c r="G278" s="537">
        <f>IF(REKAP!$Q$9=$D278,SUMPRODUCT('RAB Pasang'!G$32:G$124,'RAB Pasang'!$T$32:$T$124),0)</f>
        <v>0</v>
      </c>
      <c r="H278" s="537">
        <f>IF(REKAP!$Q$9=$D278,SUMPRODUCT('RAB Pasang'!H$32:H$124,'RAB Pasang'!$T$32:$T$124),0)</f>
        <v>0</v>
      </c>
      <c r="I278" s="466">
        <f t="shared" si="39"/>
        <v>0</v>
      </c>
      <c r="J278" s="372"/>
      <c r="K278" s="372">
        <v>3600000</v>
      </c>
      <c r="L278" s="372">
        <f t="shared" si="40"/>
        <v>0</v>
      </c>
      <c r="M278" s="372">
        <f t="shared" si="41"/>
        <v>0</v>
      </c>
      <c r="N278" s="460">
        <f t="shared" si="42"/>
        <v>0</v>
      </c>
    </row>
    <row r="279" spans="1:14" ht="13.2" customHeight="1" x14ac:dyDescent="0.3">
      <c r="A279" s="401"/>
      <c r="B279" s="402"/>
      <c r="C279" s="371" t="s">
        <v>652</v>
      </c>
      <c r="D279" s="371" t="s">
        <v>662</v>
      </c>
      <c r="E279" s="367" t="s">
        <v>596</v>
      </c>
      <c r="F279" s="537">
        <f>IF(REKAP!$Q$9=$D279,SUMPRODUCT('RAB Pasang'!F$32:F$124,'RAB Pasang'!$T$32:$T$124),0)</f>
        <v>0</v>
      </c>
      <c r="G279" s="537">
        <f>IF(REKAP!$Q$9=$D279,SUMPRODUCT('RAB Pasang'!G$32:G$124,'RAB Pasang'!$T$32:$T$124),0)</f>
        <v>0</v>
      </c>
      <c r="H279" s="537">
        <f>IF(REKAP!$Q$9=$D279,SUMPRODUCT('RAB Pasang'!H$32:H$124,'RAB Pasang'!$T$32:$T$124),0)</f>
        <v>0</v>
      </c>
      <c r="I279" s="466">
        <f t="shared" si="39"/>
        <v>0</v>
      </c>
      <c r="J279" s="372"/>
      <c r="K279" s="372">
        <v>3150000</v>
      </c>
      <c r="L279" s="372">
        <f t="shared" si="40"/>
        <v>0</v>
      </c>
      <c r="M279" s="372">
        <f t="shared" si="41"/>
        <v>0</v>
      </c>
      <c r="N279" s="460">
        <f t="shared" si="42"/>
        <v>0</v>
      </c>
    </row>
    <row r="280" spans="1:14" ht="13.2" customHeight="1" x14ac:dyDescent="0.3">
      <c r="A280" s="401"/>
      <c r="B280" s="402"/>
      <c r="C280" s="371" t="s">
        <v>652</v>
      </c>
      <c r="D280" s="371" t="s">
        <v>663</v>
      </c>
      <c r="E280" s="367" t="s">
        <v>596</v>
      </c>
      <c r="F280" s="537">
        <f>IF(REKAP!$Q$9=$D280,SUMPRODUCT('RAB Pasang'!F$32:F$124,'RAB Pasang'!$T$32:$T$124),0)</f>
        <v>0</v>
      </c>
      <c r="G280" s="537">
        <f>IF(REKAP!$Q$9=$D280,SUMPRODUCT('RAB Pasang'!G$32:G$124,'RAB Pasang'!$T$32:$T$124),0)</f>
        <v>0</v>
      </c>
      <c r="H280" s="537">
        <f>IF(REKAP!$Q$9=$D280,SUMPRODUCT('RAB Pasang'!H$32:H$124,'RAB Pasang'!$T$32:$T$124),0)</f>
        <v>0</v>
      </c>
      <c r="I280" s="466">
        <f t="shared" si="39"/>
        <v>0</v>
      </c>
      <c r="J280" s="372"/>
      <c r="K280" s="372">
        <v>4950000</v>
      </c>
      <c r="L280" s="372">
        <f t="shared" si="40"/>
        <v>0</v>
      </c>
      <c r="M280" s="372">
        <f t="shared" si="41"/>
        <v>0</v>
      </c>
      <c r="N280" s="460">
        <f t="shared" si="42"/>
        <v>0</v>
      </c>
    </row>
    <row r="281" spans="1:14" ht="13.2" customHeight="1" x14ac:dyDescent="0.3">
      <c r="A281" s="401"/>
      <c r="B281" s="402"/>
      <c r="C281" s="373" t="s">
        <v>652</v>
      </c>
      <c r="D281" s="373" t="s">
        <v>664</v>
      </c>
      <c r="E281" s="374" t="s">
        <v>596</v>
      </c>
      <c r="F281" s="560">
        <f>IF(REKAP!$Q$9=$D281,SUMPRODUCT('RAB Pasang'!F$32:F$124,'RAB Pasang'!$T$32:$T$124),0)</f>
        <v>0</v>
      </c>
      <c r="G281" s="560">
        <f>IF(REKAP!$Q$9=$D281,SUMPRODUCT('RAB Pasang'!G$32:G$124,'RAB Pasang'!$T$32:$T$124),0)</f>
        <v>0</v>
      </c>
      <c r="H281" s="560">
        <f>IF(REKAP!$Q$9=$D281,SUMPRODUCT('RAB Pasang'!H$32:H$124,'RAB Pasang'!$T$32:$T$124),0)</f>
        <v>0</v>
      </c>
      <c r="I281" s="468">
        <f t="shared" si="39"/>
        <v>0</v>
      </c>
      <c r="J281" s="375"/>
      <c r="K281" s="372">
        <v>720000</v>
      </c>
      <c r="L281" s="375">
        <f t="shared" si="40"/>
        <v>0</v>
      </c>
      <c r="M281" s="375">
        <f t="shared" si="41"/>
        <v>0</v>
      </c>
      <c r="N281" s="462">
        <f t="shared" si="42"/>
        <v>0</v>
      </c>
    </row>
    <row r="282" spans="1:14" ht="13.2" customHeight="1" x14ac:dyDescent="0.3">
      <c r="A282" s="401"/>
      <c r="B282" s="403" t="s">
        <v>1922</v>
      </c>
      <c r="C282" s="404" t="s">
        <v>652</v>
      </c>
      <c r="D282" s="404" t="s">
        <v>655</v>
      </c>
      <c r="E282" s="405" t="s">
        <v>596</v>
      </c>
      <c r="F282" s="564"/>
      <c r="G282" s="564"/>
      <c r="H282" s="564"/>
      <c r="I282" s="542"/>
      <c r="J282" s="406"/>
      <c r="K282" s="406">
        <v>675000</v>
      </c>
      <c r="L282" s="406">
        <f t="shared" si="40"/>
        <v>0</v>
      </c>
      <c r="M282" s="406">
        <f t="shared" si="41"/>
        <v>0</v>
      </c>
      <c r="N282" s="548">
        <f t="shared" si="42"/>
        <v>0</v>
      </c>
    </row>
    <row r="283" spans="1:14" ht="13.2" customHeight="1" x14ac:dyDescent="0.3">
      <c r="A283" s="401"/>
      <c r="B283" s="407"/>
      <c r="C283" s="371" t="s">
        <v>652</v>
      </c>
      <c r="D283" s="371" t="s">
        <v>656</v>
      </c>
      <c r="E283" s="367" t="s">
        <v>596</v>
      </c>
      <c r="F283" s="537"/>
      <c r="G283" s="537"/>
      <c r="H283" s="537"/>
      <c r="I283" s="466"/>
      <c r="J283" s="372"/>
      <c r="K283" s="372">
        <v>540000</v>
      </c>
      <c r="L283" s="372">
        <f t="shared" si="40"/>
        <v>0</v>
      </c>
      <c r="M283" s="372">
        <f t="shared" si="41"/>
        <v>0</v>
      </c>
      <c r="N283" s="460">
        <f t="shared" si="42"/>
        <v>0</v>
      </c>
    </row>
    <row r="284" spans="1:14" ht="13.2" customHeight="1" x14ac:dyDescent="0.3">
      <c r="A284" s="401"/>
      <c r="B284" s="408"/>
      <c r="C284" s="390" t="s">
        <v>652</v>
      </c>
      <c r="D284" s="390" t="s">
        <v>657</v>
      </c>
      <c r="E284" s="391" t="s">
        <v>596</v>
      </c>
      <c r="F284" s="562"/>
      <c r="G284" s="562"/>
      <c r="H284" s="562"/>
      <c r="I284" s="541"/>
      <c r="J284" s="409"/>
      <c r="K284" s="409">
        <v>675000</v>
      </c>
      <c r="L284" s="409">
        <f t="shared" si="40"/>
        <v>0</v>
      </c>
      <c r="M284" s="409">
        <f t="shared" si="41"/>
        <v>0</v>
      </c>
      <c r="N284" s="549">
        <f t="shared" si="42"/>
        <v>0</v>
      </c>
    </row>
    <row r="285" spans="1:14" ht="13.2" customHeight="1" x14ac:dyDescent="0.3">
      <c r="A285" s="401"/>
      <c r="B285" s="403" t="s">
        <v>1923</v>
      </c>
      <c r="C285" s="404" t="s">
        <v>652</v>
      </c>
      <c r="D285" s="371" t="s">
        <v>662</v>
      </c>
      <c r="E285" s="405" t="s">
        <v>596</v>
      </c>
      <c r="F285" s="564"/>
      <c r="G285" s="564"/>
      <c r="H285" s="564"/>
      <c r="I285" s="542"/>
      <c r="J285" s="406"/>
      <c r="K285" s="406">
        <v>450000</v>
      </c>
      <c r="L285" s="406">
        <f t="shared" si="40"/>
        <v>0</v>
      </c>
      <c r="M285" s="406">
        <f t="shared" si="41"/>
        <v>0</v>
      </c>
      <c r="N285" s="548">
        <f t="shared" si="42"/>
        <v>0</v>
      </c>
    </row>
    <row r="286" spans="1:14" ht="13.2" customHeight="1" x14ac:dyDescent="0.3">
      <c r="A286" s="401"/>
      <c r="B286" s="407"/>
      <c r="C286" s="373" t="s">
        <v>652</v>
      </c>
      <c r="D286" s="373" t="s">
        <v>663</v>
      </c>
      <c r="E286" s="367" t="s">
        <v>596</v>
      </c>
      <c r="F286" s="537"/>
      <c r="G286" s="537"/>
      <c r="H286" s="537"/>
      <c r="I286" s="466"/>
      <c r="J286" s="372"/>
      <c r="K286" s="372">
        <v>2025000</v>
      </c>
      <c r="L286" s="372">
        <f t="shared" si="40"/>
        <v>0</v>
      </c>
      <c r="M286" s="372">
        <f t="shared" si="41"/>
        <v>0</v>
      </c>
      <c r="N286" s="460">
        <f t="shared" si="42"/>
        <v>0</v>
      </c>
    </row>
    <row r="287" spans="1:14" ht="13.2" customHeight="1" x14ac:dyDescent="0.3">
      <c r="A287" s="401"/>
      <c r="B287" s="403" t="s">
        <v>1924</v>
      </c>
      <c r="C287" s="404" t="s">
        <v>652</v>
      </c>
      <c r="D287" s="404" t="s">
        <v>658</v>
      </c>
      <c r="E287" s="405" t="s">
        <v>596</v>
      </c>
      <c r="F287" s="564"/>
      <c r="G287" s="564"/>
      <c r="H287" s="564"/>
      <c r="I287" s="542"/>
      <c r="J287" s="406"/>
      <c r="K287" s="406">
        <v>450000</v>
      </c>
      <c r="L287" s="406">
        <f t="shared" si="40"/>
        <v>0</v>
      </c>
      <c r="M287" s="406">
        <f t="shared" si="41"/>
        <v>0</v>
      </c>
      <c r="N287" s="548">
        <f t="shared" si="42"/>
        <v>0</v>
      </c>
    </row>
    <row r="288" spans="1:14" ht="13.2" customHeight="1" x14ac:dyDescent="0.3">
      <c r="A288" s="401"/>
      <c r="B288" s="408"/>
      <c r="C288" s="390" t="s">
        <v>652</v>
      </c>
      <c r="D288" s="390" t="s">
        <v>659</v>
      </c>
      <c r="E288" s="367" t="s">
        <v>596</v>
      </c>
      <c r="F288" s="537"/>
      <c r="G288" s="537"/>
      <c r="H288" s="537"/>
      <c r="I288" s="466"/>
      <c r="J288" s="372"/>
      <c r="K288" s="372">
        <v>1350000</v>
      </c>
      <c r="L288" s="372">
        <f t="shared" si="40"/>
        <v>0</v>
      </c>
      <c r="M288" s="372">
        <f t="shared" si="41"/>
        <v>0</v>
      </c>
      <c r="N288" s="460">
        <f t="shared" si="42"/>
        <v>0</v>
      </c>
    </row>
    <row r="289" spans="1:14" ht="13.2" customHeight="1" x14ac:dyDescent="0.3">
      <c r="A289" s="401"/>
      <c r="B289" s="403" t="s">
        <v>1925</v>
      </c>
      <c r="C289" s="404" t="s">
        <v>652</v>
      </c>
      <c r="D289" s="404" t="s">
        <v>630</v>
      </c>
      <c r="E289" s="405" t="s">
        <v>596</v>
      </c>
      <c r="F289" s="564"/>
      <c r="G289" s="564"/>
      <c r="H289" s="564"/>
      <c r="I289" s="542"/>
      <c r="J289" s="406"/>
      <c r="K289" s="406">
        <v>450000</v>
      </c>
      <c r="L289" s="406">
        <f t="shared" si="40"/>
        <v>0</v>
      </c>
      <c r="M289" s="406">
        <f t="shared" si="41"/>
        <v>0</v>
      </c>
      <c r="N289" s="548">
        <f t="shared" si="42"/>
        <v>0</v>
      </c>
    </row>
    <row r="290" spans="1:14" ht="13.2" customHeight="1" x14ac:dyDescent="0.3">
      <c r="A290" s="410"/>
      <c r="B290" s="408"/>
      <c r="C290" s="390" t="s">
        <v>652</v>
      </c>
      <c r="D290" s="390" t="s">
        <v>1569</v>
      </c>
      <c r="E290" s="391" t="s">
        <v>596</v>
      </c>
      <c r="F290" s="562"/>
      <c r="G290" s="562"/>
      <c r="H290" s="562"/>
      <c r="I290" s="541"/>
      <c r="J290" s="409"/>
      <c r="K290" s="409">
        <v>1620000</v>
      </c>
      <c r="L290" s="409">
        <f t="shared" si="40"/>
        <v>0</v>
      </c>
      <c r="M290" s="409">
        <f t="shared" si="41"/>
        <v>0</v>
      </c>
      <c r="N290" s="549">
        <f t="shared" si="42"/>
        <v>0</v>
      </c>
    </row>
    <row r="291" spans="1:14" ht="13.2" customHeight="1" x14ac:dyDescent="0.3">
      <c r="A291" s="397">
        <v>9</v>
      </c>
      <c r="B291" s="398" t="s">
        <v>1577</v>
      </c>
      <c r="C291" s="371"/>
      <c r="D291" s="371"/>
      <c r="E291" s="367"/>
      <c r="F291" s="537"/>
      <c r="G291" s="537"/>
      <c r="H291" s="537"/>
      <c r="I291" s="466">
        <f t="shared" ref="I291" si="43">SUM(F291:H291)</f>
        <v>0</v>
      </c>
      <c r="J291" s="372"/>
      <c r="K291" s="406"/>
      <c r="L291" s="372">
        <f t="shared" ref="L291" si="44">J291*I291</f>
        <v>0</v>
      </c>
      <c r="M291" s="372">
        <f t="shared" ref="M291" si="45">K291*I291</f>
        <v>0</v>
      </c>
      <c r="N291" s="460">
        <f t="shared" ref="N291" si="46">SUM(L291:M291)</f>
        <v>0</v>
      </c>
    </row>
    <row r="292" spans="1:14" ht="13.2" customHeight="1" x14ac:dyDescent="0.3">
      <c r="A292" s="401"/>
      <c r="B292" s="402" t="s">
        <v>1828</v>
      </c>
      <c r="C292" s="371" t="s">
        <v>650</v>
      </c>
      <c r="D292" s="371" t="s">
        <v>651</v>
      </c>
      <c r="E292" s="367" t="s">
        <v>235</v>
      </c>
      <c r="F292" s="539"/>
      <c r="G292" s="539"/>
      <c r="H292" s="539"/>
      <c r="I292" s="372">
        <f t="shared" ref="I292:I323" si="47">SUM(F292:H292)</f>
        <v>0</v>
      </c>
      <c r="J292" s="372"/>
      <c r="K292" s="372">
        <v>244000</v>
      </c>
      <c r="L292" s="372">
        <f t="shared" ref="L292:L323" si="48">J292*I292</f>
        <v>0</v>
      </c>
      <c r="M292" s="372">
        <f t="shared" ref="M292:M323" si="49">K292*I292</f>
        <v>0</v>
      </c>
      <c r="N292" s="460">
        <f t="shared" ref="N292:N323" si="50">SUM(L292:M292)</f>
        <v>0</v>
      </c>
    </row>
    <row r="293" spans="1:14" ht="13.2" customHeight="1" x14ac:dyDescent="0.3">
      <c r="A293" s="401"/>
      <c r="B293" s="402"/>
      <c r="C293" s="371" t="s">
        <v>652</v>
      </c>
      <c r="D293" s="371" t="s">
        <v>651</v>
      </c>
      <c r="E293" s="367" t="s">
        <v>235</v>
      </c>
      <c r="F293" s="539"/>
      <c r="G293" s="539"/>
      <c r="H293" s="539"/>
      <c r="I293" s="372">
        <f t="shared" si="47"/>
        <v>0</v>
      </c>
      <c r="J293" s="372"/>
      <c r="K293" s="372">
        <v>288000</v>
      </c>
      <c r="L293" s="372">
        <f t="shared" si="48"/>
        <v>0</v>
      </c>
      <c r="M293" s="372">
        <f t="shared" si="49"/>
        <v>0</v>
      </c>
      <c r="N293" s="460">
        <f t="shared" si="50"/>
        <v>0</v>
      </c>
    </row>
    <row r="294" spans="1:14" ht="13.2" customHeight="1" x14ac:dyDescent="0.3">
      <c r="A294" s="401"/>
      <c r="B294" s="402"/>
      <c r="C294" s="371" t="s">
        <v>652</v>
      </c>
      <c r="D294" s="371" t="s">
        <v>653</v>
      </c>
      <c r="E294" s="367" t="s">
        <v>235</v>
      </c>
      <c r="F294" s="539"/>
      <c r="G294" s="539"/>
      <c r="H294" s="539"/>
      <c r="I294" s="372">
        <f t="shared" si="47"/>
        <v>0</v>
      </c>
      <c r="J294" s="372"/>
      <c r="K294" s="372">
        <v>289000</v>
      </c>
      <c r="L294" s="372">
        <f t="shared" si="48"/>
        <v>0</v>
      </c>
      <c r="M294" s="372">
        <f t="shared" si="49"/>
        <v>0</v>
      </c>
      <c r="N294" s="460">
        <f t="shared" si="50"/>
        <v>0</v>
      </c>
    </row>
    <row r="295" spans="1:14" ht="13.2" customHeight="1" x14ac:dyDescent="0.3">
      <c r="A295" s="401"/>
      <c r="B295" s="402"/>
      <c r="C295" s="371" t="s">
        <v>652</v>
      </c>
      <c r="D295" s="371" t="s">
        <v>654</v>
      </c>
      <c r="E295" s="367" t="s">
        <v>235</v>
      </c>
      <c r="F295" s="539"/>
      <c r="G295" s="539"/>
      <c r="H295" s="539"/>
      <c r="I295" s="372">
        <f t="shared" si="47"/>
        <v>0</v>
      </c>
      <c r="J295" s="372"/>
      <c r="K295" s="372">
        <v>305000</v>
      </c>
      <c r="L295" s="372">
        <f t="shared" si="48"/>
        <v>0</v>
      </c>
      <c r="M295" s="372">
        <f t="shared" si="49"/>
        <v>0</v>
      </c>
      <c r="N295" s="460">
        <f t="shared" si="50"/>
        <v>0</v>
      </c>
    </row>
    <row r="296" spans="1:14" ht="13.2" customHeight="1" x14ac:dyDescent="0.3">
      <c r="A296" s="401"/>
      <c r="B296" s="402"/>
      <c r="C296" s="371" t="s">
        <v>652</v>
      </c>
      <c r="D296" s="371" t="s">
        <v>655</v>
      </c>
      <c r="E296" s="367" t="s">
        <v>235</v>
      </c>
      <c r="F296" s="539"/>
      <c r="G296" s="539"/>
      <c r="H296" s="539"/>
      <c r="I296" s="372">
        <f t="shared" si="47"/>
        <v>0</v>
      </c>
      <c r="J296" s="372"/>
      <c r="K296" s="372">
        <v>352000</v>
      </c>
      <c r="L296" s="372">
        <f t="shared" si="48"/>
        <v>0</v>
      </c>
      <c r="M296" s="372">
        <f t="shared" si="49"/>
        <v>0</v>
      </c>
      <c r="N296" s="460">
        <f t="shared" si="50"/>
        <v>0</v>
      </c>
    </row>
    <row r="297" spans="1:14" ht="13.2" customHeight="1" x14ac:dyDescent="0.3">
      <c r="A297" s="401"/>
      <c r="B297" s="402"/>
      <c r="C297" s="371" t="s">
        <v>652</v>
      </c>
      <c r="D297" s="371" t="s">
        <v>656</v>
      </c>
      <c r="E297" s="367" t="s">
        <v>235</v>
      </c>
      <c r="F297" s="539"/>
      <c r="G297" s="539"/>
      <c r="H297" s="539"/>
      <c r="I297" s="372">
        <f t="shared" si="47"/>
        <v>0</v>
      </c>
      <c r="J297" s="372"/>
      <c r="K297" s="372">
        <v>376000</v>
      </c>
      <c r="L297" s="372">
        <f t="shared" si="48"/>
        <v>0</v>
      </c>
      <c r="M297" s="372">
        <f t="shared" si="49"/>
        <v>0</v>
      </c>
      <c r="N297" s="460">
        <f t="shared" si="50"/>
        <v>0</v>
      </c>
    </row>
    <row r="298" spans="1:14" ht="13.2" customHeight="1" x14ac:dyDescent="0.3">
      <c r="A298" s="401"/>
      <c r="B298" s="402"/>
      <c r="C298" s="371" t="s">
        <v>652</v>
      </c>
      <c r="D298" s="371" t="s">
        <v>657</v>
      </c>
      <c r="E298" s="367" t="s">
        <v>235</v>
      </c>
      <c r="F298" s="539"/>
      <c r="G298" s="539"/>
      <c r="H298" s="539"/>
      <c r="I298" s="372">
        <f t="shared" si="47"/>
        <v>0</v>
      </c>
      <c r="J298" s="372"/>
      <c r="K298" s="372">
        <v>376000</v>
      </c>
      <c r="L298" s="372">
        <f t="shared" si="48"/>
        <v>0</v>
      </c>
      <c r="M298" s="372">
        <f t="shared" si="49"/>
        <v>0</v>
      </c>
      <c r="N298" s="460">
        <f t="shared" si="50"/>
        <v>0</v>
      </c>
    </row>
    <row r="299" spans="1:14" ht="13.2" customHeight="1" x14ac:dyDescent="0.3">
      <c r="A299" s="401"/>
      <c r="B299" s="402"/>
      <c r="C299" s="371" t="s">
        <v>652</v>
      </c>
      <c r="D299" s="371" t="s">
        <v>658</v>
      </c>
      <c r="E299" s="367" t="s">
        <v>235</v>
      </c>
      <c r="F299" s="539"/>
      <c r="G299" s="539"/>
      <c r="H299" s="539"/>
      <c r="I299" s="372">
        <f t="shared" si="47"/>
        <v>0</v>
      </c>
      <c r="J299" s="372"/>
      <c r="K299" s="372">
        <v>472000</v>
      </c>
      <c r="L299" s="372">
        <f t="shared" si="48"/>
        <v>0</v>
      </c>
      <c r="M299" s="372">
        <f t="shared" si="49"/>
        <v>0</v>
      </c>
      <c r="N299" s="460">
        <f t="shared" si="50"/>
        <v>0</v>
      </c>
    </row>
    <row r="300" spans="1:14" ht="13.2" customHeight="1" x14ac:dyDescent="0.3">
      <c r="A300" s="401"/>
      <c r="B300" s="402"/>
      <c r="C300" s="371" t="s">
        <v>652</v>
      </c>
      <c r="D300" s="371" t="s">
        <v>659</v>
      </c>
      <c r="E300" s="367" t="s">
        <v>235</v>
      </c>
      <c r="F300" s="539"/>
      <c r="G300" s="539"/>
      <c r="H300" s="539"/>
      <c r="I300" s="372">
        <f t="shared" si="47"/>
        <v>0</v>
      </c>
      <c r="J300" s="372"/>
      <c r="K300" s="372">
        <v>837000</v>
      </c>
      <c r="L300" s="372">
        <f t="shared" si="48"/>
        <v>0</v>
      </c>
      <c r="M300" s="372">
        <f t="shared" si="49"/>
        <v>0</v>
      </c>
      <c r="N300" s="460">
        <f t="shared" si="50"/>
        <v>0</v>
      </c>
    </row>
    <row r="301" spans="1:14" ht="13.2" customHeight="1" x14ac:dyDescent="0.3">
      <c r="A301" s="401"/>
      <c r="B301" s="402"/>
      <c r="C301" s="371" t="s">
        <v>652</v>
      </c>
      <c r="D301" s="371" t="s">
        <v>660</v>
      </c>
      <c r="E301" s="367" t="s">
        <v>235</v>
      </c>
      <c r="F301" s="539"/>
      <c r="G301" s="539"/>
      <c r="H301" s="539"/>
      <c r="I301" s="372">
        <f t="shared" si="47"/>
        <v>0</v>
      </c>
      <c r="J301" s="372"/>
      <c r="K301" s="372">
        <v>589000</v>
      </c>
      <c r="L301" s="372">
        <f t="shared" si="48"/>
        <v>0</v>
      </c>
      <c r="M301" s="372">
        <f t="shared" si="49"/>
        <v>0</v>
      </c>
      <c r="N301" s="460">
        <f t="shared" si="50"/>
        <v>0</v>
      </c>
    </row>
    <row r="302" spans="1:14" ht="13.2" customHeight="1" x14ac:dyDescent="0.3">
      <c r="A302" s="401"/>
      <c r="B302" s="402"/>
      <c r="C302" s="371" t="s">
        <v>652</v>
      </c>
      <c r="D302" s="371" t="s">
        <v>661</v>
      </c>
      <c r="E302" s="367" t="s">
        <v>235</v>
      </c>
      <c r="F302" s="539"/>
      <c r="G302" s="539"/>
      <c r="H302" s="539"/>
      <c r="I302" s="372">
        <f t="shared" si="47"/>
        <v>0</v>
      </c>
      <c r="J302" s="372"/>
      <c r="K302" s="372">
        <v>1012000</v>
      </c>
      <c r="L302" s="372">
        <f t="shared" si="48"/>
        <v>0</v>
      </c>
      <c r="M302" s="372">
        <f t="shared" si="49"/>
        <v>0</v>
      </c>
      <c r="N302" s="460">
        <f t="shared" si="50"/>
        <v>0</v>
      </c>
    </row>
    <row r="303" spans="1:14" ht="13.2" customHeight="1" x14ac:dyDescent="0.3">
      <c r="A303" s="401"/>
      <c r="B303" s="402"/>
      <c r="C303" s="371" t="s">
        <v>652</v>
      </c>
      <c r="D303" s="371" t="s">
        <v>662</v>
      </c>
      <c r="E303" s="367" t="s">
        <v>235</v>
      </c>
      <c r="F303" s="539"/>
      <c r="G303" s="539"/>
      <c r="H303" s="539"/>
      <c r="I303" s="372">
        <f t="shared" si="47"/>
        <v>0</v>
      </c>
      <c r="J303" s="372"/>
      <c r="K303" s="372">
        <v>851000</v>
      </c>
      <c r="L303" s="372">
        <f t="shared" si="48"/>
        <v>0</v>
      </c>
      <c r="M303" s="372">
        <f t="shared" si="49"/>
        <v>0</v>
      </c>
      <c r="N303" s="460">
        <f t="shared" si="50"/>
        <v>0</v>
      </c>
    </row>
    <row r="304" spans="1:14" ht="13.2" customHeight="1" x14ac:dyDescent="0.3">
      <c r="A304" s="401"/>
      <c r="B304" s="402"/>
      <c r="C304" s="371" t="s">
        <v>652</v>
      </c>
      <c r="D304" s="371" t="s">
        <v>663</v>
      </c>
      <c r="E304" s="367" t="s">
        <v>235</v>
      </c>
      <c r="F304" s="539"/>
      <c r="G304" s="539"/>
      <c r="H304" s="539"/>
      <c r="I304" s="372">
        <f t="shared" si="47"/>
        <v>0</v>
      </c>
      <c r="J304" s="372"/>
      <c r="K304" s="372">
        <v>1214000</v>
      </c>
      <c r="L304" s="372">
        <f t="shared" si="48"/>
        <v>0</v>
      </c>
      <c r="M304" s="372">
        <f t="shared" si="49"/>
        <v>0</v>
      </c>
      <c r="N304" s="460">
        <f t="shared" si="50"/>
        <v>0</v>
      </c>
    </row>
    <row r="305" spans="1:14" ht="13.2" customHeight="1" x14ac:dyDescent="0.3">
      <c r="A305" s="401"/>
      <c r="B305" s="402"/>
      <c r="C305" s="373" t="s">
        <v>652</v>
      </c>
      <c r="D305" s="373" t="s">
        <v>664</v>
      </c>
      <c r="E305" s="374" t="s">
        <v>235</v>
      </c>
      <c r="F305" s="571"/>
      <c r="G305" s="571"/>
      <c r="H305" s="571"/>
      <c r="I305" s="375">
        <f t="shared" si="47"/>
        <v>0</v>
      </c>
      <c r="J305" s="375"/>
      <c r="K305" s="409">
        <v>313000</v>
      </c>
      <c r="L305" s="375">
        <f t="shared" si="48"/>
        <v>0</v>
      </c>
      <c r="M305" s="375">
        <f t="shared" si="49"/>
        <v>0</v>
      </c>
      <c r="N305" s="462">
        <f t="shared" si="50"/>
        <v>0</v>
      </c>
    </row>
    <row r="306" spans="1:14" ht="13.2" customHeight="1" x14ac:dyDescent="0.3">
      <c r="A306" s="401"/>
      <c r="B306" s="403" t="s">
        <v>1824</v>
      </c>
      <c r="C306" s="404" t="s">
        <v>652</v>
      </c>
      <c r="D306" s="404" t="s">
        <v>655</v>
      </c>
      <c r="E306" s="405" t="s">
        <v>235</v>
      </c>
      <c r="F306" s="576"/>
      <c r="G306" s="576"/>
      <c r="H306" s="576"/>
      <c r="I306" s="406">
        <f t="shared" si="47"/>
        <v>0</v>
      </c>
      <c r="J306" s="406"/>
      <c r="K306" s="406">
        <v>304000</v>
      </c>
      <c r="L306" s="406">
        <f t="shared" si="48"/>
        <v>0</v>
      </c>
      <c r="M306" s="406">
        <f t="shared" si="49"/>
        <v>0</v>
      </c>
      <c r="N306" s="548">
        <f t="shared" si="50"/>
        <v>0</v>
      </c>
    </row>
    <row r="307" spans="1:14" ht="13.2" customHeight="1" x14ac:dyDescent="0.3">
      <c r="A307" s="401"/>
      <c r="B307" s="407"/>
      <c r="C307" s="371" t="s">
        <v>652</v>
      </c>
      <c r="D307" s="371" t="s">
        <v>656</v>
      </c>
      <c r="E307" s="367" t="s">
        <v>235</v>
      </c>
      <c r="F307" s="539"/>
      <c r="G307" s="539"/>
      <c r="H307" s="539"/>
      <c r="I307" s="372">
        <f t="shared" si="47"/>
        <v>0</v>
      </c>
      <c r="J307" s="372"/>
      <c r="K307" s="372">
        <v>252000</v>
      </c>
      <c r="L307" s="372">
        <f t="shared" si="48"/>
        <v>0</v>
      </c>
      <c r="M307" s="372">
        <f t="shared" si="49"/>
        <v>0</v>
      </c>
      <c r="N307" s="460">
        <f t="shared" si="50"/>
        <v>0</v>
      </c>
    </row>
    <row r="308" spans="1:14" ht="13.2" customHeight="1" x14ac:dyDescent="0.3">
      <c r="A308" s="401"/>
      <c r="B308" s="408"/>
      <c r="C308" s="390" t="s">
        <v>652</v>
      </c>
      <c r="D308" s="390" t="s">
        <v>657</v>
      </c>
      <c r="E308" s="391" t="s">
        <v>235</v>
      </c>
      <c r="F308" s="577"/>
      <c r="G308" s="577"/>
      <c r="H308" s="577"/>
      <c r="I308" s="409">
        <f t="shared" si="47"/>
        <v>0</v>
      </c>
      <c r="J308" s="409"/>
      <c r="K308" s="409">
        <v>291000</v>
      </c>
      <c r="L308" s="409">
        <f t="shared" si="48"/>
        <v>0</v>
      </c>
      <c r="M308" s="409">
        <f t="shared" si="49"/>
        <v>0</v>
      </c>
      <c r="N308" s="549">
        <f t="shared" si="50"/>
        <v>0</v>
      </c>
    </row>
    <row r="309" spans="1:14" ht="13.2" customHeight="1" x14ac:dyDescent="0.3">
      <c r="A309" s="401"/>
      <c r="B309" s="403" t="s">
        <v>1825</v>
      </c>
      <c r="C309" s="404" t="s">
        <v>652</v>
      </c>
      <c r="D309" s="371" t="s">
        <v>662</v>
      </c>
      <c r="E309" s="405" t="s">
        <v>235</v>
      </c>
      <c r="F309" s="576"/>
      <c r="G309" s="576"/>
      <c r="H309" s="576"/>
      <c r="I309" s="406">
        <f t="shared" si="47"/>
        <v>0</v>
      </c>
      <c r="J309" s="406"/>
      <c r="K309" s="406">
        <v>253000</v>
      </c>
      <c r="L309" s="406">
        <f t="shared" si="48"/>
        <v>0</v>
      </c>
      <c r="M309" s="406">
        <f t="shared" si="49"/>
        <v>0</v>
      </c>
      <c r="N309" s="548">
        <f t="shared" si="50"/>
        <v>0</v>
      </c>
    </row>
    <row r="310" spans="1:14" ht="13.2" customHeight="1" x14ac:dyDescent="0.3">
      <c r="A310" s="401"/>
      <c r="B310" s="407"/>
      <c r="C310" s="373" t="s">
        <v>652</v>
      </c>
      <c r="D310" s="373" t="s">
        <v>663</v>
      </c>
      <c r="E310" s="374" t="s">
        <v>235</v>
      </c>
      <c r="F310" s="571"/>
      <c r="G310" s="571"/>
      <c r="H310" s="571"/>
      <c r="I310" s="372">
        <f t="shared" si="47"/>
        <v>0</v>
      </c>
      <c r="J310" s="372"/>
      <c r="K310" s="409">
        <v>464000</v>
      </c>
      <c r="L310" s="372">
        <f t="shared" si="48"/>
        <v>0</v>
      </c>
      <c r="M310" s="372">
        <f t="shared" si="49"/>
        <v>0</v>
      </c>
      <c r="N310" s="460">
        <f t="shared" si="50"/>
        <v>0</v>
      </c>
    </row>
    <row r="311" spans="1:14" ht="13.2" customHeight="1" x14ac:dyDescent="0.3">
      <c r="A311" s="401"/>
      <c r="B311" s="403" t="s">
        <v>1826</v>
      </c>
      <c r="C311" s="404" t="s">
        <v>652</v>
      </c>
      <c r="D311" s="404" t="s">
        <v>658</v>
      </c>
      <c r="E311" s="405" t="s">
        <v>235</v>
      </c>
      <c r="F311" s="576"/>
      <c r="G311" s="576"/>
      <c r="H311" s="576"/>
      <c r="I311" s="406">
        <f t="shared" si="47"/>
        <v>0</v>
      </c>
      <c r="J311" s="406"/>
      <c r="K311" s="406">
        <v>249000</v>
      </c>
      <c r="L311" s="406">
        <f t="shared" si="48"/>
        <v>0</v>
      </c>
      <c r="M311" s="406">
        <f t="shared" si="49"/>
        <v>0</v>
      </c>
      <c r="N311" s="548">
        <f t="shared" si="50"/>
        <v>0</v>
      </c>
    </row>
    <row r="312" spans="1:14" ht="13.2" customHeight="1" x14ac:dyDescent="0.3">
      <c r="A312" s="401"/>
      <c r="B312" s="407"/>
      <c r="C312" s="390" t="s">
        <v>652</v>
      </c>
      <c r="D312" s="390" t="s">
        <v>659</v>
      </c>
      <c r="E312" s="391" t="s">
        <v>235</v>
      </c>
      <c r="F312" s="571"/>
      <c r="G312" s="571"/>
      <c r="H312" s="571"/>
      <c r="I312" s="372">
        <f t="shared" si="47"/>
        <v>0</v>
      </c>
      <c r="J312" s="372"/>
      <c r="K312" s="409">
        <v>387000</v>
      </c>
      <c r="L312" s="372">
        <f t="shared" si="48"/>
        <v>0</v>
      </c>
      <c r="M312" s="372">
        <f t="shared" si="49"/>
        <v>0</v>
      </c>
      <c r="N312" s="460">
        <f t="shared" si="50"/>
        <v>0</v>
      </c>
    </row>
    <row r="313" spans="1:14" ht="13.2" customHeight="1" x14ac:dyDescent="0.3">
      <c r="A313" s="401"/>
      <c r="B313" s="403" t="s">
        <v>1827</v>
      </c>
      <c r="C313" s="404" t="s">
        <v>652</v>
      </c>
      <c r="D313" s="404" t="s">
        <v>630</v>
      </c>
      <c r="E313" s="405" t="s">
        <v>235</v>
      </c>
      <c r="F313" s="576"/>
      <c r="G313" s="576"/>
      <c r="H313" s="576"/>
      <c r="I313" s="406">
        <f t="shared" si="47"/>
        <v>0</v>
      </c>
      <c r="J313" s="406"/>
      <c r="K313" s="369">
        <v>249000</v>
      </c>
      <c r="L313" s="406">
        <f t="shared" si="48"/>
        <v>0</v>
      </c>
      <c r="M313" s="406">
        <f t="shared" si="49"/>
        <v>0</v>
      </c>
      <c r="N313" s="548">
        <f t="shared" si="50"/>
        <v>0</v>
      </c>
    </row>
    <row r="314" spans="1:14" ht="13.2" customHeight="1" x14ac:dyDescent="0.3">
      <c r="A314" s="410"/>
      <c r="B314" s="408"/>
      <c r="C314" s="390" t="s">
        <v>652</v>
      </c>
      <c r="D314" s="390" t="s">
        <v>1569</v>
      </c>
      <c r="E314" s="391" t="s">
        <v>235</v>
      </c>
      <c r="F314" s="577"/>
      <c r="G314" s="577"/>
      <c r="H314" s="577"/>
      <c r="I314" s="409">
        <f t="shared" si="47"/>
        <v>0</v>
      </c>
      <c r="J314" s="409"/>
      <c r="K314" s="409">
        <v>449000</v>
      </c>
      <c r="L314" s="409">
        <f t="shared" si="48"/>
        <v>0</v>
      </c>
      <c r="M314" s="409">
        <f t="shared" si="49"/>
        <v>0</v>
      </c>
      <c r="N314" s="549">
        <f t="shared" si="50"/>
        <v>0</v>
      </c>
    </row>
    <row r="315" spans="1:14" ht="13.2" customHeight="1" x14ac:dyDescent="0.3">
      <c r="A315" s="397">
        <v>8</v>
      </c>
      <c r="B315" s="398" t="s">
        <v>1576</v>
      </c>
      <c r="C315" s="371"/>
      <c r="D315" s="371"/>
      <c r="E315" s="367"/>
      <c r="F315" s="527"/>
      <c r="G315" s="527"/>
      <c r="H315" s="527"/>
      <c r="I315" s="372">
        <f t="shared" si="47"/>
        <v>0</v>
      </c>
      <c r="J315" s="372"/>
      <c r="K315" s="369"/>
      <c r="L315" s="372">
        <f t="shared" si="48"/>
        <v>0</v>
      </c>
      <c r="M315" s="372">
        <f t="shared" si="49"/>
        <v>0</v>
      </c>
      <c r="N315" s="460">
        <f t="shared" si="50"/>
        <v>0</v>
      </c>
    </row>
    <row r="316" spans="1:14" ht="13.2" customHeight="1" x14ac:dyDescent="0.3">
      <c r="A316" s="401"/>
      <c r="B316" s="402" t="s">
        <v>1828</v>
      </c>
      <c r="C316" s="371" t="s">
        <v>650</v>
      </c>
      <c r="D316" s="371" t="s">
        <v>651</v>
      </c>
      <c r="E316" s="367" t="s">
        <v>235</v>
      </c>
      <c r="F316" s="539"/>
      <c r="G316" s="539"/>
      <c r="H316" s="527">
        <f>IF(REKAP!$Q$9="Kota Kupang",H$25,0)</f>
        <v>0</v>
      </c>
      <c r="I316" s="372">
        <f t="shared" si="47"/>
        <v>0</v>
      </c>
      <c r="J316" s="372"/>
      <c r="K316" s="372">
        <v>378000</v>
      </c>
      <c r="L316" s="372">
        <f t="shared" si="48"/>
        <v>0</v>
      </c>
      <c r="M316" s="372">
        <f t="shared" si="49"/>
        <v>0</v>
      </c>
      <c r="N316" s="460">
        <f t="shared" si="50"/>
        <v>0</v>
      </c>
    </row>
    <row r="317" spans="1:14" ht="13.2" customHeight="1" x14ac:dyDescent="0.3">
      <c r="A317" s="401"/>
      <c r="B317" s="402"/>
      <c r="C317" s="371" t="s">
        <v>652</v>
      </c>
      <c r="D317" s="371" t="s">
        <v>651</v>
      </c>
      <c r="E317" s="367" t="s">
        <v>235</v>
      </c>
      <c r="F317" s="539"/>
      <c r="G317" s="539"/>
      <c r="H317" s="527">
        <f>IF(REKAP!$Q$9=$D317,H$25,0)</f>
        <v>0</v>
      </c>
      <c r="I317" s="372">
        <f t="shared" si="47"/>
        <v>0</v>
      </c>
      <c r="J317" s="372"/>
      <c r="K317" s="372">
        <v>396000</v>
      </c>
      <c r="L317" s="372">
        <f t="shared" si="48"/>
        <v>0</v>
      </c>
      <c r="M317" s="372">
        <f t="shared" si="49"/>
        <v>0</v>
      </c>
      <c r="N317" s="460">
        <f t="shared" si="50"/>
        <v>0</v>
      </c>
    </row>
    <row r="318" spans="1:14" ht="13.2" customHeight="1" x14ac:dyDescent="0.3">
      <c r="A318" s="401"/>
      <c r="B318" s="402"/>
      <c r="C318" s="371" t="s">
        <v>652</v>
      </c>
      <c r="D318" s="371" t="s">
        <v>653</v>
      </c>
      <c r="E318" s="367" t="s">
        <v>235</v>
      </c>
      <c r="F318" s="539"/>
      <c r="G318" s="539"/>
      <c r="H318" s="527">
        <f>IF(REKAP!$Q$9=$D318,H$25,0)</f>
        <v>0</v>
      </c>
      <c r="I318" s="372">
        <f t="shared" si="47"/>
        <v>0</v>
      </c>
      <c r="J318" s="372"/>
      <c r="K318" s="372">
        <v>360000</v>
      </c>
      <c r="L318" s="372">
        <f t="shared" si="48"/>
        <v>0</v>
      </c>
      <c r="M318" s="372">
        <f t="shared" si="49"/>
        <v>0</v>
      </c>
      <c r="N318" s="460">
        <f t="shared" si="50"/>
        <v>0</v>
      </c>
    </row>
    <row r="319" spans="1:14" ht="13.2" customHeight="1" x14ac:dyDescent="0.3">
      <c r="A319" s="401"/>
      <c r="B319" s="402"/>
      <c r="C319" s="371" t="s">
        <v>652</v>
      </c>
      <c r="D319" s="371" t="s">
        <v>654</v>
      </c>
      <c r="E319" s="367" t="s">
        <v>235</v>
      </c>
      <c r="F319" s="539"/>
      <c r="G319" s="539"/>
      <c r="H319" s="527">
        <f>IF(REKAP!$Q$9=$D319,H$25,0)</f>
        <v>0</v>
      </c>
      <c r="I319" s="372">
        <f t="shared" si="47"/>
        <v>0</v>
      </c>
      <c r="J319" s="372"/>
      <c r="K319" s="372">
        <v>432000</v>
      </c>
      <c r="L319" s="372">
        <f t="shared" si="48"/>
        <v>0</v>
      </c>
      <c r="M319" s="372">
        <f t="shared" si="49"/>
        <v>0</v>
      </c>
      <c r="N319" s="460">
        <f t="shared" si="50"/>
        <v>0</v>
      </c>
    </row>
    <row r="320" spans="1:14" ht="13.2" customHeight="1" x14ac:dyDescent="0.3">
      <c r="A320" s="401"/>
      <c r="B320" s="402"/>
      <c r="C320" s="371" t="s">
        <v>652</v>
      </c>
      <c r="D320" s="371" t="s">
        <v>655</v>
      </c>
      <c r="E320" s="367" t="s">
        <v>235</v>
      </c>
      <c r="F320" s="539"/>
      <c r="G320" s="539"/>
      <c r="H320" s="527">
        <f>IF(REKAP!$Q$9=$D320,H$25,0)</f>
        <v>0</v>
      </c>
      <c r="I320" s="372">
        <f t="shared" si="47"/>
        <v>0</v>
      </c>
      <c r="J320" s="372"/>
      <c r="K320" s="372">
        <v>540000</v>
      </c>
      <c r="L320" s="372">
        <f t="shared" si="48"/>
        <v>0</v>
      </c>
      <c r="M320" s="372">
        <f t="shared" si="49"/>
        <v>0</v>
      </c>
      <c r="N320" s="460">
        <f t="shared" si="50"/>
        <v>0</v>
      </c>
    </row>
    <row r="321" spans="1:14" ht="13.2" customHeight="1" x14ac:dyDescent="0.3">
      <c r="A321" s="401"/>
      <c r="B321" s="402"/>
      <c r="C321" s="371" t="s">
        <v>652</v>
      </c>
      <c r="D321" s="371" t="s">
        <v>656</v>
      </c>
      <c r="E321" s="367" t="s">
        <v>235</v>
      </c>
      <c r="F321" s="539"/>
      <c r="G321" s="539"/>
      <c r="H321" s="527">
        <f>IF(REKAP!$Q$9=$D321,H$25,0)</f>
        <v>0</v>
      </c>
      <c r="I321" s="372">
        <f t="shared" si="47"/>
        <v>0</v>
      </c>
      <c r="J321" s="372"/>
      <c r="K321" s="372">
        <v>612000</v>
      </c>
      <c r="L321" s="372">
        <f t="shared" si="48"/>
        <v>0</v>
      </c>
      <c r="M321" s="372">
        <f t="shared" si="49"/>
        <v>0</v>
      </c>
      <c r="N321" s="460">
        <f t="shared" si="50"/>
        <v>0</v>
      </c>
    </row>
    <row r="322" spans="1:14" ht="13.2" customHeight="1" x14ac:dyDescent="0.3">
      <c r="A322" s="401"/>
      <c r="B322" s="402"/>
      <c r="C322" s="371" t="s">
        <v>652</v>
      </c>
      <c r="D322" s="371" t="s">
        <v>657</v>
      </c>
      <c r="E322" s="367" t="s">
        <v>235</v>
      </c>
      <c r="F322" s="539"/>
      <c r="G322" s="539"/>
      <c r="H322" s="527">
        <f>IF(REKAP!$Q$9=$D322,H$25,0)</f>
        <v>0</v>
      </c>
      <c r="I322" s="372">
        <f t="shared" si="47"/>
        <v>0</v>
      </c>
      <c r="J322" s="372"/>
      <c r="K322" s="372">
        <v>612000</v>
      </c>
      <c r="L322" s="372">
        <f t="shared" si="48"/>
        <v>0</v>
      </c>
      <c r="M322" s="372">
        <f t="shared" si="49"/>
        <v>0</v>
      </c>
      <c r="N322" s="460">
        <f t="shared" si="50"/>
        <v>0</v>
      </c>
    </row>
    <row r="323" spans="1:14" ht="13.2" customHeight="1" x14ac:dyDescent="0.3">
      <c r="A323" s="401"/>
      <c r="B323" s="402"/>
      <c r="C323" s="371" t="s">
        <v>652</v>
      </c>
      <c r="D323" s="371" t="s">
        <v>658</v>
      </c>
      <c r="E323" s="367" t="s">
        <v>235</v>
      </c>
      <c r="F323" s="539"/>
      <c r="G323" s="539"/>
      <c r="H323" s="527">
        <f>IF(REKAP!$Q$9=$D323,H$25,0)</f>
        <v>0</v>
      </c>
      <c r="I323" s="372">
        <f t="shared" si="47"/>
        <v>0</v>
      </c>
      <c r="J323" s="372"/>
      <c r="K323" s="372">
        <v>945000</v>
      </c>
      <c r="L323" s="372">
        <f t="shared" si="48"/>
        <v>0</v>
      </c>
      <c r="M323" s="372">
        <f t="shared" si="49"/>
        <v>0</v>
      </c>
      <c r="N323" s="460">
        <f t="shared" si="50"/>
        <v>0</v>
      </c>
    </row>
    <row r="324" spans="1:14" ht="13.2" customHeight="1" x14ac:dyDescent="0.3">
      <c r="A324" s="401"/>
      <c r="B324" s="402"/>
      <c r="C324" s="371" t="s">
        <v>652</v>
      </c>
      <c r="D324" s="371" t="s">
        <v>659</v>
      </c>
      <c r="E324" s="367" t="s">
        <v>235</v>
      </c>
      <c r="F324" s="539"/>
      <c r="G324" s="539"/>
      <c r="H324" s="527">
        <f>IF(REKAP!$Q$9=$D324,H$25,0)</f>
        <v>0</v>
      </c>
      <c r="I324" s="372">
        <f t="shared" ref="I324:I355" si="51">SUM(F324:H324)</f>
        <v>0</v>
      </c>
      <c r="J324" s="372"/>
      <c r="K324" s="372">
        <v>1323000</v>
      </c>
      <c r="L324" s="372">
        <f t="shared" ref="L324:L355" si="52">J324*I324</f>
        <v>0</v>
      </c>
      <c r="M324" s="372">
        <f t="shared" ref="M324:M355" si="53">K324*I324</f>
        <v>0</v>
      </c>
      <c r="N324" s="460">
        <f t="shared" ref="N324:N355" si="54">SUM(L324:M324)</f>
        <v>0</v>
      </c>
    </row>
    <row r="325" spans="1:14" ht="13.2" customHeight="1" x14ac:dyDescent="0.3">
      <c r="A325" s="401"/>
      <c r="B325" s="402"/>
      <c r="C325" s="371" t="s">
        <v>652</v>
      </c>
      <c r="D325" s="371" t="s">
        <v>660</v>
      </c>
      <c r="E325" s="367" t="s">
        <v>235</v>
      </c>
      <c r="F325" s="539"/>
      <c r="G325" s="539"/>
      <c r="H325" s="527">
        <f>IF(REKAP!$Q$9=$D325,H$25,0)</f>
        <v>0</v>
      </c>
      <c r="I325" s="372">
        <f t="shared" si="51"/>
        <v>0</v>
      </c>
      <c r="J325" s="372"/>
      <c r="K325" s="372">
        <v>1026000</v>
      </c>
      <c r="L325" s="372">
        <f t="shared" si="52"/>
        <v>0</v>
      </c>
      <c r="M325" s="372">
        <f t="shared" si="53"/>
        <v>0</v>
      </c>
      <c r="N325" s="460">
        <f t="shared" si="54"/>
        <v>0</v>
      </c>
    </row>
    <row r="326" spans="1:14" ht="13.2" customHeight="1" x14ac:dyDescent="0.3">
      <c r="A326" s="401"/>
      <c r="B326" s="402"/>
      <c r="C326" s="371" t="s">
        <v>652</v>
      </c>
      <c r="D326" s="371" t="s">
        <v>661</v>
      </c>
      <c r="E326" s="367" t="s">
        <v>235</v>
      </c>
      <c r="F326" s="539"/>
      <c r="G326" s="539"/>
      <c r="H326" s="527">
        <f>IF(REKAP!$Q$9=$D326,H$25,0)</f>
        <v>0</v>
      </c>
      <c r="I326" s="372">
        <f t="shared" si="51"/>
        <v>0</v>
      </c>
      <c r="J326" s="372"/>
      <c r="K326" s="372">
        <v>1836000</v>
      </c>
      <c r="L326" s="372">
        <f t="shared" si="52"/>
        <v>0</v>
      </c>
      <c r="M326" s="372">
        <f t="shared" si="53"/>
        <v>0</v>
      </c>
      <c r="N326" s="460">
        <f t="shared" si="54"/>
        <v>0</v>
      </c>
    </row>
    <row r="327" spans="1:14" ht="13.2" customHeight="1" x14ac:dyDescent="0.3">
      <c r="A327" s="401"/>
      <c r="B327" s="402"/>
      <c r="C327" s="371" t="s">
        <v>652</v>
      </c>
      <c r="D327" s="371" t="s">
        <v>662</v>
      </c>
      <c r="E327" s="367" t="s">
        <v>235</v>
      </c>
      <c r="F327" s="539"/>
      <c r="G327" s="539"/>
      <c r="H327" s="527">
        <f>IF(REKAP!$Q$9=$D327,H$25,0)</f>
        <v>0</v>
      </c>
      <c r="I327" s="372">
        <f t="shared" si="51"/>
        <v>0</v>
      </c>
      <c r="J327" s="372"/>
      <c r="K327" s="372">
        <v>1539000</v>
      </c>
      <c r="L327" s="372">
        <f t="shared" si="52"/>
        <v>0</v>
      </c>
      <c r="M327" s="372">
        <f t="shared" si="53"/>
        <v>0</v>
      </c>
      <c r="N327" s="460">
        <f t="shared" si="54"/>
        <v>0</v>
      </c>
    </row>
    <row r="328" spans="1:14" ht="13.2" customHeight="1" x14ac:dyDescent="0.3">
      <c r="A328" s="401"/>
      <c r="B328" s="402"/>
      <c r="C328" s="371" t="s">
        <v>652</v>
      </c>
      <c r="D328" s="371" t="s">
        <v>663</v>
      </c>
      <c r="E328" s="367" t="s">
        <v>235</v>
      </c>
      <c r="F328" s="539"/>
      <c r="G328" s="539"/>
      <c r="H328" s="527">
        <f>IF(REKAP!$Q$9=$D328,H$25,0)</f>
        <v>0</v>
      </c>
      <c r="I328" s="372">
        <f t="shared" si="51"/>
        <v>0</v>
      </c>
      <c r="J328" s="372"/>
      <c r="K328" s="372">
        <v>2700000</v>
      </c>
      <c r="L328" s="372">
        <f t="shared" si="52"/>
        <v>0</v>
      </c>
      <c r="M328" s="372">
        <f t="shared" si="53"/>
        <v>0</v>
      </c>
      <c r="N328" s="460">
        <f t="shared" si="54"/>
        <v>0</v>
      </c>
    </row>
    <row r="329" spans="1:14" ht="13.2" customHeight="1" x14ac:dyDescent="0.3">
      <c r="A329" s="401"/>
      <c r="B329" s="402"/>
      <c r="C329" s="373" t="s">
        <v>652</v>
      </c>
      <c r="D329" s="373" t="s">
        <v>664</v>
      </c>
      <c r="E329" s="374" t="s">
        <v>235</v>
      </c>
      <c r="F329" s="571"/>
      <c r="G329" s="571"/>
      <c r="H329" s="527">
        <f>IF(REKAP!$Q$9=$D329,H$25,0)</f>
        <v>0</v>
      </c>
      <c r="I329" s="375">
        <f t="shared" si="51"/>
        <v>0</v>
      </c>
      <c r="J329" s="375"/>
      <c r="K329" s="375">
        <v>405000</v>
      </c>
      <c r="L329" s="375">
        <f t="shared" si="52"/>
        <v>0</v>
      </c>
      <c r="M329" s="375">
        <f t="shared" si="53"/>
        <v>0</v>
      </c>
      <c r="N329" s="462">
        <f t="shared" si="54"/>
        <v>0</v>
      </c>
    </row>
    <row r="330" spans="1:14" ht="13.2" customHeight="1" x14ac:dyDescent="0.3">
      <c r="A330" s="401"/>
      <c r="B330" s="403" t="s">
        <v>1824</v>
      </c>
      <c r="C330" s="404" t="s">
        <v>652</v>
      </c>
      <c r="D330" s="404" t="s">
        <v>655</v>
      </c>
      <c r="E330" s="405" t="s">
        <v>235</v>
      </c>
      <c r="F330" s="576"/>
      <c r="G330" s="576"/>
      <c r="H330" s="575"/>
      <c r="I330" s="406">
        <f t="shared" si="51"/>
        <v>0</v>
      </c>
      <c r="J330" s="406"/>
      <c r="K330" s="406">
        <v>387000</v>
      </c>
      <c r="L330" s="406">
        <f t="shared" si="52"/>
        <v>0</v>
      </c>
      <c r="M330" s="406">
        <f t="shared" si="53"/>
        <v>0</v>
      </c>
      <c r="N330" s="548">
        <f t="shared" si="54"/>
        <v>0</v>
      </c>
    </row>
    <row r="331" spans="1:14" ht="13.2" customHeight="1" x14ac:dyDescent="0.3">
      <c r="A331" s="401"/>
      <c r="B331" s="407"/>
      <c r="C331" s="371" t="s">
        <v>652</v>
      </c>
      <c r="D331" s="371" t="s">
        <v>656</v>
      </c>
      <c r="E331" s="367" t="s">
        <v>235</v>
      </c>
      <c r="F331" s="539"/>
      <c r="G331" s="539"/>
      <c r="H331" s="527"/>
      <c r="I331" s="372">
        <f t="shared" si="51"/>
        <v>0</v>
      </c>
      <c r="J331" s="372"/>
      <c r="K331" s="372">
        <v>333000</v>
      </c>
      <c r="L331" s="372">
        <f t="shared" si="52"/>
        <v>0</v>
      </c>
      <c r="M331" s="372">
        <f t="shared" si="53"/>
        <v>0</v>
      </c>
      <c r="N331" s="460">
        <f t="shared" si="54"/>
        <v>0</v>
      </c>
    </row>
    <row r="332" spans="1:14" ht="13.2" customHeight="1" x14ac:dyDescent="0.3">
      <c r="A332" s="401"/>
      <c r="B332" s="408"/>
      <c r="C332" s="390" t="s">
        <v>652</v>
      </c>
      <c r="D332" s="390" t="s">
        <v>657</v>
      </c>
      <c r="E332" s="391" t="s">
        <v>235</v>
      </c>
      <c r="F332" s="577"/>
      <c r="G332" s="577"/>
      <c r="H332" s="573"/>
      <c r="I332" s="409">
        <f t="shared" si="51"/>
        <v>0</v>
      </c>
      <c r="J332" s="409"/>
      <c r="K332" s="409">
        <v>369000</v>
      </c>
      <c r="L332" s="409">
        <f t="shared" si="52"/>
        <v>0</v>
      </c>
      <c r="M332" s="409">
        <f t="shared" si="53"/>
        <v>0</v>
      </c>
      <c r="N332" s="549">
        <f t="shared" si="54"/>
        <v>0</v>
      </c>
    </row>
    <row r="333" spans="1:14" ht="13.2" customHeight="1" x14ac:dyDescent="0.3">
      <c r="A333" s="401"/>
      <c r="B333" s="403" t="s">
        <v>1825</v>
      </c>
      <c r="C333" s="404" t="s">
        <v>652</v>
      </c>
      <c r="D333" s="371" t="s">
        <v>662</v>
      </c>
      <c r="E333" s="405" t="s">
        <v>235</v>
      </c>
      <c r="F333" s="576"/>
      <c r="G333" s="576"/>
      <c r="H333" s="575"/>
      <c r="I333" s="406">
        <f t="shared" si="51"/>
        <v>0</v>
      </c>
      <c r="J333" s="406"/>
      <c r="K333" s="406">
        <v>333000</v>
      </c>
      <c r="L333" s="406">
        <f t="shared" si="52"/>
        <v>0</v>
      </c>
      <c r="M333" s="406">
        <f t="shared" si="53"/>
        <v>0</v>
      </c>
      <c r="N333" s="548">
        <f t="shared" si="54"/>
        <v>0</v>
      </c>
    </row>
    <row r="334" spans="1:14" ht="13.2" customHeight="1" x14ac:dyDescent="0.3">
      <c r="A334" s="401"/>
      <c r="B334" s="407"/>
      <c r="C334" s="371" t="s">
        <v>652</v>
      </c>
      <c r="D334" s="371" t="s">
        <v>663</v>
      </c>
      <c r="E334" s="367" t="s">
        <v>235</v>
      </c>
      <c r="F334" s="539"/>
      <c r="G334" s="539"/>
      <c r="H334" s="527"/>
      <c r="I334" s="372">
        <f t="shared" si="51"/>
        <v>0</v>
      </c>
      <c r="J334" s="372"/>
      <c r="K334" s="409">
        <v>549000</v>
      </c>
      <c r="L334" s="372">
        <f t="shared" si="52"/>
        <v>0</v>
      </c>
      <c r="M334" s="372">
        <f t="shared" si="53"/>
        <v>0</v>
      </c>
      <c r="N334" s="460">
        <f t="shared" si="54"/>
        <v>0</v>
      </c>
    </row>
    <row r="335" spans="1:14" ht="13.2" customHeight="1" x14ac:dyDescent="0.3">
      <c r="A335" s="401"/>
      <c r="B335" s="403" t="s">
        <v>1826</v>
      </c>
      <c r="C335" s="404" t="s">
        <v>652</v>
      </c>
      <c r="D335" s="371" t="s">
        <v>658</v>
      </c>
      <c r="E335" s="405" t="s">
        <v>235</v>
      </c>
      <c r="F335" s="576"/>
      <c r="G335" s="576"/>
      <c r="H335" s="575"/>
      <c r="I335" s="406">
        <f t="shared" si="51"/>
        <v>0</v>
      </c>
      <c r="J335" s="406"/>
      <c r="K335" s="406">
        <v>324000</v>
      </c>
      <c r="L335" s="406">
        <f t="shared" si="52"/>
        <v>0</v>
      </c>
      <c r="M335" s="406">
        <f t="shared" si="53"/>
        <v>0</v>
      </c>
      <c r="N335" s="548">
        <f t="shared" si="54"/>
        <v>0</v>
      </c>
    </row>
    <row r="336" spans="1:14" ht="13.2" customHeight="1" x14ac:dyDescent="0.3">
      <c r="A336" s="401"/>
      <c r="B336" s="407"/>
      <c r="C336" s="371" t="s">
        <v>652</v>
      </c>
      <c r="D336" s="371" t="s">
        <v>659</v>
      </c>
      <c r="E336" s="367" t="s">
        <v>235</v>
      </c>
      <c r="F336" s="539"/>
      <c r="G336" s="539"/>
      <c r="H336" s="527"/>
      <c r="I336" s="372">
        <f t="shared" si="51"/>
        <v>0</v>
      </c>
      <c r="J336" s="372"/>
      <c r="K336" s="409">
        <v>486000</v>
      </c>
      <c r="L336" s="372">
        <f t="shared" si="52"/>
        <v>0</v>
      </c>
      <c r="M336" s="372">
        <f t="shared" si="53"/>
        <v>0</v>
      </c>
      <c r="N336" s="460">
        <f t="shared" si="54"/>
        <v>0</v>
      </c>
    </row>
    <row r="337" spans="1:14" ht="13.2" customHeight="1" x14ac:dyDescent="0.3">
      <c r="A337" s="401"/>
      <c r="B337" s="403" t="s">
        <v>1827</v>
      </c>
      <c r="C337" s="404" t="s">
        <v>652</v>
      </c>
      <c r="D337" s="404" t="s">
        <v>630</v>
      </c>
      <c r="E337" s="405" t="s">
        <v>235</v>
      </c>
      <c r="F337" s="576"/>
      <c r="G337" s="576"/>
      <c r="H337" s="575"/>
      <c r="I337" s="406">
        <f t="shared" si="51"/>
        <v>0</v>
      </c>
      <c r="J337" s="406"/>
      <c r="K337" s="369">
        <v>324000</v>
      </c>
      <c r="L337" s="406">
        <f t="shared" si="52"/>
        <v>0</v>
      </c>
      <c r="M337" s="406">
        <f t="shared" si="53"/>
        <v>0</v>
      </c>
      <c r="N337" s="548">
        <f t="shared" si="54"/>
        <v>0</v>
      </c>
    </row>
    <row r="338" spans="1:14" ht="13.2" customHeight="1" x14ac:dyDescent="0.3">
      <c r="A338" s="410"/>
      <c r="B338" s="408"/>
      <c r="C338" s="390" t="s">
        <v>652</v>
      </c>
      <c r="D338" s="390" t="s">
        <v>1569</v>
      </c>
      <c r="E338" s="391" t="s">
        <v>235</v>
      </c>
      <c r="F338" s="577"/>
      <c r="G338" s="577"/>
      <c r="H338" s="573"/>
      <c r="I338" s="409">
        <f t="shared" si="51"/>
        <v>0</v>
      </c>
      <c r="J338" s="409"/>
      <c r="K338" s="409">
        <v>558000</v>
      </c>
      <c r="L338" s="409">
        <f t="shared" si="52"/>
        <v>0</v>
      </c>
      <c r="M338" s="409">
        <f t="shared" si="53"/>
        <v>0</v>
      </c>
      <c r="N338" s="549">
        <f t="shared" si="54"/>
        <v>0</v>
      </c>
    </row>
    <row r="339" spans="1:14" ht="13.2" customHeight="1" x14ac:dyDescent="0.3">
      <c r="A339" s="397">
        <v>7</v>
      </c>
      <c r="B339" s="398" t="s">
        <v>1575</v>
      </c>
      <c r="C339" s="371"/>
      <c r="D339" s="371"/>
      <c r="E339" s="367"/>
      <c r="F339" s="527"/>
      <c r="G339" s="527"/>
      <c r="H339" s="527"/>
      <c r="I339" s="372">
        <f t="shared" si="51"/>
        <v>0</v>
      </c>
      <c r="J339" s="372"/>
      <c r="K339" s="372"/>
      <c r="L339" s="372">
        <f t="shared" si="52"/>
        <v>0</v>
      </c>
      <c r="M339" s="372">
        <f t="shared" si="53"/>
        <v>0</v>
      </c>
      <c r="N339" s="460">
        <f t="shared" si="54"/>
        <v>0</v>
      </c>
    </row>
    <row r="340" spans="1:14" ht="13.2" customHeight="1" x14ac:dyDescent="0.3">
      <c r="A340" s="401"/>
      <c r="B340" s="402" t="s">
        <v>1828</v>
      </c>
      <c r="C340" s="371" t="s">
        <v>650</v>
      </c>
      <c r="D340" s="371" t="s">
        <v>651</v>
      </c>
      <c r="E340" s="367" t="s">
        <v>235</v>
      </c>
      <c r="F340" s="539"/>
      <c r="G340" s="539"/>
      <c r="H340" s="527">
        <f>IF(REKAP!$Q$9="Kota Kupang",H$26,0)</f>
        <v>0</v>
      </c>
      <c r="I340" s="372">
        <f t="shared" si="51"/>
        <v>0</v>
      </c>
      <c r="J340" s="372"/>
      <c r="K340" s="372">
        <v>396000</v>
      </c>
      <c r="L340" s="372">
        <f t="shared" si="52"/>
        <v>0</v>
      </c>
      <c r="M340" s="372">
        <f t="shared" si="53"/>
        <v>0</v>
      </c>
      <c r="N340" s="460">
        <f t="shared" si="54"/>
        <v>0</v>
      </c>
    </row>
    <row r="341" spans="1:14" ht="13.2" customHeight="1" x14ac:dyDescent="0.3">
      <c r="A341" s="401"/>
      <c r="B341" s="402"/>
      <c r="C341" s="371" t="s">
        <v>652</v>
      </c>
      <c r="D341" s="371" t="s">
        <v>651</v>
      </c>
      <c r="E341" s="367" t="s">
        <v>235</v>
      </c>
      <c r="F341" s="539"/>
      <c r="G341" s="539"/>
      <c r="H341" s="527">
        <f>IF(REKAP!$Q$9=$D341,H$26,0)</f>
        <v>0</v>
      </c>
      <c r="I341" s="372">
        <f t="shared" si="51"/>
        <v>0</v>
      </c>
      <c r="J341" s="372"/>
      <c r="K341" s="372">
        <v>405000</v>
      </c>
      <c r="L341" s="372">
        <f t="shared" si="52"/>
        <v>0</v>
      </c>
      <c r="M341" s="372">
        <f t="shared" si="53"/>
        <v>0</v>
      </c>
      <c r="N341" s="460">
        <f t="shared" si="54"/>
        <v>0</v>
      </c>
    </row>
    <row r="342" spans="1:14" ht="13.2" customHeight="1" x14ac:dyDescent="0.3">
      <c r="A342" s="401"/>
      <c r="B342" s="402"/>
      <c r="C342" s="371" t="s">
        <v>652</v>
      </c>
      <c r="D342" s="371" t="s">
        <v>653</v>
      </c>
      <c r="E342" s="367" t="s">
        <v>235</v>
      </c>
      <c r="F342" s="539"/>
      <c r="G342" s="539"/>
      <c r="H342" s="527">
        <f>IF(REKAP!$Q$9=$D342,H$26,0)</f>
        <v>0</v>
      </c>
      <c r="I342" s="372">
        <f t="shared" si="51"/>
        <v>0</v>
      </c>
      <c r="J342" s="372"/>
      <c r="K342" s="372">
        <v>432000</v>
      </c>
      <c r="L342" s="372">
        <f t="shared" si="52"/>
        <v>0</v>
      </c>
      <c r="M342" s="372">
        <f t="shared" si="53"/>
        <v>0</v>
      </c>
      <c r="N342" s="460">
        <f t="shared" si="54"/>
        <v>0</v>
      </c>
    </row>
    <row r="343" spans="1:14" ht="13.2" customHeight="1" x14ac:dyDescent="0.3">
      <c r="A343" s="401"/>
      <c r="B343" s="402"/>
      <c r="C343" s="371" t="s">
        <v>652</v>
      </c>
      <c r="D343" s="371" t="s">
        <v>654</v>
      </c>
      <c r="E343" s="367" t="s">
        <v>235</v>
      </c>
      <c r="F343" s="539"/>
      <c r="G343" s="539"/>
      <c r="H343" s="527">
        <f>IF(REKAP!$Q$9=$D343,H$26,0)</f>
        <v>0</v>
      </c>
      <c r="I343" s="372">
        <f t="shared" si="51"/>
        <v>0</v>
      </c>
      <c r="J343" s="372"/>
      <c r="K343" s="372">
        <v>459000</v>
      </c>
      <c r="L343" s="372">
        <f t="shared" si="52"/>
        <v>0</v>
      </c>
      <c r="M343" s="372">
        <f t="shared" si="53"/>
        <v>0</v>
      </c>
      <c r="N343" s="460">
        <f t="shared" si="54"/>
        <v>0</v>
      </c>
    </row>
    <row r="344" spans="1:14" ht="13.2" customHeight="1" x14ac:dyDescent="0.3">
      <c r="A344" s="401"/>
      <c r="B344" s="402"/>
      <c r="C344" s="371" t="s">
        <v>652</v>
      </c>
      <c r="D344" s="371" t="s">
        <v>655</v>
      </c>
      <c r="E344" s="367" t="s">
        <v>235</v>
      </c>
      <c r="F344" s="539"/>
      <c r="G344" s="539"/>
      <c r="H344" s="527">
        <f>IF(REKAP!$Q$9=$D344,H$26,0)</f>
        <v>0</v>
      </c>
      <c r="I344" s="372">
        <f t="shared" si="51"/>
        <v>0</v>
      </c>
      <c r="J344" s="372"/>
      <c r="K344" s="372">
        <v>549000</v>
      </c>
      <c r="L344" s="372">
        <f t="shared" si="52"/>
        <v>0</v>
      </c>
      <c r="M344" s="372">
        <f t="shared" si="53"/>
        <v>0</v>
      </c>
      <c r="N344" s="460">
        <f t="shared" si="54"/>
        <v>0</v>
      </c>
    </row>
    <row r="345" spans="1:14" ht="13.2" customHeight="1" x14ac:dyDescent="0.3">
      <c r="A345" s="401"/>
      <c r="B345" s="402"/>
      <c r="C345" s="371" t="s">
        <v>652</v>
      </c>
      <c r="D345" s="371" t="s">
        <v>656</v>
      </c>
      <c r="E345" s="367" t="s">
        <v>235</v>
      </c>
      <c r="F345" s="539"/>
      <c r="G345" s="539"/>
      <c r="H345" s="527">
        <f>IF(REKAP!$Q$9=$D345,H$26,0)</f>
        <v>0</v>
      </c>
      <c r="I345" s="372">
        <f t="shared" si="51"/>
        <v>0</v>
      </c>
      <c r="J345" s="372"/>
      <c r="K345" s="372">
        <v>621000</v>
      </c>
      <c r="L345" s="372">
        <f t="shared" si="52"/>
        <v>0</v>
      </c>
      <c r="M345" s="372">
        <f t="shared" si="53"/>
        <v>0</v>
      </c>
      <c r="N345" s="460">
        <f t="shared" si="54"/>
        <v>0</v>
      </c>
    </row>
    <row r="346" spans="1:14" ht="13.2" customHeight="1" x14ac:dyDescent="0.3">
      <c r="A346" s="401"/>
      <c r="B346" s="402"/>
      <c r="C346" s="371" t="s">
        <v>652</v>
      </c>
      <c r="D346" s="371" t="s">
        <v>657</v>
      </c>
      <c r="E346" s="367" t="s">
        <v>235</v>
      </c>
      <c r="F346" s="539"/>
      <c r="G346" s="539"/>
      <c r="H346" s="527">
        <f>IF(REKAP!$Q$9=$D346,H$26,0)</f>
        <v>0</v>
      </c>
      <c r="I346" s="372">
        <f t="shared" si="51"/>
        <v>0</v>
      </c>
      <c r="J346" s="372"/>
      <c r="K346" s="372">
        <v>621000</v>
      </c>
      <c r="L346" s="372">
        <f t="shared" si="52"/>
        <v>0</v>
      </c>
      <c r="M346" s="372">
        <f t="shared" si="53"/>
        <v>0</v>
      </c>
      <c r="N346" s="460">
        <f t="shared" si="54"/>
        <v>0</v>
      </c>
    </row>
    <row r="347" spans="1:14" ht="13.2" customHeight="1" x14ac:dyDescent="0.3">
      <c r="A347" s="401"/>
      <c r="B347" s="402"/>
      <c r="C347" s="371" t="s">
        <v>652</v>
      </c>
      <c r="D347" s="371" t="s">
        <v>658</v>
      </c>
      <c r="E347" s="367" t="s">
        <v>235</v>
      </c>
      <c r="F347" s="539"/>
      <c r="G347" s="539"/>
      <c r="H347" s="527">
        <f>IF(REKAP!$Q$9=$D347,H$26,0)</f>
        <v>0</v>
      </c>
      <c r="I347" s="372">
        <f t="shared" si="51"/>
        <v>0</v>
      </c>
      <c r="J347" s="372"/>
      <c r="K347" s="372">
        <v>738000</v>
      </c>
      <c r="L347" s="372">
        <f t="shared" si="52"/>
        <v>0</v>
      </c>
      <c r="M347" s="372">
        <f t="shared" si="53"/>
        <v>0</v>
      </c>
      <c r="N347" s="460">
        <f t="shared" si="54"/>
        <v>0</v>
      </c>
    </row>
    <row r="348" spans="1:14" ht="13.2" customHeight="1" x14ac:dyDescent="0.3">
      <c r="A348" s="401"/>
      <c r="B348" s="402"/>
      <c r="C348" s="371" t="s">
        <v>652</v>
      </c>
      <c r="D348" s="371" t="s">
        <v>659</v>
      </c>
      <c r="E348" s="367" t="s">
        <v>235</v>
      </c>
      <c r="F348" s="539"/>
      <c r="G348" s="539"/>
      <c r="H348" s="527">
        <f>IF(REKAP!$Q$9=$D348,H$26,0)</f>
        <v>0</v>
      </c>
      <c r="I348" s="372">
        <f t="shared" si="51"/>
        <v>0</v>
      </c>
      <c r="J348" s="372"/>
      <c r="K348" s="372">
        <v>1350000</v>
      </c>
      <c r="L348" s="372">
        <f t="shared" si="52"/>
        <v>0</v>
      </c>
      <c r="M348" s="372">
        <f t="shared" si="53"/>
        <v>0</v>
      </c>
      <c r="N348" s="460">
        <f t="shared" si="54"/>
        <v>0</v>
      </c>
    </row>
    <row r="349" spans="1:14" ht="13.2" customHeight="1" x14ac:dyDescent="0.3">
      <c r="A349" s="401"/>
      <c r="B349" s="402"/>
      <c r="C349" s="371" t="s">
        <v>652</v>
      </c>
      <c r="D349" s="371" t="s">
        <v>660</v>
      </c>
      <c r="E349" s="367" t="s">
        <v>235</v>
      </c>
      <c r="F349" s="539"/>
      <c r="G349" s="539"/>
      <c r="H349" s="527">
        <f>IF(REKAP!$Q$9=$D349,H$26,0)</f>
        <v>0</v>
      </c>
      <c r="I349" s="372">
        <f t="shared" si="51"/>
        <v>0</v>
      </c>
      <c r="J349" s="372"/>
      <c r="K349" s="372">
        <v>1080000</v>
      </c>
      <c r="L349" s="372">
        <f t="shared" si="52"/>
        <v>0</v>
      </c>
      <c r="M349" s="372">
        <f t="shared" si="53"/>
        <v>0</v>
      </c>
      <c r="N349" s="460">
        <f t="shared" si="54"/>
        <v>0</v>
      </c>
    </row>
    <row r="350" spans="1:14" ht="13.2" customHeight="1" x14ac:dyDescent="0.3">
      <c r="A350" s="401"/>
      <c r="B350" s="402"/>
      <c r="C350" s="371" t="s">
        <v>652</v>
      </c>
      <c r="D350" s="371" t="s">
        <v>661</v>
      </c>
      <c r="E350" s="367" t="s">
        <v>235</v>
      </c>
      <c r="F350" s="539"/>
      <c r="G350" s="539"/>
      <c r="H350" s="527">
        <f>IF(REKAP!$Q$9=$D350,H$26,0)</f>
        <v>0</v>
      </c>
      <c r="I350" s="372">
        <f t="shared" si="51"/>
        <v>0</v>
      </c>
      <c r="J350" s="372"/>
      <c r="K350" s="372">
        <v>1809000</v>
      </c>
      <c r="L350" s="372">
        <f t="shared" si="52"/>
        <v>0</v>
      </c>
      <c r="M350" s="372">
        <f t="shared" si="53"/>
        <v>0</v>
      </c>
      <c r="N350" s="460">
        <f t="shared" si="54"/>
        <v>0</v>
      </c>
    </row>
    <row r="351" spans="1:14" ht="13.2" customHeight="1" x14ac:dyDescent="0.3">
      <c r="A351" s="401"/>
      <c r="B351" s="402"/>
      <c r="C351" s="371" t="s">
        <v>652</v>
      </c>
      <c r="D351" s="371" t="s">
        <v>662</v>
      </c>
      <c r="E351" s="367" t="s">
        <v>235</v>
      </c>
      <c r="F351" s="539"/>
      <c r="G351" s="539"/>
      <c r="H351" s="527">
        <f>IF(REKAP!$Q$9=$D351,H$26,0)</f>
        <v>0</v>
      </c>
      <c r="I351" s="372">
        <f t="shared" si="51"/>
        <v>0</v>
      </c>
      <c r="J351" s="372"/>
      <c r="K351" s="372">
        <v>1566000</v>
      </c>
      <c r="L351" s="372">
        <f t="shared" si="52"/>
        <v>0</v>
      </c>
      <c r="M351" s="372">
        <f t="shared" si="53"/>
        <v>0</v>
      </c>
      <c r="N351" s="460">
        <f t="shared" si="54"/>
        <v>0</v>
      </c>
    </row>
    <row r="352" spans="1:14" ht="13.2" customHeight="1" x14ac:dyDescent="0.3">
      <c r="A352" s="401"/>
      <c r="B352" s="402"/>
      <c r="C352" s="371" t="s">
        <v>652</v>
      </c>
      <c r="D352" s="371" t="s">
        <v>663</v>
      </c>
      <c r="E352" s="367" t="s">
        <v>235</v>
      </c>
      <c r="F352" s="539"/>
      <c r="G352" s="539"/>
      <c r="H352" s="527">
        <f>IF(REKAP!$Q$9=$D352,H$26,0)</f>
        <v>0</v>
      </c>
      <c r="I352" s="372">
        <f t="shared" si="51"/>
        <v>0</v>
      </c>
      <c r="J352" s="372"/>
      <c r="K352" s="372">
        <v>2700000</v>
      </c>
      <c r="L352" s="372">
        <f t="shared" si="52"/>
        <v>0</v>
      </c>
      <c r="M352" s="372">
        <f t="shared" si="53"/>
        <v>0</v>
      </c>
      <c r="N352" s="460">
        <f t="shared" si="54"/>
        <v>0</v>
      </c>
    </row>
    <row r="353" spans="1:14" ht="13.2" customHeight="1" x14ac:dyDescent="0.3">
      <c r="A353" s="401"/>
      <c r="B353" s="402"/>
      <c r="C353" s="373" t="s">
        <v>652</v>
      </c>
      <c r="D353" s="373" t="s">
        <v>664</v>
      </c>
      <c r="E353" s="374" t="s">
        <v>235</v>
      </c>
      <c r="F353" s="571"/>
      <c r="G353" s="571"/>
      <c r="H353" s="527">
        <f>IF(REKAP!$Q$9=$D353,H$26,0)</f>
        <v>0</v>
      </c>
      <c r="I353" s="375">
        <f t="shared" si="51"/>
        <v>0</v>
      </c>
      <c r="J353" s="375"/>
      <c r="K353" s="372">
        <v>477000</v>
      </c>
      <c r="L353" s="375">
        <f t="shared" si="52"/>
        <v>0</v>
      </c>
      <c r="M353" s="375">
        <f t="shared" si="53"/>
        <v>0</v>
      </c>
      <c r="N353" s="462">
        <f t="shared" si="54"/>
        <v>0</v>
      </c>
    </row>
    <row r="354" spans="1:14" ht="13.2" customHeight="1" x14ac:dyDescent="0.3">
      <c r="A354" s="401"/>
      <c r="B354" s="403" t="s">
        <v>1824</v>
      </c>
      <c r="C354" s="404" t="s">
        <v>652</v>
      </c>
      <c r="D354" s="404" t="s">
        <v>655</v>
      </c>
      <c r="E354" s="405" t="s">
        <v>235</v>
      </c>
      <c r="F354" s="576"/>
      <c r="G354" s="576"/>
      <c r="H354" s="575"/>
      <c r="I354" s="406">
        <f t="shared" si="51"/>
        <v>0</v>
      </c>
      <c r="J354" s="406"/>
      <c r="K354" s="406">
        <v>495000</v>
      </c>
      <c r="L354" s="406">
        <f t="shared" si="52"/>
        <v>0</v>
      </c>
      <c r="M354" s="406">
        <f t="shared" si="53"/>
        <v>0</v>
      </c>
      <c r="N354" s="548">
        <f t="shared" si="54"/>
        <v>0</v>
      </c>
    </row>
    <row r="355" spans="1:14" ht="13.2" customHeight="1" x14ac:dyDescent="0.3">
      <c r="A355" s="401"/>
      <c r="B355" s="407"/>
      <c r="C355" s="371" t="s">
        <v>652</v>
      </c>
      <c r="D355" s="371" t="s">
        <v>656</v>
      </c>
      <c r="E355" s="367" t="s">
        <v>235</v>
      </c>
      <c r="F355" s="539"/>
      <c r="G355" s="539"/>
      <c r="H355" s="527"/>
      <c r="I355" s="372">
        <f t="shared" si="51"/>
        <v>0</v>
      </c>
      <c r="J355" s="372"/>
      <c r="K355" s="372">
        <v>396000</v>
      </c>
      <c r="L355" s="372">
        <f t="shared" si="52"/>
        <v>0</v>
      </c>
      <c r="M355" s="372">
        <f t="shared" si="53"/>
        <v>0</v>
      </c>
      <c r="N355" s="460">
        <f t="shared" si="54"/>
        <v>0</v>
      </c>
    </row>
    <row r="356" spans="1:14" ht="13.2" customHeight="1" x14ac:dyDescent="0.3">
      <c r="A356" s="401"/>
      <c r="B356" s="408"/>
      <c r="C356" s="390" t="s">
        <v>652</v>
      </c>
      <c r="D356" s="390" t="s">
        <v>657</v>
      </c>
      <c r="E356" s="391" t="s">
        <v>235</v>
      </c>
      <c r="F356" s="577"/>
      <c r="G356" s="577"/>
      <c r="H356" s="573"/>
      <c r="I356" s="409">
        <f t="shared" ref="I356:I362" si="55">SUM(F356:H356)</f>
        <v>0</v>
      </c>
      <c r="J356" s="409"/>
      <c r="K356" s="409">
        <v>468000</v>
      </c>
      <c r="L356" s="409">
        <f t="shared" ref="L356:L362" si="56">J356*I356</f>
        <v>0</v>
      </c>
      <c r="M356" s="409">
        <f t="shared" ref="M356:M362" si="57">K356*I356</f>
        <v>0</v>
      </c>
      <c r="N356" s="549">
        <f t="shared" ref="N356:N362" si="58">SUM(L356:M356)</f>
        <v>0</v>
      </c>
    </row>
    <row r="357" spans="1:14" ht="13.2" customHeight="1" x14ac:dyDescent="0.3">
      <c r="A357" s="401"/>
      <c r="B357" s="403" t="s">
        <v>1825</v>
      </c>
      <c r="C357" s="404" t="s">
        <v>652</v>
      </c>
      <c r="D357" s="371" t="s">
        <v>662</v>
      </c>
      <c r="E357" s="405" t="s">
        <v>235</v>
      </c>
      <c r="F357" s="576"/>
      <c r="G357" s="576"/>
      <c r="H357" s="575"/>
      <c r="I357" s="406">
        <f t="shared" si="55"/>
        <v>0</v>
      </c>
      <c r="J357" s="406"/>
      <c r="K357" s="406">
        <v>405000</v>
      </c>
      <c r="L357" s="406">
        <f t="shared" si="56"/>
        <v>0</v>
      </c>
      <c r="M357" s="406">
        <f t="shared" si="57"/>
        <v>0</v>
      </c>
      <c r="N357" s="548">
        <f t="shared" si="58"/>
        <v>0</v>
      </c>
    </row>
    <row r="358" spans="1:14" ht="13.2" customHeight="1" x14ac:dyDescent="0.3">
      <c r="A358" s="401"/>
      <c r="B358" s="407"/>
      <c r="C358" s="371" t="s">
        <v>652</v>
      </c>
      <c r="D358" s="371" t="s">
        <v>663</v>
      </c>
      <c r="E358" s="367" t="s">
        <v>235</v>
      </c>
      <c r="F358" s="539"/>
      <c r="G358" s="539"/>
      <c r="H358" s="527"/>
      <c r="I358" s="372">
        <f t="shared" si="55"/>
        <v>0</v>
      </c>
      <c r="J358" s="372"/>
      <c r="K358" s="409">
        <v>900000</v>
      </c>
      <c r="L358" s="372">
        <f t="shared" si="56"/>
        <v>0</v>
      </c>
      <c r="M358" s="372">
        <f t="shared" si="57"/>
        <v>0</v>
      </c>
      <c r="N358" s="460">
        <f t="shared" si="58"/>
        <v>0</v>
      </c>
    </row>
    <row r="359" spans="1:14" ht="13.2" customHeight="1" x14ac:dyDescent="0.3">
      <c r="A359" s="401"/>
      <c r="B359" s="403" t="s">
        <v>1826</v>
      </c>
      <c r="C359" s="404" t="s">
        <v>652</v>
      </c>
      <c r="D359" s="371" t="s">
        <v>658</v>
      </c>
      <c r="E359" s="405" t="s">
        <v>235</v>
      </c>
      <c r="F359" s="576"/>
      <c r="G359" s="576"/>
      <c r="H359" s="575"/>
      <c r="I359" s="406">
        <f t="shared" si="55"/>
        <v>0</v>
      </c>
      <c r="J359" s="406"/>
      <c r="K359" s="406">
        <v>378000</v>
      </c>
      <c r="L359" s="406">
        <f t="shared" si="56"/>
        <v>0</v>
      </c>
      <c r="M359" s="406">
        <f t="shared" si="57"/>
        <v>0</v>
      </c>
      <c r="N359" s="548">
        <f t="shared" si="58"/>
        <v>0</v>
      </c>
    </row>
    <row r="360" spans="1:14" ht="13.2" customHeight="1" x14ac:dyDescent="0.3">
      <c r="A360" s="401"/>
      <c r="B360" s="407"/>
      <c r="C360" s="371" t="s">
        <v>652</v>
      </c>
      <c r="D360" s="371" t="s">
        <v>659</v>
      </c>
      <c r="E360" s="367" t="s">
        <v>235</v>
      </c>
      <c r="F360" s="539"/>
      <c r="G360" s="539"/>
      <c r="H360" s="527"/>
      <c r="I360" s="372">
        <f t="shared" si="55"/>
        <v>0</v>
      </c>
      <c r="J360" s="372"/>
      <c r="K360" s="409">
        <v>657000</v>
      </c>
      <c r="L360" s="372">
        <f t="shared" si="56"/>
        <v>0</v>
      </c>
      <c r="M360" s="372">
        <f t="shared" si="57"/>
        <v>0</v>
      </c>
      <c r="N360" s="460">
        <f t="shared" si="58"/>
        <v>0</v>
      </c>
    </row>
    <row r="361" spans="1:14" ht="13.2" customHeight="1" x14ac:dyDescent="0.3">
      <c r="A361" s="401"/>
      <c r="B361" s="403" t="s">
        <v>1827</v>
      </c>
      <c r="C361" s="404" t="s">
        <v>652</v>
      </c>
      <c r="D361" s="404" t="s">
        <v>630</v>
      </c>
      <c r="E361" s="405" t="s">
        <v>235</v>
      </c>
      <c r="F361" s="576"/>
      <c r="G361" s="576"/>
      <c r="H361" s="575"/>
      <c r="I361" s="406">
        <f t="shared" si="55"/>
        <v>0</v>
      </c>
      <c r="J361" s="406"/>
      <c r="K361" s="369">
        <v>378000</v>
      </c>
      <c r="L361" s="406">
        <f t="shared" si="56"/>
        <v>0</v>
      </c>
      <c r="M361" s="406">
        <f t="shared" si="57"/>
        <v>0</v>
      </c>
      <c r="N361" s="548">
        <f t="shared" si="58"/>
        <v>0</v>
      </c>
    </row>
    <row r="362" spans="1:14" ht="13.2" customHeight="1" x14ac:dyDescent="0.3">
      <c r="A362" s="410"/>
      <c r="B362" s="408"/>
      <c r="C362" s="390" t="s">
        <v>652</v>
      </c>
      <c r="D362" s="390" t="s">
        <v>1569</v>
      </c>
      <c r="E362" s="391" t="s">
        <v>235</v>
      </c>
      <c r="F362" s="577"/>
      <c r="G362" s="577"/>
      <c r="H362" s="573"/>
      <c r="I362" s="409">
        <f t="shared" si="55"/>
        <v>0</v>
      </c>
      <c r="J362" s="409"/>
      <c r="K362" s="409">
        <v>810000</v>
      </c>
      <c r="L362" s="409">
        <f t="shared" si="56"/>
        <v>0</v>
      </c>
      <c r="M362" s="409">
        <f t="shared" si="57"/>
        <v>0</v>
      </c>
      <c r="N362" s="549">
        <f t="shared" si="58"/>
        <v>0</v>
      </c>
    </row>
    <row r="363" spans="1:14" ht="13.2" customHeight="1" x14ac:dyDescent="0.3">
      <c r="A363" s="397">
        <v>6</v>
      </c>
      <c r="B363" s="398" t="s">
        <v>1574</v>
      </c>
      <c r="C363" s="371"/>
      <c r="D363" s="371"/>
      <c r="E363" s="367"/>
      <c r="F363" s="527"/>
      <c r="G363" s="527"/>
      <c r="H363" s="527"/>
      <c r="I363" s="372">
        <f t="shared" ref="I363:I371" si="59">SUM(F363:H363)</f>
        <v>0</v>
      </c>
      <c r="J363" s="372"/>
      <c r="K363" s="369"/>
      <c r="L363" s="372">
        <f t="shared" ref="L363:L371" si="60">J363*I363</f>
        <v>0</v>
      </c>
      <c r="M363" s="372">
        <f t="shared" ref="M363:M371" si="61">K363*I363</f>
        <v>0</v>
      </c>
      <c r="N363" s="460">
        <f t="shared" ref="N363:N371" si="62">SUM(L363:M363)</f>
        <v>0</v>
      </c>
    </row>
    <row r="364" spans="1:14" ht="13.2" customHeight="1" x14ac:dyDescent="0.3">
      <c r="A364" s="401"/>
      <c r="B364" s="402" t="s">
        <v>1828</v>
      </c>
      <c r="C364" s="371" t="s">
        <v>650</v>
      </c>
      <c r="D364" s="371" t="s">
        <v>651</v>
      </c>
      <c r="E364" s="367" t="s">
        <v>235</v>
      </c>
      <c r="F364" s="539"/>
      <c r="G364" s="539"/>
      <c r="H364" s="527">
        <f>IF(REKAP!$Q$9="Kota Kupang",H$27,0)</f>
        <v>0</v>
      </c>
      <c r="I364" s="372">
        <f t="shared" si="59"/>
        <v>0</v>
      </c>
      <c r="J364" s="372"/>
      <c r="K364" s="372"/>
      <c r="L364" s="372">
        <f t="shared" si="60"/>
        <v>0</v>
      </c>
      <c r="M364" s="372">
        <f t="shared" si="61"/>
        <v>0</v>
      </c>
      <c r="N364" s="460">
        <f t="shared" si="62"/>
        <v>0</v>
      </c>
    </row>
    <row r="365" spans="1:14" ht="13.2" customHeight="1" x14ac:dyDescent="0.3">
      <c r="A365" s="401"/>
      <c r="B365" s="402"/>
      <c r="C365" s="371" t="s">
        <v>652</v>
      </c>
      <c r="D365" s="371" t="s">
        <v>651</v>
      </c>
      <c r="E365" s="367" t="s">
        <v>235</v>
      </c>
      <c r="F365" s="539"/>
      <c r="G365" s="539"/>
      <c r="H365" s="527">
        <f>IF(REKAP!$Q$9=$D365,H$27,0)</f>
        <v>0</v>
      </c>
      <c r="I365" s="372">
        <f t="shared" si="59"/>
        <v>0</v>
      </c>
      <c r="J365" s="372"/>
      <c r="K365" s="372"/>
      <c r="L365" s="372">
        <f t="shared" si="60"/>
        <v>0</v>
      </c>
      <c r="M365" s="372">
        <f t="shared" si="61"/>
        <v>0</v>
      </c>
      <c r="N365" s="460">
        <f t="shared" si="62"/>
        <v>0</v>
      </c>
    </row>
    <row r="366" spans="1:14" ht="13.2" customHeight="1" x14ac:dyDescent="0.3">
      <c r="A366" s="401"/>
      <c r="B366" s="402"/>
      <c r="C366" s="371" t="s">
        <v>652</v>
      </c>
      <c r="D366" s="371" t="s">
        <v>653</v>
      </c>
      <c r="E366" s="367" t="s">
        <v>235</v>
      </c>
      <c r="F366" s="539"/>
      <c r="G366" s="539"/>
      <c r="H366" s="527">
        <f>IF(REKAP!$Q$9=$D366,H$27,0)</f>
        <v>0</v>
      </c>
      <c r="I366" s="372">
        <f t="shared" si="59"/>
        <v>0</v>
      </c>
      <c r="J366" s="372"/>
      <c r="K366" s="372"/>
      <c r="L366" s="372">
        <f t="shared" si="60"/>
        <v>0</v>
      </c>
      <c r="M366" s="372">
        <f t="shared" si="61"/>
        <v>0</v>
      </c>
      <c r="N366" s="460">
        <f t="shared" si="62"/>
        <v>0</v>
      </c>
    </row>
    <row r="367" spans="1:14" ht="13.2" customHeight="1" x14ac:dyDescent="0.3">
      <c r="A367" s="401"/>
      <c r="B367" s="402"/>
      <c r="C367" s="371" t="s">
        <v>652</v>
      </c>
      <c r="D367" s="371" t="s">
        <v>654</v>
      </c>
      <c r="E367" s="367" t="s">
        <v>235</v>
      </c>
      <c r="F367" s="539"/>
      <c r="G367" s="539"/>
      <c r="H367" s="527">
        <f>IF(REKAP!$Q$9=$D367,H$27,0)</f>
        <v>0</v>
      </c>
      <c r="I367" s="372">
        <f t="shared" si="59"/>
        <v>0</v>
      </c>
      <c r="J367" s="372"/>
      <c r="K367" s="372"/>
      <c r="L367" s="372">
        <f t="shared" si="60"/>
        <v>0</v>
      </c>
      <c r="M367" s="372">
        <f t="shared" si="61"/>
        <v>0</v>
      </c>
      <c r="N367" s="460">
        <f t="shared" si="62"/>
        <v>0</v>
      </c>
    </row>
    <row r="368" spans="1:14" ht="13.2" customHeight="1" x14ac:dyDescent="0.3">
      <c r="A368" s="401"/>
      <c r="B368" s="402"/>
      <c r="C368" s="371" t="s">
        <v>652</v>
      </c>
      <c r="D368" s="371" t="s">
        <v>655</v>
      </c>
      <c r="E368" s="367" t="s">
        <v>235</v>
      </c>
      <c r="F368" s="539"/>
      <c r="G368" s="539"/>
      <c r="H368" s="527">
        <f>IF(REKAP!$Q$9=$D368,H$27,0)</f>
        <v>0</v>
      </c>
      <c r="I368" s="372">
        <f t="shared" si="59"/>
        <v>0</v>
      </c>
      <c r="J368" s="372"/>
      <c r="K368" s="372"/>
      <c r="L368" s="372">
        <f t="shared" si="60"/>
        <v>0</v>
      </c>
      <c r="M368" s="372">
        <f t="shared" si="61"/>
        <v>0</v>
      </c>
      <c r="N368" s="460">
        <f t="shared" si="62"/>
        <v>0</v>
      </c>
    </row>
    <row r="369" spans="1:14" ht="13.2" customHeight="1" x14ac:dyDescent="0.3">
      <c r="A369" s="401"/>
      <c r="B369" s="402"/>
      <c r="C369" s="371" t="s">
        <v>652</v>
      </c>
      <c r="D369" s="371" t="s">
        <v>656</v>
      </c>
      <c r="E369" s="367" t="s">
        <v>235</v>
      </c>
      <c r="F369" s="539"/>
      <c r="G369" s="539"/>
      <c r="H369" s="527">
        <f>IF(REKAP!$Q$9=$D369,H$27,0)</f>
        <v>0</v>
      </c>
      <c r="I369" s="372">
        <f t="shared" si="59"/>
        <v>0</v>
      </c>
      <c r="J369" s="372"/>
      <c r="K369" s="372"/>
      <c r="L369" s="372">
        <f t="shared" si="60"/>
        <v>0</v>
      </c>
      <c r="M369" s="372">
        <f t="shared" si="61"/>
        <v>0</v>
      </c>
      <c r="N369" s="460">
        <f t="shared" si="62"/>
        <v>0</v>
      </c>
    </row>
    <row r="370" spans="1:14" ht="13.2" customHeight="1" x14ac:dyDescent="0.3">
      <c r="A370" s="401"/>
      <c r="B370" s="402"/>
      <c r="C370" s="371" t="s">
        <v>652</v>
      </c>
      <c r="D370" s="371" t="s">
        <v>657</v>
      </c>
      <c r="E370" s="367" t="s">
        <v>235</v>
      </c>
      <c r="F370" s="539"/>
      <c r="G370" s="539"/>
      <c r="H370" s="527">
        <f>IF(REKAP!$Q$9=$D370,H$27,0)</f>
        <v>0</v>
      </c>
      <c r="I370" s="372">
        <f t="shared" si="59"/>
        <v>0</v>
      </c>
      <c r="J370" s="372"/>
      <c r="K370" s="372"/>
      <c r="L370" s="372">
        <f t="shared" si="60"/>
        <v>0</v>
      </c>
      <c r="M370" s="372">
        <f t="shared" si="61"/>
        <v>0</v>
      </c>
      <c r="N370" s="460">
        <f t="shared" si="62"/>
        <v>0</v>
      </c>
    </row>
    <row r="371" spans="1:14" ht="13.2" customHeight="1" x14ac:dyDescent="0.3">
      <c r="A371" s="401"/>
      <c r="B371" s="402"/>
      <c r="C371" s="371" t="s">
        <v>652</v>
      </c>
      <c r="D371" s="371" t="s">
        <v>658</v>
      </c>
      <c r="E371" s="367" t="s">
        <v>235</v>
      </c>
      <c r="F371" s="539"/>
      <c r="G371" s="539"/>
      <c r="H371" s="527">
        <f>IF(REKAP!$Q$9=$D371,H$27,0)</f>
        <v>0</v>
      </c>
      <c r="I371" s="372">
        <f t="shared" si="59"/>
        <v>0</v>
      </c>
      <c r="J371" s="372"/>
      <c r="K371" s="372"/>
      <c r="L371" s="372">
        <f t="shared" si="60"/>
        <v>0</v>
      </c>
      <c r="M371" s="372">
        <f t="shared" si="61"/>
        <v>0</v>
      </c>
      <c r="N371" s="460">
        <f t="shared" si="62"/>
        <v>0</v>
      </c>
    </row>
    <row r="372" spans="1:14" ht="13.2" customHeight="1" x14ac:dyDescent="0.3">
      <c r="A372" s="401"/>
      <c r="B372" s="402"/>
      <c r="C372" s="371" t="s">
        <v>652</v>
      </c>
      <c r="D372" s="371" t="s">
        <v>659</v>
      </c>
      <c r="E372" s="367" t="s">
        <v>235</v>
      </c>
      <c r="F372" s="539"/>
      <c r="G372" s="539"/>
      <c r="H372" s="527">
        <f>IF(REKAP!$Q$9=$D372,H$27,0)</f>
        <v>0</v>
      </c>
      <c r="I372" s="372">
        <f t="shared" ref="I372:I403" si="63">SUM(F372:H372)</f>
        <v>0</v>
      </c>
      <c r="J372" s="372"/>
      <c r="K372" s="372"/>
      <c r="L372" s="372">
        <f t="shared" ref="L372:L403" si="64">J372*I372</f>
        <v>0</v>
      </c>
      <c r="M372" s="372">
        <f t="shared" ref="M372:M403" si="65">K372*I372</f>
        <v>0</v>
      </c>
      <c r="N372" s="460">
        <f t="shared" ref="N372:N403" si="66">SUM(L372:M372)</f>
        <v>0</v>
      </c>
    </row>
    <row r="373" spans="1:14" ht="13.2" customHeight="1" x14ac:dyDescent="0.3">
      <c r="A373" s="401"/>
      <c r="B373" s="402"/>
      <c r="C373" s="371" t="s">
        <v>652</v>
      </c>
      <c r="D373" s="371" t="s">
        <v>660</v>
      </c>
      <c r="E373" s="367" t="s">
        <v>235</v>
      </c>
      <c r="F373" s="539"/>
      <c r="G373" s="539"/>
      <c r="H373" s="527">
        <f>IF(REKAP!$Q$9=$D373,H$27,0)</f>
        <v>0</v>
      </c>
      <c r="I373" s="372">
        <f t="shared" si="63"/>
        <v>0</v>
      </c>
      <c r="J373" s="372"/>
      <c r="K373" s="372"/>
      <c r="L373" s="372">
        <f t="shared" si="64"/>
        <v>0</v>
      </c>
      <c r="M373" s="372">
        <f t="shared" si="65"/>
        <v>0</v>
      </c>
      <c r="N373" s="460">
        <f t="shared" si="66"/>
        <v>0</v>
      </c>
    </row>
    <row r="374" spans="1:14" ht="13.2" customHeight="1" x14ac:dyDescent="0.3">
      <c r="A374" s="401"/>
      <c r="B374" s="402"/>
      <c r="C374" s="371" t="s">
        <v>652</v>
      </c>
      <c r="D374" s="371" t="s">
        <v>661</v>
      </c>
      <c r="E374" s="367" t="s">
        <v>235</v>
      </c>
      <c r="F374" s="539"/>
      <c r="G374" s="539"/>
      <c r="H374" s="527">
        <f>IF(REKAP!$Q$9=$D374,H$27,0)</f>
        <v>0</v>
      </c>
      <c r="I374" s="372">
        <f t="shared" si="63"/>
        <v>0</v>
      </c>
      <c r="J374" s="372"/>
      <c r="K374" s="372"/>
      <c r="L374" s="372">
        <f t="shared" si="64"/>
        <v>0</v>
      </c>
      <c r="M374" s="372">
        <f t="shared" si="65"/>
        <v>0</v>
      </c>
      <c r="N374" s="460">
        <f t="shared" si="66"/>
        <v>0</v>
      </c>
    </row>
    <row r="375" spans="1:14" ht="13.2" customHeight="1" x14ac:dyDescent="0.3">
      <c r="A375" s="401"/>
      <c r="B375" s="402"/>
      <c r="C375" s="371" t="s">
        <v>652</v>
      </c>
      <c r="D375" s="371" t="s">
        <v>662</v>
      </c>
      <c r="E375" s="367" t="s">
        <v>235</v>
      </c>
      <c r="F375" s="539"/>
      <c r="G375" s="539"/>
      <c r="H375" s="527">
        <f>IF(REKAP!$Q$9=$D375,H$27,0)</f>
        <v>0</v>
      </c>
      <c r="I375" s="372">
        <f t="shared" si="63"/>
        <v>0</v>
      </c>
      <c r="J375" s="372"/>
      <c r="K375" s="372"/>
      <c r="L375" s="372">
        <f t="shared" si="64"/>
        <v>0</v>
      </c>
      <c r="M375" s="372">
        <f t="shared" si="65"/>
        <v>0</v>
      </c>
      <c r="N375" s="460">
        <f t="shared" si="66"/>
        <v>0</v>
      </c>
    </row>
    <row r="376" spans="1:14" ht="13.2" customHeight="1" x14ac:dyDescent="0.3">
      <c r="A376" s="401"/>
      <c r="B376" s="402"/>
      <c r="C376" s="371" t="s">
        <v>652</v>
      </c>
      <c r="D376" s="371" t="s">
        <v>663</v>
      </c>
      <c r="E376" s="367" t="s">
        <v>235</v>
      </c>
      <c r="F376" s="539"/>
      <c r="G376" s="539"/>
      <c r="H376" s="527">
        <f>IF(REKAP!$Q$9=$D376,H$27,0)</f>
        <v>0</v>
      </c>
      <c r="I376" s="372">
        <f t="shared" si="63"/>
        <v>0</v>
      </c>
      <c r="J376" s="372"/>
      <c r="K376" s="372"/>
      <c r="L376" s="372">
        <f t="shared" si="64"/>
        <v>0</v>
      </c>
      <c r="M376" s="372">
        <f t="shared" si="65"/>
        <v>0</v>
      </c>
      <c r="N376" s="460">
        <f t="shared" si="66"/>
        <v>0</v>
      </c>
    </row>
    <row r="377" spans="1:14" ht="13.2" customHeight="1" x14ac:dyDescent="0.3">
      <c r="A377" s="401"/>
      <c r="B377" s="402"/>
      <c r="C377" s="373" t="s">
        <v>652</v>
      </c>
      <c r="D377" s="373" t="s">
        <v>664</v>
      </c>
      <c r="E377" s="374" t="s">
        <v>235</v>
      </c>
      <c r="F377" s="571"/>
      <c r="G377" s="571"/>
      <c r="H377" s="527">
        <f>IF(REKAP!$Q$9=$D377,H$27,0)</f>
        <v>0</v>
      </c>
      <c r="I377" s="375">
        <f t="shared" si="63"/>
        <v>0</v>
      </c>
      <c r="J377" s="375"/>
      <c r="K377" s="372"/>
      <c r="L377" s="375">
        <f t="shared" si="64"/>
        <v>0</v>
      </c>
      <c r="M377" s="375">
        <f t="shared" si="65"/>
        <v>0</v>
      </c>
      <c r="N377" s="462">
        <f t="shared" si="66"/>
        <v>0</v>
      </c>
    </row>
    <row r="378" spans="1:14" ht="13.2" customHeight="1" x14ac:dyDescent="0.3">
      <c r="A378" s="401"/>
      <c r="B378" s="403" t="s">
        <v>1824</v>
      </c>
      <c r="C378" s="404" t="s">
        <v>652</v>
      </c>
      <c r="D378" s="404" t="s">
        <v>655</v>
      </c>
      <c r="E378" s="405" t="s">
        <v>235</v>
      </c>
      <c r="F378" s="576"/>
      <c r="G378" s="576"/>
      <c r="H378" s="575"/>
      <c r="I378" s="406">
        <f t="shared" si="63"/>
        <v>0</v>
      </c>
      <c r="J378" s="406"/>
      <c r="K378" s="406"/>
      <c r="L378" s="406">
        <f t="shared" si="64"/>
        <v>0</v>
      </c>
      <c r="M378" s="406">
        <f t="shared" si="65"/>
        <v>0</v>
      </c>
      <c r="N378" s="548">
        <f t="shared" si="66"/>
        <v>0</v>
      </c>
    </row>
    <row r="379" spans="1:14" ht="13.2" customHeight="1" x14ac:dyDescent="0.3">
      <c r="A379" s="401"/>
      <c r="B379" s="407"/>
      <c r="C379" s="371" t="s">
        <v>652</v>
      </c>
      <c r="D379" s="371" t="s">
        <v>656</v>
      </c>
      <c r="E379" s="367" t="s">
        <v>235</v>
      </c>
      <c r="F379" s="539"/>
      <c r="G379" s="539"/>
      <c r="H379" s="527"/>
      <c r="I379" s="372">
        <f t="shared" si="63"/>
        <v>0</v>
      </c>
      <c r="J379" s="372"/>
      <c r="K379" s="372"/>
      <c r="L379" s="372">
        <f t="shared" si="64"/>
        <v>0</v>
      </c>
      <c r="M379" s="372">
        <f t="shared" si="65"/>
        <v>0</v>
      </c>
      <c r="N379" s="460">
        <f t="shared" si="66"/>
        <v>0</v>
      </c>
    </row>
    <row r="380" spans="1:14" ht="13.2" customHeight="1" x14ac:dyDescent="0.3">
      <c r="A380" s="401"/>
      <c r="B380" s="408"/>
      <c r="C380" s="390" t="s">
        <v>652</v>
      </c>
      <c r="D380" s="390" t="s">
        <v>657</v>
      </c>
      <c r="E380" s="391" t="s">
        <v>235</v>
      </c>
      <c r="F380" s="577"/>
      <c r="G380" s="577"/>
      <c r="H380" s="573"/>
      <c r="I380" s="409">
        <f t="shared" si="63"/>
        <v>0</v>
      </c>
      <c r="J380" s="409"/>
      <c r="K380" s="409"/>
      <c r="L380" s="409">
        <f t="shared" si="64"/>
        <v>0</v>
      </c>
      <c r="M380" s="409">
        <f t="shared" si="65"/>
        <v>0</v>
      </c>
      <c r="N380" s="549">
        <f t="shared" si="66"/>
        <v>0</v>
      </c>
    </row>
    <row r="381" spans="1:14" ht="13.2" customHeight="1" x14ac:dyDescent="0.3">
      <c r="A381" s="401"/>
      <c r="B381" s="403" t="s">
        <v>1825</v>
      </c>
      <c r="C381" s="404" t="s">
        <v>652</v>
      </c>
      <c r="D381" s="371" t="s">
        <v>662</v>
      </c>
      <c r="E381" s="405" t="s">
        <v>235</v>
      </c>
      <c r="F381" s="576"/>
      <c r="G381" s="576"/>
      <c r="H381" s="575"/>
      <c r="I381" s="406">
        <f t="shared" si="63"/>
        <v>0</v>
      </c>
      <c r="J381" s="406"/>
      <c r="K381" s="406"/>
      <c r="L381" s="406">
        <f t="shared" si="64"/>
        <v>0</v>
      </c>
      <c r="M381" s="406">
        <f t="shared" si="65"/>
        <v>0</v>
      </c>
      <c r="N381" s="548">
        <f t="shared" si="66"/>
        <v>0</v>
      </c>
    </row>
    <row r="382" spans="1:14" ht="13.2" customHeight="1" x14ac:dyDescent="0.3">
      <c r="A382" s="401"/>
      <c r="B382" s="407"/>
      <c r="C382" s="371" t="s">
        <v>652</v>
      </c>
      <c r="D382" s="371" t="s">
        <v>663</v>
      </c>
      <c r="E382" s="367" t="s">
        <v>235</v>
      </c>
      <c r="F382" s="539"/>
      <c r="G382" s="539"/>
      <c r="H382" s="527"/>
      <c r="I382" s="372">
        <f t="shared" si="63"/>
        <v>0</v>
      </c>
      <c r="J382" s="372"/>
      <c r="K382" s="372"/>
      <c r="L382" s="372">
        <f t="shared" si="64"/>
        <v>0</v>
      </c>
      <c r="M382" s="372">
        <f t="shared" si="65"/>
        <v>0</v>
      </c>
      <c r="N382" s="460">
        <f t="shared" si="66"/>
        <v>0</v>
      </c>
    </row>
    <row r="383" spans="1:14" ht="13.2" customHeight="1" x14ac:dyDescent="0.3">
      <c r="A383" s="401"/>
      <c r="B383" s="403" t="s">
        <v>1826</v>
      </c>
      <c r="C383" s="404" t="s">
        <v>652</v>
      </c>
      <c r="D383" s="371" t="s">
        <v>658</v>
      </c>
      <c r="E383" s="405" t="s">
        <v>235</v>
      </c>
      <c r="F383" s="576"/>
      <c r="G383" s="576"/>
      <c r="H383" s="575"/>
      <c r="I383" s="406">
        <f t="shared" si="63"/>
        <v>0</v>
      </c>
      <c r="J383" s="406"/>
      <c r="K383" s="406"/>
      <c r="L383" s="406">
        <f t="shared" si="64"/>
        <v>0</v>
      </c>
      <c r="M383" s="406">
        <f t="shared" si="65"/>
        <v>0</v>
      </c>
      <c r="N383" s="548">
        <f t="shared" si="66"/>
        <v>0</v>
      </c>
    </row>
    <row r="384" spans="1:14" ht="13.2" customHeight="1" x14ac:dyDescent="0.3">
      <c r="A384" s="401"/>
      <c r="B384" s="407"/>
      <c r="C384" s="371" t="s">
        <v>652</v>
      </c>
      <c r="D384" s="371" t="s">
        <v>659</v>
      </c>
      <c r="E384" s="367" t="s">
        <v>235</v>
      </c>
      <c r="F384" s="539"/>
      <c r="G384" s="539"/>
      <c r="H384" s="527"/>
      <c r="I384" s="372">
        <f t="shared" si="63"/>
        <v>0</v>
      </c>
      <c r="J384" s="372"/>
      <c r="K384" s="372"/>
      <c r="L384" s="372">
        <f t="shared" si="64"/>
        <v>0</v>
      </c>
      <c r="M384" s="372">
        <f t="shared" si="65"/>
        <v>0</v>
      </c>
      <c r="N384" s="460">
        <f t="shared" si="66"/>
        <v>0</v>
      </c>
    </row>
    <row r="385" spans="1:14" ht="13.2" customHeight="1" x14ac:dyDescent="0.3">
      <c r="A385" s="401"/>
      <c r="B385" s="403" t="s">
        <v>1827</v>
      </c>
      <c r="C385" s="404" t="s">
        <v>652</v>
      </c>
      <c r="D385" s="404" t="s">
        <v>630</v>
      </c>
      <c r="E385" s="405" t="s">
        <v>235</v>
      </c>
      <c r="F385" s="576"/>
      <c r="G385" s="576"/>
      <c r="H385" s="575"/>
      <c r="I385" s="406">
        <f t="shared" si="63"/>
        <v>0</v>
      </c>
      <c r="J385" s="406"/>
      <c r="K385" s="406"/>
      <c r="L385" s="406">
        <f t="shared" si="64"/>
        <v>0</v>
      </c>
      <c r="M385" s="406">
        <f t="shared" si="65"/>
        <v>0</v>
      </c>
      <c r="N385" s="548">
        <f t="shared" si="66"/>
        <v>0</v>
      </c>
    </row>
    <row r="386" spans="1:14" ht="13.2" customHeight="1" x14ac:dyDescent="0.3">
      <c r="A386" s="410"/>
      <c r="B386" s="408"/>
      <c r="C386" s="390" t="s">
        <v>652</v>
      </c>
      <c r="D386" s="390" t="s">
        <v>1569</v>
      </c>
      <c r="E386" s="391" t="s">
        <v>235</v>
      </c>
      <c r="F386" s="577"/>
      <c r="G386" s="577"/>
      <c r="H386" s="573"/>
      <c r="I386" s="409">
        <f t="shared" si="63"/>
        <v>0</v>
      </c>
      <c r="J386" s="409"/>
      <c r="K386" s="409"/>
      <c r="L386" s="409">
        <f t="shared" si="64"/>
        <v>0</v>
      </c>
      <c r="M386" s="409">
        <f t="shared" si="65"/>
        <v>0</v>
      </c>
      <c r="N386" s="549">
        <f t="shared" si="66"/>
        <v>0</v>
      </c>
    </row>
    <row r="387" spans="1:14" ht="13.2" customHeight="1" x14ac:dyDescent="0.3">
      <c r="A387" s="397">
        <v>5</v>
      </c>
      <c r="B387" s="398" t="s">
        <v>1573</v>
      </c>
      <c r="C387" s="371"/>
      <c r="D387" s="371"/>
      <c r="E387" s="367"/>
      <c r="F387" s="527"/>
      <c r="G387" s="527"/>
      <c r="H387" s="527"/>
      <c r="I387" s="372">
        <f t="shared" si="63"/>
        <v>0</v>
      </c>
      <c r="J387" s="372"/>
      <c r="K387" s="369"/>
      <c r="L387" s="372">
        <f t="shared" si="64"/>
        <v>0</v>
      </c>
      <c r="M387" s="372">
        <f t="shared" si="65"/>
        <v>0</v>
      </c>
      <c r="N387" s="460">
        <f t="shared" si="66"/>
        <v>0</v>
      </c>
    </row>
    <row r="388" spans="1:14" ht="13.2" customHeight="1" x14ac:dyDescent="0.3">
      <c r="A388" s="401"/>
      <c r="B388" s="402" t="s">
        <v>1828</v>
      </c>
      <c r="C388" s="371" t="s">
        <v>650</v>
      </c>
      <c r="D388" s="371" t="s">
        <v>651</v>
      </c>
      <c r="E388" s="367" t="s">
        <v>235</v>
      </c>
      <c r="F388" s="527">
        <f>IF(REKAP!$Q$9="Kota Kupang",F$28,0)</f>
        <v>0</v>
      </c>
      <c r="G388" s="527">
        <f>IF(REKAP!$Q$9="Kota Kupang",G$28,0)</f>
        <v>0</v>
      </c>
      <c r="H388" s="539"/>
      <c r="I388" s="372">
        <f t="shared" si="63"/>
        <v>0</v>
      </c>
      <c r="J388" s="372"/>
      <c r="K388" s="372">
        <v>432000</v>
      </c>
      <c r="L388" s="372">
        <f t="shared" si="64"/>
        <v>0</v>
      </c>
      <c r="M388" s="372">
        <f t="shared" si="65"/>
        <v>0</v>
      </c>
      <c r="N388" s="460">
        <f t="shared" si="66"/>
        <v>0</v>
      </c>
    </row>
    <row r="389" spans="1:14" ht="13.2" customHeight="1" x14ac:dyDescent="0.3">
      <c r="A389" s="401"/>
      <c r="B389" s="402"/>
      <c r="C389" s="371" t="s">
        <v>652</v>
      </c>
      <c r="D389" s="371" t="s">
        <v>651</v>
      </c>
      <c r="E389" s="367" t="s">
        <v>235</v>
      </c>
      <c r="F389" s="527">
        <f>IF(REKAP!$Q$9=$D389,F$28,0)</f>
        <v>0</v>
      </c>
      <c r="G389" s="527">
        <f>IF(REKAP!$Q$9=$D389,G$28,0)</f>
        <v>0</v>
      </c>
      <c r="H389" s="539"/>
      <c r="I389" s="372">
        <f t="shared" si="63"/>
        <v>0</v>
      </c>
      <c r="J389" s="372"/>
      <c r="K389" s="372">
        <v>477000</v>
      </c>
      <c r="L389" s="372">
        <f t="shared" si="64"/>
        <v>0</v>
      </c>
      <c r="M389" s="372">
        <f t="shared" si="65"/>
        <v>0</v>
      </c>
      <c r="N389" s="460">
        <f t="shared" si="66"/>
        <v>0</v>
      </c>
    </row>
    <row r="390" spans="1:14" ht="13.2" customHeight="1" x14ac:dyDescent="0.3">
      <c r="A390" s="401"/>
      <c r="B390" s="402"/>
      <c r="C390" s="371" t="s">
        <v>652</v>
      </c>
      <c r="D390" s="371" t="s">
        <v>653</v>
      </c>
      <c r="E390" s="367" t="s">
        <v>235</v>
      </c>
      <c r="F390" s="527">
        <f>IF(REKAP!$Q$9=$D390,F$28,0)</f>
        <v>0</v>
      </c>
      <c r="G390" s="527">
        <f>IF(REKAP!$Q$9=$D390,G$28,0)</f>
        <v>0</v>
      </c>
      <c r="H390" s="539"/>
      <c r="I390" s="372">
        <f t="shared" si="63"/>
        <v>0</v>
      </c>
      <c r="J390" s="372"/>
      <c r="K390" s="372">
        <v>540000</v>
      </c>
      <c r="L390" s="372">
        <f t="shared" si="64"/>
        <v>0</v>
      </c>
      <c r="M390" s="372">
        <f t="shared" si="65"/>
        <v>0</v>
      </c>
      <c r="N390" s="460">
        <f t="shared" si="66"/>
        <v>0</v>
      </c>
    </row>
    <row r="391" spans="1:14" ht="13.2" customHeight="1" x14ac:dyDescent="0.3">
      <c r="A391" s="401"/>
      <c r="B391" s="402"/>
      <c r="C391" s="371" t="s">
        <v>652</v>
      </c>
      <c r="D391" s="371" t="s">
        <v>654</v>
      </c>
      <c r="E391" s="367" t="s">
        <v>235</v>
      </c>
      <c r="F391" s="527">
        <f>IF(REKAP!$Q$9=$D391,F$28,0)</f>
        <v>0</v>
      </c>
      <c r="G391" s="527">
        <f>IF(REKAP!$Q$9=$D391,G$28,0)</f>
        <v>0</v>
      </c>
      <c r="H391" s="539"/>
      <c r="I391" s="372">
        <f t="shared" si="63"/>
        <v>0</v>
      </c>
      <c r="J391" s="372"/>
      <c r="K391" s="372">
        <v>603000</v>
      </c>
      <c r="L391" s="372">
        <f t="shared" si="64"/>
        <v>0</v>
      </c>
      <c r="M391" s="372">
        <f t="shared" si="65"/>
        <v>0</v>
      </c>
      <c r="N391" s="460">
        <f t="shared" si="66"/>
        <v>0</v>
      </c>
    </row>
    <row r="392" spans="1:14" ht="13.2" customHeight="1" x14ac:dyDescent="0.3">
      <c r="A392" s="401"/>
      <c r="B392" s="402"/>
      <c r="C392" s="371" t="s">
        <v>652</v>
      </c>
      <c r="D392" s="371" t="s">
        <v>655</v>
      </c>
      <c r="E392" s="367" t="s">
        <v>235</v>
      </c>
      <c r="F392" s="527">
        <f>IF(REKAP!$Q$9=$D392,F$28,0)</f>
        <v>0</v>
      </c>
      <c r="G392" s="527">
        <f>IF(REKAP!$Q$9=$D392,G$28,0)</f>
        <v>0</v>
      </c>
      <c r="H392" s="539"/>
      <c r="I392" s="372">
        <f t="shared" si="63"/>
        <v>0</v>
      </c>
      <c r="J392" s="372"/>
      <c r="K392" s="372">
        <v>774000</v>
      </c>
      <c r="L392" s="372">
        <f t="shared" si="64"/>
        <v>0</v>
      </c>
      <c r="M392" s="372">
        <f t="shared" si="65"/>
        <v>0</v>
      </c>
      <c r="N392" s="460">
        <f t="shared" si="66"/>
        <v>0</v>
      </c>
    </row>
    <row r="393" spans="1:14" ht="13.2" customHeight="1" x14ac:dyDescent="0.3">
      <c r="A393" s="401"/>
      <c r="B393" s="402"/>
      <c r="C393" s="371" t="s">
        <v>652</v>
      </c>
      <c r="D393" s="371" t="s">
        <v>656</v>
      </c>
      <c r="E393" s="367" t="s">
        <v>235</v>
      </c>
      <c r="F393" s="527">
        <f>IF(REKAP!$Q$9=$D393,F$28,0)</f>
        <v>0</v>
      </c>
      <c r="G393" s="527">
        <f>IF(REKAP!$Q$9=$D393,G$28,0)</f>
        <v>0</v>
      </c>
      <c r="H393" s="539"/>
      <c r="I393" s="372">
        <f t="shared" si="63"/>
        <v>0</v>
      </c>
      <c r="J393" s="372"/>
      <c r="K393" s="372">
        <v>828000</v>
      </c>
      <c r="L393" s="372">
        <f t="shared" si="64"/>
        <v>0</v>
      </c>
      <c r="M393" s="372">
        <f t="shared" si="65"/>
        <v>0</v>
      </c>
      <c r="N393" s="460">
        <f t="shared" si="66"/>
        <v>0</v>
      </c>
    </row>
    <row r="394" spans="1:14" ht="13.2" customHeight="1" x14ac:dyDescent="0.3">
      <c r="A394" s="401"/>
      <c r="B394" s="402"/>
      <c r="C394" s="371" t="s">
        <v>652</v>
      </c>
      <c r="D394" s="371" t="s">
        <v>657</v>
      </c>
      <c r="E394" s="367" t="s">
        <v>235</v>
      </c>
      <c r="F394" s="527">
        <f>IF(REKAP!$Q$9=$D394,F$28,0)</f>
        <v>0</v>
      </c>
      <c r="G394" s="527">
        <f>IF(REKAP!$Q$9=$D394,G$28,0)</f>
        <v>0</v>
      </c>
      <c r="H394" s="539"/>
      <c r="I394" s="372">
        <f t="shared" si="63"/>
        <v>0</v>
      </c>
      <c r="J394" s="372"/>
      <c r="K394" s="372">
        <v>828000</v>
      </c>
      <c r="L394" s="372">
        <f t="shared" si="64"/>
        <v>0</v>
      </c>
      <c r="M394" s="372">
        <f t="shared" si="65"/>
        <v>0</v>
      </c>
      <c r="N394" s="460">
        <f t="shared" si="66"/>
        <v>0</v>
      </c>
    </row>
    <row r="395" spans="1:14" ht="13.2" customHeight="1" x14ac:dyDescent="0.3">
      <c r="A395" s="401"/>
      <c r="B395" s="402"/>
      <c r="C395" s="371" t="s">
        <v>652</v>
      </c>
      <c r="D395" s="371" t="s">
        <v>658</v>
      </c>
      <c r="E395" s="367" t="s">
        <v>235</v>
      </c>
      <c r="F395" s="527">
        <f>IF(REKAP!$Q$9=$D395,F$28,0)</f>
        <v>0</v>
      </c>
      <c r="G395" s="527">
        <f>IF(REKAP!$Q$9=$D395,G$28,0)</f>
        <v>0</v>
      </c>
      <c r="H395" s="539"/>
      <c r="I395" s="372">
        <f t="shared" si="63"/>
        <v>0</v>
      </c>
      <c r="J395" s="372"/>
      <c r="K395" s="372">
        <v>1089000</v>
      </c>
      <c r="L395" s="372">
        <f t="shared" si="64"/>
        <v>0</v>
      </c>
      <c r="M395" s="372">
        <f t="shared" si="65"/>
        <v>0</v>
      </c>
      <c r="N395" s="460">
        <f t="shared" si="66"/>
        <v>0</v>
      </c>
    </row>
    <row r="396" spans="1:14" ht="13.2" customHeight="1" x14ac:dyDescent="0.3">
      <c r="A396" s="401"/>
      <c r="B396" s="402"/>
      <c r="C396" s="371" t="s">
        <v>652</v>
      </c>
      <c r="D396" s="371" t="s">
        <v>659</v>
      </c>
      <c r="E396" s="367" t="s">
        <v>235</v>
      </c>
      <c r="F396" s="527">
        <f>IF(REKAP!$Q$9=$D396,F$28,0)</f>
        <v>0</v>
      </c>
      <c r="G396" s="527">
        <f>IF(REKAP!$Q$9=$D396,G$28,0)</f>
        <v>0</v>
      </c>
      <c r="H396" s="539"/>
      <c r="I396" s="372">
        <f t="shared" si="63"/>
        <v>0</v>
      </c>
      <c r="J396" s="372"/>
      <c r="K396" s="372">
        <v>1971000</v>
      </c>
      <c r="L396" s="372">
        <f t="shared" si="64"/>
        <v>0</v>
      </c>
      <c r="M396" s="372">
        <f t="shared" si="65"/>
        <v>0</v>
      </c>
      <c r="N396" s="460">
        <f t="shared" si="66"/>
        <v>0</v>
      </c>
    </row>
    <row r="397" spans="1:14" ht="13.2" customHeight="1" x14ac:dyDescent="0.3">
      <c r="A397" s="401"/>
      <c r="B397" s="402"/>
      <c r="C397" s="371" t="s">
        <v>652</v>
      </c>
      <c r="D397" s="371" t="s">
        <v>660</v>
      </c>
      <c r="E397" s="367" t="s">
        <v>235</v>
      </c>
      <c r="F397" s="527">
        <f>IF(REKAP!$Q$9=$D397,F$28,0)</f>
        <v>0</v>
      </c>
      <c r="G397" s="527">
        <f>IF(REKAP!$Q$9=$D397,G$28,0)</f>
        <v>0</v>
      </c>
      <c r="H397" s="539"/>
      <c r="I397" s="372">
        <f t="shared" si="63"/>
        <v>0</v>
      </c>
      <c r="J397" s="372"/>
      <c r="K397" s="372">
        <v>1458000</v>
      </c>
      <c r="L397" s="372">
        <f t="shared" si="64"/>
        <v>0</v>
      </c>
      <c r="M397" s="372">
        <f t="shared" si="65"/>
        <v>0</v>
      </c>
      <c r="N397" s="460">
        <f t="shared" si="66"/>
        <v>0</v>
      </c>
    </row>
    <row r="398" spans="1:14" ht="13.2" customHeight="1" x14ac:dyDescent="0.3">
      <c r="A398" s="401"/>
      <c r="B398" s="402"/>
      <c r="C398" s="371" t="s">
        <v>652</v>
      </c>
      <c r="D398" s="371" t="s">
        <v>661</v>
      </c>
      <c r="E398" s="367" t="s">
        <v>235</v>
      </c>
      <c r="F398" s="527">
        <f>IF(REKAP!$Q$9=$D398,F$28,0)</f>
        <v>0</v>
      </c>
      <c r="G398" s="527">
        <f>IF(REKAP!$Q$9=$D398,G$28,0)</f>
        <v>0</v>
      </c>
      <c r="H398" s="539"/>
      <c r="I398" s="372">
        <f t="shared" si="63"/>
        <v>0</v>
      </c>
      <c r="J398" s="372"/>
      <c r="K398" s="372">
        <v>2565000</v>
      </c>
      <c r="L398" s="372">
        <f t="shared" si="64"/>
        <v>0</v>
      </c>
      <c r="M398" s="372">
        <f t="shared" si="65"/>
        <v>0</v>
      </c>
      <c r="N398" s="460">
        <f t="shared" si="66"/>
        <v>0</v>
      </c>
    </row>
    <row r="399" spans="1:14" ht="13.2" customHeight="1" x14ac:dyDescent="0.3">
      <c r="A399" s="401"/>
      <c r="B399" s="402"/>
      <c r="C399" s="371" t="s">
        <v>652</v>
      </c>
      <c r="D399" s="371" t="s">
        <v>662</v>
      </c>
      <c r="E399" s="367" t="s">
        <v>235</v>
      </c>
      <c r="F399" s="527">
        <f>IF(REKAP!$Q$9=$D399,F$28,0)</f>
        <v>0</v>
      </c>
      <c r="G399" s="527">
        <f>IF(REKAP!$Q$9=$D399,G$28,0)</f>
        <v>0</v>
      </c>
      <c r="H399" s="539"/>
      <c r="I399" s="372">
        <f t="shared" si="63"/>
        <v>0</v>
      </c>
      <c r="J399" s="372"/>
      <c r="K399" s="372">
        <v>2034000</v>
      </c>
      <c r="L399" s="372">
        <f t="shared" si="64"/>
        <v>0</v>
      </c>
      <c r="M399" s="372">
        <f t="shared" si="65"/>
        <v>0</v>
      </c>
      <c r="N399" s="460">
        <f t="shared" si="66"/>
        <v>0</v>
      </c>
    </row>
    <row r="400" spans="1:14" ht="13.2" customHeight="1" x14ac:dyDescent="0.3">
      <c r="A400" s="401"/>
      <c r="B400" s="402"/>
      <c r="C400" s="371" t="s">
        <v>652</v>
      </c>
      <c r="D400" s="371" t="s">
        <v>663</v>
      </c>
      <c r="E400" s="367" t="s">
        <v>235</v>
      </c>
      <c r="F400" s="527">
        <f>IF(REKAP!$Q$9=$D400,F$28,0)</f>
        <v>0</v>
      </c>
      <c r="G400" s="527">
        <f>IF(REKAP!$Q$9=$D400,G$28,0)</f>
        <v>0</v>
      </c>
      <c r="H400" s="539"/>
      <c r="I400" s="372">
        <f t="shared" si="63"/>
        <v>0</v>
      </c>
      <c r="J400" s="372"/>
      <c r="K400" s="372">
        <v>3375000</v>
      </c>
      <c r="L400" s="372">
        <f t="shared" si="64"/>
        <v>0</v>
      </c>
      <c r="M400" s="372">
        <f t="shared" si="65"/>
        <v>0</v>
      </c>
      <c r="N400" s="460">
        <f t="shared" si="66"/>
        <v>0</v>
      </c>
    </row>
    <row r="401" spans="1:14" ht="13.2" customHeight="1" x14ac:dyDescent="0.3">
      <c r="A401" s="401"/>
      <c r="B401" s="402"/>
      <c r="C401" s="373" t="s">
        <v>652</v>
      </c>
      <c r="D401" s="373" t="s">
        <v>664</v>
      </c>
      <c r="E401" s="374" t="s">
        <v>235</v>
      </c>
      <c r="F401" s="527">
        <f>IF(REKAP!$Q$9=$D401,F$28,0)</f>
        <v>0</v>
      </c>
      <c r="G401" s="527">
        <f>IF(REKAP!$Q$9=$D401,G$28,0)</f>
        <v>0</v>
      </c>
      <c r="H401" s="571"/>
      <c r="I401" s="375">
        <f t="shared" si="63"/>
        <v>0</v>
      </c>
      <c r="J401" s="375"/>
      <c r="K401" s="372">
        <v>594000</v>
      </c>
      <c r="L401" s="375">
        <f t="shared" si="64"/>
        <v>0</v>
      </c>
      <c r="M401" s="375">
        <f t="shared" si="65"/>
        <v>0</v>
      </c>
      <c r="N401" s="462">
        <f t="shared" si="66"/>
        <v>0</v>
      </c>
    </row>
    <row r="402" spans="1:14" ht="13.2" customHeight="1" x14ac:dyDescent="0.3">
      <c r="A402" s="401"/>
      <c r="B402" s="403" t="s">
        <v>1824</v>
      </c>
      <c r="C402" s="404" t="s">
        <v>652</v>
      </c>
      <c r="D402" s="404" t="s">
        <v>655</v>
      </c>
      <c r="E402" s="405" t="s">
        <v>235</v>
      </c>
      <c r="F402" s="575"/>
      <c r="G402" s="575"/>
      <c r="H402" s="576"/>
      <c r="I402" s="406">
        <f t="shared" si="63"/>
        <v>0</v>
      </c>
      <c r="J402" s="406"/>
      <c r="K402" s="406">
        <v>594000</v>
      </c>
      <c r="L402" s="406">
        <f t="shared" si="64"/>
        <v>0</v>
      </c>
      <c r="M402" s="406">
        <f t="shared" si="65"/>
        <v>0</v>
      </c>
      <c r="N402" s="548">
        <f t="shared" si="66"/>
        <v>0</v>
      </c>
    </row>
    <row r="403" spans="1:14" ht="13.2" customHeight="1" x14ac:dyDescent="0.3">
      <c r="A403" s="401"/>
      <c r="B403" s="407"/>
      <c r="C403" s="371" t="s">
        <v>652</v>
      </c>
      <c r="D403" s="371" t="s">
        <v>656</v>
      </c>
      <c r="E403" s="367" t="s">
        <v>235</v>
      </c>
      <c r="F403" s="527"/>
      <c r="G403" s="527"/>
      <c r="H403" s="539"/>
      <c r="I403" s="372">
        <f t="shared" si="63"/>
        <v>0</v>
      </c>
      <c r="J403" s="372"/>
      <c r="K403" s="372">
        <v>423000</v>
      </c>
      <c r="L403" s="372">
        <f t="shared" si="64"/>
        <v>0</v>
      </c>
      <c r="M403" s="372">
        <f t="shared" si="65"/>
        <v>0</v>
      </c>
      <c r="N403" s="460">
        <f t="shared" si="66"/>
        <v>0</v>
      </c>
    </row>
    <row r="404" spans="1:14" ht="13.2" customHeight="1" x14ac:dyDescent="0.3">
      <c r="A404" s="401"/>
      <c r="B404" s="408"/>
      <c r="C404" s="390" t="s">
        <v>652</v>
      </c>
      <c r="D404" s="390" t="s">
        <v>657</v>
      </c>
      <c r="E404" s="391" t="s">
        <v>235</v>
      </c>
      <c r="F404" s="573"/>
      <c r="G404" s="573"/>
      <c r="H404" s="577"/>
      <c r="I404" s="409">
        <f t="shared" ref="I404:I435" si="67">SUM(F404:H404)</f>
        <v>0</v>
      </c>
      <c r="J404" s="409"/>
      <c r="K404" s="409">
        <v>540000</v>
      </c>
      <c r="L404" s="409">
        <f t="shared" ref="L404:L435" si="68">J404*I404</f>
        <v>0</v>
      </c>
      <c r="M404" s="409">
        <f t="shared" ref="M404:M435" si="69">K404*I404</f>
        <v>0</v>
      </c>
      <c r="N404" s="549">
        <f t="shared" ref="N404:N435" si="70">SUM(L404:M404)</f>
        <v>0</v>
      </c>
    </row>
    <row r="405" spans="1:14" ht="13.2" customHeight="1" x14ac:dyDescent="0.3">
      <c r="A405" s="401"/>
      <c r="B405" s="403" t="s">
        <v>1825</v>
      </c>
      <c r="C405" s="404" t="s">
        <v>652</v>
      </c>
      <c r="D405" s="371" t="s">
        <v>662</v>
      </c>
      <c r="E405" s="405" t="s">
        <v>235</v>
      </c>
      <c r="F405" s="575"/>
      <c r="G405" s="575"/>
      <c r="H405" s="576"/>
      <c r="I405" s="406">
        <f t="shared" si="67"/>
        <v>0</v>
      </c>
      <c r="J405" s="406"/>
      <c r="K405" s="406">
        <v>441000</v>
      </c>
      <c r="L405" s="406">
        <f t="shared" si="68"/>
        <v>0</v>
      </c>
      <c r="M405" s="406">
        <f t="shared" si="69"/>
        <v>0</v>
      </c>
      <c r="N405" s="548">
        <f t="shared" si="70"/>
        <v>0</v>
      </c>
    </row>
    <row r="406" spans="1:14" ht="13.2" customHeight="1" x14ac:dyDescent="0.3">
      <c r="A406" s="401"/>
      <c r="B406" s="407"/>
      <c r="C406" s="371" t="s">
        <v>652</v>
      </c>
      <c r="D406" s="371" t="s">
        <v>663</v>
      </c>
      <c r="E406" s="367" t="s">
        <v>235</v>
      </c>
      <c r="F406" s="527"/>
      <c r="G406" s="527"/>
      <c r="H406" s="539"/>
      <c r="I406" s="372">
        <f t="shared" si="67"/>
        <v>0</v>
      </c>
      <c r="J406" s="372"/>
      <c r="K406" s="409">
        <v>1098000</v>
      </c>
      <c r="L406" s="372">
        <f t="shared" si="68"/>
        <v>0</v>
      </c>
      <c r="M406" s="372">
        <f t="shared" si="69"/>
        <v>0</v>
      </c>
      <c r="N406" s="460">
        <f t="shared" si="70"/>
        <v>0</v>
      </c>
    </row>
    <row r="407" spans="1:14" ht="13.2" customHeight="1" x14ac:dyDescent="0.3">
      <c r="A407" s="401"/>
      <c r="B407" s="403" t="s">
        <v>1826</v>
      </c>
      <c r="C407" s="404" t="s">
        <v>652</v>
      </c>
      <c r="D407" s="371" t="s">
        <v>658</v>
      </c>
      <c r="E407" s="405" t="s">
        <v>235</v>
      </c>
      <c r="F407" s="575"/>
      <c r="G407" s="575"/>
      <c r="H407" s="576"/>
      <c r="I407" s="406">
        <f t="shared" si="67"/>
        <v>0</v>
      </c>
      <c r="J407" s="406"/>
      <c r="K407" s="406">
        <v>396000</v>
      </c>
      <c r="L407" s="406">
        <f t="shared" si="68"/>
        <v>0</v>
      </c>
      <c r="M407" s="406">
        <f t="shared" si="69"/>
        <v>0</v>
      </c>
      <c r="N407" s="548">
        <f t="shared" si="70"/>
        <v>0</v>
      </c>
    </row>
    <row r="408" spans="1:14" ht="13.2" customHeight="1" x14ac:dyDescent="0.3">
      <c r="A408" s="401"/>
      <c r="B408" s="407"/>
      <c r="C408" s="371" t="s">
        <v>652</v>
      </c>
      <c r="D408" s="371" t="s">
        <v>659</v>
      </c>
      <c r="E408" s="367" t="s">
        <v>235</v>
      </c>
      <c r="F408" s="527"/>
      <c r="G408" s="527"/>
      <c r="H408" s="539"/>
      <c r="I408" s="372">
        <f t="shared" si="67"/>
        <v>0</v>
      </c>
      <c r="J408" s="372"/>
      <c r="K408" s="409">
        <v>891000</v>
      </c>
      <c r="L408" s="372">
        <f t="shared" si="68"/>
        <v>0</v>
      </c>
      <c r="M408" s="372">
        <f t="shared" si="69"/>
        <v>0</v>
      </c>
      <c r="N408" s="460">
        <f t="shared" si="70"/>
        <v>0</v>
      </c>
    </row>
    <row r="409" spans="1:14" ht="13.2" customHeight="1" x14ac:dyDescent="0.3">
      <c r="A409" s="401"/>
      <c r="B409" s="403" t="s">
        <v>1827</v>
      </c>
      <c r="C409" s="404" t="s">
        <v>652</v>
      </c>
      <c r="D409" s="404" t="s">
        <v>630</v>
      </c>
      <c r="E409" s="405" t="s">
        <v>235</v>
      </c>
      <c r="F409" s="575"/>
      <c r="G409" s="575"/>
      <c r="H409" s="576"/>
      <c r="I409" s="406">
        <f t="shared" si="67"/>
        <v>0</v>
      </c>
      <c r="J409" s="406"/>
      <c r="K409" s="369">
        <v>396000</v>
      </c>
      <c r="L409" s="406">
        <f t="shared" si="68"/>
        <v>0</v>
      </c>
      <c r="M409" s="406">
        <f t="shared" si="69"/>
        <v>0</v>
      </c>
      <c r="N409" s="548">
        <f t="shared" si="70"/>
        <v>0</v>
      </c>
    </row>
    <row r="410" spans="1:14" ht="13.2" customHeight="1" x14ac:dyDescent="0.3">
      <c r="A410" s="410"/>
      <c r="B410" s="408"/>
      <c r="C410" s="390" t="s">
        <v>652</v>
      </c>
      <c r="D410" s="390" t="s">
        <v>1569</v>
      </c>
      <c r="E410" s="391" t="s">
        <v>235</v>
      </c>
      <c r="F410" s="573"/>
      <c r="G410" s="573"/>
      <c r="H410" s="577"/>
      <c r="I410" s="409">
        <f t="shared" si="67"/>
        <v>0</v>
      </c>
      <c r="J410" s="409"/>
      <c r="K410" s="409">
        <v>1098000</v>
      </c>
      <c r="L410" s="409">
        <f t="shared" si="68"/>
        <v>0</v>
      </c>
      <c r="M410" s="409">
        <f t="shared" si="69"/>
        <v>0</v>
      </c>
      <c r="N410" s="549">
        <f t="shared" si="70"/>
        <v>0</v>
      </c>
    </row>
    <row r="411" spans="1:14" ht="13.2" customHeight="1" x14ac:dyDescent="0.3">
      <c r="A411" s="397">
        <v>4</v>
      </c>
      <c r="B411" s="398" t="s">
        <v>1572</v>
      </c>
      <c r="C411" s="371"/>
      <c r="D411" s="371"/>
      <c r="E411" s="367"/>
      <c r="F411" s="527"/>
      <c r="G411" s="527"/>
      <c r="H411" s="527"/>
      <c r="I411" s="372">
        <f t="shared" si="67"/>
        <v>0</v>
      </c>
      <c r="J411" s="372"/>
      <c r="K411" s="372"/>
      <c r="L411" s="372">
        <f t="shared" si="68"/>
        <v>0</v>
      </c>
      <c r="M411" s="372">
        <f t="shared" si="69"/>
        <v>0</v>
      </c>
      <c r="N411" s="460">
        <f t="shared" si="70"/>
        <v>0</v>
      </c>
    </row>
    <row r="412" spans="1:14" ht="13.2" customHeight="1" x14ac:dyDescent="0.3">
      <c r="A412" s="401"/>
      <c r="B412" s="402" t="s">
        <v>1828</v>
      </c>
      <c r="C412" s="371" t="s">
        <v>650</v>
      </c>
      <c r="D412" s="371" t="s">
        <v>651</v>
      </c>
      <c r="E412" s="367" t="s">
        <v>235</v>
      </c>
      <c r="F412" s="527">
        <f>IF(REKAP!$Q$9="Kota Kupang",F$29,0)</f>
        <v>0</v>
      </c>
      <c r="G412" s="527">
        <f>IF(REKAP!$Q$9="Kota Kupang",G$29,0)</f>
        <v>0</v>
      </c>
      <c r="H412" s="539"/>
      <c r="I412" s="372">
        <f t="shared" si="67"/>
        <v>0</v>
      </c>
      <c r="J412" s="372"/>
      <c r="K412" s="372">
        <v>369000</v>
      </c>
      <c r="L412" s="372">
        <f t="shared" si="68"/>
        <v>0</v>
      </c>
      <c r="M412" s="372">
        <f t="shared" si="69"/>
        <v>0</v>
      </c>
      <c r="N412" s="460">
        <f t="shared" si="70"/>
        <v>0</v>
      </c>
    </row>
    <row r="413" spans="1:14" ht="13.2" customHeight="1" x14ac:dyDescent="0.3">
      <c r="A413" s="401"/>
      <c r="B413" s="402"/>
      <c r="C413" s="371" t="s">
        <v>652</v>
      </c>
      <c r="D413" s="371" t="s">
        <v>651</v>
      </c>
      <c r="E413" s="367" t="s">
        <v>235</v>
      </c>
      <c r="F413" s="527">
        <f>IF(REKAP!$Q$9=$D413,F$29,0)</f>
        <v>0</v>
      </c>
      <c r="G413" s="527">
        <f>IF(REKAP!$Q$9=$D413,G$29,0)</f>
        <v>0</v>
      </c>
      <c r="H413" s="539"/>
      <c r="I413" s="372">
        <f t="shared" si="67"/>
        <v>0</v>
      </c>
      <c r="J413" s="372"/>
      <c r="K413" s="372">
        <v>360000</v>
      </c>
      <c r="L413" s="372">
        <f t="shared" si="68"/>
        <v>0</v>
      </c>
      <c r="M413" s="372">
        <f t="shared" si="69"/>
        <v>0</v>
      </c>
      <c r="N413" s="460">
        <f t="shared" si="70"/>
        <v>0</v>
      </c>
    </row>
    <row r="414" spans="1:14" ht="13.2" customHeight="1" x14ac:dyDescent="0.3">
      <c r="A414" s="401"/>
      <c r="B414" s="402"/>
      <c r="C414" s="371" t="s">
        <v>652</v>
      </c>
      <c r="D414" s="371" t="s">
        <v>653</v>
      </c>
      <c r="E414" s="367" t="s">
        <v>235</v>
      </c>
      <c r="F414" s="527">
        <f>IF(REKAP!$Q$9=$D414,F$29,0)</f>
        <v>0</v>
      </c>
      <c r="G414" s="527">
        <f>IF(REKAP!$Q$9=$D414,G$29,0)</f>
        <v>0</v>
      </c>
      <c r="H414" s="539"/>
      <c r="I414" s="372">
        <f t="shared" si="67"/>
        <v>0</v>
      </c>
      <c r="J414" s="372"/>
      <c r="K414" s="372">
        <v>515550</v>
      </c>
      <c r="L414" s="372">
        <f t="shared" si="68"/>
        <v>0</v>
      </c>
      <c r="M414" s="372">
        <f t="shared" si="69"/>
        <v>0</v>
      </c>
      <c r="N414" s="460">
        <f t="shared" si="70"/>
        <v>0</v>
      </c>
    </row>
    <row r="415" spans="1:14" ht="13.2" customHeight="1" x14ac:dyDescent="0.3">
      <c r="A415" s="401"/>
      <c r="B415" s="402"/>
      <c r="C415" s="371" t="s">
        <v>652</v>
      </c>
      <c r="D415" s="371" t="s">
        <v>654</v>
      </c>
      <c r="E415" s="367" t="s">
        <v>235</v>
      </c>
      <c r="F415" s="527">
        <f>IF(REKAP!$Q$9=$D415,F$29,0)</f>
        <v>0</v>
      </c>
      <c r="G415" s="527">
        <f>IF(REKAP!$Q$9=$D415,G$29,0)</f>
        <v>0</v>
      </c>
      <c r="H415" s="539"/>
      <c r="I415" s="372">
        <f t="shared" si="67"/>
        <v>0</v>
      </c>
      <c r="J415" s="372"/>
      <c r="K415" s="372">
        <v>569803.5</v>
      </c>
      <c r="L415" s="372">
        <f t="shared" si="68"/>
        <v>0</v>
      </c>
      <c r="M415" s="372">
        <f t="shared" si="69"/>
        <v>0</v>
      </c>
      <c r="N415" s="460">
        <f t="shared" si="70"/>
        <v>0</v>
      </c>
    </row>
    <row r="416" spans="1:14" ht="13.2" customHeight="1" x14ac:dyDescent="0.3">
      <c r="A416" s="401"/>
      <c r="B416" s="402"/>
      <c r="C416" s="371" t="s">
        <v>652</v>
      </c>
      <c r="D416" s="371" t="s">
        <v>655</v>
      </c>
      <c r="E416" s="367" t="s">
        <v>235</v>
      </c>
      <c r="F416" s="527">
        <f>IF(REKAP!$Q$9=$D416,F$29,0)</f>
        <v>0</v>
      </c>
      <c r="G416" s="527">
        <f>IF(REKAP!$Q$9=$D416,G$29,0)</f>
        <v>0</v>
      </c>
      <c r="H416" s="539"/>
      <c r="I416" s="372">
        <f t="shared" si="67"/>
        <v>0</v>
      </c>
      <c r="J416" s="372"/>
      <c r="K416" s="372">
        <v>722988</v>
      </c>
      <c r="L416" s="372">
        <f t="shared" si="68"/>
        <v>0</v>
      </c>
      <c r="M416" s="372">
        <f t="shared" si="69"/>
        <v>0</v>
      </c>
      <c r="N416" s="460">
        <f t="shared" si="70"/>
        <v>0</v>
      </c>
    </row>
    <row r="417" spans="1:14" ht="13.2" customHeight="1" x14ac:dyDescent="0.3">
      <c r="A417" s="401"/>
      <c r="B417" s="402"/>
      <c r="C417" s="371" t="s">
        <v>652</v>
      </c>
      <c r="D417" s="371" t="s">
        <v>656</v>
      </c>
      <c r="E417" s="367" t="s">
        <v>235</v>
      </c>
      <c r="F417" s="527">
        <f>IF(REKAP!$Q$9=$D417,F$29,0)</f>
        <v>0</v>
      </c>
      <c r="G417" s="527">
        <f>IF(REKAP!$Q$9=$D417,G$29,0)</f>
        <v>0</v>
      </c>
      <c r="H417" s="539"/>
      <c r="I417" s="372">
        <f t="shared" si="67"/>
        <v>0</v>
      </c>
      <c r="J417" s="372"/>
      <c r="K417" s="372">
        <v>818937</v>
      </c>
      <c r="L417" s="372">
        <f t="shared" si="68"/>
        <v>0</v>
      </c>
      <c r="M417" s="372">
        <f t="shared" si="69"/>
        <v>0</v>
      </c>
      <c r="N417" s="460">
        <f t="shared" si="70"/>
        <v>0</v>
      </c>
    </row>
    <row r="418" spans="1:14" ht="13.2" customHeight="1" x14ac:dyDescent="0.3">
      <c r="A418" s="401"/>
      <c r="B418" s="402"/>
      <c r="C418" s="371" t="s">
        <v>652</v>
      </c>
      <c r="D418" s="371" t="s">
        <v>657</v>
      </c>
      <c r="E418" s="367" t="s">
        <v>235</v>
      </c>
      <c r="F418" s="527">
        <f>IF(REKAP!$Q$9=$D418,F$29,0)</f>
        <v>0</v>
      </c>
      <c r="G418" s="527">
        <f>IF(REKAP!$Q$9=$D418,G$29,0)</f>
        <v>0</v>
      </c>
      <c r="H418" s="539"/>
      <c r="I418" s="372">
        <f t="shared" si="67"/>
        <v>0</v>
      </c>
      <c r="J418" s="372"/>
      <c r="K418" s="372">
        <v>818863.5</v>
      </c>
      <c r="L418" s="372">
        <f t="shared" si="68"/>
        <v>0</v>
      </c>
      <c r="M418" s="372">
        <f t="shared" si="69"/>
        <v>0</v>
      </c>
      <c r="N418" s="460">
        <f t="shared" si="70"/>
        <v>0</v>
      </c>
    </row>
    <row r="419" spans="1:14" ht="13.2" customHeight="1" x14ac:dyDescent="0.3">
      <c r="A419" s="401"/>
      <c r="B419" s="402"/>
      <c r="C419" s="371" t="s">
        <v>652</v>
      </c>
      <c r="D419" s="371" t="s">
        <v>658</v>
      </c>
      <c r="E419" s="367" t="s">
        <v>235</v>
      </c>
      <c r="F419" s="527">
        <f>IF(REKAP!$Q$9=$D419,F$29,0)</f>
        <v>0</v>
      </c>
      <c r="G419" s="527">
        <f>IF(REKAP!$Q$9=$D419,G$29,0)</f>
        <v>0</v>
      </c>
      <c r="H419" s="539"/>
      <c r="I419" s="372">
        <f t="shared" si="67"/>
        <v>0</v>
      </c>
      <c r="J419" s="372"/>
      <c r="K419" s="372">
        <v>1017891</v>
      </c>
      <c r="L419" s="372">
        <f t="shared" si="68"/>
        <v>0</v>
      </c>
      <c r="M419" s="372">
        <f t="shared" si="69"/>
        <v>0</v>
      </c>
      <c r="N419" s="460">
        <f t="shared" si="70"/>
        <v>0</v>
      </c>
    </row>
    <row r="420" spans="1:14" ht="13.2" customHeight="1" x14ac:dyDescent="0.3">
      <c r="A420" s="401"/>
      <c r="B420" s="402"/>
      <c r="C420" s="371" t="s">
        <v>652</v>
      </c>
      <c r="D420" s="371" t="s">
        <v>659</v>
      </c>
      <c r="E420" s="367" t="s">
        <v>235</v>
      </c>
      <c r="F420" s="527">
        <f>IF(REKAP!$Q$9=$D420,F$29,0)</f>
        <v>0</v>
      </c>
      <c r="G420" s="527">
        <f>IF(REKAP!$Q$9=$D420,G$29,0)</f>
        <v>0</v>
      </c>
      <c r="H420" s="539"/>
      <c r="I420" s="372">
        <f t="shared" si="67"/>
        <v>0</v>
      </c>
      <c r="J420" s="372"/>
      <c r="K420" s="372">
        <v>1819566</v>
      </c>
      <c r="L420" s="372">
        <f t="shared" si="68"/>
        <v>0</v>
      </c>
      <c r="M420" s="372">
        <f t="shared" si="69"/>
        <v>0</v>
      </c>
      <c r="N420" s="460">
        <f t="shared" si="70"/>
        <v>0</v>
      </c>
    </row>
    <row r="421" spans="1:14" ht="13.2" customHeight="1" x14ac:dyDescent="0.3">
      <c r="A421" s="401"/>
      <c r="B421" s="402"/>
      <c r="C421" s="371" t="s">
        <v>652</v>
      </c>
      <c r="D421" s="371" t="s">
        <v>660</v>
      </c>
      <c r="E421" s="367" t="s">
        <v>235</v>
      </c>
      <c r="F421" s="527">
        <f>IF(REKAP!$Q$9=$D421,F$29,0)</f>
        <v>0</v>
      </c>
      <c r="G421" s="527">
        <f>IF(REKAP!$Q$9=$D421,G$29,0)</f>
        <v>0</v>
      </c>
      <c r="H421" s="539"/>
      <c r="I421" s="372">
        <f t="shared" si="67"/>
        <v>0</v>
      </c>
      <c r="J421" s="372"/>
      <c r="K421" s="372">
        <v>1437103.5</v>
      </c>
      <c r="L421" s="372">
        <f t="shared" si="68"/>
        <v>0</v>
      </c>
      <c r="M421" s="372">
        <f t="shared" si="69"/>
        <v>0</v>
      </c>
      <c r="N421" s="460">
        <f t="shared" si="70"/>
        <v>0</v>
      </c>
    </row>
    <row r="422" spans="1:14" ht="13.2" customHeight="1" x14ac:dyDescent="0.3">
      <c r="A422" s="401"/>
      <c r="B422" s="402"/>
      <c r="C422" s="371" t="s">
        <v>652</v>
      </c>
      <c r="D422" s="371" t="s">
        <v>661</v>
      </c>
      <c r="E422" s="367" t="s">
        <v>235</v>
      </c>
      <c r="F422" s="527">
        <f>IF(REKAP!$Q$9=$D422,F$29,0)</f>
        <v>0</v>
      </c>
      <c r="G422" s="527">
        <f>IF(REKAP!$Q$9=$D422,G$29,0)</f>
        <v>0</v>
      </c>
      <c r="H422" s="539"/>
      <c r="I422" s="372">
        <f t="shared" si="67"/>
        <v>0</v>
      </c>
      <c r="J422" s="372"/>
      <c r="K422" s="372">
        <v>2537472</v>
      </c>
      <c r="L422" s="372">
        <f t="shared" si="68"/>
        <v>0</v>
      </c>
      <c r="M422" s="372">
        <f t="shared" si="69"/>
        <v>0</v>
      </c>
      <c r="N422" s="460">
        <f t="shared" si="70"/>
        <v>0</v>
      </c>
    </row>
    <row r="423" spans="1:14" ht="13.2" customHeight="1" x14ac:dyDescent="0.3">
      <c r="A423" s="401"/>
      <c r="B423" s="402"/>
      <c r="C423" s="371" t="s">
        <v>652</v>
      </c>
      <c r="D423" s="371" t="s">
        <v>662</v>
      </c>
      <c r="E423" s="367" t="s">
        <v>235</v>
      </c>
      <c r="F423" s="527">
        <f>IF(REKAP!$Q$9=$D423,F$29,0)</f>
        <v>0</v>
      </c>
      <c r="G423" s="527">
        <f>IF(REKAP!$Q$9=$D423,G$29,0)</f>
        <v>0</v>
      </c>
      <c r="H423" s="539"/>
      <c r="I423" s="372">
        <f t="shared" si="67"/>
        <v>0</v>
      </c>
      <c r="J423" s="372"/>
      <c r="K423" s="372">
        <v>2137317</v>
      </c>
      <c r="L423" s="372">
        <f t="shared" si="68"/>
        <v>0</v>
      </c>
      <c r="M423" s="372">
        <f t="shared" si="69"/>
        <v>0</v>
      </c>
      <c r="N423" s="460">
        <f t="shared" si="70"/>
        <v>0</v>
      </c>
    </row>
    <row r="424" spans="1:14" ht="13.2" customHeight="1" x14ac:dyDescent="0.3">
      <c r="A424" s="401"/>
      <c r="B424" s="402"/>
      <c r="C424" s="371" t="s">
        <v>652</v>
      </c>
      <c r="D424" s="371" t="s">
        <v>663</v>
      </c>
      <c r="E424" s="367" t="s">
        <v>235</v>
      </c>
      <c r="F424" s="527">
        <f>IF(REKAP!$Q$9=$D424,F$29,0)</f>
        <v>0</v>
      </c>
      <c r="G424" s="527">
        <f>IF(REKAP!$Q$9=$D424,G$29,0)</f>
        <v>0</v>
      </c>
      <c r="H424" s="539"/>
      <c r="I424" s="372">
        <f t="shared" si="67"/>
        <v>0</v>
      </c>
      <c r="J424" s="372"/>
      <c r="K424" s="372">
        <v>3600000</v>
      </c>
      <c r="L424" s="372">
        <f t="shared" si="68"/>
        <v>0</v>
      </c>
      <c r="M424" s="372">
        <f t="shared" si="69"/>
        <v>0</v>
      </c>
      <c r="N424" s="460">
        <f t="shared" si="70"/>
        <v>0</v>
      </c>
    </row>
    <row r="425" spans="1:14" ht="13.2" customHeight="1" x14ac:dyDescent="0.3">
      <c r="A425" s="401"/>
      <c r="B425" s="402"/>
      <c r="C425" s="373" t="s">
        <v>652</v>
      </c>
      <c r="D425" s="373" t="s">
        <v>664</v>
      </c>
      <c r="E425" s="374" t="s">
        <v>235</v>
      </c>
      <c r="F425" s="527">
        <f>IF(REKAP!$Q$9=$D425,F$29,0)</f>
        <v>0</v>
      </c>
      <c r="G425" s="527">
        <f>IF(REKAP!$Q$9=$D425,G$29,0)</f>
        <v>0</v>
      </c>
      <c r="H425" s="571"/>
      <c r="I425" s="375">
        <f t="shared" si="67"/>
        <v>0</v>
      </c>
      <c r="J425" s="375"/>
      <c r="K425" s="372">
        <v>504000</v>
      </c>
      <c r="L425" s="375">
        <f t="shared" si="68"/>
        <v>0</v>
      </c>
      <c r="M425" s="375">
        <f t="shared" si="69"/>
        <v>0</v>
      </c>
      <c r="N425" s="462">
        <f t="shared" si="70"/>
        <v>0</v>
      </c>
    </row>
    <row r="426" spans="1:14" ht="13.2" customHeight="1" x14ac:dyDescent="0.3">
      <c r="A426" s="401"/>
      <c r="B426" s="403" t="s">
        <v>1824</v>
      </c>
      <c r="C426" s="404" t="s">
        <v>652</v>
      </c>
      <c r="D426" s="404" t="s">
        <v>655</v>
      </c>
      <c r="E426" s="405" t="s">
        <v>235</v>
      </c>
      <c r="F426" s="575"/>
      <c r="G426" s="575"/>
      <c r="H426" s="576"/>
      <c r="I426" s="406">
        <f t="shared" si="67"/>
        <v>0</v>
      </c>
      <c r="J426" s="406"/>
      <c r="K426" s="406">
        <v>577395</v>
      </c>
      <c r="L426" s="406">
        <f t="shared" si="68"/>
        <v>0</v>
      </c>
      <c r="M426" s="406">
        <f t="shared" si="69"/>
        <v>0</v>
      </c>
      <c r="N426" s="548">
        <f t="shared" si="70"/>
        <v>0</v>
      </c>
    </row>
    <row r="427" spans="1:14" ht="13.2" customHeight="1" x14ac:dyDescent="0.3">
      <c r="A427" s="401"/>
      <c r="B427" s="407"/>
      <c r="C427" s="371" t="s">
        <v>652</v>
      </c>
      <c r="D427" s="371" t="s">
        <v>656</v>
      </c>
      <c r="E427" s="367" t="s">
        <v>235</v>
      </c>
      <c r="F427" s="527"/>
      <c r="G427" s="527"/>
      <c r="H427" s="539"/>
      <c r="I427" s="372">
        <f t="shared" si="67"/>
        <v>0</v>
      </c>
      <c r="J427" s="372"/>
      <c r="K427" s="372">
        <v>430626</v>
      </c>
      <c r="L427" s="372">
        <f t="shared" si="68"/>
        <v>0</v>
      </c>
      <c r="M427" s="372">
        <f t="shared" si="69"/>
        <v>0</v>
      </c>
      <c r="N427" s="460">
        <f t="shared" si="70"/>
        <v>0</v>
      </c>
    </row>
    <row r="428" spans="1:14" ht="13.2" customHeight="1" x14ac:dyDescent="0.3">
      <c r="A428" s="401"/>
      <c r="B428" s="408"/>
      <c r="C428" s="390" t="s">
        <v>652</v>
      </c>
      <c r="D428" s="390" t="s">
        <v>657</v>
      </c>
      <c r="E428" s="391" t="s">
        <v>235</v>
      </c>
      <c r="F428" s="573"/>
      <c r="G428" s="573"/>
      <c r="H428" s="577"/>
      <c r="I428" s="409">
        <f t="shared" si="67"/>
        <v>0</v>
      </c>
      <c r="J428" s="409"/>
      <c r="K428" s="409">
        <v>537505.5</v>
      </c>
      <c r="L428" s="409">
        <f t="shared" si="68"/>
        <v>0</v>
      </c>
      <c r="M428" s="409">
        <f t="shared" si="69"/>
        <v>0</v>
      </c>
      <c r="N428" s="549">
        <f t="shared" si="70"/>
        <v>0</v>
      </c>
    </row>
    <row r="429" spans="1:14" ht="13.2" customHeight="1" x14ac:dyDescent="0.3">
      <c r="A429" s="401"/>
      <c r="B429" s="403" t="s">
        <v>1825</v>
      </c>
      <c r="C429" s="404" t="s">
        <v>652</v>
      </c>
      <c r="D429" s="371" t="s">
        <v>662</v>
      </c>
      <c r="E429" s="405" t="s">
        <v>235</v>
      </c>
      <c r="F429" s="575"/>
      <c r="G429" s="575"/>
      <c r="H429" s="576"/>
      <c r="I429" s="406">
        <f t="shared" si="67"/>
        <v>0</v>
      </c>
      <c r="J429" s="406"/>
      <c r="K429" s="406">
        <v>436852.5</v>
      </c>
      <c r="L429" s="406">
        <f t="shared" si="68"/>
        <v>0</v>
      </c>
      <c r="M429" s="406">
        <f t="shared" si="69"/>
        <v>0</v>
      </c>
      <c r="N429" s="548">
        <f t="shared" si="70"/>
        <v>0</v>
      </c>
    </row>
    <row r="430" spans="1:14" ht="13.2" customHeight="1" x14ac:dyDescent="0.3">
      <c r="A430" s="401"/>
      <c r="B430" s="407"/>
      <c r="C430" s="371" t="s">
        <v>652</v>
      </c>
      <c r="D430" s="371" t="s">
        <v>663</v>
      </c>
      <c r="E430" s="367" t="s">
        <v>235</v>
      </c>
      <c r="F430" s="527"/>
      <c r="G430" s="527"/>
      <c r="H430" s="539"/>
      <c r="I430" s="372">
        <f t="shared" si="67"/>
        <v>0</v>
      </c>
      <c r="J430" s="372"/>
      <c r="K430" s="409">
        <v>1162392</v>
      </c>
      <c r="L430" s="372">
        <f t="shared" si="68"/>
        <v>0</v>
      </c>
      <c r="M430" s="372">
        <f t="shared" si="69"/>
        <v>0</v>
      </c>
      <c r="N430" s="460">
        <f t="shared" si="70"/>
        <v>0</v>
      </c>
    </row>
    <row r="431" spans="1:14" ht="13.2" customHeight="1" x14ac:dyDescent="0.3">
      <c r="A431" s="401"/>
      <c r="B431" s="403" t="s">
        <v>1826</v>
      </c>
      <c r="C431" s="404" t="s">
        <v>652</v>
      </c>
      <c r="D431" s="371" t="s">
        <v>658</v>
      </c>
      <c r="E431" s="405" t="s">
        <v>235</v>
      </c>
      <c r="F431" s="575"/>
      <c r="G431" s="575"/>
      <c r="H431" s="576"/>
      <c r="I431" s="406">
        <f t="shared" si="67"/>
        <v>0</v>
      </c>
      <c r="J431" s="406"/>
      <c r="K431" s="406">
        <v>394600.5</v>
      </c>
      <c r="L431" s="406">
        <f t="shared" si="68"/>
        <v>0</v>
      </c>
      <c r="M431" s="406">
        <f t="shared" si="69"/>
        <v>0</v>
      </c>
      <c r="N431" s="548">
        <f t="shared" si="70"/>
        <v>0</v>
      </c>
    </row>
    <row r="432" spans="1:14" ht="13.2" customHeight="1" x14ac:dyDescent="0.3">
      <c r="A432" s="401"/>
      <c r="B432" s="407"/>
      <c r="C432" s="371" t="s">
        <v>652</v>
      </c>
      <c r="D432" s="371" t="s">
        <v>659</v>
      </c>
      <c r="E432" s="367" t="s">
        <v>235</v>
      </c>
      <c r="F432" s="527"/>
      <c r="G432" s="527"/>
      <c r="H432" s="539"/>
      <c r="I432" s="372">
        <f t="shared" si="67"/>
        <v>0</v>
      </c>
      <c r="J432" s="372"/>
      <c r="K432" s="409">
        <v>852820.5</v>
      </c>
      <c r="L432" s="372">
        <f t="shared" si="68"/>
        <v>0</v>
      </c>
      <c r="M432" s="372">
        <f t="shared" si="69"/>
        <v>0</v>
      </c>
      <c r="N432" s="460">
        <f t="shared" si="70"/>
        <v>0</v>
      </c>
    </row>
    <row r="433" spans="1:14" ht="13.2" customHeight="1" x14ac:dyDescent="0.3">
      <c r="A433" s="401"/>
      <c r="B433" s="403" t="s">
        <v>1827</v>
      </c>
      <c r="C433" s="404" t="s">
        <v>652</v>
      </c>
      <c r="D433" s="404" t="s">
        <v>630</v>
      </c>
      <c r="E433" s="405" t="s">
        <v>235</v>
      </c>
      <c r="F433" s="575"/>
      <c r="G433" s="575"/>
      <c r="H433" s="576"/>
      <c r="I433" s="406">
        <f t="shared" si="67"/>
        <v>0</v>
      </c>
      <c r="J433" s="406"/>
      <c r="K433" s="369">
        <v>397120.5</v>
      </c>
      <c r="L433" s="406">
        <f t="shared" si="68"/>
        <v>0</v>
      </c>
      <c r="M433" s="406">
        <f t="shared" si="69"/>
        <v>0</v>
      </c>
      <c r="N433" s="548">
        <f t="shared" si="70"/>
        <v>0</v>
      </c>
    </row>
    <row r="434" spans="1:14" ht="13.2" customHeight="1" x14ac:dyDescent="0.3">
      <c r="A434" s="410"/>
      <c r="B434" s="408"/>
      <c r="C434" s="390" t="s">
        <v>652</v>
      </c>
      <c r="D434" s="390" t="s">
        <v>1569</v>
      </c>
      <c r="E434" s="391" t="s">
        <v>235</v>
      </c>
      <c r="F434" s="573"/>
      <c r="G434" s="573"/>
      <c r="H434" s="577"/>
      <c r="I434" s="409">
        <f t="shared" si="67"/>
        <v>0</v>
      </c>
      <c r="J434" s="409"/>
      <c r="K434" s="409">
        <v>1076554.5</v>
      </c>
      <c r="L434" s="409">
        <f t="shared" si="68"/>
        <v>0</v>
      </c>
      <c r="M434" s="409">
        <f t="shared" si="69"/>
        <v>0</v>
      </c>
      <c r="N434" s="549">
        <f t="shared" si="70"/>
        <v>0</v>
      </c>
    </row>
    <row r="435" spans="1:14" ht="13.2" customHeight="1" x14ac:dyDescent="0.3">
      <c r="A435" s="397">
        <v>3</v>
      </c>
      <c r="B435" s="398" t="s">
        <v>1571</v>
      </c>
      <c r="C435" s="371"/>
      <c r="D435" s="371"/>
      <c r="E435" s="367"/>
      <c r="F435" s="527"/>
      <c r="G435" s="527"/>
      <c r="H435" s="527"/>
      <c r="I435" s="372">
        <f t="shared" si="67"/>
        <v>0</v>
      </c>
      <c r="J435" s="372"/>
      <c r="K435" s="372"/>
      <c r="L435" s="372">
        <f t="shared" si="68"/>
        <v>0</v>
      </c>
      <c r="M435" s="372">
        <f t="shared" si="69"/>
        <v>0</v>
      </c>
      <c r="N435" s="460">
        <f t="shared" si="70"/>
        <v>0</v>
      </c>
    </row>
    <row r="436" spans="1:14" ht="13.2" customHeight="1" x14ac:dyDescent="0.3">
      <c r="A436" s="401"/>
      <c r="B436" s="402" t="s">
        <v>1828</v>
      </c>
      <c r="C436" s="371" t="s">
        <v>650</v>
      </c>
      <c r="D436" s="371" t="s">
        <v>651</v>
      </c>
      <c r="E436" s="367" t="s">
        <v>235</v>
      </c>
      <c r="F436" s="527">
        <f>IF(REKAP!$Q$9="Kota Kupang",F$30,0)</f>
        <v>0</v>
      </c>
      <c r="G436" s="527">
        <f>IF(REKAP!$Q$9="Kota Kupang",G$30,0)</f>
        <v>0</v>
      </c>
      <c r="H436" s="539"/>
      <c r="I436" s="372">
        <f t="shared" ref="I436:I458" si="71">SUM(F436:H436)</f>
        <v>0</v>
      </c>
      <c r="J436" s="372"/>
      <c r="K436" s="372">
        <v>405000</v>
      </c>
      <c r="L436" s="372">
        <f t="shared" ref="L436:L458" si="72">J436*I436</f>
        <v>0</v>
      </c>
      <c r="M436" s="372">
        <f t="shared" ref="M436:M458" si="73">K436*I436</f>
        <v>0</v>
      </c>
      <c r="N436" s="460">
        <f t="shared" ref="N436:N458" si="74">SUM(L436:M436)</f>
        <v>0</v>
      </c>
    </row>
    <row r="437" spans="1:14" ht="13.2" customHeight="1" x14ac:dyDescent="0.3">
      <c r="A437" s="401"/>
      <c r="B437" s="402"/>
      <c r="C437" s="371" t="s">
        <v>652</v>
      </c>
      <c r="D437" s="371" t="s">
        <v>651</v>
      </c>
      <c r="E437" s="367" t="s">
        <v>235</v>
      </c>
      <c r="F437" s="527">
        <f>IF(REKAP!$Q$9=$D437,F$30,0)</f>
        <v>0</v>
      </c>
      <c r="G437" s="527">
        <f>IF(REKAP!$Q$9=$D437,G$30,0)</f>
        <v>0</v>
      </c>
      <c r="H437" s="539"/>
      <c r="I437" s="372">
        <f t="shared" si="71"/>
        <v>0</v>
      </c>
      <c r="J437" s="372"/>
      <c r="K437" s="372">
        <v>360000</v>
      </c>
      <c r="L437" s="372">
        <f t="shared" si="72"/>
        <v>0</v>
      </c>
      <c r="M437" s="372">
        <f t="shared" si="73"/>
        <v>0</v>
      </c>
      <c r="N437" s="460">
        <f t="shared" si="74"/>
        <v>0</v>
      </c>
    </row>
    <row r="438" spans="1:14" ht="13.2" customHeight="1" x14ac:dyDescent="0.3">
      <c r="A438" s="401"/>
      <c r="B438" s="402"/>
      <c r="C438" s="371" t="s">
        <v>652</v>
      </c>
      <c r="D438" s="371" t="s">
        <v>653</v>
      </c>
      <c r="E438" s="367" t="s">
        <v>235</v>
      </c>
      <c r="F438" s="527">
        <f>IF(REKAP!$Q$9=$D438,F$30,0)</f>
        <v>0</v>
      </c>
      <c r="G438" s="527">
        <f>IF(REKAP!$Q$9=$D438,G$30,0)</f>
        <v>0</v>
      </c>
      <c r="H438" s="539"/>
      <c r="I438" s="372">
        <f t="shared" si="71"/>
        <v>0</v>
      </c>
      <c r="J438" s="372"/>
      <c r="K438" s="372">
        <v>567000</v>
      </c>
      <c r="L438" s="372">
        <f t="shared" si="72"/>
        <v>0</v>
      </c>
      <c r="M438" s="372">
        <f t="shared" si="73"/>
        <v>0</v>
      </c>
      <c r="N438" s="460">
        <f t="shared" si="74"/>
        <v>0</v>
      </c>
    </row>
    <row r="439" spans="1:14" ht="13.2" customHeight="1" x14ac:dyDescent="0.3">
      <c r="A439" s="401"/>
      <c r="B439" s="402"/>
      <c r="C439" s="371" t="s">
        <v>652</v>
      </c>
      <c r="D439" s="371" t="s">
        <v>654</v>
      </c>
      <c r="E439" s="367" t="s">
        <v>235</v>
      </c>
      <c r="F439" s="527">
        <f>IF(REKAP!$Q$9=$D439,F$30,0)</f>
        <v>0</v>
      </c>
      <c r="G439" s="527">
        <f>IF(REKAP!$Q$9=$D439,G$30,0)</f>
        <v>0</v>
      </c>
      <c r="H439" s="539"/>
      <c r="I439" s="372">
        <f t="shared" si="71"/>
        <v>0</v>
      </c>
      <c r="J439" s="372"/>
      <c r="K439" s="372">
        <v>630000</v>
      </c>
      <c r="L439" s="372">
        <f t="shared" si="72"/>
        <v>0</v>
      </c>
      <c r="M439" s="372">
        <f t="shared" si="73"/>
        <v>0</v>
      </c>
      <c r="N439" s="460">
        <f t="shared" si="74"/>
        <v>0</v>
      </c>
    </row>
    <row r="440" spans="1:14" ht="13.2" customHeight="1" x14ac:dyDescent="0.3">
      <c r="A440" s="401"/>
      <c r="B440" s="402"/>
      <c r="C440" s="371" t="s">
        <v>652</v>
      </c>
      <c r="D440" s="371" t="s">
        <v>655</v>
      </c>
      <c r="E440" s="367" t="s">
        <v>235</v>
      </c>
      <c r="F440" s="527">
        <f>IF(REKAP!$Q$9=$D440,F$30,0)</f>
        <v>0</v>
      </c>
      <c r="G440" s="527">
        <f>IF(REKAP!$Q$9=$D440,G$30,0)</f>
        <v>0</v>
      </c>
      <c r="H440" s="539"/>
      <c r="I440" s="372">
        <f t="shared" si="71"/>
        <v>0</v>
      </c>
      <c r="J440" s="372"/>
      <c r="K440" s="372">
        <v>810000</v>
      </c>
      <c r="L440" s="372">
        <f t="shared" si="72"/>
        <v>0</v>
      </c>
      <c r="M440" s="372">
        <f t="shared" si="73"/>
        <v>0</v>
      </c>
      <c r="N440" s="460">
        <f t="shared" si="74"/>
        <v>0</v>
      </c>
    </row>
    <row r="441" spans="1:14" ht="13.2" customHeight="1" x14ac:dyDescent="0.3">
      <c r="A441" s="401"/>
      <c r="B441" s="402"/>
      <c r="C441" s="371" t="s">
        <v>652</v>
      </c>
      <c r="D441" s="371" t="s">
        <v>656</v>
      </c>
      <c r="E441" s="367" t="s">
        <v>235</v>
      </c>
      <c r="F441" s="527">
        <f>IF(REKAP!$Q$9=$D441,F$30,0)</f>
        <v>0</v>
      </c>
      <c r="G441" s="527">
        <f>IF(REKAP!$Q$9=$D441,G$30,0)</f>
        <v>0</v>
      </c>
      <c r="H441" s="539"/>
      <c r="I441" s="372">
        <f t="shared" si="71"/>
        <v>0</v>
      </c>
      <c r="J441" s="372"/>
      <c r="K441" s="372">
        <v>900000</v>
      </c>
      <c r="L441" s="372">
        <f t="shared" si="72"/>
        <v>0</v>
      </c>
      <c r="M441" s="372">
        <f t="shared" si="73"/>
        <v>0</v>
      </c>
      <c r="N441" s="460">
        <f t="shared" si="74"/>
        <v>0</v>
      </c>
    </row>
    <row r="442" spans="1:14" ht="13.2" customHeight="1" x14ac:dyDescent="0.3">
      <c r="A442" s="401"/>
      <c r="B442" s="402"/>
      <c r="C442" s="371" t="s">
        <v>652</v>
      </c>
      <c r="D442" s="371" t="s">
        <v>657</v>
      </c>
      <c r="E442" s="367" t="s">
        <v>235</v>
      </c>
      <c r="F442" s="527">
        <f>IF(REKAP!$Q$9=$D442,F$30,0)</f>
        <v>0</v>
      </c>
      <c r="G442" s="527">
        <f>IF(REKAP!$Q$9=$D442,G$30,0)</f>
        <v>0</v>
      </c>
      <c r="H442" s="539"/>
      <c r="I442" s="372">
        <f t="shared" si="71"/>
        <v>0</v>
      </c>
      <c r="J442" s="372"/>
      <c r="K442" s="372">
        <v>900000</v>
      </c>
      <c r="L442" s="372">
        <f t="shared" si="72"/>
        <v>0</v>
      </c>
      <c r="M442" s="372">
        <f t="shared" si="73"/>
        <v>0</v>
      </c>
      <c r="N442" s="460">
        <f t="shared" si="74"/>
        <v>0</v>
      </c>
    </row>
    <row r="443" spans="1:14" ht="12.75" customHeight="1" x14ac:dyDescent="0.3">
      <c r="A443" s="401"/>
      <c r="B443" s="402"/>
      <c r="C443" s="371" t="s">
        <v>652</v>
      </c>
      <c r="D443" s="371" t="s">
        <v>658</v>
      </c>
      <c r="E443" s="367" t="s">
        <v>235</v>
      </c>
      <c r="F443" s="527">
        <f>IF(REKAP!$Q$9=$D443,F$30,0)</f>
        <v>0</v>
      </c>
      <c r="G443" s="527">
        <f>IF(REKAP!$Q$9=$D443,G$30,0)</f>
        <v>0</v>
      </c>
      <c r="H443" s="539"/>
      <c r="I443" s="372">
        <f t="shared" si="71"/>
        <v>0</v>
      </c>
      <c r="J443" s="372"/>
      <c r="K443" s="372">
        <v>1170000</v>
      </c>
      <c r="L443" s="372">
        <f t="shared" si="72"/>
        <v>0</v>
      </c>
      <c r="M443" s="372">
        <f t="shared" si="73"/>
        <v>0</v>
      </c>
      <c r="N443" s="460">
        <f t="shared" si="74"/>
        <v>0</v>
      </c>
    </row>
    <row r="444" spans="1:14" ht="12.75" customHeight="1" x14ac:dyDescent="0.3">
      <c r="A444" s="401"/>
      <c r="B444" s="402"/>
      <c r="C444" s="371" t="s">
        <v>652</v>
      </c>
      <c r="D444" s="371" t="s">
        <v>659</v>
      </c>
      <c r="E444" s="367" t="s">
        <v>235</v>
      </c>
      <c r="F444" s="527">
        <f>IF(REKAP!$Q$9=$D444,F$30,0)</f>
        <v>0</v>
      </c>
      <c r="G444" s="527">
        <f>IF(REKAP!$Q$9=$D444,G$30,0)</f>
        <v>0</v>
      </c>
      <c r="H444" s="539"/>
      <c r="I444" s="372">
        <f t="shared" si="71"/>
        <v>0</v>
      </c>
      <c r="J444" s="372"/>
      <c r="K444" s="372">
        <v>2115000</v>
      </c>
      <c r="L444" s="372">
        <f t="shared" si="72"/>
        <v>0</v>
      </c>
      <c r="M444" s="372">
        <f t="shared" si="73"/>
        <v>0</v>
      </c>
      <c r="N444" s="460">
        <f t="shared" si="74"/>
        <v>0</v>
      </c>
    </row>
    <row r="445" spans="1:14" ht="12.75" customHeight="1" x14ac:dyDescent="0.3">
      <c r="A445" s="401"/>
      <c r="B445" s="402"/>
      <c r="C445" s="371" t="s">
        <v>652</v>
      </c>
      <c r="D445" s="371" t="s">
        <v>660</v>
      </c>
      <c r="E445" s="367" t="s">
        <v>235</v>
      </c>
      <c r="F445" s="527">
        <f>IF(REKAP!$Q$9=$D445,F$30,0)</f>
        <v>0</v>
      </c>
      <c r="G445" s="527">
        <f>IF(REKAP!$Q$9=$D445,G$30,0)</f>
        <v>0</v>
      </c>
      <c r="H445" s="539"/>
      <c r="I445" s="372">
        <f t="shared" si="71"/>
        <v>0</v>
      </c>
      <c r="J445" s="372"/>
      <c r="K445" s="372">
        <v>1575000</v>
      </c>
      <c r="L445" s="372">
        <f t="shared" si="72"/>
        <v>0</v>
      </c>
      <c r="M445" s="372">
        <f t="shared" si="73"/>
        <v>0</v>
      </c>
      <c r="N445" s="460">
        <f t="shared" si="74"/>
        <v>0</v>
      </c>
    </row>
    <row r="446" spans="1:14" ht="12.75" customHeight="1" x14ac:dyDescent="0.3">
      <c r="A446" s="401"/>
      <c r="B446" s="402"/>
      <c r="C446" s="371" t="s">
        <v>652</v>
      </c>
      <c r="D446" s="371" t="s">
        <v>661</v>
      </c>
      <c r="E446" s="367" t="s">
        <v>235</v>
      </c>
      <c r="F446" s="527">
        <f>IF(REKAP!$Q$9=$D446,F$30,0)</f>
        <v>0</v>
      </c>
      <c r="G446" s="527">
        <f>IF(REKAP!$Q$9=$D446,G$30,0)</f>
        <v>0</v>
      </c>
      <c r="H446" s="539"/>
      <c r="I446" s="372">
        <f t="shared" si="71"/>
        <v>0</v>
      </c>
      <c r="J446" s="372"/>
      <c r="K446" s="372">
        <v>2745000</v>
      </c>
      <c r="L446" s="372">
        <f t="shared" si="72"/>
        <v>0</v>
      </c>
      <c r="M446" s="372">
        <f t="shared" si="73"/>
        <v>0</v>
      </c>
      <c r="N446" s="460">
        <f t="shared" si="74"/>
        <v>0</v>
      </c>
    </row>
    <row r="447" spans="1:14" ht="12.75" customHeight="1" x14ac:dyDescent="0.3">
      <c r="A447" s="401"/>
      <c r="B447" s="402"/>
      <c r="C447" s="371" t="s">
        <v>652</v>
      </c>
      <c r="D447" s="371" t="s">
        <v>662</v>
      </c>
      <c r="E447" s="367" t="s">
        <v>235</v>
      </c>
      <c r="F447" s="527">
        <f>IF(REKAP!$Q$9=$D447,F$30,0)</f>
        <v>0</v>
      </c>
      <c r="G447" s="527">
        <f>IF(REKAP!$Q$9=$D447,G$30,0)</f>
        <v>0</v>
      </c>
      <c r="H447" s="539"/>
      <c r="I447" s="372">
        <f t="shared" si="71"/>
        <v>0</v>
      </c>
      <c r="J447" s="372"/>
      <c r="K447" s="372">
        <v>2250000</v>
      </c>
      <c r="L447" s="372">
        <f t="shared" si="72"/>
        <v>0</v>
      </c>
      <c r="M447" s="372">
        <f t="shared" si="73"/>
        <v>0</v>
      </c>
      <c r="N447" s="460">
        <f t="shared" si="74"/>
        <v>0</v>
      </c>
    </row>
    <row r="448" spans="1:14" ht="12.75" customHeight="1" x14ac:dyDescent="0.3">
      <c r="A448" s="401"/>
      <c r="B448" s="402"/>
      <c r="C448" s="371" t="s">
        <v>652</v>
      </c>
      <c r="D448" s="371" t="s">
        <v>663</v>
      </c>
      <c r="E448" s="367" t="s">
        <v>235</v>
      </c>
      <c r="F448" s="527">
        <f>IF(REKAP!$Q$9=$D448,F$30,0)</f>
        <v>0</v>
      </c>
      <c r="G448" s="527">
        <f>IF(REKAP!$Q$9=$D448,G$30,0)</f>
        <v>0</v>
      </c>
      <c r="H448" s="539"/>
      <c r="I448" s="372">
        <f t="shared" si="71"/>
        <v>0</v>
      </c>
      <c r="J448" s="372"/>
      <c r="K448" s="372">
        <v>3600000</v>
      </c>
      <c r="L448" s="372">
        <f t="shared" si="72"/>
        <v>0</v>
      </c>
      <c r="M448" s="372">
        <f t="shared" si="73"/>
        <v>0</v>
      </c>
      <c r="N448" s="460">
        <f t="shared" si="74"/>
        <v>0</v>
      </c>
    </row>
    <row r="449" spans="1:14" ht="12.75" customHeight="1" x14ac:dyDescent="0.3">
      <c r="A449" s="401"/>
      <c r="B449" s="402"/>
      <c r="C449" s="373" t="s">
        <v>652</v>
      </c>
      <c r="D449" s="373" t="s">
        <v>664</v>
      </c>
      <c r="E449" s="374" t="s">
        <v>235</v>
      </c>
      <c r="F449" s="527">
        <f>IF(REKAP!$Q$9=$D449,F$30,0)</f>
        <v>0</v>
      </c>
      <c r="G449" s="527">
        <f>IF(REKAP!$Q$9=$D449,G$30,0)</f>
        <v>0</v>
      </c>
      <c r="H449" s="571"/>
      <c r="I449" s="375">
        <f t="shared" si="71"/>
        <v>0</v>
      </c>
      <c r="J449" s="375"/>
      <c r="K449" s="372">
        <v>504000</v>
      </c>
      <c r="L449" s="375">
        <f t="shared" si="72"/>
        <v>0</v>
      </c>
      <c r="M449" s="375">
        <f t="shared" si="73"/>
        <v>0</v>
      </c>
      <c r="N449" s="462">
        <f t="shared" si="74"/>
        <v>0</v>
      </c>
    </row>
    <row r="450" spans="1:14" ht="13.2" customHeight="1" x14ac:dyDescent="0.3">
      <c r="A450" s="401"/>
      <c r="B450" s="403" t="s">
        <v>1824</v>
      </c>
      <c r="C450" s="404" t="s">
        <v>652</v>
      </c>
      <c r="D450" s="404" t="s">
        <v>655</v>
      </c>
      <c r="E450" s="405" t="s">
        <v>235</v>
      </c>
      <c r="F450" s="575"/>
      <c r="G450" s="575"/>
      <c r="H450" s="576"/>
      <c r="I450" s="406">
        <f t="shared" si="71"/>
        <v>0</v>
      </c>
      <c r="J450" s="406"/>
      <c r="K450" s="406">
        <v>621000</v>
      </c>
      <c r="L450" s="406">
        <f t="shared" si="72"/>
        <v>0</v>
      </c>
      <c r="M450" s="406">
        <f t="shared" si="73"/>
        <v>0</v>
      </c>
      <c r="N450" s="548">
        <f t="shared" si="74"/>
        <v>0</v>
      </c>
    </row>
    <row r="451" spans="1:14" ht="13.2" customHeight="1" x14ac:dyDescent="0.3">
      <c r="A451" s="401"/>
      <c r="B451" s="407"/>
      <c r="C451" s="371" t="s">
        <v>652</v>
      </c>
      <c r="D451" s="371" t="s">
        <v>656</v>
      </c>
      <c r="E451" s="367" t="s">
        <v>235</v>
      </c>
      <c r="F451" s="527"/>
      <c r="G451" s="527"/>
      <c r="H451" s="539"/>
      <c r="I451" s="372">
        <f t="shared" si="71"/>
        <v>0</v>
      </c>
      <c r="J451" s="372"/>
      <c r="K451" s="372">
        <v>441000</v>
      </c>
      <c r="L451" s="372">
        <f t="shared" si="72"/>
        <v>0</v>
      </c>
      <c r="M451" s="372">
        <f t="shared" si="73"/>
        <v>0</v>
      </c>
      <c r="N451" s="460">
        <f t="shared" si="74"/>
        <v>0</v>
      </c>
    </row>
    <row r="452" spans="1:14" ht="13.2" customHeight="1" x14ac:dyDescent="0.3">
      <c r="A452" s="401"/>
      <c r="B452" s="408"/>
      <c r="C452" s="390" t="s">
        <v>652</v>
      </c>
      <c r="D452" s="390" t="s">
        <v>657</v>
      </c>
      <c r="E452" s="391" t="s">
        <v>235</v>
      </c>
      <c r="F452" s="573"/>
      <c r="G452" s="573"/>
      <c r="H452" s="577"/>
      <c r="I452" s="409">
        <f t="shared" si="71"/>
        <v>0</v>
      </c>
      <c r="J452" s="409"/>
      <c r="K452" s="375">
        <v>567000</v>
      </c>
      <c r="L452" s="409">
        <f t="shared" si="72"/>
        <v>0</v>
      </c>
      <c r="M452" s="409">
        <f t="shared" si="73"/>
        <v>0</v>
      </c>
      <c r="N452" s="549">
        <f t="shared" si="74"/>
        <v>0</v>
      </c>
    </row>
    <row r="453" spans="1:14" ht="13.2" customHeight="1" x14ac:dyDescent="0.3">
      <c r="A453" s="401"/>
      <c r="B453" s="403" t="s">
        <v>1825</v>
      </c>
      <c r="C453" s="404" t="s">
        <v>652</v>
      </c>
      <c r="D453" s="371" t="s">
        <v>662</v>
      </c>
      <c r="E453" s="405" t="s">
        <v>235</v>
      </c>
      <c r="F453" s="575"/>
      <c r="G453" s="575"/>
      <c r="H453" s="576"/>
      <c r="I453" s="406">
        <f t="shared" si="71"/>
        <v>0</v>
      </c>
      <c r="J453" s="406"/>
      <c r="K453" s="406">
        <v>450000</v>
      </c>
      <c r="L453" s="406">
        <f t="shared" si="72"/>
        <v>0</v>
      </c>
      <c r="M453" s="406">
        <f t="shared" si="73"/>
        <v>0</v>
      </c>
      <c r="N453" s="548">
        <f t="shared" si="74"/>
        <v>0</v>
      </c>
    </row>
    <row r="454" spans="1:14" ht="13.2" customHeight="1" x14ac:dyDescent="0.3">
      <c r="A454" s="401"/>
      <c r="B454" s="407"/>
      <c r="C454" s="371" t="s">
        <v>652</v>
      </c>
      <c r="D454" s="371" t="s">
        <v>663</v>
      </c>
      <c r="E454" s="367" t="s">
        <v>235</v>
      </c>
      <c r="F454" s="527"/>
      <c r="G454" s="527"/>
      <c r="H454" s="539"/>
      <c r="I454" s="372">
        <f t="shared" si="71"/>
        <v>0</v>
      </c>
      <c r="J454" s="372"/>
      <c r="K454" s="375">
        <v>1170000</v>
      </c>
      <c r="L454" s="372">
        <f t="shared" si="72"/>
        <v>0</v>
      </c>
      <c r="M454" s="372">
        <f t="shared" si="73"/>
        <v>0</v>
      </c>
      <c r="N454" s="460">
        <f t="shared" si="74"/>
        <v>0</v>
      </c>
    </row>
    <row r="455" spans="1:14" ht="13.2" customHeight="1" x14ac:dyDescent="0.3">
      <c r="A455" s="401"/>
      <c r="B455" s="403" t="s">
        <v>1826</v>
      </c>
      <c r="C455" s="404" t="s">
        <v>652</v>
      </c>
      <c r="D455" s="371" t="s">
        <v>658</v>
      </c>
      <c r="E455" s="405" t="s">
        <v>235</v>
      </c>
      <c r="F455" s="575"/>
      <c r="G455" s="575"/>
      <c r="H455" s="576"/>
      <c r="I455" s="406">
        <f t="shared" si="71"/>
        <v>0</v>
      </c>
      <c r="J455" s="406"/>
      <c r="K455" s="406">
        <v>405000</v>
      </c>
      <c r="L455" s="406">
        <f t="shared" si="72"/>
        <v>0</v>
      </c>
      <c r="M455" s="406">
        <f t="shared" si="73"/>
        <v>0</v>
      </c>
      <c r="N455" s="548">
        <f t="shared" si="74"/>
        <v>0</v>
      </c>
    </row>
    <row r="456" spans="1:14" ht="13.2" customHeight="1" x14ac:dyDescent="0.3">
      <c r="A456" s="401"/>
      <c r="B456" s="407"/>
      <c r="C456" s="371" t="s">
        <v>652</v>
      </c>
      <c r="D456" s="371" t="s">
        <v>659</v>
      </c>
      <c r="E456" s="367" t="s">
        <v>235</v>
      </c>
      <c r="F456" s="527"/>
      <c r="G456" s="527"/>
      <c r="H456" s="539"/>
      <c r="I456" s="372">
        <f t="shared" si="71"/>
        <v>0</v>
      </c>
      <c r="J456" s="372"/>
      <c r="K456" s="372">
        <v>945000</v>
      </c>
      <c r="L456" s="372">
        <f t="shared" si="72"/>
        <v>0</v>
      </c>
      <c r="M456" s="372">
        <f t="shared" si="73"/>
        <v>0</v>
      </c>
      <c r="N456" s="460">
        <f t="shared" si="74"/>
        <v>0</v>
      </c>
    </row>
    <row r="457" spans="1:14" ht="13.2" customHeight="1" x14ac:dyDescent="0.3">
      <c r="A457" s="401"/>
      <c r="B457" s="403" t="s">
        <v>1827</v>
      </c>
      <c r="C457" s="404" t="s">
        <v>652</v>
      </c>
      <c r="D457" s="404" t="s">
        <v>630</v>
      </c>
      <c r="E457" s="405" t="s">
        <v>235</v>
      </c>
      <c r="F457" s="575"/>
      <c r="G457" s="575"/>
      <c r="H457" s="576"/>
      <c r="I457" s="406">
        <f t="shared" si="71"/>
        <v>0</v>
      </c>
      <c r="J457" s="406"/>
      <c r="K457" s="406">
        <v>405000</v>
      </c>
      <c r="L457" s="406">
        <f t="shared" si="72"/>
        <v>0</v>
      </c>
      <c r="M457" s="406">
        <f t="shared" si="73"/>
        <v>0</v>
      </c>
      <c r="N457" s="548">
        <f t="shared" si="74"/>
        <v>0</v>
      </c>
    </row>
    <row r="458" spans="1:14" ht="13.2" customHeight="1" x14ac:dyDescent="0.3">
      <c r="A458" s="410"/>
      <c r="B458" s="408"/>
      <c r="C458" s="390" t="s">
        <v>652</v>
      </c>
      <c r="D458" s="390" t="s">
        <v>1569</v>
      </c>
      <c r="E458" s="391" t="s">
        <v>235</v>
      </c>
      <c r="F458" s="573"/>
      <c r="G458" s="573"/>
      <c r="H458" s="577"/>
      <c r="I458" s="409">
        <f t="shared" si="71"/>
        <v>0</v>
      </c>
      <c r="J458" s="409"/>
      <c r="K458" s="409">
        <v>1179000</v>
      </c>
      <c r="L458" s="409">
        <f t="shared" si="72"/>
        <v>0</v>
      </c>
      <c r="M458" s="409">
        <f t="shared" si="73"/>
        <v>0</v>
      </c>
      <c r="N458" s="549">
        <f t="shared" si="74"/>
        <v>0</v>
      </c>
    </row>
    <row r="459" spans="1:14" ht="13.2" customHeight="1" x14ac:dyDescent="0.3">
      <c r="A459" s="397">
        <v>2</v>
      </c>
      <c r="B459" s="411" t="s">
        <v>1570</v>
      </c>
      <c r="C459" s="371"/>
      <c r="D459" s="371"/>
      <c r="E459" s="367"/>
      <c r="F459" s="527"/>
      <c r="G459" s="527"/>
      <c r="H459" s="527"/>
      <c r="I459" s="372">
        <f t="shared" si="39"/>
        <v>0</v>
      </c>
      <c r="J459" s="372"/>
      <c r="K459" s="372"/>
      <c r="L459" s="372">
        <f t="shared" si="40"/>
        <v>0</v>
      </c>
      <c r="M459" s="372">
        <f t="shared" si="41"/>
        <v>0</v>
      </c>
      <c r="N459" s="460">
        <f t="shared" si="42"/>
        <v>0</v>
      </c>
    </row>
    <row r="460" spans="1:14" ht="13.2" customHeight="1" x14ac:dyDescent="0.3">
      <c r="A460" s="401"/>
      <c r="B460" s="402" t="s">
        <v>1828</v>
      </c>
      <c r="C460" s="371" t="s">
        <v>650</v>
      </c>
      <c r="D460" s="371" t="s">
        <v>651</v>
      </c>
      <c r="E460" s="367" t="s">
        <v>235</v>
      </c>
      <c r="F460" s="527">
        <f>IF(REKAP!$Q$9="Kota Kupang",'RAB Pasang'!F$31,0)</f>
        <v>0</v>
      </c>
      <c r="G460" s="527">
        <f>IF(REKAP!$Q$9="Kota Kupang",'RAB Pasang'!G$31,0)</f>
        <v>0</v>
      </c>
      <c r="H460" s="539"/>
      <c r="I460" s="372">
        <f t="shared" si="39"/>
        <v>0</v>
      </c>
      <c r="J460" s="372"/>
      <c r="K460" s="372">
        <v>459000</v>
      </c>
      <c r="L460" s="372">
        <f t="shared" si="40"/>
        <v>0</v>
      </c>
      <c r="M460" s="372">
        <f t="shared" si="41"/>
        <v>0</v>
      </c>
      <c r="N460" s="460">
        <f t="shared" si="42"/>
        <v>0</v>
      </c>
    </row>
    <row r="461" spans="1:14" ht="13.2" customHeight="1" x14ac:dyDescent="0.3">
      <c r="A461" s="401"/>
      <c r="B461" s="402"/>
      <c r="C461" s="371" t="s">
        <v>652</v>
      </c>
      <c r="D461" s="371" t="s">
        <v>651</v>
      </c>
      <c r="E461" s="367" t="s">
        <v>235</v>
      </c>
      <c r="F461" s="527">
        <f>IF(REKAP!$Q$9=$D461,'RAB Pasang'!F$31,0)</f>
        <v>0</v>
      </c>
      <c r="G461" s="527">
        <f>IF(REKAP!$Q$9=$D461,'RAB Pasang'!G$31,0)</f>
        <v>0</v>
      </c>
      <c r="H461" s="539"/>
      <c r="I461" s="372">
        <f t="shared" si="39"/>
        <v>0</v>
      </c>
      <c r="J461" s="372"/>
      <c r="K461" s="372">
        <v>576000</v>
      </c>
      <c r="L461" s="372">
        <f t="shared" si="40"/>
        <v>0</v>
      </c>
      <c r="M461" s="372">
        <f t="shared" si="41"/>
        <v>0</v>
      </c>
      <c r="N461" s="460">
        <f t="shared" si="42"/>
        <v>0</v>
      </c>
    </row>
    <row r="462" spans="1:14" ht="13.2" customHeight="1" x14ac:dyDescent="0.3">
      <c r="A462" s="401"/>
      <c r="B462" s="402"/>
      <c r="C462" s="371" t="s">
        <v>652</v>
      </c>
      <c r="D462" s="371" t="s">
        <v>653</v>
      </c>
      <c r="E462" s="367" t="s">
        <v>235</v>
      </c>
      <c r="F462" s="527">
        <f>IF(REKAP!$Q$9=$D462,'RAB Pasang'!F$31,0)</f>
        <v>0</v>
      </c>
      <c r="G462" s="527">
        <f>IF(REKAP!$Q$9=$D462,'RAB Pasang'!G$31,0)</f>
        <v>0</v>
      </c>
      <c r="H462" s="539"/>
      <c r="I462" s="372">
        <f t="shared" si="39"/>
        <v>0</v>
      </c>
      <c r="J462" s="372"/>
      <c r="K462" s="372">
        <v>693000</v>
      </c>
      <c r="L462" s="372">
        <f t="shared" si="40"/>
        <v>0</v>
      </c>
      <c r="M462" s="372">
        <f t="shared" si="41"/>
        <v>0</v>
      </c>
      <c r="N462" s="460">
        <f t="shared" si="42"/>
        <v>0</v>
      </c>
    </row>
    <row r="463" spans="1:14" ht="13.2" customHeight="1" x14ac:dyDescent="0.3">
      <c r="A463" s="401"/>
      <c r="B463" s="402"/>
      <c r="C463" s="371" t="s">
        <v>652</v>
      </c>
      <c r="D463" s="371" t="s">
        <v>654</v>
      </c>
      <c r="E463" s="367" t="s">
        <v>235</v>
      </c>
      <c r="F463" s="527">
        <f>IF(REKAP!$Q$9=$D463,'RAB Pasang'!F$31,0)</f>
        <v>0</v>
      </c>
      <c r="G463" s="527">
        <f>IF(REKAP!$Q$9=$D463,'RAB Pasang'!G$31,0)</f>
        <v>0</v>
      </c>
      <c r="H463" s="539"/>
      <c r="I463" s="372">
        <f t="shared" si="39"/>
        <v>0</v>
      </c>
      <c r="J463" s="372"/>
      <c r="K463" s="372">
        <v>765000</v>
      </c>
      <c r="L463" s="372">
        <f t="shared" si="40"/>
        <v>0</v>
      </c>
      <c r="M463" s="372">
        <f t="shared" si="41"/>
        <v>0</v>
      </c>
      <c r="N463" s="460">
        <f t="shared" si="42"/>
        <v>0</v>
      </c>
    </row>
    <row r="464" spans="1:14" ht="13.2" customHeight="1" x14ac:dyDescent="0.3">
      <c r="A464" s="401"/>
      <c r="B464" s="402"/>
      <c r="C464" s="371" t="s">
        <v>652</v>
      </c>
      <c r="D464" s="371" t="s">
        <v>655</v>
      </c>
      <c r="E464" s="367" t="s">
        <v>235</v>
      </c>
      <c r="F464" s="527">
        <f>IF(REKAP!$Q$9=$D464,'RAB Pasang'!F$31,0)</f>
        <v>0</v>
      </c>
      <c r="G464" s="527">
        <f>IF(REKAP!$Q$9=$D464,'RAB Pasang'!G$31,0)</f>
        <v>0</v>
      </c>
      <c r="H464" s="539"/>
      <c r="I464" s="372">
        <f t="shared" si="39"/>
        <v>0</v>
      </c>
      <c r="J464" s="372"/>
      <c r="K464" s="372">
        <v>1017000</v>
      </c>
      <c r="L464" s="372">
        <f t="shared" si="40"/>
        <v>0</v>
      </c>
      <c r="M464" s="372">
        <f t="shared" si="41"/>
        <v>0</v>
      </c>
      <c r="N464" s="460">
        <f t="shared" si="42"/>
        <v>0</v>
      </c>
    </row>
    <row r="465" spans="1:14" ht="13.2" customHeight="1" x14ac:dyDescent="0.3">
      <c r="A465" s="401"/>
      <c r="B465" s="402"/>
      <c r="C465" s="371" t="s">
        <v>652</v>
      </c>
      <c r="D465" s="371" t="s">
        <v>656</v>
      </c>
      <c r="E465" s="367" t="s">
        <v>235</v>
      </c>
      <c r="F465" s="527">
        <f>IF(REKAP!$Q$9=$D465,'RAB Pasang'!F$31,0)</f>
        <v>0</v>
      </c>
      <c r="G465" s="527">
        <f>IF(REKAP!$Q$9=$D465,'RAB Pasang'!G$31,0)</f>
        <v>0</v>
      </c>
      <c r="H465" s="539"/>
      <c r="I465" s="372">
        <f t="shared" si="39"/>
        <v>0</v>
      </c>
      <c r="J465" s="372"/>
      <c r="K465" s="372">
        <v>1143000</v>
      </c>
      <c r="L465" s="372">
        <f t="shared" si="40"/>
        <v>0</v>
      </c>
      <c r="M465" s="372">
        <f t="shared" si="41"/>
        <v>0</v>
      </c>
      <c r="N465" s="460">
        <f t="shared" si="42"/>
        <v>0</v>
      </c>
    </row>
    <row r="466" spans="1:14" ht="13.2" customHeight="1" x14ac:dyDescent="0.3">
      <c r="A466" s="401"/>
      <c r="B466" s="402"/>
      <c r="C466" s="371" t="s">
        <v>652</v>
      </c>
      <c r="D466" s="371" t="s">
        <v>657</v>
      </c>
      <c r="E466" s="367" t="s">
        <v>235</v>
      </c>
      <c r="F466" s="527">
        <f>IF(REKAP!$Q$9=$D466,'RAB Pasang'!F$31,0)</f>
        <v>0</v>
      </c>
      <c r="G466" s="527">
        <f>IF(REKAP!$Q$9=$D466,'RAB Pasang'!G$31,0)</f>
        <v>0</v>
      </c>
      <c r="H466" s="539"/>
      <c r="I466" s="372">
        <f t="shared" si="39"/>
        <v>0</v>
      </c>
      <c r="J466" s="372"/>
      <c r="K466" s="372">
        <v>1143000</v>
      </c>
      <c r="L466" s="372">
        <f t="shared" si="40"/>
        <v>0</v>
      </c>
      <c r="M466" s="372">
        <f t="shared" si="41"/>
        <v>0</v>
      </c>
      <c r="N466" s="460">
        <f t="shared" si="42"/>
        <v>0</v>
      </c>
    </row>
    <row r="467" spans="1:14" ht="13.2" customHeight="1" x14ac:dyDescent="0.3">
      <c r="A467" s="401"/>
      <c r="B467" s="402"/>
      <c r="C467" s="371" t="s">
        <v>652</v>
      </c>
      <c r="D467" s="371" t="s">
        <v>658</v>
      </c>
      <c r="E467" s="367" t="s">
        <v>235</v>
      </c>
      <c r="F467" s="527">
        <f>IF(REKAP!$Q$9=$D467,'RAB Pasang'!F$31,0)</f>
        <v>0</v>
      </c>
      <c r="G467" s="527">
        <f>IF(REKAP!$Q$9=$D467,'RAB Pasang'!G$31,0)</f>
        <v>0</v>
      </c>
      <c r="H467" s="539"/>
      <c r="I467" s="372">
        <f t="shared" si="39"/>
        <v>0</v>
      </c>
      <c r="J467" s="372"/>
      <c r="K467" s="372">
        <v>1512000</v>
      </c>
      <c r="L467" s="372">
        <f t="shared" si="40"/>
        <v>0</v>
      </c>
      <c r="M467" s="372">
        <f t="shared" si="41"/>
        <v>0</v>
      </c>
      <c r="N467" s="460">
        <f t="shared" si="42"/>
        <v>0</v>
      </c>
    </row>
    <row r="468" spans="1:14" ht="13.2" customHeight="1" x14ac:dyDescent="0.3">
      <c r="A468" s="401"/>
      <c r="B468" s="402"/>
      <c r="C468" s="371" t="s">
        <v>652</v>
      </c>
      <c r="D468" s="371" t="s">
        <v>659</v>
      </c>
      <c r="E468" s="367" t="s">
        <v>235</v>
      </c>
      <c r="F468" s="527">
        <f>IF(REKAP!$Q$9=$D468,'RAB Pasang'!F$31,0)</f>
        <v>0</v>
      </c>
      <c r="G468" s="527">
        <f>IF(REKAP!$Q$9=$D468,'RAB Pasang'!G$31,0)</f>
        <v>0</v>
      </c>
      <c r="H468" s="539"/>
      <c r="I468" s="372">
        <f t="shared" si="39"/>
        <v>0</v>
      </c>
      <c r="J468" s="372"/>
      <c r="K468" s="372">
        <v>2709000</v>
      </c>
      <c r="L468" s="372">
        <f t="shared" si="40"/>
        <v>0</v>
      </c>
      <c r="M468" s="372">
        <f t="shared" si="41"/>
        <v>0</v>
      </c>
      <c r="N468" s="460">
        <f t="shared" si="42"/>
        <v>0</v>
      </c>
    </row>
    <row r="469" spans="1:14" ht="13.2" customHeight="1" x14ac:dyDescent="0.3">
      <c r="A469" s="401"/>
      <c r="B469" s="402"/>
      <c r="C469" s="371" t="s">
        <v>652</v>
      </c>
      <c r="D469" s="371" t="s">
        <v>660</v>
      </c>
      <c r="E469" s="367" t="s">
        <v>235</v>
      </c>
      <c r="F469" s="527">
        <f>IF(REKAP!$Q$9=$D469,'RAB Pasang'!F$31,0)</f>
        <v>0</v>
      </c>
      <c r="G469" s="527">
        <f>IF(REKAP!$Q$9=$D469,'RAB Pasang'!G$31,0)</f>
        <v>0</v>
      </c>
      <c r="H469" s="539"/>
      <c r="I469" s="372">
        <f t="shared" si="39"/>
        <v>0</v>
      </c>
      <c r="J469" s="372"/>
      <c r="K469" s="372">
        <v>2079000</v>
      </c>
      <c r="L469" s="372">
        <f t="shared" si="40"/>
        <v>0</v>
      </c>
      <c r="M469" s="372">
        <f t="shared" si="41"/>
        <v>0</v>
      </c>
      <c r="N469" s="460">
        <f t="shared" si="42"/>
        <v>0</v>
      </c>
    </row>
    <row r="470" spans="1:14" ht="13.2" customHeight="1" x14ac:dyDescent="0.3">
      <c r="A470" s="401"/>
      <c r="B470" s="402"/>
      <c r="C470" s="371" t="s">
        <v>652</v>
      </c>
      <c r="D470" s="371" t="s">
        <v>661</v>
      </c>
      <c r="E470" s="367" t="s">
        <v>235</v>
      </c>
      <c r="F470" s="527">
        <f>IF(REKAP!$Q$9=$D470,'RAB Pasang'!F$31,0)</f>
        <v>0</v>
      </c>
      <c r="G470" s="527">
        <f>IF(REKAP!$Q$9=$D470,'RAB Pasang'!G$31,0)</f>
        <v>0</v>
      </c>
      <c r="H470" s="539"/>
      <c r="I470" s="372">
        <f t="shared" si="39"/>
        <v>0</v>
      </c>
      <c r="J470" s="372"/>
      <c r="K470" s="372">
        <v>3591000</v>
      </c>
      <c r="L470" s="372">
        <f t="shared" si="40"/>
        <v>0</v>
      </c>
      <c r="M470" s="372">
        <f t="shared" si="41"/>
        <v>0</v>
      </c>
      <c r="N470" s="460">
        <f t="shared" si="42"/>
        <v>0</v>
      </c>
    </row>
    <row r="471" spans="1:14" ht="13.2" customHeight="1" x14ac:dyDescent="0.3">
      <c r="A471" s="401"/>
      <c r="B471" s="402"/>
      <c r="C471" s="371" t="s">
        <v>652</v>
      </c>
      <c r="D471" s="371" t="s">
        <v>662</v>
      </c>
      <c r="E471" s="367" t="s">
        <v>235</v>
      </c>
      <c r="F471" s="527">
        <f>IF(REKAP!$Q$9=$D471,'RAB Pasang'!F$31,0)</f>
        <v>0</v>
      </c>
      <c r="G471" s="527">
        <f>IF(REKAP!$Q$9=$D471,'RAB Pasang'!G$31,0)</f>
        <v>0</v>
      </c>
      <c r="H471" s="539"/>
      <c r="I471" s="372">
        <f t="shared" si="39"/>
        <v>0</v>
      </c>
      <c r="J471" s="372"/>
      <c r="K471" s="372">
        <v>2907000</v>
      </c>
      <c r="L471" s="372">
        <f t="shared" si="40"/>
        <v>0</v>
      </c>
      <c r="M471" s="372">
        <f t="shared" si="41"/>
        <v>0</v>
      </c>
      <c r="N471" s="460">
        <f t="shared" si="42"/>
        <v>0</v>
      </c>
    </row>
    <row r="472" spans="1:14" ht="13.2" customHeight="1" x14ac:dyDescent="0.3">
      <c r="A472" s="401"/>
      <c r="B472" s="402"/>
      <c r="C472" s="371" t="s">
        <v>652</v>
      </c>
      <c r="D472" s="371" t="s">
        <v>663</v>
      </c>
      <c r="E472" s="367" t="s">
        <v>235</v>
      </c>
      <c r="F472" s="527">
        <f>IF(REKAP!$Q$9=$D472,'RAB Pasang'!F$31,0)</f>
        <v>0</v>
      </c>
      <c r="G472" s="527">
        <f>IF(REKAP!$Q$9=$D472,'RAB Pasang'!G$31,0)</f>
        <v>0</v>
      </c>
      <c r="H472" s="539"/>
      <c r="I472" s="372">
        <f t="shared" si="39"/>
        <v>0</v>
      </c>
      <c r="J472" s="372"/>
      <c r="K472" s="372">
        <v>4779000</v>
      </c>
      <c r="L472" s="372">
        <f t="shared" si="40"/>
        <v>0</v>
      </c>
      <c r="M472" s="372">
        <f t="shared" si="41"/>
        <v>0</v>
      </c>
      <c r="N472" s="460">
        <f t="shared" si="42"/>
        <v>0</v>
      </c>
    </row>
    <row r="473" spans="1:14" ht="13.2" customHeight="1" x14ac:dyDescent="0.3">
      <c r="A473" s="401"/>
      <c r="B473" s="402"/>
      <c r="C473" s="373" t="s">
        <v>652</v>
      </c>
      <c r="D473" s="373" t="s">
        <v>664</v>
      </c>
      <c r="E473" s="374" t="s">
        <v>235</v>
      </c>
      <c r="F473" s="528">
        <f>IF(REKAP!$Q$9=$D473,'RAB Pasang'!F$31,0)</f>
        <v>0</v>
      </c>
      <c r="G473" s="528">
        <f>IF(REKAP!$Q$9=$D473,'RAB Pasang'!G$31,0)</f>
        <v>0</v>
      </c>
      <c r="H473" s="571"/>
      <c r="I473" s="375">
        <f t="shared" si="39"/>
        <v>0</v>
      </c>
      <c r="J473" s="375"/>
      <c r="K473" s="372">
        <v>774000</v>
      </c>
      <c r="L473" s="375">
        <f t="shared" si="40"/>
        <v>0</v>
      </c>
      <c r="M473" s="375">
        <f t="shared" si="41"/>
        <v>0</v>
      </c>
      <c r="N473" s="462">
        <f t="shared" si="42"/>
        <v>0</v>
      </c>
    </row>
    <row r="474" spans="1:14" ht="13.2" customHeight="1" x14ac:dyDescent="0.3">
      <c r="A474" s="401"/>
      <c r="B474" s="403" t="s">
        <v>1824</v>
      </c>
      <c r="C474" s="404" t="s">
        <v>652</v>
      </c>
      <c r="D474" s="404" t="s">
        <v>655</v>
      </c>
      <c r="E474" s="405" t="s">
        <v>235</v>
      </c>
      <c r="F474" s="575"/>
      <c r="G474" s="575"/>
      <c r="H474" s="576"/>
      <c r="I474" s="406">
        <f t="shared" si="39"/>
        <v>0</v>
      </c>
      <c r="J474" s="406"/>
      <c r="K474" s="406">
        <v>3582000</v>
      </c>
      <c r="L474" s="406">
        <f t="shared" si="40"/>
        <v>0</v>
      </c>
      <c r="M474" s="406">
        <f t="shared" si="41"/>
        <v>0</v>
      </c>
      <c r="N474" s="548">
        <f t="shared" si="42"/>
        <v>0</v>
      </c>
    </row>
    <row r="475" spans="1:14" ht="13.2" customHeight="1" x14ac:dyDescent="0.3">
      <c r="A475" s="401"/>
      <c r="B475" s="407"/>
      <c r="C475" s="371" t="s">
        <v>652</v>
      </c>
      <c r="D475" s="371" t="s">
        <v>656</v>
      </c>
      <c r="E475" s="367" t="s">
        <v>235</v>
      </c>
      <c r="F475" s="527"/>
      <c r="G475" s="527"/>
      <c r="H475" s="539"/>
      <c r="I475" s="372">
        <f t="shared" si="39"/>
        <v>0</v>
      </c>
      <c r="J475" s="372"/>
      <c r="K475" s="406">
        <v>2907000</v>
      </c>
      <c r="L475" s="372">
        <f t="shared" si="40"/>
        <v>0</v>
      </c>
      <c r="M475" s="372">
        <f t="shared" si="41"/>
        <v>0</v>
      </c>
      <c r="N475" s="460">
        <f t="shared" si="42"/>
        <v>0</v>
      </c>
    </row>
    <row r="476" spans="1:14" ht="13.2" customHeight="1" x14ac:dyDescent="0.3">
      <c r="A476" s="401"/>
      <c r="B476" s="408"/>
      <c r="C476" s="390" t="s">
        <v>652</v>
      </c>
      <c r="D476" s="390" t="s">
        <v>657</v>
      </c>
      <c r="E476" s="391" t="s">
        <v>235</v>
      </c>
      <c r="F476" s="573"/>
      <c r="G476" s="573"/>
      <c r="H476" s="577"/>
      <c r="I476" s="409">
        <f t="shared" si="39"/>
        <v>0</v>
      </c>
      <c r="J476" s="409"/>
      <c r="K476" s="406">
        <v>4788000</v>
      </c>
      <c r="L476" s="409">
        <f t="shared" si="40"/>
        <v>0</v>
      </c>
      <c r="M476" s="409">
        <f t="shared" si="41"/>
        <v>0</v>
      </c>
      <c r="N476" s="549">
        <f t="shared" si="42"/>
        <v>0</v>
      </c>
    </row>
    <row r="477" spans="1:14" ht="13.2" customHeight="1" x14ac:dyDescent="0.3">
      <c r="A477" s="401"/>
      <c r="B477" s="403" t="s">
        <v>1825</v>
      </c>
      <c r="C477" s="404" t="s">
        <v>652</v>
      </c>
      <c r="D477" s="371" t="s">
        <v>662</v>
      </c>
      <c r="E477" s="405" t="s">
        <v>235</v>
      </c>
      <c r="F477" s="575"/>
      <c r="G477" s="575"/>
      <c r="H477" s="576"/>
      <c r="I477" s="406">
        <f t="shared" si="39"/>
        <v>0</v>
      </c>
      <c r="J477" s="406"/>
      <c r="K477" s="406">
        <v>774000</v>
      </c>
      <c r="L477" s="406">
        <f t="shared" si="40"/>
        <v>0</v>
      </c>
      <c r="M477" s="406">
        <f t="shared" si="41"/>
        <v>0</v>
      </c>
      <c r="N477" s="548">
        <f t="shared" si="42"/>
        <v>0</v>
      </c>
    </row>
    <row r="478" spans="1:14" ht="13.2" customHeight="1" x14ac:dyDescent="0.3">
      <c r="A478" s="401"/>
      <c r="B478" s="407"/>
      <c r="C478" s="371" t="s">
        <v>652</v>
      </c>
      <c r="D478" s="371" t="s">
        <v>663</v>
      </c>
      <c r="E478" s="367" t="s">
        <v>235</v>
      </c>
      <c r="F478" s="527"/>
      <c r="G478" s="527"/>
      <c r="H478" s="539"/>
      <c r="I478" s="372">
        <f t="shared" si="39"/>
        <v>0</v>
      </c>
      <c r="J478" s="372"/>
      <c r="K478" s="372">
        <v>747000</v>
      </c>
      <c r="L478" s="372">
        <f t="shared" si="40"/>
        <v>0</v>
      </c>
      <c r="M478" s="372">
        <f t="shared" si="41"/>
        <v>0</v>
      </c>
      <c r="N478" s="460">
        <f t="shared" si="42"/>
        <v>0</v>
      </c>
    </row>
    <row r="479" spans="1:14" ht="13.2" customHeight="1" x14ac:dyDescent="0.3">
      <c r="A479" s="401"/>
      <c r="B479" s="403" t="s">
        <v>1826</v>
      </c>
      <c r="C479" s="404" t="s">
        <v>652</v>
      </c>
      <c r="D479" s="371" t="s">
        <v>658</v>
      </c>
      <c r="E479" s="405" t="s">
        <v>235</v>
      </c>
      <c r="F479" s="575"/>
      <c r="G479" s="575"/>
      <c r="H479" s="576"/>
      <c r="I479" s="406">
        <f t="shared" si="39"/>
        <v>0</v>
      </c>
      <c r="J479" s="406"/>
      <c r="K479" s="406">
        <v>504000</v>
      </c>
      <c r="L479" s="406">
        <f t="shared" si="40"/>
        <v>0</v>
      </c>
      <c r="M479" s="406">
        <f t="shared" si="41"/>
        <v>0</v>
      </c>
      <c r="N479" s="548">
        <f t="shared" si="42"/>
        <v>0</v>
      </c>
    </row>
    <row r="480" spans="1:14" ht="13.2" customHeight="1" x14ac:dyDescent="0.3">
      <c r="A480" s="401"/>
      <c r="B480" s="407"/>
      <c r="C480" s="371" t="s">
        <v>652</v>
      </c>
      <c r="D480" s="371" t="s">
        <v>659</v>
      </c>
      <c r="E480" s="367" t="s">
        <v>235</v>
      </c>
      <c r="F480" s="527"/>
      <c r="G480" s="527"/>
      <c r="H480" s="539"/>
      <c r="I480" s="372">
        <f t="shared" si="39"/>
        <v>0</v>
      </c>
      <c r="J480" s="372"/>
      <c r="K480" s="372">
        <v>675000</v>
      </c>
      <c r="L480" s="372">
        <f t="shared" si="40"/>
        <v>0</v>
      </c>
      <c r="M480" s="372">
        <f t="shared" si="41"/>
        <v>0</v>
      </c>
      <c r="N480" s="460">
        <f t="shared" si="42"/>
        <v>0</v>
      </c>
    </row>
    <row r="481" spans="1:14" ht="13.2" customHeight="1" x14ac:dyDescent="0.3">
      <c r="A481" s="401"/>
      <c r="B481" s="403" t="s">
        <v>1827</v>
      </c>
      <c r="C481" s="404" t="s">
        <v>652</v>
      </c>
      <c r="D481" s="404" t="s">
        <v>630</v>
      </c>
      <c r="E481" s="405" t="s">
        <v>235</v>
      </c>
      <c r="F481" s="575"/>
      <c r="G481" s="575"/>
      <c r="H481" s="576"/>
      <c r="I481" s="406">
        <f t="shared" si="39"/>
        <v>0</v>
      </c>
      <c r="J481" s="406"/>
      <c r="K481" s="406">
        <v>522000</v>
      </c>
      <c r="L481" s="406">
        <f t="shared" si="40"/>
        <v>0</v>
      </c>
      <c r="M481" s="406">
        <f t="shared" si="41"/>
        <v>0</v>
      </c>
      <c r="N481" s="548">
        <f t="shared" si="42"/>
        <v>0</v>
      </c>
    </row>
    <row r="482" spans="1:14" ht="13.2" customHeight="1" x14ac:dyDescent="0.3">
      <c r="A482" s="410"/>
      <c r="B482" s="408"/>
      <c r="C482" s="390" t="s">
        <v>652</v>
      </c>
      <c r="D482" s="390" t="s">
        <v>1569</v>
      </c>
      <c r="E482" s="391" t="s">
        <v>235</v>
      </c>
      <c r="F482" s="573"/>
      <c r="G482" s="573"/>
      <c r="H482" s="577"/>
      <c r="I482" s="409">
        <f t="shared" si="39"/>
        <v>0</v>
      </c>
      <c r="J482" s="409"/>
      <c r="K482" s="409">
        <v>1512000</v>
      </c>
      <c r="L482" s="409">
        <f t="shared" si="40"/>
        <v>0</v>
      </c>
      <c r="M482" s="409">
        <f t="shared" si="41"/>
        <v>0</v>
      </c>
      <c r="N482" s="549">
        <f t="shared" si="42"/>
        <v>0</v>
      </c>
    </row>
    <row r="483" spans="1:14" ht="13.2" customHeight="1" x14ac:dyDescent="0.3">
      <c r="A483" s="397">
        <v>14</v>
      </c>
      <c r="B483" s="398" t="s">
        <v>1582</v>
      </c>
      <c r="C483" s="371"/>
      <c r="D483" s="371"/>
      <c r="E483" s="367"/>
      <c r="F483" s="527"/>
      <c r="G483" s="527"/>
      <c r="H483" s="527"/>
      <c r="I483" s="372">
        <f t="shared" ref="I483:I538" si="75">SUM(F483:H483)</f>
        <v>0</v>
      </c>
      <c r="J483" s="372"/>
      <c r="K483" s="372"/>
      <c r="L483" s="372">
        <f t="shared" ref="L483:L538" si="76">J483*I483</f>
        <v>0</v>
      </c>
      <c r="M483" s="372">
        <f t="shared" ref="M483:M538" si="77">K483*I483</f>
        <v>0</v>
      </c>
      <c r="N483" s="460">
        <f t="shared" ref="N483:N538" si="78">SUM(L483:M483)</f>
        <v>0</v>
      </c>
    </row>
    <row r="484" spans="1:14" ht="13.2" customHeight="1" x14ac:dyDescent="0.3">
      <c r="A484" s="401"/>
      <c r="B484" s="402" t="s">
        <v>1828</v>
      </c>
      <c r="C484" s="371" t="s">
        <v>650</v>
      </c>
      <c r="D484" s="371" t="s">
        <v>620</v>
      </c>
      <c r="E484" s="367" t="s">
        <v>235</v>
      </c>
      <c r="F484" s="539"/>
      <c r="G484" s="539"/>
      <c r="H484" s="527"/>
      <c r="I484" s="372">
        <f t="shared" si="75"/>
        <v>0</v>
      </c>
      <c r="J484" s="372"/>
      <c r="K484" s="372">
        <v>684000</v>
      </c>
      <c r="L484" s="372">
        <f t="shared" si="76"/>
        <v>0</v>
      </c>
      <c r="M484" s="372">
        <f t="shared" si="77"/>
        <v>0</v>
      </c>
      <c r="N484" s="460">
        <f t="shared" si="78"/>
        <v>0</v>
      </c>
    </row>
    <row r="485" spans="1:14" ht="13.2" customHeight="1" x14ac:dyDescent="0.3">
      <c r="A485" s="401"/>
      <c r="B485" s="402"/>
      <c r="C485" s="371" t="s">
        <v>652</v>
      </c>
      <c r="D485" s="371" t="s">
        <v>621</v>
      </c>
      <c r="E485" s="367" t="s">
        <v>235</v>
      </c>
      <c r="F485" s="539"/>
      <c r="G485" s="539"/>
      <c r="H485" s="527"/>
      <c r="I485" s="372">
        <f t="shared" si="75"/>
        <v>0</v>
      </c>
      <c r="J485" s="372"/>
      <c r="K485" s="372">
        <v>828000</v>
      </c>
      <c r="L485" s="372">
        <f t="shared" si="76"/>
        <v>0</v>
      </c>
      <c r="M485" s="372">
        <f t="shared" si="77"/>
        <v>0</v>
      </c>
      <c r="N485" s="460">
        <f t="shared" si="78"/>
        <v>0</v>
      </c>
    </row>
    <row r="486" spans="1:14" ht="13.2" customHeight="1" x14ac:dyDescent="0.3">
      <c r="A486" s="401"/>
      <c r="B486" s="402"/>
      <c r="C486" s="371" t="s">
        <v>652</v>
      </c>
      <c r="D486" s="371" t="s">
        <v>622</v>
      </c>
      <c r="E486" s="367" t="s">
        <v>235</v>
      </c>
      <c r="F486" s="539"/>
      <c r="G486" s="539"/>
      <c r="H486" s="527"/>
      <c r="I486" s="372">
        <f t="shared" si="75"/>
        <v>0</v>
      </c>
      <c r="J486" s="372"/>
      <c r="K486" s="372">
        <v>1008000</v>
      </c>
      <c r="L486" s="372">
        <f t="shared" si="76"/>
        <v>0</v>
      </c>
      <c r="M486" s="372">
        <f t="shared" si="77"/>
        <v>0</v>
      </c>
      <c r="N486" s="460">
        <f t="shared" si="78"/>
        <v>0</v>
      </c>
    </row>
    <row r="487" spans="1:14" ht="13.2" customHeight="1" x14ac:dyDescent="0.3">
      <c r="A487" s="401"/>
      <c r="B487" s="402"/>
      <c r="C487" s="371" t="s">
        <v>652</v>
      </c>
      <c r="D487" s="371" t="s">
        <v>623</v>
      </c>
      <c r="E487" s="367" t="s">
        <v>235</v>
      </c>
      <c r="F487" s="539"/>
      <c r="G487" s="539"/>
      <c r="H487" s="527"/>
      <c r="I487" s="372">
        <f t="shared" si="75"/>
        <v>0</v>
      </c>
      <c r="J487" s="372"/>
      <c r="K487" s="372">
        <v>1125000</v>
      </c>
      <c r="L487" s="372">
        <f t="shared" si="76"/>
        <v>0</v>
      </c>
      <c r="M487" s="372">
        <f t="shared" si="77"/>
        <v>0</v>
      </c>
      <c r="N487" s="460">
        <f t="shared" si="78"/>
        <v>0</v>
      </c>
    </row>
    <row r="488" spans="1:14" ht="13.2" customHeight="1" x14ac:dyDescent="0.3">
      <c r="A488" s="401"/>
      <c r="B488" s="402"/>
      <c r="C488" s="371" t="s">
        <v>652</v>
      </c>
      <c r="D488" s="371" t="s">
        <v>628</v>
      </c>
      <c r="E488" s="367" t="s">
        <v>235</v>
      </c>
      <c r="F488" s="539"/>
      <c r="G488" s="539"/>
      <c r="H488" s="527"/>
      <c r="I488" s="372">
        <f t="shared" si="75"/>
        <v>0</v>
      </c>
      <c r="J488" s="372"/>
      <c r="K488" s="372">
        <v>1251000</v>
      </c>
      <c r="L488" s="372">
        <f t="shared" si="76"/>
        <v>0</v>
      </c>
      <c r="M488" s="372">
        <f t="shared" si="77"/>
        <v>0</v>
      </c>
      <c r="N488" s="460">
        <f t="shared" si="78"/>
        <v>0</v>
      </c>
    </row>
    <row r="489" spans="1:14" ht="13.2" customHeight="1" x14ac:dyDescent="0.3">
      <c r="A489" s="401"/>
      <c r="B489" s="402"/>
      <c r="C489" s="371" t="s">
        <v>652</v>
      </c>
      <c r="D489" s="371" t="s">
        <v>629</v>
      </c>
      <c r="E489" s="367" t="s">
        <v>235</v>
      </c>
      <c r="F489" s="539"/>
      <c r="G489" s="539"/>
      <c r="H489" s="527"/>
      <c r="I489" s="372">
        <f t="shared" si="75"/>
        <v>0</v>
      </c>
      <c r="J489" s="372"/>
      <c r="K489" s="372">
        <v>1251000</v>
      </c>
      <c r="L489" s="372">
        <f t="shared" si="76"/>
        <v>0</v>
      </c>
      <c r="M489" s="372">
        <f t="shared" si="77"/>
        <v>0</v>
      </c>
      <c r="N489" s="460">
        <f t="shared" si="78"/>
        <v>0</v>
      </c>
    </row>
    <row r="490" spans="1:14" ht="13.2" customHeight="1" x14ac:dyDescent="0.3">
      <c r="A490" s="401"/>
      <c r="B490" s="402"/>
      <c r="C490" s="371" t="s">
        <v>652</v>
      </c>
      <c r="D490" s="371" t="s">
        <v>624</v>
      </c>
      <c r="E490" s="367" t="s">
        <v>235</v>
      </c>
      <c r="F490" s="539"/>
      <c r="G490" s="539"/>
      <c r="H490" s="527"/>
      <c r="I490" s="372">
        <f t="shared" si="75"/>
        <v>0</v>
      </c>
      <c r="J490" s="372"/>
      <c r="K490" s="372">
        <v>1791000</v>
      </c>
      <c r="L490" s="372">
        <f t="shared" si="76"/>
        <v>0</v>
      </c>
      <c r="M490" s="372">
        <f t="shared" si="77"/>
        <v>0</v>
      </c>
      <c r="N490" s="460">
        <f t="shared" si="78"/>
        <v>0</v>
      </c>
    </row>
    <row r="491" spans="1:14" ht="13.2" customHeight="1" x14ac:dyDescent="0.3">
      <c r="A491" s="401"/>
      <c r="B491" s="402"/>
      <c r="C491" s="371" t="s">
        <v>652</v>
      </c>
      <c r="D491" s="371" t="s">
        <v>625</v>
      </c>
      <c r="E491" s="367" t="s">
        <v>235</v>
      </c>
      <c r="F491" s="539"/>
      <c r="G491" s="539"/>
      <c r="H491" s="527"/>
      <c r="I491" s="372">
        <f t="shared" si="75"/>
        <v>0</v>
      </c>
      <c r="J491" s="372"/>
      <c r="K491" s="372">
        <v>2025000</v>
      </c>
      <c r="L491" s="372">
        <f t="shared" si="76"/>
        <v>0</v>
      </c>
      <c r="M491" s="372">
        <f t="shared" si="77"/>
        <v>0</v>
      </c>
      <c r="N491" s="460">
        <f t="shared" si="78"/>
        <v>0</v>
      </c>
    </row>
    <row r="492" spans="1:14" ht="13.2" customHeight="1" x14ac:dyDescent="0.3">
      <c r="A492" s="401"/>
      <c r="B492" s="402"/>
      <c r="C492" s="371" t="s">
        <v>652</v>
      </c>
      <c r="D492" s="371" t="s">
        <v>626</v>
      </c>
      <c r="E492" s="367" t="s">
        <v>235</v>
      </c>
      <c r="F492" s="539"/>
      <c r="G492" s="539"/>
      <c r="H492" s="527"/>
      <c r="I492" s="372">
        <f t="shared" si="75"/>
        <v>0</v>
      </c>
      <c r="J492" s="372"/>
      <c r="K492" s="372">
        <v>3294000</v>
      </c>
      <c r="L492" s="372">
        <f t="shared" si="76"/>
        <v>0</v>
      </c>
      <c r="M492" s="372">
        <f t="shared" si="77"/>
        <v>0</v>
      </c>
      <c r="N492" s="460">
        <f t="shared" si="78"/>
        <v>0</v>
      </c>
    </row>
    <row r="493" spans="1:14" ht="13.2" customHeight="1" x14ac:dyDescent="0.3">
      <c r="A493" s="401"/>
      <c r="B493" s="402"/>
      <c r="C493" s="373" t="s">
        <v>652</v>
      </c>
      <c r="D493" s="373" t="s">
        <v>627</v>
      </c>
      <c r="E493" s="374" t="s">
        <v>235</v>
      </c>
      <c r="F493" s="571"/>
      <c r="G493" s="571"/>
      <c r="H493" s="528"/>
      <c r="I493" s="375">
        <f t="shared" si="75"/>
        <v>0</v>
      </c>
      <c r="J493" s="375"/>
      <c r="K493" s="375">
        <v>4959000</v>
      </c>
      <c r="L493" s="375">
        <f t="shared" si="76"/>
        <v>0</v>
      </c>
      <c r="M493" s="375">
        <f t="shared" si="77"/>
        <v>0</v>
      </c>
      <c r="N493" s="462">
        <f t="shared" si="78"/>
        <v>0</v>
      </c>
    </row>
    <row r="494" spans="1:14" ht="13.2" customHeight="1" x14ac:dyDescent="0.3">
      <c r="A494" s="531">
        <v>13</v>
      </c>
      <c r="B494" s="532" t="s">
        <v>1581</v>
      </c>
      <c r="C494" s="404"/>
      <c r="D494" s="404"/>
      <c r="E494" s="405"/>
      <c r="F494" s="575"/>
      <c r="G494" s="575"/>
      <c r="H494" s="575"/>
      <c r="I494" s="406">
        <f t="shared" ref="I494:I526" si="79">SUM(F494:H494)</f>
        <v>0</v>
      </c>
      <c r="J494" s="406"/>
      <c r="K494" s="406"/>
      <c r="L494" s="406">
        <f t="shared" ref="L494:L526" si="80">J494*I494</f>
        <v>0</v>
      </c>
      <c r="M494" s="406">
        <f t="shared" ref="M494:M526" si="81">K494*I494</f>
        <v>0</v>
      </c>
      <c r="N494" s="548">
        <f t="shared" ref="N494:N526" si="82">SUM(L494:M494)</f>
        <v>0</v>
      </c>
    </row>
    <row r="495" spans="1:14" ht="13.2" customHeight="1" x14ac:dyDescent="0.3">
      <c r="A495" s="401"/>
      <c r="B495" s="402" t="s">
        <v>1828</v>
      </c>
      <c r="C495" s="371" t="s">
        <v>650</v>
      </c>
      <c r="D495" s="371" t="s">
        <v>620</v>
      </c>
      <c r="E495" s="367" t="s">
        <v>235</v>
      </c>
      <c r="F495" s="527"/>
      <c r="G495" s="527"/>
      <c r="H495" s="539"/>
      <c r="I495" s="372">
        <f t="shared" si="79"/>
        <v>0</v>
      </c>
      <c r="J495" s="372"/>
      <c r="K495" s="372">
        <v>972000</v>
      </c>
      <c r="L495" s="372">
        <f t="shared" si="80"/>
        <v>0</v>
      </c>
      <c r="M495" s="372">
        <f t="shared" si="81"/>
        <v>0</v>
      </c>
      <c r="N495" s="460">
        <f t="shared" si="82"/>
        <v>0</v>
      </c>
    </row>
    <row r="496" spans="1:14" ht="13.2" customHeight="1" x14ac:dyDescent="0.3">
      <c r="A496" s="401"/>
      <c r="B496" s="402"/>
      <c r="C496" s="371" t="s">
        <v>652</v>
      </c>
      <c r="D496" s="371" t="s">
        <v>621</v>
      </c>
      <c r="E496" s="367" t="s">
        <v>235</v>
      </c>
      <c r="F496" s="527"/>
      <c r="G496" s="527"/>
      <c r="H496" s="539"/>
      <c r="I496" s="372">
        <f t="shared" si="79"/>
        <v>0</v>
      </c>
      <c r="J496" s="372"/>
      <c r="K496" s="372">
        <v>1179000</v>
      </c>
      <c r="L496" s="372">
        <f t="shared" si="80"/>
        <v>0</v>
      </c>
      <c r="M496" s="372">
        <f t="shared" si="81"/>
        <v>0</v>
      </c>
      <c r="N496" s="460">
        <f t="shared" si="82"/>
        <v>0</v>
      </c>
    </row>
    <row r="497" spans="1:14" ht="13.2" customHeight="1" x14ac:dyDescent="0.3">
      <c r="A497" s="401"/>
      <c r="B497" s="402"/>
      <c r="C497" s="371" t="s">
        <v>652</v>
      </c>
      <c r="D497" s="371" t="s">
        <v>622</v>
      </c>
      <c r="E497" s="367" t="s">
        <v>235</v>
      </c>
      <c r="F497" s="527"/>
      <c r="G497" s="527"/>
      <c r="H497" s="539"/>
      <c r="I497" s="372">
        <f t="shared" si="79"/>
        <v>0</v>
      </c>
      <c r="J497" s="372"/>
      <c r="K497" s="372">
        <v>1521000</v>
      </c>
      <c r="L497" s="372">
        <f t="shared" si="80"/>
        <v>0</v>
      </c>
      <c r="M497" s="372">
        <f t="shared" si="81"/>
        <v>0</v>
      </c>
      <c r="N497" s="460">
        <f t="shared" si="82"/>
        <v>0</v>
      </c>
    </row>
    <row r="498" spans="1:14" ht="13.2" customHeight="1" x14ac:dyDescent="0.3">
      <c r="A498" s="401"/>
      <c r="B498" s="402"/>
      <c r="C498" s="371" t="s">
        <v>652</v>
      </c>
      <c r="D498" s="371" t="s">
        <v>623</v>
      </c>
      <c r="E498" s="367" t="s">
        <v>235</v>
      </c>
      <c r="F498" s="527"/>
      <c r="G498" s="527"/>
      <c r="H498" s="539"/>
      <c r="I498" s="372">
        <f t="shared" si="79"/>
        <v>0</v>
      </c>
      <c r="J498" s="372"/>
      <c r="K498" s="372">
        <v>1926000</v>
      </c>
      <c r="L498" s="372">
        <f t="shared" si="80"/>
        <v>0</v>
      </c>
      <c r="M498" s="372">
        <f t="shared" si="81"/>
        <v>0</v>
      </c>
      <c r="N498" s="460">
        <f t="shared" si="82"/>
        <v>0</v>
      </c>
    </row>
    <row r="499" spans="1:14" ht="13.2" customHeight="1" x14ac:dyDescent="0.3">
      <c r="A499" s="401"/>
      <c r="B499" s="402"/>
      <c r="C499" s="371" t="s">
        <v>652</v>
      </c>
      <c r="D499" s="371" t="s">
        <v>628</v>
      </c>
      <c r="E499" s="367" t="s">
        <v>235</v>
      </c>
      <c r="F499" s="527"/>
      <c r="G499" s="527"/>
      <c r="H499" s="539"/>
      <c r="I499" s="372">
        <f t="shared" si="79"/>
        <v>0</v>
      </c>
      <c r="J499" s="372"/>
      <c r="K499" s="372">
        <v>2061000</v>
      </c>
      <c r="L499" s="372">
        <f t="shared" si="80"/>
        <v>0</v>
      </c>
      <c r="M499" s="372">
        <f t="shared" si="81"/>
        <v>0</v>
      </c>
      <c r="N499" s="460">
        <f t="shared" si="82"/>
        <v>0</v>
      </c>
    </row>
    <row r="500" spans="1:14" ht="13.2" customHeight="1" x14ac:dyDescent="0.3">
      <c r="A500" s="401"/>
      <c r="B500" s="402"/>
      <c r="C500" s="371" t="s">
        <v>652</v>
      </c>
      <c r="D500" s="371" t="s">
        <v>629</v>
      </c>
      <c r="E500" s="367" t="s">
        <v>235</v>
      </c>
      <c r="F500" s="527"/>
      <c r="G500" s="527"/>
      <c r="H500" s="539"/>
      <c r="I500" s="372">
        <f t="shared" si="79"/>
        <v>0</v>
      </c>
      <c r="J500" s="372"/>
      <c r="K500" s="372">
        <v>2115000</v>
      </c>
      <c r="L500" s="372">
        <f t="shared" si="80"/>
        <v>0</v>
      </c>
      <c r="M500" s="372">
        <f t="shared" si="81"/>
        <v>0</v>
      </c>
      <c r="N500" s="460">
        <f t="shared" si="82"/>
        <v>0</v>
      </c>
    </row>
    <row r="501" spans="1:14" ht="13.2" customHeight="1" x14ac:dyDescent="0.3">
      <c r="A501" s="401"/>
      <c r="B501" s="402"/>
      <c r="C501" s="371" t="s">
        <v>652</v>
      </c>
      <c r="D501" s="371" t="s">
        <v>624</v>
      </c>
      <c r="E501" s="367" t="s">
        <v>235</v>
      </c>
      <c r="F501" s="527"/>
      <c r="G501" s="527"/>
      <c r="H501" s="539"/>
      <c r="I501" s="372">
        <f t="shared" si="79"/>
        <v>0</v>
      </c>
      <c r="J501" s="372"/>
      <c r="K501" s="372">
        <v>2565000</v>
      </c>
      <c r="L501" s="372">
        <f t="shared" si="80"/>
        <v>0</v>
      </c>
      <c r="M501" s="372">
        <f t="shared" si="81"/>
        <v>0</v>
      </c>
      <c r="N501" s="460">
        <f t="shared" si="82"/>
        <v>0</v>
      </c>
    </row>
    <row r="502" spans="1:14" ht="13.2" customHeight="1" x14ac:dyDescent="0.3">
      <c r="A502" s="401"/>
      <c r="B502" s="402"/>
      <c r="C502" s="371" t="s">
        <v>652</v>
      </c>
      <c r="D502" s="371" t="s">
        <v>625</v>
      </c>
      <c r="E502" s="367" t="s">
        <v>235</v>
      </c>
      <c r="F502" s="527"/>
      <c r="G502" s="527"/>
      <c r="H502" s="539"/>
      <c r="I502" s="372">
        <f t="shared" si="79"/>
        <v>0</v>
      </c>
      <c r="J502" s="372"/>
      <c r="K502" s="372">
        <v>2898000</v>
      </c>
      <c r="L502" s="372">
        <f t="shared" si="80"/>
        <v>0</v>
      </c>
      <c r="M502" s="372">
        <f t="shared" si="81"/>
        <v>0</v>
      </c>
      <c r="N502" s="460">
        <f t="shared" si="82"/>
        <v>0</v>
      </c>
    </row>
    <row r="503" spans="1:14" ht="13.2" customHeight="1" x14ac:dyDescent="0.3">
      <c r="A503" s="401"/>
      <c r="B503" s="402"/>
      <c r="C503" s="371" t="s">
        <v>652</v>
      </c>
      <c r="D503" s="371" t="s">
        <v>626</v>
      </c>
      <c r="E503" s="367" t="s">
        <v>235</v>
      </c>
      <c r="F503" s="527"/>
      <c r="G503" s="527"/>
      <c r="H503" s="539"/>
      <c r="I503" s="372">
        <f t="shared" si="79"/>
        <v>0</v>
      </c>
      <c r="J503" s="372"/>
      <c r="K503" s="372">
        <v>4716000</v>
      </c>
      <c r="L503" s="372">
        <f t="shared" si="80"/>
        <v>0</v>
      </c>
      <c r="M503" s="372">
        <f t="shared" si="81"/>
        <v>0</v>
      </c>
      <c r="N503" s="460">
        <f t="shared" si="82"/>
        <v>0</v>
      </c>
    </row>
    <row r="504" spans="1:14" ht="13.2" customHeight="1" x14ac:dyDescent="0.3">
      <c r="A504" s="410"/>
      <c r="B504" s="533"/>
      <c r="C504" s="390" t="s">
        <v>652</v>
      </c>
      <c r="D504" s="390" t="s">
        <v>627</v>
      </c>
      <c r="E504" s="391" t="s">
        <v>235</v>
      </c>
      <c r="F504" s="573"/>
      <c r="G504" s="573"/>
      <c r="H504" s="577"/>
      <c r="I504" s="409">
        <f t="shared" si="79"/>
        <v>0</v>
      </c>
      <c r="J504" s="409"/>
      <c r="K504" s="409">
        <v>7083000</v>
      </c>
      <c r="L504" s="409">
        <f t="shared" si="80"/>
        <v>0</v>
      </c>
      <c r="M504" s="409">
        <f t="shared" si="81"/>
        <v>0</v>
      </c>
      <c r="N504" s="549">
        <f t="shared" si="82"/>
        <v>0</v>
      </c>
    </row>
    <row r="505" spans="1:14" ht="13.2" customHeight="1" x14ac:dyDescent="0.3">
      <c r="A505" s="530">
        <v>12</v>
      </c>
      <c r="B505" s="411" t="s">
        <v>1580</v>
      </c>
      <c r="C505" s="362"/>
      <c r="D505" s="362"/>
      <c r="E505" s="368"/>
      <c r="F505" s="535"/>
      <c r="G505" s="535"/>
      <c r="H505" s="535"/>
      <c r="I505" s="369">
        <f t="shared" si="79"/>
        <v>0</v>
      </c>
      <c r="J505" s="369"/>
      <c r="K505" s="369"/>
      <c r="L505" s="369">
        <f t="shared" si="80"/>
        <v>0</v>
      </c>
      <c r="M505" s="369">
        <f t="shared" si="81"/>
        <v>0</v>
      </c>
      <c r="N505" s="459">
        <f t="shared" si="82"/>
        <v>0</v>
      </c>
    </row>
    <row r="506" spans="1:14" ht="13.2" customHeight="1" x14ac:dyDescent="0.3">
      <c r="A506" s="401"/>
      <c r="B506" s="402" t="s">
        <v>649</v>
      </c>
      <c r="C506" s="371" t="s">
        <v>650</v>
      </c>
      <c r="D506" s="371" t="s">
        <v>620</v>
      </c>
      <c r="E506" s="367" t="s">
        <v>235</v>
      </c>
      <c r="F506" s="527"/>
      <c r="G506" s="527"/>
      <c r="H506" s="539"/>
      <c r="I506" s="372">
        <f t="shared" si="79"/>
        <v>0</v>
      </c>
      <c r="J506" s="372"/>
      <c r="K506" s="372">
        <v>1080000</v>
      </c>
      <c r="L506" s="372">
        <f t="shared" si="80"/>
        <v>0</v>
      </c>
      <c r="M506" s="372">
        <f t="shared" si="81"/>
        <v>0</v>
      </c>
      <c r="N506" s="460">
        <f t="shared" si="82"/>
        <v>0</v>
      </c>
    </row>
    <row r="507" spans="1:14" ht="13.2" customHeight="1" x14ac:dyDescent="0.3">
      <c r="A507" s="401"/>
      <c r="B507" s="402"/>
      <c r="C507" s="371" t="s">
        <v>652</v>
      </c>
      <c r="D507" s="371" t="s">
        <v>621</v>
      </c>
      <c r="E507" s="367" t="s">
        <v>235</v>
      </c>
      <c r="F507" s="527"/>
      <c r="G507" s="527"/>
      <c r="H507" s="539"/>
      <c r="I507" s="372">
        <f t="shared" si="79"/>
        <v>0</v>
      </c>
      <c r="J507" s="372"/>
      <c r="K507" s="372">
        <v>1296000</v>
      </c>
      <c r="L507" s="372">
        <f t="shared" si="80"/>
        <v>0</v>
      </c>
      <c r="M507" s="372">
        <f t="shared" si="81"/>
        <v>0</v>
      </c>
      <c r="N507" s="460">
        <f t="shared" si="82"/>
        <v>0</v>
      </c>
    </row>
    <row r="508" spans="1:14" ht="13.2" customHeight="1" x14ac:dyDescent="0.3">
      <c r="A508" s="401"/>
      <c r="B508" s="402"/>
      <c r="C508" s="371" t="s">
        <v>652</v>
      </c>
      <c r="D508" s="371" t="s">
        <v>622</v>
      </c>
      <c r="E508" s="367" t="s">
        <v>235</v>
      </c>
      <c r="F508" s="527"/>
      <c r="G508" s="527"/>
      <c r="H508" s="539"/>
      <c r="I508" s="372">
        <f t="shared" si="79"/>
        <v>0</v>
      </c>
      <c r="J508" s="372"/>
      <c r="K508" s="372">
        <v>1683000</v>
      </c>
      <c r="L508" s="372">
        <f t="shared" si="80"/>
        <v>0</v>
      </c>
      <c r="M508" s="372">
        <f t="shared" si="81"/>
        <v>0</v>
      </c>
      <c r="N508" s="460">
        <f t="shared" si="82"/>
        <v>0</v>
      </c>
    </row>
    <row r="509" spans="1:14" ht="13.2" customHeight="1" x14ac:dyDescent="0.3">
      <c r="A509" s="401"/>
      <c r="B509" s="402"/>
      <c r="C509" s="371" t="s">
        <v>652</v>
      </c>
      <c r="D509" s="371" t="s">
        <v>623</v>
      </c>
      <c r="E509" s="367" t="s">
        <v>235</v>
      </c>
      <c r="F509" s="527"/>
      <c r="G509" s="527"/>
      <c r="H509" s="539"/>
      <c r="I509" s="372">
        <f t="shared" si="79"/>
        <v>0</v>
      </c>
      <c r="J509" s="372"/>
      <c r="K509" s="372">
        <v>2133000</v>
      </c>
      <c r="L509" s="372">
        <f t="shared" si="80"/>
        <v>0</v>
      </c>
      <c r="M509" s="372">
        <f t="shared" si="81"/>
        <v>0</v>
      </c>
      <c r="N509" s="460">
        <f t="shared" si="82"/>
        <v>0</v>
      </c>
    </row>
    <row r="510" spans="1:14" ht="13.2" customHeight="1" x14ac:dyDescent="0.3">
      <c r="A510" s="401"/>
      <c r="B510" s="402"/>
      <c r="C510" s="371" t="s">
        <v>652</v>
      </c>
      <c r="D510" s="371" t="s">
        <v>628</v>
      </c>
      <c r="E510" s="367" t="s">
        <v>235</v>
      </c>
      <c r="F510" s="527"/>
      <c r="G510" s="527"/>
      <c r="H510" s="539"/>
      <c r="I510" s="372">
        <f t="shared" si="79"/>
        <v>0</v>
      </c>
      <c r="J510" s="372"/>
      <c r="K510" s="372">
        <v>2277000</v>
      </c>
      <c r="L510" s="372">
        <f t="shared" si="80"/>
        <v>0</v>
      </c>
      <c r="M510" s="372">
        <f t="shared" si="81"/>
        <v>0</v>
      </c>
      <c r="N510" s="460">
        <f t="shared" si="82"/>
        <v>0</v>
      </c>
    </row>
    <row r="511" spans="1:14" ht="13.2" customHeight="1" x14ac:dyDescent="0.3">
      <c r="A511" s="401"/>
      <c r="B511" s="402"/>
      <c r="C511" s="371" t="s">
        <v>652</v>
      </c>
      <c r="D511" s="371" t="s">
        <v>629</v>
      </c>
      <c r="E511" s="367" t="s">
        <v>235</v>
      </c>
      <c r="F511" s="527"/>
      <c r="G511" s="527"/>
      <c r="H511" s="539"/>
      <c r="I511" s="372">
        <f t="shared" si="79"/>
        <v>0</v>
      </c>
      <c r="J511" s="372"/>
      <c r="K511" s="372">
        <v>2331000</v>
      </c>
      <c r="L511" s="372">
        <f t="shared" si="80"/>
        <v>0</v>
      </c>
      <c r="M511" s="372">
        <f t="shared" si="81"/>
        <v>0</v>
      </c>
      <c r="N511" s="460">
        <f t="shared" si="82"/>
        <v>0</v>
      </c>
    </row>
    <row r="512" spans="1:14" ht="13.2" customHeight="1" x14ac:dyDescent="0.3">
      <c r="A512" s="401"/>
      <c r="B512" s="402"/>
      <c r="C512" s="371" t="s">
        <v>652</v>
      </c>
      <c r="D512" s="371" t="s">
        <v>624</v>
      </c>
      <c r="E512" s="367" t="s">
        <v>235</v>
      </c>
      <c r="F512" s="527"/>
      <c r="G512" s="527"/>
      <c r="H512" s="539"/>
      <c r="I512" s="372">
        <f t="shared" si="79"/>
        <v>0</v>
      </c>
      <c r="J512" s="372"/>
      <c r="K512" s="372">
        <v>3132000</v>
      </c>
      <c r="L512" s="372">
        <f t="shared" si="80"/>
        <v>0</v>
      </c>
      <c r="M512" s="372">
        <f t="shared" si="81"/>
        <v>0</v>
      </c>
      <c r="N512" s="460">
        <f t="shared" si="82"/>
        <v>0</v>
      </c>
    </row>
    <row r="513" spans="1:14" ht="13.2" customHeight="1" x14ac:dyDescent="0.3">
      <c r="A513" s="401"/>
      <c r="B513" s="402"/>
      <c r="C513" s="371" t="s">
        <v>652</v>
      </c>
      <c r="D513" s="371" t="s">
        <v>625</v>
      </c>
      <c r="E513" s="367" t="s">
        <v>235</v>
      </c>
      <c r="F513" s="527"/>
      <c r="G513" s="527"/>
      <c r="H513" s="539"/>
      <c r="I513" s="372">
        <f t="shared" si="79"/>
        <v>0</v>
      </c>
      <c r="J513" s="372"/>
      <c r="K513" s="372">
        <v>3771000</v>
      </c>
      <c r="L513" s="372">
        <f t="shared" si="80"/>
        <v>0</v>
      </c>
      <c r="M513" s="372">
        <f t="shared" si="81"/>
        <v>0</v>
      </c>
      <c r="N513" s="460">
        <f t="shared" si="82"/>
        <v>0</v>
      </c>
    </row>
    <row r="514" spans="1:14" ht="13.2" customHeight="1" x14ac:dyDescent="0.3">
      <c r="A514" s="401"/>
      <c r="B514" s="402"/>
      <c r="C514" s="371" t="s">
        <v>652</v>
      </c>
      <c r="D514" s="371" t="s">
        <v>626</v>
      </c>
      <c r="E514" s="367" t="s">
        <v>235</v>
      </c>
      <c r="F514" s="527"/>
      <c r="G514" s="527"/>
      <c r="H514" s="539"/>
      <c r="I514" s="372">
        <f t="shared" si="79"/>
        <v>0</v>
      </c>
      <c r="J514" s="372"/>
      <c r="K514" s="372">
        <v>5463000</v>
      </c>
      <c r="L514" s="372">
        <f t="shared" si="80"/>
        <v>0</v>
      </c>
      <c r="M514" s="372">
        <f t="shared" si="81"/>
        <v>0</v>
      </c>
      <c r="N514" s="460">
        <f t="shared" si="82"/>
        <v>0</v>
      </c>
    </row>
    <row r="515" spans="1:14" ht="13.2" customHeight="1" x14ac:dyDescent="0.3">
      <c r="A515" s="401"/>
      <c r="B515" s="402"/>
      <c r="C515" s="373" t="s">
        <v>652</v>
      </c>
      <c r="D515" s="373" t="s">
        <v>627</v>
      </c>
      <c r="E515" s="374" t="s">
        <v>235</v>
      </c>
      <c r="F515" s="528"/>
      <c r="G515" s="528"/>
      <c r="H515" s="571"/>
      <c r="I515" s="375">
        <f t="shared" si="79"/>
        <v>0</v>
      </c>
      <c r="J515" s="375"/>
      <c r="K515" s="375">
        <v>7875000</v>
      </c>
      <c r="L515" s="375">
        <f t="shared" si="80"/>
        <v>0</v>
      </c>
      <c r="M515" s="375">
        <f t="shared" si="81"/>
        <v>0</v>
      </c>
      <c r="N515" s="462">
        <f t="shared" si="82"/>
        <v>0</v>
      </c>
    </row>
    <row r="516" spans="1:14" ht="13.2" customHeight="1" x14ac:dyDescent="0.3">
      <c r="A516" s="531">
        <v>11</v>
      </c>
      <c r="B516" s="532" t="s">
        <v>1579</v>
      </c>
      <c r="C516" s="404"/>
      <c r="D516" s="404"/>
      <c r="E516" s="405"/>
      <c r="F516" s="575"/>
      <c r="G516" s="575"/>
      <c r="H516" s="575"/>
      <c r="I516" s="406">
        <f t="shared" si="79"/>
        <v>0</v>
      </c>
      <c r="J516" s="406"/>
      <c r="K516" s="406"/>
      <c r="L516" s="406">
        <f t="shared" si="80"/>
        <v>0</v>
      </c>
      <c r="M516" s="406">
        <f t="shared" si="81"/>
        <v>0</v>
      </c>
      <c r="N516" s="548">
        <f t="shared" si="82"/>
        <v>0</v>
      </c>
    </row>
    <row r="517" spans="1:14" ht="13.2" customHeight="1" x14ac:dyDescent="0.3">
      <c r="A517" s="401"/>
      <c r="B517" s="402" t="s">
        <v>1828</v>
      </c>
      <c r="C517" s="371" t="s">
        <v>650</v>
      </c>
      <c r="D517" s="371" t="s">
        <v>620</v>
      </c>
      <c r="E517" s="367" t="s">
        <v>235</v>
      </c>
      <c r="F517" s="527"/>
      <c r="G517" s="527"/>
      <c r="H517" s="539"/>
      <c r="I517" s="372">
        <f t="shared" si="79"/>
        <v>0</v>
      </c>
      <c r="J517" s="372"/>
      <c r="K517" s="372">
        <v>1080000</v>
      </c>
      <c r="L517" s="372">
        <f t="shared" si="80"/>
        <v>0</v>
      </c>
      <c r="M517" s="372">
        <f t="shared" si="81"/>
        <v>0</v>
      </c>
      <c r="N517" s="460">
        <f t="shared" si="82"/>
        <v>0</v>
      </c>
    </row>
    <row r="518" spans="1:14" ht="13.2" customHeight="1" x14ac:dyDescent="0.3">
      <c r="A518" s="401"/>
      <c r="B518" s="402"/>
      <c r="C518" s="371" t="s">
        <v>652</v>
      </c>
      <c r="D518" s="371" t="s">
        <v>621</v>
      </c>
      <c r="E518" s="367" t="s">
        <v>235</v>
      </c>
      <c r="F518" s="527"/>
      <c r="G518" s="527"/>
      <c r="H518" s="539"/>
      <c r="I518" s="372">
        <f t="shared" si="79"/>
        <v>0</v>
      </c>
      <c r="J518" s="372"/>
      <c r="K518" s="372">
        <v>1296000</v>
      </c>
      <c r="L518" s="372">
        <f t="shared" si="80"/>
        <v>0</v>
      </c>
      <c r="M518" s="372">
        <f t="shared" si="81"/>
        <v>0</v>
      </c>
      <c r="N518" s="460">
        <f t="shared" si="82"/>
        <v>0</v>
      </c>
    </row>
    <row r="519" spans="1:14" ht="13.2" customHeight="1" x14ac:dyDescent="0.3">
      <c r="A519" s="401"/>
      <c r="B519" s="402"/>
      <c r="C519" s="371" t="s">
        <v>652</v>
      </c>
      <c r="D519" s="371" t="s">
        <v>622</v>
      </c>
      <c r="E519" s="367" t="s">
        <v>235</v>
      </c>
      <c r="F519" s="527"/>
      <c r="G519" s="527"/>
      <c r="H519" s="539"/>
      <c r="I519" s="372">
        <f t="shared" si="79"/>
        <v>0</v>
      </c>
      <c r="J519" s="372"/>
      <c r="K519" s="372">
        <v>1683000</v>
      </c>
      <c r="L519" s="372">
        <f t="shared" si="80"/>
        <v>0</v>
      </c>
      <c r="M519" s="372">
        <f t="shared" si="81"/>
        <v>0</v>
      </c>
      <c r="N519" s="460">
        <f t="shared" si="82"/>
        <v>0</v>
      </c>
    </row>
    <row r="520" spans="1:14" ht="13.2" customHeight="1" x14ac:dyDescent="0.3">
      <c r="A520" s="401"/>
      <c r="B520" s="402"/>
      <c r="C520" s="371" t="s">
        <v>652</v>
      </c>
      <c r="D520" s="371" t="s">
        <v>623</v>
      </c>
      <c r="E520" s="367" t="s">
        <v>235</v>
      </c>
      <c r="F520" s="527"/>
      <c r="G520" s="527"/>
      <c r="H520" s="539"/>
      <c r="I520" s="372">
        <f t="shared" si="79"/>
        <v>0</v>
      </c>
      <c r="J520" s="372"/>
      <c r="K520" s="372">
        <v>2133000</v>
      </c>
      <c r="L520" s="372">
        <f t="shared" si="80"/>
        <v>0</v>
      </c>
      <c r="M520" s="372">
        <f t="shared" si="81"/>
        <v>0</v>
      </c>
      <c r="N520" s="460">
        <f t="shared" si="82"/>
        <v>0</v>
      </c>
    </row>
    <row r="521" spans="1:14" ht="13.2" customHeight="1" x14ac:dyDescent="0.3">
      <c r="A521" s="401"/>
      <c r="B521" s="402"/>
      <c r="C521" s="371" t="s">
        <v>652</v>
      </c>
      <c r="D521" s="371" t="s">
        <v>628</v>
      </c>
      <c r="E521" s="367" t="s">
        <v>235</v>
      </c>
      <c r="F521" s="527"/>
      <c r="G521" s="527"/>
      <c r="H521" s="539"/>
      <c r="I521" s="372">
        <f t="shared" si="79"/>
        <v>0</v>
      </c>
      <c r="J521" s="372"/>
      <c r="K521" s="372">
        <v>2277000</v>
      </c>
      <c r="L521" s="372">
        <f t="shared" si="80"/>
        <v>0</v>
      </c>
      <c r="M521" s="372">
        <f t="shared" si="81"/>
        <v>0</v>
      </c>
      <c r="N521" s="460">
        <f t="shared" si="82"/>
        <v>0</v>
      </c>
    </row>
    <row r="522" spans="1:14" ht="13.2" customHeight="1" x14ac:dyDescent="0.3">
      <c r="A522" s="401"/>
      <c r="B522" s="402"/>
      <c r="C522" s="371" t="s">
        <v>652</v>
      </c>
      <c r="D522" s="371" t="s">
        <v>629</v>
      </c>
      <c r="E522" s="367" t="s">
        <v>235</v>
      </c>
      <c r="F522" s="527"/>
      <c r="G522" s="527"/>
      <c r="H522" s="539"/>
      <c r="I522" s="372">
        <f t="shared" si="79"/>
        <v>0</v>
      </c>
      <c r="J522" s="372"/>
      <c r="K522" s="372">
        <v>2331000</v>
      </c>
      <c r="L522" s="372">
        <f t="shared" si="80"/>
        <v>0</v>
      </c>
      <c r="M522" s="372">
        <f t="shared" si="81"/>
        <v>0</v>
      </c>
      <c r="N522" s="460">
        <f t="shared" si="82"/>
        <v>0</v>
      </c>
    </row>
    <row r="523" spans="1:14" ht="13.2" customHeight="1" x14ac:dyDescent="0.3">
      <c r="A523" s="401"/>
      <c r="B523" s="402"/>
      <c r="C523" s="371" t="s">
        <v>652</v>
      </c>
      <c r="D523" s="371" t="s">
        <v>624</v>
      </c>
      <c r="E523" s="367" t="s">
        <v>235</v>
      </c>
      <c r="F523" s="527"/>
      <c r="G523" s="527"/>
      <c r="H523" s="539"/>
      <c r="I523" s="372">
        <f t="shared" si="79"/>
        <v>0</v>
      </c>
      <c r="J523" s="372"/>
      <c r="K523" s="372">
        <v>3132000</v>
      </c>
      <c r="L523" s="372">
        <f t="shared" si="80"/>
        <v>0</v>
      </c>
      <c r="M523" s="372">
        <f t="shared" si="81"/>
        <v>0</v>
      </c>
      <c r="N523" s="460">
        <f t="shared" si="82"/>
        <v>0</v>
      </c>
    </row>
    <row r="524" spans="1:14" ht="13.2" customHeight="1" x14ac:dyDescent="0.3">
      <c r="A524" s="401"/>
      <c r="B524" s="402"/>
      <c r="C524" s="371" t="s">
        <v>652</v>
      </c>
      <c r="D524" s="371" t="s">
        <v>625</v>
      </c>
      <c r="E524" s="367" t="s">
        <v>235</v>
      </c>
      <c r="F524" s="527"/>
      <c r="G524" s="527"/>
      <c r="H524" s="539"/>
      <c r="I524" s="372">
        <f t="shared" si="79"/>
        <v>0</v>
      </c>
      <c r="J524" s="372"/>
      <c r="K524" s="372">
        <v>3771000</v>
      </c>
      <c r="L524" s="372">
        <f t="shared" si="80"/>
        <v>0</v>
      </c>
      <c r="M524" s="372">
        <f t="shared" si="81"/>
        <v>0</v>
      </c>
      <c r="N524" s="460">
        <f t="shared" si="82"/>
        <v>0</v>
      </c>
    </row>
    <row r="525" spans="1:14" ht="13.2" customHeight="1" x14ac:dyDescent="0.3">
      <c r="A525" s="401"/>
      <c r="B525" s="402"/>
      <c r="C525" s="371" t="s">
        <v>652</v>
      </c>
      <c r="D525" s="371" t="s">
        <v>626</v>
      </c>
      <c r="E525" s="367" t="s">
        <v>235</v>
      </c>
      <c r="F525" s="527"/>
      <c r="G525" s="527"/>
      <c r="H525" s="539"/>
      <c r="I525" s="372">
        <f t="shared" si="79"/>
        <v>0</v>
      </c>
      <c r="J525" s="372"/>
      <c r="K525" s="372">
        <v>5463000</v>
      </c>
      <c r="L525" s="372">
        <f t="shared" si="80"/>
        <v>0</v>
      </c>
      <c r="M525" s="372">
        <f t="shared" si="81"/>
        <v>0</v>
      </c>
      <c r="N525" s="460">
        <f t="shared" si="82"/>
        <v>0</v>
      </c>
    </row>
    <row r="526" spans="1:14" ht="13.2" customHeight="1" x14ac:dyDescent="0.3">
      <c r="A526" s="410"/>
      <c r="B526" s="533"/>
      <c r="C526" s="390" t="s">
        <v>652</v>
      </c>
      <c r="D526" s="390" t="s">
        <v>627</v>
      </c>
      <c r="E526" s="391" t="s">
        <v>235</v>
      </c>
      <c r="F526" s="573"/>
      <c r="G526" s="573"/>
      <c r="H526" s="577"/>
      <c r="I526" s="409">
        <f t="shared" si="79"/>
        <v>0</v>
      </c>
      <c r="J526" s="409"/>
      <c r="K526" s="409">
        <v>7875000</v>
      </c>
      <c r="L526" s="409">
        <f t="shared" si="80"/>
        <v>0</v>
      </c>
      <c r="M526" s="409">
        <f t="shared" si="81"/>
        <v>0</v>
      </c>
      <c r="N526" s="549">
        <f t="shared" si="82"/>
        <v>0</v>
      </c>
    </row>
    <row r="527" spans="1:14" ht="13.2" customHeight="1" x14ac:dyDescent="0.3">
      <c r="A527" s="530">
        <v>10</v>
      </c>
      <c r="B527" s="411" t="s">
        <v>1578</v>
      </c>
      <c r="C527" s="362"/>
      <c r="D527" s="362"/>
      <c r="E527" s="368"/>
      <c r="F527" s="535"/>
      <c r="G527" s="535"/>
      <c r="H527" s="535"/>
      <c r="I527" s="369">
        <f t="shared" ref="I527:I537" si="83">SUM(F527:H527)</f>
        <v>0</v>
      </c>
      <c r="J527" s="369"/>
      <c r="K527" s="369"/>
      <c r="L527" s="369">
        <f t="shared" ref="L527:L537" si="84">J527*I527</f>
        <v>0</v>
      </c>
      <c r="M527" s="369">
        <f t="shared" ref="M527:M537" si="85">K527*I527</f>
        <v>0</v>
      </c>
      <c r="N527" s="459">
        <f t="shared" ref="N527:N537" si="86">SUM(L527:M527)</f>
        <v>0</v>
      </c>
    </row>
    <row r="528" spans="1:14" ht="13.2" customHeight="1" x14ac:dyDescent="0.3">
      <c r="A528" s="401"/>
      <c r="B528" s="402" t="s">
        <v>1828</v>
      </c>
      <c r="C528" s="371" t="s">
        <v>650</v>
      </c>
      <c r="D528" s="371" t="s">
        <v>620</v>
      </c>
      <c r="E528" s="367" t="s">
        <v>235</v>
      </c>
      <c r="F528" s="527"/>
      <c r="G528" s="527"/>
      <c r="H528" s="539"/>
      <c r="I528" s="372">
        <f t="shared" si="83"/>
        <v>0</v>
      </c>
      <c r="J528" s="372"/>
      <c r="K528" s="372">
        <v>1179000</v>
      </c>
      <c r="L528" s="372">
        <f t="shared" si="84"/>
        <v>0</v>
      </c>
      <c r="M528" s="372">
        <f t="shared" si="85"/>
        <v>0</v>
      </c>
      <c r="N528" s="460">
        <f t="shared" si="86"/>
        <v>0</v>
      </c>
    </row>
    <row r="529" spans="1:14" ht="13.2" customHeight="1" x14ac:dyDescent="0.3">
      <c r="A529" s="401"/>
      <c r="B529" s="402"/>
      <c r="C529" s="371" t="s">
        <v>652</v>
      </c>
      <c r="D529" s="371" t="s">
        <v>621</v>
      </c>
      <c r="E529" s="367" t="s">
        <v>235</v>
      </c>
      <c r="F529" s="527"/>
      <c r="G529" s="527"/>
      <c r="H529" s="539"/>
      <c r="I529" s="372">
        <f t="shared" si="83"/>
        <v>0</v>
      </c>
      <c r="J529" s="372"/>
      <c r="K529" s="372">
        <v>1386000</v>
      </c>
      <c r="L529" s="372">
        <f t="shared" si="84"/>
        <v>0</v>
      </c>
      <c r="M529" s="372">
        <f t="shared" si="85"/>
        <v>0</v>
      </c>
      <c r="N529" s="460">
        <f t="shared" si="86"/>
        <v>0</v>
      </c>
    </row>
    <row r="530" spans="1:14" ht="13.2" customHeight="1" x14ac:dyDescent="0.3">
      <c r="A530" s="401"/>
      <c r="B530" s="402"/>
      <c r="C530" s="371" t="s">
        <v>652</v>
      </c>
      <c r="D530" s="371" t="s">
        <v>622</v>
      </c>
      <c r="E530" s="367" t="s">
        <v>235</v>
      </c>
      <c r="F530" s="527"/>
      <c r="G530" s="527"/>
      <c r="H530" s="539"/>
      <c r="I530" s="372">
        <f t="shared" si="83"/>
        <v>0</v>
      </c>
      <c r="J530" s="372"/>
      <c r="K530" s="372">
        <v>1827000</v>
      </c>
      <c r="L530" s="372">
        <f t="shared" si="84"/>
        <v>0</v>
      </c>
      <c r="M530" s="372">
        <f t="shared" si="85"/>
        <v>0</v>
      </c>
      <c r="N530" s="460">
        <f t="shared" si="86"/>
        <v>0</v>
      </c>
    </row>
    <row r="531" spans="1:14" ht="13.2" customHeight="1" x14ac:dyDescent="0.3">
      <c r="A531" s="401"/>
      <c r="B531" s="402"/>
      <c r="C531" s="371" t="s">
        <v>652</v>
      </c>
      <c r="D531" s="371" t="s">
        <v>623</v>
      </c>
      <c r="E531" s="367" t="s">
        <v>235</v>
      </c>
      <c r="F531" s="527"/>
      <c r="G531" s="527"/>
      <c r="H531" s="539"/>
      <c r="I531" s="372">
        <f t="shared" si="83"/>
        <v>0</v>
      </c>
      <c r="J531" s="372"/>
      <c r="K531" s="372">
        <v>2313000</v>
      </c>
      <c r="L531" s="372">
        <f t="shared" si="84"/>
        <v>0</v>
      </c>
      <c r="M531" s="372">
        <f t="shared" si="85"/>
        <v>0</v>
      </c>
      <c r="N531" s="460">
        <f t="shared" si="86"/>
        <v>0</v>
      </c>
    </row>
    <row r="532" spans="1:14" ht="13.2" customHeight="1" x14ac:dyDescent="0.3">
      <c r="A532" s="401"/>
      <c r="B532" s="402"/>
      <c r="C532" s="371" t="s">
        <v>652</v>
      </c>
      <c r="D532" s="371" t="s">
        <v>628</v>
      </c>
      <c r="E532" s="367" t="s">
        <v>235</v>
      </c>
      <c r="F532" s="527"/>
      <c r="G532" s="527"/>
      <c r="H532" s="539"/>
      <c r="I532" s="372">
        <f t="shared" si="83"/>
        <v>0</v>
      </c>
      <c r="J532" s="372"/>
      <c r="K532" s="372">
        <v>2484000</v>
      </c>
      <c r="L532" s="372">
        <f t="shared" si="84"/>
        <v>0</v>
      </c>
      <c r="M532" s="372">
        <f t="shared" si="85"/>
        <v>0</v>
      </c>
      <c r="N532" s="460">
        <f t="shared" si="86"/>
        <v>0</v>
      </c>
    </row>
    <row r="533" spans="1:14" ht="13.2" customHeight="1" x14ac:dyDescent="0.3">
      <c r="A533" s="401"/>
      <c r="B533" s="402"/>
      <c r="C533" s="371" t="s">
        <v>652</v>
      </c>
      <c r="D533" s="371" t="s">
        <v>629</v>
      </c>
      <c r="E533" s="367" t="s">
        <v>235</v>
      </c>
      <c r="F533" s="527"/>
      <c r="G533" s="527"/>
      <c r="H533" s="539"/>
      <c r="I533" s="372">
        <f t="shared" si="83"/>
        <v>0</v>
      </c>
      <c r="J533" s="372"/>
      <c r="K533" s="372">
        <v>2547000</v>
      </c>
      <c r="L533" s="372">
        <f t="shared" si="84"/>
        <v>0</v>
      </c>
      <c r="M533" s="372">
        <f t="shared" si="85"/>
        <v>0</v>
      </c>
      <c r="N533" s="460">
        <f t="shared" si="86"/>
        <v>0</v>
      </c>
    </row>
    <row r="534" spans="1:14" ht="13.2" customHeight="1" x14ac:dyDescent="0.3">
      <c r="A534" s="401"/>
      <c r="B534" s="402"/>
      <c r="C534" s="371" t="s">
        <v>652</v>
      </c>
      <c r="D534" s="371" t="s">
        <v>624</v>
      </c>
      <c r="E534" s="367" t="s">
        <v>235</v>
      </c>
      <c r="F534" s="527"/>
      <c r="G534" s="527"/>
      <c r="H534" s="539"/>
      <c r="I534" s="372">
        <f t="shared" si="83"/>
        <v>0</v>
      </c>
      <c r="J534" s="372"/>
      <c r="K534" s="372">
        <v>3438000</v>
      </c>
      <c r="L534" s="372">
        <f t="shared" si="84"/>
        <v>0</v>
      </c>
      <c r="M534" s="372">
        <f t="shared" si="85"/>
        <v>0</v>
      </c>
      <c r="N534" s="460">
        <f t="shared" si="86"/>
        <v>0</v>
      </c>
    </row>
    <row r="535" spans="1:14" ht="13.2" customHeight="1" x14ac:dyDescent="0.3">
      <c r="A535" s="401"/>
      <c r="B535" s="402"/>
      <c r="C535" s="371" t="s">
        <v>652</v>
      </c>
      <c r="D535" s="371" t="s">
        <v>625</v>
      </c>
      <c r="E535" s="367" t="s">
        <v>235</v>
      </c>
      <c r="F535" s="527"/>
      <c r="G535" s="527"/>
      <c r="H535" s="539"/>
      <c r="I535" s="372">
        <f t="shared" si="83"/>
        <v>0</v>
      </c>
      <c r="J535" s="372"/>
      <c r="K535" s="372">
        <v>4203000</v>
      </c>
      <c r="L535" s="372">
        <f t="shared" si="84"/>
        <v>0</v>
      </c>
      <c r="M535" s="372">
        <f t="shared" si="85"/>
        <v>0</v>
      </c>
      <c r="N535" s="460">
        <f t="shared" si="86"/>
        <v>0</v>
      </c>
    </row>
    <row r="536" spans="1:14" ht="13.2" customHeight="1" x14ac:dyDescent="0.3">
      <c r="A536" s="401"/>
      <c r="B536" s="402"/>
      <c r="C536" s="371" t="s">
        <v>652</v>
      </c>
      <c r="D536" s="371" t="s">
        <v>626</v>
      </c>
      <c r="E536" s="367" t="s">
        <v>235</v>
      </c>
      <c r="F536" s="527"/>
      <c r="G536" s="527"/>
      <c r="H536" s="539"/>
      <c r="I536" s="372">
        <f t="shared" si="83"/>
        <v>0</v>
      </c>
      <c r="J536" s="372"/>
      <c r="K536" s="372">
        <v>5616000</v>
      </c>
      <c r="L536" s="372">
        <f t="shared" si="84"/>
        <v>0</v>
      </c>
      <c r="M536" s="372">
        <f t="shared" si="85"/>
        <v>0</v>
      </c>
      <c r="N536" s="460">
        <f t="shared" si="86"/>
        <v>0</v>
      </c>
    </row>
    <row r="537" spans="1:14" ht="13.2" customHeight="1" x14ac:dyDescent="0.3">
      <c r="A537" s="401"/>
      <c r="B537" s="402"/>
      <c r="C537" s="373" t="s">
        <v>652</v>
      </c>
      <c r="D537" s="373" t="s">
        <v>627</v>
      </c>
      <c r="E537" s="374" t="s">
        <v>235</v>
      </c>
      <c r="F537" s="528"/>
      <c r="G537" s="528"/>
      <c r="H537" s="571"/>
      <c r="I537" s="375">
        <f t="shared" si="83"/>
        <v>0</v>
      </c>
      <c r="J537" s="375"/>
      <c r="K537" s="372">
        <v>8343000</v>
      </c>
      <c r="L537" s="375">
        <f t="shared" si="84"/>
        <v>0</v>
      </c>
      <c r="M537" s="375">
        <f t="shared" si="85"/>
        <v>0</v>
      </c>
      <c r="N537" s="462">
        <f t="shared" si="86"/>
        <v>0</v>
      </c>
    </row>
    <row r="538" spans="1:14" ht="13.2" customHeight="1" x14ac:dyDescent="0.3">
      <c r="A538" s="412">
        <v>15</v>
      </c>
      <c r="B538" s="413" t="s">
        <v>665</v>
      </c>
      <c r="C538" s="414"/>
      <c r="D538" s="414"/>
      <c r="E538" s="415" t="s">
        <v>642</v>
      </c>
      <c r="F538" s="567"/>
      <c r="G538" s="567"/>
      <c r="H538" s="567"/>
      <c r="I538" s="463">
        <f t="shared" si="75"/>
        <v>0</v>
      </c>
      <c r="J538" s="416"/>
      <c r="K538" s="416">
        <v>2867020</v>
      </c>
      <c r="L538" s="416">
        <f t="shared" si="76"/>
        <v>0</v>
      </c>
      <c r="M538" s="416">
        <f t="shared" si="77"/>
        <v>0</v>
      </c>
      <c r="N538" s="550">
        <f t="shared" si="78"/>
        <v>0</v>
      </c>
    </row>
    <row r="539" spans="1:14" ht="13.2" customHeight="1" x14ac:dyDescent="0.3">
      <c r="A539" s="485"/>
      <c r="B539" s="486" t="s">
        <v>666</v>
      </c>
      <c r="C539" s="487"/>
      <c r="D539" s="487"/>
      <c r="E539" s="488"/>
      <c r="F539" s="540"/>
      <c r="G539" s="540"/>
      <c r="H539" s="540"/>
      <c r="I539" s="489"/>
      <c r="J539" s="492"/>
      <c r="K539" s="492"/>
      <c r="L539" s="543">
        <f>SUM(L268:L538)</f>
        <v>0</v>
      </c>
      <c r="M539" s="543">
        <f>SUM(M268:M538)</f>
        <v>0</v>
      </c>
      <c r="N539" s="544">
        <f>SUM(N268:N538)</f>
        <v>0</v>
      </c>
    </row>
    <row r="540" spans="1:14" ht="7.2" customHeight="1" x14ac:dyDescent="0.3">
      <c r="A540" s="392"/>
      <c r="B540" s="393"/>
      <c r="C540" s="394"/>
      <c r="D540" s="394"/>
      <c r="E540" s="395"/>
      <c r="F540" s="563"/>
      <c r="G540" s="563"/>
      <c r="H540" s="563"/>
      <c r="I540" s="467"/>
      <c r="J540" s="417"/>
      <c r="K540" s="417"/>
      <c r="L540" s="417"/>
      <c r="M540" s="417"/>
      <c r="N540" s="547"/>
    </row>
    <row r="541" spans="1:14" ht="13.95" customHeight="1" x14ac:dyDescent="0.3">
      <c r="A541" s="477" t="s">
        <v>609</v>
      </c>
      <c r="B541" s="478" t="s">
        <v>667</v>
      </c>
      <c r="C541" s="479"/>
      <c r="D541" s="480"/>
      <c r="E541" s="493"/>
      <c r="F541" s="568"/>
      <c r="G541" s="568"/>
      <c r="H541" s="568"/>
      <c r="I541" s="483"/>
      <c r="J541" s="494"/>
      <c r="K541" s="494"/>
      <c r="L541" s="494"/>
      <c r="M541" s="494"/>
      <c r="N541" s="546"/>
    </row>
    <row r="542" spans="1:14" ht="13.95" customHeight="1" x14ac:dyDescent="0.3">
      <c r="A542" s="360" t="s">
        <v>1447</v>
      </c>
      <c r="B542" s="411" t="s">
        <v>1476</v>
      </c>
      <c r="C542" s="361"/>
      <c r="D542" s="362"/>
      <c r="E542" s="367"/>
      <c r="F542" s="529"/>
      <c r="G542" s="529"/>
      <c r="H542" s="529"/>
      <c r="I542" s="461"/>
      <c r="J542" s="369"/>
      <c r="K542" s="369"/>
      <c r="L542" s="369"/>
      <c r="M542" s="369"/>
      <c r="N542" s="459"/>
    </row>
    <row r="543" spans="1:14" ht="13.2" customHeight="1" x14ac:dyDescent="0.3">
      <c r="A543" s="365">
        <v>1</v>
      </c>
      <c r="B543" s="376" t="s">
        <v>668</v>
      </c>
      <c r="C543" s="361"/>
      <c r="D543" s="362"/>
      <c r="E543" s="367" t="s">
        <v>399</v>
      </c>
      <c r="F543" s="538"/>
      <c r="G543" s="538"/>
      <c r="H543" s="535"/>
      <c r="I543" s="369">
        <f t="shared" ref="I543:I606" si="87">SUM(F543:H543)</f>
        <v>0</v>
      </c>
      <c r="J543" s="369">
        <f>'D1 Tiang'!K19</f>
        <v>1531510</v>
      </c>
      <c r="K543" s="369">
        <v>364830</v>
      </c>
      <c r="L543" s="369">
        <f t="shared" ref="L543:L574" si="88">J543*I543</f>
        <v>0</v>
      </c>
      <c r="M543" s="369">
        <f t="shared" ref="M543:M574" si="89">K543*I543</f>
        <v>0</v>
      </c>
      <c r="N543" s="459">
        <f t="shared" ref="N543:N606" si="90">SUM(L543:M543)</f>
        <v>0</v>
      </c>
    </row>
    <row r="544" spans="1:14" ht="13.2" customHeight="1" x14ac:dyDescent="0.3">
      <c r="A544" s="365">
        <f>A543+1</f>
        <v>2</v>
      </c>
      <c r="B544" s="376" t="s">
        <v>669</v>
      </c>
      <c r="C544" s="361"/>
      <c r="D544" s="362"/>
      <c r="E544" s="367" t="s">
        <v>399</v>
      </c>
      <c r="F544" s="535"/>
      <c r="G544" s="535"/>
      <c r="H544" s="538"/>
      <c r="I544" s="369">
        <f t="shared" si="87"/>
        <v>0</v>
      </c>
      <c r="J544" s="369">
        <f>'D1 Tiang'!K32</f>
        <v>1934300</v>
      </c>
      <c r="K544" s="369">
        <v>529130</v>
      </c>
      <c r="L544" s="369">
        <f t="shared" si="88"/>
        <v>0</v>
      </c>
      <c r="M544" s="369">
        <f t="shared" si="89"/>
        <v>0</v>
      </c>
      <c r="N544" s="459">
        <f t="shared" si="90"/>
        <v>0</v>
      </c>
    </row>
    <row r="545" spans="1:14" ht="13.2" customHeight="1" x14ac:dyDescent="0.3">
      <c r="A545" s="365">
        <f t="shared" ref="A545:A612" si="91">A544+1</f>
        <v>3</v>
      </c>
      <c r="B545" s="376" t="s">
        <v>670</v>
      </c>
      <c r="C545" s="361"/>
      <c r="D545" s="362"/>
      <c r="E545" s="367" t="s">
        <v>399</v>
      </c>
      <c r="F545" s="535"/>
      <c r="G545" s="535"/>
      <c r="H545" s="538"/>
      <c r="I545" s="369">
        <f t="shared" si="87"/>
        <v>0</v>
      </c>
      <c r="J545" s="369">
        <f>'D1 Tiang'!K32</f>
        <v>1934300</v>
      </c>
      <c r="K545" s="369">
        <v>529130</v>
      </c>
      <c r="L545" s="369">
        <f t="shared" si="88"/>
        <v>0</v>
      </c>
      <c r="M545" s="369">
        <f t="shared" si="89"/>
        <v>0</v>
      </c>
      <c r="N545" s="459">
        <f t="shared" si="90"/>
        <v>0</v>
      </c>
    </row>
    <row r="546" spans="1:14" ht="13.2" customHeight="1" x14ac:dyDescent="0.3">
      <c r="A546" s="365">
        <f t="shared" si="91"/>
        <v>4</v>
      </c>
      <c r="B546" s="376" t="s">
        <v>671</v>
      </c>
      <c r="C546" s="361"/>
      <c r="D546" s="362"/>
      <c r="E546" s="367" t="s">
        <v>399</v>
      </c>
      <c r="F546" s="535"/>
      <c r="G546" s="535"/>
      <c r="H546" s="538"/>
      <c r="I546" s="369">
        <f t="shared" si="87"/>
        <v>0</v>
      </c>
      <c r="J546" s="369">
        <f>'D1 Tiang'!K45</f>
        <v>1934300</v>
      </c>
      <c r="K546" s="369">
        <v>529130</v>
      </c>
      <c r="L546" s="369">
        <f t="shared" si="88"/>
        <v>0</v>
      </c>
      <c r="M546" s="369">
        <f t="shared" si="89"/>
        <v>0</v>
      </c>
      <c r="N546" s="459">
        <f t="shared" si="90"/>
        <v>0</v>
      </c>
    </row>
    <row r="547" spans="1:14" ht="13.2" customHeight="1" x14ac:dyDescent="0.3">
      <c r="A547" s="365">
        <f t="shared" si="91"/>
        <v>5</v>
      </c>
      <c r="B547" s="376" t="s">
        <v>672</v>
      </c>
      <c r="C547" s="361"/>
      <c r="D547" s="362"/>
      <c r="E547" s="367" t="s">
        <v>399</v>
      </c>
      <c r="F547" s="535"/>
      <c r="G547" s="535"/>
      <c r="H547" s="538"/>
      <c r="I547" s="369">
        <f t="shared" si="87"/>
        <v>0</v>
      </c>
      <c r="J547" s="369">
        <f>'D1 Tiang'!K45</f>
        <v>1934300</v>
      </c>
      <c r="K547" s="369">
        <v>529130</v>
      </c>
      <c r="L547" s="369">
        <f t="shared" si="88"/>
        <v>0</v>
      </c>
      <c r="M547" s="369">
        <f t="shared" si="89"/>
        <v>0</v>
      </c>
      <c r="N547" s="459">
        <f t="shared" si="90"/>
        <v>0</v>
      </c>
    </row>
    <row r="548" spans="1:14" ht="13.2" customHeight="1" x14ac:dyDescent="0.3">
      <c r="A548" s="365">
        <f t="shared" si="91"/>
        <v>6</v>
      </c>
      <c r="B548" s="376" t="s">
        <v>888</v>
      </c>
      <c r="C548" s="361"/>
      <c r="D548" s="362"/>
      <c r="E548" s="367" t="s">
        <v>399</v>
      </c>
      <c r="F548" s="538"/>
      <c r="G548" s="538"/>
      <c r="H548" s="535"/>
      <c r="I548" s="369">
        <f t="shared" si="87"/>
        <v>0</v>
      </c>
      <c r="J548" s="369">
        <f>'D1 Tiang'!K58</f>
        <v>1224460</v>
      </c>
      <c r="K548" s="369">
        <v>291860</v>
      </c>
      <c r="L548" s="369">
        <f t="shared" si="88"/>
        <v>0</v>
      </c>
      <c r="M548" s="369">
        <f t="shared" si="89"/>
        <v>0</v>
      </c>
      <c r="N548" s="459">
        <f t="shared" si="90"/>
        <v>0</v>
      </c>
    </row>
    <row r="549" spans="1:14" ht="13.2" customHeight="1" x14ac:dyDescent="0.3">
      <c r="A549" s="365">
        <f t="shared" si="91"/>
        <v>7</v>
      </c>
      <c r="B549" s="376" t="s">
        <v>673</v>
      </c>
      <c r="C549" s="371"/>
      <c r="D549" s="371"/>
      <c r="E549" s="367" t="s">
        <v>399</v>
      </c>
      <c r="F549" s="539"/>
      <c r="G549" s="539"/>
      <c r="H549" s="527"/>
      <c r="I549" s="372">
        <f t="shared" si="87"/>
        <v>0</v>
      </c>
      <c r="J549" s="372">
        <f>'D1 Tiang'!K58</f>
        <v>1224460</v>
      </c>
      <c r="K549" s="372">
        <v>364830</v>
      </c>
      <c r="L549" s="369">
        <f t="shared" si="88"/>
        <v>0</v>
      </c>
      <c r="M549" s="369">
        <f t="shared" si="89"/>
        <v>0</v>
      </c>
      <c r="N549" s="459">
        <f t="shared" si="90"/>
        <v>0</v>
      </c>
    </row>
    <row r="550" spans="1:14" ht="13.2" customHeight="1" x14ac:dyDescent="0.3">
      <c r="A550" s="365">
        <f t="shared" si="91"/>
        <v>8</v>
      </c>
      <c r="B550" s="398" t="s">
        <v>674</v>
      </c>
      <c r="C550" s="371"/>
      <c r="D550" s="371"/>
      <c r="E550" s="367" t="s">
        <v>399</v>
      </c>
      <c r="F550" s="539"/>
      <c r="G550" s="539"/>
      <c r="H550" s="527"/>
      <c r="I550" s="372">
        <f t="shared" si="87"/>
        <v>0</v>
      </c>
      <c r="J550" s="372">
        <f>'D1 Tiang'!K71</f>
        <v>1333430</v>
      </c>
      <c r="K550" s="372">
        <v>364830</v>
      </c>
      <c r="L550" s="369">
        <f t="shared" si="88"/>
        <v>0</v>
      </c>
      <c r="M550" s="369">
        <f t="shared" si="89"/>
        <v>0</v>
      </c>
      <c r="N550" s="459">
        <f t="shared" si="90"/>
        <v>0</v>
      </c>
    </row>
    <row r="551" spans="1:14" ht="13.2" customHeight="1" x14ac:dyDescent="0.3">
      <c r="A551" s="365">
        <f t="shared" si="91"/>
        <v>9</v>
      </c>
      <c r="B551" s="376" t="s">
        <v>675</v>
      </c>
      <c r="C551" s="371"/>
      <c r="D551" s="371"/>
      <c r="E551" s="367" t="s">
        <v>399</v>
      </c>
      <c r="F551" s="539"/>
      <c r="G551" s="539"/>
      <c r="H551" s="527"/>
      <c r="I551" s="372">
        <f t="shared" si="87"/>
        <v>0</v>
      </c>
      <c r="J551" s="372">
        <f>'D1 Tiang'!K84</f>
        <v>1353550</v>
      </c>
      <c r="K551" s="372">
        <v>404290</v>
      </c>
      <c r="L551" s="369">
        <f t="shared" si="88"/>
        <v>0</v>
      </c>
      <c r="M551" s="369">
        <f t="shared" si="89"/>
        <v>0</v>
      </c>
      <c r="N551" s="459">
        <f t="shared" si="90"/>
        <v>0</v>
      </c>
    </row>
    <row r="552" spans="1:14" ht="13.2" customHeight="1" x14ac:dyDescent="0.3">
      <c r="A552" s="365">
        <f t="shared" si="91"/>
        <v>10</v>
      </c>
      <c r="B552" s="398" t="s">
        <v>676</v>
      </c>
      <c r="C552" s="371"/>
      <c r="D552" s="371"/>
      <c r="E552" s="367" t="s">
        <v>399</v>
      </c>
      <c r="F552" s="527"/>
      <c r="G552" s="527"/>
      <c r="H552" s="539"/>
      <c r="I552" s="372">
        <f t="shared" si="87"/>
        <v>0</v>
      </c>
      <c r="J552" s="372">
        <f>'D1 Tiang'!K97</f>
        <v>1673830</v>
      </c>
      <c r="K552" s="372">
        <v>529130</v>
      </c>
      <c r="L552" s="369">
        <f t="shared" si="88"/>
        <v>0</v>
      </c>
      <c r="M552" s="369">
        <f t="shared" si="89"/>
        <v>0</v>
      </c>
      <c r="N552" s="459">
        <f t="shared" si="90"/>
        <v>0</v>
      </c>
    </row>
    <row r="553" spans="1:14" ht="13.2" customHeight="1" x14ac:dyDescent="0.3">
      <c r="A553" s="365">
        <f t="shared" si="91"/>
        <v>11</v>
      </c>
      <c r="B553" s="376" t="s">
        <v>677</v>
      </c>
      <c r="C553" s="361"/>
      <c r="D553" s="362"/>
      <c r="E553" s="367" t="s">
        <v>399</v>
      </c>
      <c r="F553" s="535"/>
      <c r="G553" s="535"/>
      <c r="H553" s="538"/>
      <c r="I553" s="369">
        <f t="shared" si="87"/>
        <v>0</v>
      </c>
      <c r="J553" s="369">
        <f>'D1 Tiang'!K110</f>
        <v>1781350</v>
      </c>
      <c r="K553" s="369">
        <v>529130</v>
      </c>
      <c r="L553" s="369">
        <f t="shared" si="88"/>
        <v>0</v>
      </c>
      <c r="M553" s="369">
        <f t="shared" si="89"/>
        <v>0</v>
      </c>
      <c r="N553" s="459">
        <f t="shared" si="90"/>
        <v>0</v>
      </c>
    </row>
    <row r="554" spans="1:14" ht="13.2" customHeight="1" x14ac:dyDescent="0.3">
      <c r="A554" s="365">
        <f t="shared" si="91"/>
        <v>12</v>
      </c>
      <c r="B554" s="376" t="s">
        <v>678</v>
      </c>
      <c r="C554" s="361"/>
      <c r="D554" s="362"/>
      <c r="E554" s="367" t="s">
        <v>399</v>
      </c>
      <c r="F554" s="535"/>
      <c r="G554" s="535"/>
      <c r="H554" s="538"/>
      <c r="I554" s="369">
        <f t="shared" si="87"/>
        <v>0</v>
      </c>
      <c r="J554" s="369">
        <f>'D1 Tiang'!K110</f>
        <v>1781350</v>
      </c>
      <c r="K554" s="369">
        <v>529130</v>
      </c>
      <c r="L554" s="369">
        <f t="shared" si="88"/>
        <v>0</v>
      </c>
      <c r="M554" s="369">
        <f t="shared" si="89"/>
        <v>0</v>
      </c>
      <c r="N554" s="459">
        <f t="shared" si="90"/>
        <v>0</v>
      </c>
    </row>
    <row r="555" spans="1:14" ht="13.2" customHeight="1" x14ac:dyDescent="0.3">
      <c r="A555" s="365">
        <f t="shared" si="91"/>
        <v>13</v>
      </c>
      <c r="B555" s="376" t="s">
        <v>679</v>
      </c>
      <c r="C555" s="361"/>
      <c r="D555" s="362"/>
      <c r="E555" s="367" t="s">
        <v>399</v>
      </c>
      <c r="F555" s="535"/>
      <c r="G555" s="535"/>
      <c r="H555" s="538"/>
      <c r="I555" s="369">
        <f t="shared" si="87"/>
        <v>0</v>
      </c>
      <c r="J555" s="369">
        <f>'D1 Tiang'!K123</f>
        <v>1955580</v>
      </c>
      <c r="K555" s="369">
        <v>529130</v>
      </c>
      <c r="L555" s="369">
        <f t="shared" si="88"/>
        <v>0</v>
      </c>
      <c r="M555" s="369">
        <f t="shared" si="89"/>
        <v>0</v>
      </c>
      <c r="N555" s="459">
        <f t="shared" si="90"/>
        <v>0</v>
      </c>
    </row>
    <row r="556" spans="1:14" ht="13.2" customHeight="1" x14ac:dyDescent="0.3">
      <c r="A556" s="365">
        <f t="shared" si="91"/>
        <v>14</v>
      </c>
      <c r="B556" s="376" t="s">
        <v>680</v>
      </c>
      <c r="C556" s="361"/>
      <c r="D556" s="362"/>
      <c r="E556" s="367" t="s">
        <v>399</v>
      </c>
      <c r="F556" s="527"/>
      <c r="G556" s="527"/>
      <c r="H556" s="538"/>
      <c r="I556" s="372">
        <f t="shared" si="87"/>
        <v>0</v>
      </c>
      <c r="J556" s="372">
        <f>'D1 Tiang'!K138</f>
        <v>1912680</v>
      </c>
      <c r="K556" s="372">
        <v>723210</v>
      </c>
      <c r="L556" s="369">
        <f t="shared" si="88"/>
        <v>0</v>
      </c>
      <c r="M556" s="369">
        <f t="shared" si="89"/>
        <v>0</v>
      </c>
      <c r="N556" s="459">
        <f t="shared" si="90"/>
        <v>0</v>
      </c>
    </row>
    <row r="557" spans="1:14" ht="13.2" customHeight="1" x14ac:dyDescent="0.3">
      <c r="A557" s="365">
        <f t="shared" si="91"/>
        <v>15</v>
      </c>
      <c r="B557" s="376" t="s">
        <v>681</v>
      </c>
      <c r="C557" s="361"/>
      <c r="D557" s="362"/>
      <c r="E557" s="367" t="s">
        <v>399</v>
      </c>
      <c r="F557" s="527"/>
      <c r="G557" s="527"/>
      <c r="H557" s="538"/>
      <c r="I557" s="372">
        <f t="shared" si="87"/>
        <v>0</v>
      </c>
      <c r="J557" s="372">
        <f>'D1 Tiang'!K153</f>
        <v>1873930</v>
      </c>
      <c r="K557" s="372">
        <v>723210</v>
      </c>
      <c r="L557" s="369">
        <f t="shared" si="88"/>
        <v>0</v>
      </c>
      <c r="M557" s="369">
        <f t="shared" si="89"/>
        <v>0</v>
      </c>
      <c r="N557" s="459">
        <f t="shared" si="90"/>
        <v>0</v>
      </c>
    </row>
    <row r="558" spans="1:14" ht="13.2" customHeight="1" x14ac:dyDescent="0.3">
      <c r="A558" s="365">
        <f t="shared" si="91"/>
        <v>16</v>
      </c>
      <c r="B558" s="376" t="s">
        <v>682</v>
      </c>
      <c r="C558" s="361"/>
      <c r="D558" s="362"/>
      <c r="E558" s="367" t="s">
        <v>399</v>
      </c>
      <c r="F558" s="527"/>
      <c r="G558" s="527"/>
      <c r="H558" s="538"/>
      <c r="I558" s="372">
        <f t="shared" si="87"/>
        <v>0</v>
      </c>
      <c r="J558" s="372">
        <f>'D1 Tiang'!K168</f>
        <v>1835170</v>
      </c>
      <c r="K558" s="372">
        <v>723210</v>
      </c>
      <c r="L558" s="369">
        <f t="shared" si="88"/>
        <v>0</v>
      </c>
      <c r="M558" s="369">
        <f t="shared" si="89"/>
        <v>0</v>
      </c>
      <c r="N558" s="459">
        <f t="shared" si="90"/>
        <v>0</v>
      </c>
    </row>
    <row r="559" spans="1:14" ht="13.2" customHeight="1" x14ac:dyDescent="0.3">
      <c r="A559" s="365">
        <f t="shared" si="91"/>
        <v>17</v>
      </c>
      <c r="B559" s="398" t="s">
        <v>683</v>
      </c>
      <c r="C559" s="361"/>
      <c r="D559" s="362"/>
      <c r="E559" s="367" t="s">
        <v>399</v>
      </c>
      <c r="F559" s="527"/>
      <c r="G559" s="527"/>
      <c r="H559" s="538"/>
      <c r="I559" s="372">
        <f t="shared" si="87"/>
        <v>0</v>
      </c>
      <c r="J559" s="372">
        <f>'D1 Tiang'!K168</f>
        <v>1835170</v>
      </c>
      <c r="K559" s="372">
        <v>723210</v>
      </c>
      <c r="L559" s="369">
        <f t="shared" si="88"/>
        <v>0</v>
      </c>
      <c r="M559" s="369">
        <f t="shared" si="89"/>
        <v>0</v>
      </c>
      <c r="N559" s="459">
        <f t="shared" si="90"/>
        <v>0</v>
      </c>
    </row>
    <row r="560" spans="1:14" ht="13.2" customHeight="1" x14ac:dyDescent="0.3">
      <c r="A560" s="365">
        <f t="shared" si="91"/>
        <v>18</v>
      </c>
      <c r="B560" s="376" t="s">
        <v>684</v>
      </c>
      <c r="C560" s="361"/>
      <c r="D560" s="362"/>
      <c r="E560" s="367" t="s">
        <v>399</v>
      </c>
      <c r="F560" s="538"/>
      <c r="G560" s="538"/>
      <c r="H560" s="527"/>
      <c r="I560" s="372">
        <f t="shared" si="87"/>
        <v>0</v>
      </c>
      <c r="J560" s="372">
        <f>'D1 Tiang'!K183</f>
        <v>1553310</v>
      </c>
      <c r="K560" s="372">
        <v>578570</v>
      </c>
      <c r="L560" s="369">
        <f t="shared" si="88"/>
        <v>0</v>
      </c>
      <c r="M560" s="369">
        <f t="shared" si="89"/>
        <v>0</v>
      </c>
      <c r="N560" s="459">
        <f t="shared" si="90"/>
        <v>0</v>
      </c>
    </row>
    <row r="561" spans="1:14" ht="13.2" customHeight="1" x14ac:dyDescent="0.3">
      <c r="A561" s="365">
        <f t="shared" si="91"/>
        <v>19</v>
      </c>
      <c r="B561" s="376" t="s">
        <v>685</v>
      </c>
      <c r="C561" s="361"/>
      <c r="D561" s="362"/>
      <c r="E561" s="367" t="s">
        <v>399</v>
      </c>
      <c r="F561" s="535"/>
      <c r="G561" s="535"/>
      <c r="H561" s="538"/>
      <c r="I561" s="369">
        <f t="shared" si="87"/>
        <v>0</v>
      </c>
      <c r="J561" s="369">
        <f>'D1 Tiang'!K198</f>
        <v>1912680</v>
      </c>
      <c r="K561" s="369">
        <v>723210</v>
      </c>
      <c r="L561" s="369">
        <f t="shared" si="88"/>
        <v>0</v>
      </c>
      <c r="M561" s="369">
        <f t="shared" si="89"/>
        <v>0</v>
      </c>
      <c r="N561" s="459">
        <f t="shared" si="90"/>
        <v>0</v>
      </c>
    </row>
    <row r="562" spans="1:14" ht="13.2" customHeight="1" x14ac:dyDescent="0.3">
      <c r="A562" s="365">
        <f t="shared" si="91"/>
        <v>20</v>
      </c>
      <c r="B562" s="376" t="s">
        <v>686</v>
      </c>
      <c r="C562" s="361"/>
      <c r="D562" s="362"/>
      <c r="E562" s="367" t="s">
        <v>399</v>
      </c>
      <c r="F562" s="535"/>
      <c r="G562" s="535"/>
      <c r="H562" s="538"/>
      <c r="I562" s="369">
        <f t="shared" si="87"/>
        <v>0</v>
      </c>
      <c r="J562" s="369">
        <f>'D1 Tiang'!K213</f>
        <v>1835400</v>
      </c>
      <c r="K562" s="369">
        <v>723210</v>
      </c>
      <c r="L562" s="369">
        <f t="shared" si="88"/>
        <v>0</v>
      </c>
      <c r="M562" s="369">
        <f t="shared" si="89"/>
        <v>0</v>
      </c>
      <c r="N562" s="459">
        <f t="shared" si="90"/>
        <v>0</v>
      </c>
    </row>
    <row r="563" spans="1:14" ht="13.2" customHeight="1" x14ac:dyDescent="0.3">
      <c r="A563" s="365">
        <f t="shared" si="91"/>
        <v>21</v>
      </c>
      <c r="B563" s="376" t="s">
        <v>687</v>
      </c>
      <c r="C563" s="361"/>
      <c r="D563" s="362"/>
      <c r="E563" s="367" t="s">
        <v>399</v>
      </c>
      <c r="F563" s="535"/>
      <c r="G563" s="535"/>
      <c r="H563" s="538"/>
      <c r="I563" s="369">
        <f t="shared" si="87"/>
        <v>0</v>
      </c>
      <c r="J563" s="369">
        <f>'D1 Tiang'!K228</f>
        <v>1796650</v>
      </c>
      <c r="K563" s="369">
        <v>723210</v>
      </c>
      <c r="L563" s="369">
        <f t="shared" si="88"/>
        <v>0</v>
      </c>
      <c r="M563" s="369">
        <f t="shared" si="89"/>
        <v>0</v>
      </c>
      <c r="N563" s="459">
        <f t="shared" si="90"/>
        <v>0</v>
      </c>
    </row>
    <row r="564" spans="1:14" ht="13.2" customHeight="1" x14ac:dyDescent="0.3">
      <c r="A564" s="365">
        <f t="shared" si="91"/>
        <v>22</v>
      </c>
      <c r="B564" s="376" t="s">
        <v>688</v>
      </c>
      <c r="C564" s="371"/>
      <c r="D564" s="371"/>
      <c r="E564" s="367" t="s">
        <v>399</v>
      </c>
      <c r="F564" s="527"/>
      <c r="G564" s="527"/>
      <c r="H564" s="538"/>
      <c r="I564" s="372">
        <f t="shared" si="87"/>
        <v>0</v>
      </c>
      <c r="J564" s="372">
        <f>'D1 Tiang'!K243</f>
        <v>1776520</v>
      </c>
      <c r="K564" s="372">
        <v>723210</v>
      </c>
      <c r="L564" s="369">
        <f t="shared" si="88"/>
        <v>0</v>
      </c>
      <c r="M564" s="369">
        <f t="shared" si="89"/>
        <v>0</v>
      </c>
      <c r="N564" s="459">
        <f t="shared" si="90"/>
        <v>0</v>
      </c>
    </row>
    <row r="565" spans="1:14" ht="13.2" customHeight="1" x14ac:dyDescent="0.3">
      <c r="A565" s="365">
        <f t="shared" si="91"/>
        <v>23</v>
      </c>
      <c r="B565" s="376" t="s">
        <v>689</v>
      </c>
      <c r="C565" s="371"/>
      <c r="D565" s="371"/>
      <c r="E565" s="367" t="s">
        <v>399</v>
      </c>
      <c r="F565" s="538"/>
      <c r="G565" s="538"/>
      <c r="H565" s="527"/>
      <c r="I565" s="372">
        <f t="shared" si="87"/>
        <v>0</v>
      </c>
      <c r="J565" s="372">
        <f>'D1 Tiang'!K258</f>
        <v>1591140</v>
      </c>
      <c r="K565" s="372">
        <v>642850</v>
      </c>
      <c r="L565" s="369">
        <f t="shared" si="88"/>
        <v>0</v>
      </c>
      <c r="M565" s="369">
        <f t="shared" si="89"/>
        <v>0</v>
      </c>
      <c r="N565" s="459">
        <f t="shared" si="90"/>
        <v>0</v>
      </c>
    </row>
    <row r="566" spans="1:14" ht="13.2" customHeight="1" x14ac:dyDescent="0.3">
      <c r="A566" s="365">
        <f t="shared" si="91"/>
        <v>24</v>
      </c>
      <c r="B566" s="398" t="s">
        <v>690</v>
      </c>
      <c r="C566" s="371"/>
      <c r="D566" s="371"/>
      <c r="E566" s="367" t="s">
        <v>399</v>
      </c>
      <c r="F566" s="538"/>
      <c r="G566" s="538"/>
      <c r="H566" s="527"/>
      <c r="I566" s="372">
        <f t="shared" si="87"/>
        <v>0</v>
      </c>
      <c r="J566" s="372">
        <f>'D1 Tiang'!K273</f>
        <v>1513630</v>
      </c>
      <c r="K566" s="372">
        <v>578570</v>
      </c>
      <c r="L566" s="369">
        <f t="shared" si="88"/>
        <v>0</v>
      </c>
      <c r="M566" s="369">
        <f t="shared" si="89"/>
        <v>0</v>
      </c>
      <c r="N566" s="459">
        <f t="shared" si="90"/>
        <v>0</v>
      </c>
    </row>
    <row r="567" spans="1:14" ht="13.2" customHeight="1" x14ac:dyDescent="0.3">
      <c r="A567" s="365">
        <f t="shared" si="91"/>
        <v>25</v>
      </c>
      <c r="B567" s="376" t="s">
        <v>691</v>
      </c>
      <c r="C567" s="371"/>
      <c r="D567" s="371"/>
      <c r="E567" s="367" t="s">
        <v>399</v>
      </c>
      <c r="F567" s="538"/>
      <c r="G567" s="538"/>
      <c r="H567" s="527"/>
      <c r="I567" s="372">
        <f t="shared" si="87"/>
        <v>0</v>
      </c>
      <c r="J567" s="372">
        <f>'D1 Tiang'!K288</f>
        <v>1494370</v>
      </c>
      <c r="K567" s="372">
        <v>578570</v>
      </c>
      <c r="L567" s="369">
        <f t="shared" si="88"/>
        <v>0</v>
      </c>
      <c r="M567" s="369">
        <f t="shared" si="89"/>
        <v>0</v>
      </c>
      <c r="N567" s="459">
        <f t="shared" si="90"/>
        <v>0</v>
      </c>
    </row>
    <row r="568" spans="1:14" ht="13.2" customHeight="1" x14ac:dyDescent="0.3">
      <c r="A568" s="365">
        <f t="shared" si="91"/>
        <v>26</v>
      </c>
      <c r="B568" s="376" t="s">
        <v>766</v>
      </c>
      <c r="C568" s="371"/>
      <c r="D568" s="371"/>
      <c r="E568" s="367" t="s">
        <v>399</v>
      </c>
      <c r="F568" s="538"/>
      <c r="G568" s="538"/>
      <c r="H568" s="527"/>
      <c r="I568" s="372">
        <f t="shared" si="87"/>
        <v>0</v>
      </c>
      <c r="J568" s="372">
        <f>'D1 Tiang'!K303</f>
        <v>1432610</v>
      </c>
      <c r="K568" s="372">
        <v>483860</v>
      </c>
      <c r="L568" s="369">
        <f t="shared" si="88"/>
        <v>0</v>
      </c>
      <c r="M568" s="369">
        <f t="shared" si="89"/>
        <v>0</v>
      </c>
      <c r="N568" s="459">
        <f t="shared" si="90"/>
        <v>0</v>
      </c>
    </row>
    <row r="569" spans="1:14" ht="13.2" customHeight="1" x14ac:dyDescent="0.3">
      <c r="A569" s="365">
        <f t="shared" si="91"/>
        <v>27</v>
      </c>
      <c r="B569" s="376" t="s">
        <v>692</v>
      </c>
      <c r="C569" s="361"/>
      <c r="D569" s="362"/>
      <c r="E569" s="367" t="s">
        <v>399</v>
      </c>
      <c r="F569" s="527"/>
      <c r="G569" s="527"/>
      <c r="H569" s="538"/>
      <c r="I569" s="372">
        <f t="shared" si="87"/>
        <v>0</v>
      </c>
      <c r="J569" s="372">
        <f>'D1 Tiang'!K320</f>
        <v>2801400</v>
      </c>
      <c r="K569" s="372">
        <v>723210</v>
      </c>
      <c r="L569" s="369">
        <f t="shared" si="88"/>
        <v>0</v>
      </c>
      <c r="M569" s="369">
        <f t="shared" si="89"/>
        <v>0</v>
      </c>
      <c r="N569" s="459">
        <f t="shared" si="90"/>
        <v>0</v>
      </c>
    </row>
    <row r="570" spans="1:14" ht="13.2" customHeight="1" x14ac:dyDescent="0.3">
      <c r="A570" s="365">
        <f t="shared" si="91"/>
        <v>28</v>
      </c>
      <c r="B570" s="376" t="s">
        <v>693</v>
      </c>
      <c r="C570" s="361"/>
      <c r="D570" s="362"/>
      <c r="E570" s="367" t="s">
        <v>399</v>
      </c>
      <c r="F570" s="527"/>
      <c r="G570" s="527"/>
      <c r="H570" s="538"/>
      <c r="I570" s="372">
        <f t="shared" si="87"/>
        <v>0</v>
      </c>
      <c r="J570" s="372">
        <f>'D1 Tiang'!K337</f>
        <v>2762650</v>
      </c>
      <c r="K570" s="372">
        <v>723210</v>
      </c>
      <c r="L570" s="369">
        <f t="shared" si="88"/>
        <v>0</v>
      </c>
      <c r="M570" s="369">
        <f t="shared" si="89"/>
        <v>0</v>
      </c>
      <c r="N570" s="459">
        <f t="shared" si="90"/>
        <v>0</v>
      </c>
    </row>
    <row r="571" spans="1:14" ht="13.2" customHeight="1" x14ac:dyDescent="0.3">
      <c r="A571" s="365">
        <f t="shared" si="91"/>
        <v>29</v>
      </c>
      <c r="B571" s="376" t="s">
        <v>694</v>
      </c>
      <c r="C571" s="361"/>
      <c r="D571" s="362"/>
      <c r="E571" s="367" t="s">
        <v>399</v>
      </c>
      <c r="F571" s="527"/>
      <c r="G571" s="527"/>
      <c r="H571" s="538"/>
      <c r="I571" s="372">
        <f t="shared" si="87"/>
        <v>0</v>
      </c>
      <c r="J571" s="372">
        <f>'D1 Tiang'!K354</f>
        <v>2723890</v>
      </c>
      <c r="K571" s="372">
        <v>723210</v>
      </c>
      <c r="L571" s="369">
        <f t="shared" si="88"/>
        <v>0</v>
      </c>
      <c r="M571" s="369">
        <f t="shared" si="89"/>
        <v>0</v>
      </c>
      <c r="N571" s="459">
        <f t="shared" si="90"/>
        <v>0</v>
      </c>
    </row>
    <row r="572" spans="1:14" ht="13.2" customHeight="1" x14ac:dyDescent="0.3">
      <c r="A572" s="365">
        <f t="shared" si="91"/>
        <v>30</v>
      </c>
      <c r="B572" s="376" t="s">
        <v>695</v>
      </c>
      <c r="C572" s="361"/>
      <c r="D572" s="362"/>
      <c r="E572" s="367" t="s">
        <v>399</v>
      </c>
      <c r="F572" s="527"/>
      <c r="G572" s="527"/>
      <c r="H572" s="538"/>
      <c r="I572" s="372">
        <f t="shared" si="87"/>
        <v>0</v>
      </c>
      <c r="J572" s="372">
        <f>'D1 Tiang'!K354</f>
        <v>2723890</v>
      </c>
      <c r="K572" s="372">
        <v>723210</v>
      </c>
      <c r="L572" s="369">
        <f t="shared" si="88"/>
        <v>0</v>
      </c>
      <c r="M572" s="369">
        <f t="shared" si="89"/>
        <v>0</v>
      </c>
      <c r="N572" s="459">
        <f t="shared" si="90"/>
        <v>0</v>
      </c>
    </row>
    <row r="573" spans="1:14" ht="13.2" customHeight="1" x14ac:dyDescent="0.3">
      <c r="A573" s="365">
        <f t="shared" si="91"/>
        <v>31</v>
      </c>
      <c r="B573" s="376" t="s">
        <v>696</v>
      </c>
      <c r="C573" s="361"/>
      <c r="D573" s="362"/>
      <c r="E573" s="367" t="s">
        <v>399</v>
      </c>
      <c r="F573" s="538"/>
      <c r="G573" s="538"/>
      <c r="H573" s="527"/>
      <c r="I573" s="372">
        <f t="shared" si="87"/>
        <v>0</v>
      </c>
      <c r="J573" s="372">
        <f>'D1 Tiang'!K371</f>
        <v>2429610</v>
      </c>
      <c r="K573" s="372">
        <v>578570</v>
      </c>
      <c r="L573" s="369">
        <f t="shared" si="88"/>
        <v>0</v>
      </c>
      <c r="M573" s="369">
        <f t="shared" si="89"/>
        <v>0</v>
      </c>
      <c r="N573" s="459">
        <f t="shared" si="90"/>
        <v>0</v>
      </c>
    </row>
    <row r="574" spans="1:14" ht="13.2" customHeight="1" x14ac:dyDescent="0.3">
      <c r="A574" s="365">
        <f t="shared" si="91"/>
        <v>32</v>
      </c>
      <c r="B574" s="376" t="s">
        <v>697</v>
      </c>
      <c r="C574" s="361"/>
      <c r="D574" s="362"/>
      <c r="E574" s="367" t="s">
        <v>399</v>
      </c>
      <c r="F574" s="535"/>
      <c r="G574" s="535"/>
      <c r="H574" s="538"/>
      <c r="I574" s="369">
        <f t="shared" si="87"/>
        <v>0</v>
      </c>
      <c r="J574" s="369">
        <f>'D1 Tiang'!K388</f>
        <v>2801400</v>
      </c>
      <c r="K574" s="369">
        <v>723210</v>
      </c>
      <c r="L574" s="369">
        <f t="shared" si="88"/>
        <v>0</v>
      </c>
      <c r="M574" s="369">
        <f t="shared" si="89"/>
        <v>0</v>
      </c>
      <c r="N574" s="459">
        <f t="shared" si="90"/>
        <v>0</v>
      </c>
    </row>
    <row r="575" spans="1:14" ht="13.2" customHeight="1" x14ac:dyDescent="0.3">
      <c r="A575" s="365">
        <f t="shared" si="91"/>
        <v>33</v>
      </c>
      <c r="B575" s="376" t="s">
        <v>698</v>
      </c>
      <c r="C575" s="361"/>
      <c r="D575" s="362"/>
      <c r="E575" s="367" t="s">
        <v>399</v>
      </c>
      <c r="F575" s="535"/>
      <c r="G575" s="535"/>
      <c r="H575" s="538"/>
      <c r="I575" s="369">
        <f t="shared" si="87"/>
        <v>0</v>
      </c>
      <c r="J575" s="369">
        <f>'D1 Tiang'!K405</f>
        <v>2687900</v>
      </c>
      <c r="K575" s="369">
        <v>723210</v>
      </c>
      <c r="L575" s="369">
        <f t="shared" ref="L575:L606" si="92">J575*I575</f>
        <v>0</v>
      </c>
      <c r="M575" s="369">
        <f t="shared" ref="M575:M606" si="93">K575*I575</f>
        <v>0</v>
      </c>
      <c r="N575" s="459">
        <f t="shared" si="90"/>
        <v>0</v>
      </c>
    </row>
    <row r="576" spans="1:14" ht="13.2" customHeight="1" x14ac:dyDescent="0.3">
      <c r="A576" s="365">
        <f t="shared" si="91"/>
        <v>34</v>
      </c>
      <c r="B576" s="376" t="s">
        <v>699</v>
      </c>
      <c r="C576" s="361"/>
      <c r="D576" s="362"/>
      <c r="E576" s="367" t="s">
        <v>399</v>
      </c>
      <c r="F576" s="535"/>
      <c r="G576" s="535"/>
      <c r="H576" s="538"/>
      <c r="I576" s="369">
        <f t="shared" si="87"/>
        <v>0</v>
      </c>
      <c r="J576" s="369">
        <f>'D1 Tiang'!K422</f>
        <v>2649140</v>
      </c>
      <c r="K576" s="369">
        <v>723210</v>
      </c>
      <c r="L576" s="369">
        <f t="shared" si="92"/>
        <v>0</v>
      </c>
      <c r="M576" s="369">
        <f t="shared" si="93"/>
        <v>0</v>
      </c>
      <c r="N576" s="459">
        <f t="shared" si="90"/>
        <v>0</v>
      </c>
    </row>
    <row r="577" spans="1:14" ht="13.2" customHeight="1" x14ac:dyDescent="0.3">
      <c r="A577" s="365">
        <f t="shared" si="91"/>
        <v>35</v>
      </c>
      <c r="B577" s="398" t="s">
        <v>700</v>
      </c>
      <c r="C577" s="371"/>
      <c r="D577" s="371"/>
      <c r="E577" s="367" t="s">
        <v>399</v>
      </c>
      <c r="F577" s="527"/>
      <c r="G577" s="527"/>
      <c r="H577" s="538"/>
      <c r="I577" s="372">
        <f t="shared" si="87"/>
        <v>0</v>
      </c>
      <c r="J577" s="372">
        <f>'D1 Tiang'!K439</f>
        <v>2610040</v>
      </c>
      <c r="K577" s="372">
        <v>723210</v>
      </c>
      <c r="L577" s="369">
        <f t="shared" si="92"/>
        <v>0</v>
      </c>
      <c r="M577" s="369">
        <f t="shared" si="93"/>
        <v>0</v>
      </c>
      <c r="N577" s="459">
        <f t="shared" si="90"/>
        <v>0</v>
      </c>
    </row>
    <row r="578" spans="1:14" ht="13.2" customHeight="1" x14ac:dyDescent="0.3">
      <c r="A578" s="365">
        <f t="shared" si="91"/>
        <v>36</v>
      </c>
      <c r="B578" s="376" t="s">
        <v>1604</v>
      </c>
      <c r="C578" s="371"/>
      <c r="D578" s="371"/>
      <c r="E578" s="367" t="s">
        <v>399</v>
      </c>
      <c r="F578" s="538"/>
      <c r="G578" s="538"/>
      <c r="H578" s="527"/>
      <c r="I578" s="372">
        <f t="shared" si="87"/>
        <v>0</v>
      </c>
      <c r="J578" s="372">
        <f>'D1 Tiang'!K456</f>
        <v>2399940</v>
      </c>
      <c r="K578" s="372">
        <v>642850</v>
      </c>
      <c r="L578" s="369">
        <f t="shared" si="92"/>
        <v>0</v>
      </c>
      <c r="M578" s="369">
        <f t="shared" si="93"/>
        <v>0</v>
      </c>
      <c r="N578" s="459">
        <f t="shared" si="90"/>
        <v>0</v>
      </c>
    </row>
    <row r="579" spans="1:14" ht="13.2" customHeight="1" x14ac:dyDescent="0.3">
      <c r="A579" s="365">
        <f t="shared" si="91"/>
        <v>37</v>
      </c>
      <c r="B579" s="398" t="s">
        <v>1605</v>
      </c>
      <c r="C579" s="371"/>
      <c r="D579" s="371"/>
      <c r="E579" s="367" t="s">
        <v>399</v>
      </c>
      <c r="F579" s="538"/>
      <c r="G579" s="538"/>
      <c r="H579" s="527"/>
      <c r="I579" s="372">
        <f t="shared" si="87"/>
        <v>0</v>
      </c>
      <c r="J579" s="372">
        <f>'D1 Tiang'!K473</f>
        <v>2302300</v>
      </c>
      <c r="K579" s="372">
        <v>578570</v>
      </c>
      <c r="L579" s="369">
        <f t="shared" si="92"/>
        <v>0</v>
      </c>
      <c r="M579" s="369">
        <f t="shared" si="93"/>
        <v>0</v>
      </c>
      <c r="N579" s="459">
        <f t="shared" si="90"/>
        <v>0</v>
      </c>
    </row>
    <row r="580" spans="1:14" ht="13.2" customHeight="1" x14ac:dyDescent="0.3">
      <c r="A580" s="365">
        <f t="shared" si="91"/>
        <v>38</v>
      </c>
      <c r="B580" s="376" t="s">
        <v>1606</v>
      </c>
      <c r="C580" s="371"/>
      <c r="D580" s="371"/>
      <c r="E580" s="367" t="s">
        <v>399</v>
      </c>
      <c r="F580" s="538"/>
      <c r="G580" s="538"/>
      <c r="H580" s="527"/>
      <c r="I580" s="372">
        <f t="shared" si="87"/>
        <v>0</v>
      </c>
      <c r="J580" s="372">
        <f>'D1 Tiang'!K490</f>
        <v>2263490</v>
      </c>
      <c r="K580" s="372">
        <v>578570</v>
      </c>
      <c r="L580" s="369">
        <f t="shared" si="92"/>
        <v>0</v>
      </c>
      <c r="M580" s="369">
        <f t="shared" si="93"/>
        <v>0</v>
      </c>
      <c r="N580" s="459">
        <f t="shared" si="90"/>
        <v>0</v>
      </c>
    </row>
    <row r="581" spans="1:14" ht="13.2" customHeight="1" x14ac:dyDescent="0.3">
      <c r="A581" s="365">
        <f t="shared" si="91"/>
        <v>39</v>
      </c>
      <c r="B581" s="376" t="s">
        <v>1607</v>
      </c>
      <c r="C581" s="371"/>
      <c r="D581" s="371"/>
      <c r="E581" s="367" t="s">
        <v>399</v>
      </c>
      <c r="F581" s="538"/>
      <c r="G581" s="538"/>
      <c r="H581" s="527"/>
      <c r="I581" s="372">
        <f t="shared" si="87"/>
        <v>0</v>
      </c>
      <c r="J581" s="372">
        <f>'D1 Tiang'!K507</f>
        <v>2085930</v>
      </c>
      <c r="K581" s="372">
        <v>483860</v>
      </c>
      <c r="L581" s="369">
        <f t="shared" si="92"/>
        <v>0</v>
      </c>
      <c r="M581" s="369">
        <f t="shared" si="93"/>
        <v>0</v>
      </c>
      <c r="N581" s="459">
        <f t="shared" si="90"/>
        <v>0</v>
      </c>
    </row>
    <row r="582" spans="1:14" ht="13.2" customHeight="1" x14ac:dyDescent="0.3">
      <c r="A582" s="365">
        <f t="shared" si="91"/>
        <v>40</v>
      </c>
      <c r="B582" s="376" t="s">
        <v>701</v>
      </c>
      <c r="C582" s="361"/>
      <c r="D582" s="362"/>
      <c r="E582" s="367" t="s">
        <v>399</v>
      </c>
      <c r="F582" s="527"/>
      <c r="G582" s="527"/>
      <c r="H582" s="538"/>
      <c r="I582" s="372">
        <f t="shared" si="87"/>
        <v>0</v>
      </c>
      <c r="J582" s="372">
        <f>'D1 Tiang'!K523</f>
        <v>3376290</v>
      </c>
      <c r="K582" s="372">
        <v>1157130</v>
      </c>
      <c r="L582" s="369">
        <f t="shared" si="92"/>
        <v>0</v>
      </c>
      <c r="M582" s="369">
        <f t="shared" si="93"/>
        <v>0</v>
      </c>
      <c r="N582" s="459">
        <f t="shared" si="90"/>
        <v>0</v>
      </c>
    </row>
    <row r="583" spans="1:14" ht="13.2" customHeight="1" x14ac:dyDescent="0.3">
      <c r="A583" s="365">
        <f t="shared" si="91"/>
        <v>41</v>
      </c>
      <c r="B583" s="376" t="s">
        <v>778</v>
      </c>
      <c r="C583" s="361"/>
      <c r="D583" s="362"/>
      <c r="E583" s="367" t="s">
        <v>399</v>
      </c>
      <c r="F583" s="527"/>
      <c r="G583" s="527"/>
      <c r="H583" s="538"/>
      <c r="I583" s="372">
        <f t="shared" si="87"/>
        <v>0</v>
      </c>
      <c r="J583" s="372">
        <f>'D1 Tiang'!K539</f>
        <v>3243230</v>
      </c>
      <c r="K583" s="372">
        <v>1157130</v>
      </c>
      <c r="L583" s="369">
        <f t="shared" si="92"/>
        <v>0</v>
      </c>
      <c r="M583" s="369">
        <f t="shared" si="93"/>
        <v>0</v>
      </c>
      <c r="N583" s="459">
        <f t="shared" si="90"/>
        <v>0</v>
      </c>
    </row>
    <row r="584" spans="1:14" ht="13.2" customHeight="1" x14ac:dyDescent="0.3">
      <c r="A584" s="365">
        <f t="shared" si="91"/>
        <v>42</v>
      </c>
      <c r="B584" s="376" t="s">
        <v>779</v>
      </c>
      <c r="C584" s="361"/>
      <c r="D584" s="362"/>
      <c r="E584" s="367" t="s">
        <v>399</v>
      </c>
      <c r="F584" s="527"/>
      <c r="G584" s="527"/>
      <c r="H584" s="538"/>
      <c r="I584" s="372">
        <f t="shared" si="87"/>
        <v>0</v>
      </c>
      <c r="J584" s="372">
        <f>'D1 Tiang'!K555</f>
        <v>3204480</v>
      </c>
      <c r="K584" s="372">
        <v>1157130</v>
      </c>
      <c r="L584" s="369">
        <f t="shared" si="92"/>
        <v>0</v>
      </c>
      <c r="M584" s="369">
        <f t="shared" si="93"/>
        <v>0</v>
      </c>
      <c r="N584" s="459">
        <f t="shared" si="90"/>
        <v>0</v>
      </c>
    </row>
    <row r="585" spans="1:14" ht="13.2" customHeight="1" x14ac:dyDescent="0.3">
      <c r="A585" s="365">
        <f t="shared" si="91"/>
        <v>43</v>
      </c>
      <c r="B585" s="376" t="s">
        <v>887</v>
      </c>
      <c r="C585" s="361"/>
      <c r="D585" s="362"/>
      <c r="E585" s="367" t="s">
        <v>399</v>
      </c>
      <c r="F585" s="527"/>
      <c r="G585" s="527"/>
      <c r="H585" s="538"/>
      <c r="I585" s="372">
        <f t="shared" si="87"/>
        <v>0</v>
      </c>
      <c r="J585" s="372">
        <f>'D1 Tiang'!K555</f>
        <v>3204480</v>
      </c>
      <c r="K585" s="372">
        <v>1157130</v>
      </c>
      <c r="L585" s="369">
        <f t="shared" si="92"/>
        <v>0</v>
      </c>
      <c r="M585" s="369">
        <f t="shared" si="93"/>
        <v>0</v>
      </c>
      <c r="N585" s="459">
        <f t="shared" si="90"/>
        <v>0</v>
      </c>
    </row>
    <row r="586" spans="1:14" ht="13.2" customHeight="1" x14ac:dyDescent="0.3">
      <c r="A586" s="365">
        <f t="shared" si="91"/>
        <v>44</v>
      </c>
      <c r="B586" s="376" t="s">
        <v>2323</v>
      </c>
      <c r="C586" s="361"/>
      <c r="D586" s="362"/>
      <c r="E586" s="367" t="s">
        <v>399</v>
      </c>
      <c r="F586" s="538"/>
      <c r="G586" s="538"/>
      <c r="H586" s="527"/>
      <c r="I586" s="372">
        <f t="shared" si="87"/>
        <v>0</v>
      </c>
      <c r="J586" s="372">
        <f>'D1 Tiang'!K571</f>
        <v>2765060</v>
      </c>
      <c r="K586" s="372">
        <v>964280</v>
      </c>
      <c r="L586" s="369">
        <f t="shared" si="92"/>
        <v>0</v>
      </c>
      <c r="M586" s="369">
        <f t="shared" si="93"/>
        <v>0</v>
      </c>
      <c r="N586" s="459">
        <f t="shared" si="90"/>
        <v>0</v>
      </c>
    </row>
    <row r="587" spans="1:14" ht="13.2" customHeight="1" x14ac:dyDescent="0.3">
      <c r="A587" s="365">
        <f t="shared" si="91"/>
        <v>45</v>
      </c>
      <c r="B587" s="376" t="s">
        <v>702</v>
      </c>
      <c r="C587" s="361"/>
      <c r="D587" s="362"/>
      <c r="E587" s="367" t="s">
        <v>399</v>
      </c>
      <c r="F587" s="535"/>
      <c r="G587" s="535"/>
      <c r="H587" s="538"/>
      <c r="I587" s="369">
        <f t="shared" si="87"/>
        <v>0</v>
      </c>
      <c r="J587" s="369">
        <f>'D1 Tiang'!K587</f>
        <v>3376290</v>
      </c>
      <c r="K587" s="369">
        <v>1157130</v>
      </c>
      <c r="L587" s="369">
        <f t="shared" si="92"/>
        <v>0</v>
      </c>
      <c r="M587" s="369">
        <f t="shared" si="93"/>
        <v>0</v>
      </c>
      <c r="N587" s="459">
        <f t="shared" si="90"/>
        <v>0</v>
      </c>
    </row>
    <row r="588" spans="1:14" ht="13.2" customHeight="1" x14ac:dyDescent="0.3">
      <c r="A588" s="365">
        <f t="shared" si="91"/>
        <v>46</v>
      </c>
      <c r="B588" s="376" t="s">
        <v>703</v>
      </c>
      <c r="C588" s="361"/>
      <c r="D588" s="362"/>
      <c r="E588" s="367" t="s">
        <v>399</v>
      </c>
      <c r="F588" s="535"/>
      <c r="G588" s="535"/>
      <c r="H588" s="538"/>
      <c r="I588" s="369">
        <f t="shared" si="87"/>
        <v>0</v>
      </c>
      <c r="J588" s="369">
        <f>'D1 Tiang'!K603</f>
        <v>3161580</v>
      </c>
      <c r="K588" s="369">
        <v>1157130</v>
      </c>
      <c r="L588" s="369">
        <f t="shared" si="92"/>
        <v>0</v>
      </c>
      <c r="M588" s="369">
        <f t="shared" si="93"/>
        <v>0</v>
      </c>
      <c r="N588" s="459">
        <f t="shared" si="90"/>
        <v>0</v>
      </c>
    </row>
    <row r="589" spans="1:14" ht="13.2" customHeight="1" x14ac:dyDescent="0.3">
      <c r="A589" s="365">
        <f t="shared" si="91"/>
        <v>47</v>
      </c>
      <c r="B589" s="376" t="s">
        <v>704</v>
      </c>
      <c r="C589" s="361"/>
      <c r="D589" s="362"/>
      <c r="E589" s="367" t="s">
        <v>399</v>
      </c>
      <c r="F589" s="535"/>
      <c r="G589" s="535"/>
      <c r="H589" s="538"/>
      <c r="I589" s="369">
        <f t="shared" si="87"/>
        <v>0</v>
      </c>
      <c r="J589" s="369">
        <f>'D1 Tiang'!K619</f>
        <v>3080280</v>
      </c>
      <c r="K589" s="369">
        <v>1157130</v>
      </c>
      <c r="L589" s="369">
        <f t="shared" si="92"/>
        <v>0</v>
      </c>
      <c r="M589" s="369">
        <f t="shared" si="93"/>
        <v>0</v>
      </c>
      <c r="N589" s="459">
        <f t="shared" si="90"/>
        <v>0</v>
      </c>
    </row>
    <row r="590" spans="1:14" ht="13.2" customHeight="1" x14ac:dyDescent="0.3">
      <c r="A590" s="365">
        <f t="shared" si="91"/>
        <v>48</v>
      </c>
      <c r="B590" s="376" t="s">
        <v>705</v>
      </c>
      <c r="C590" s="371"/>
      <c r="D590" s="371"/>
      <c r="E590" s="367" t="s">
        <v>399</v>
      </c>
      <c r="F590" s="527"/>
      <c r="G590" s="527"/>
      <c r="H590" s="538"/>
      <c r="I590" s="372">
        <f t="shared" si="87"/>
        <v>0</v>
      </c>
      <c r="J590" s="372">
        <f>'D1 Tiang'!K635</f>
        <v>3080280</v>
      </c>
      <c r="K590" s="372">
        <v>1157130</v>
      </c>
      <c r="L590" s="369">
        <f t="shared" si="92"/>
        <v>0</v>
      </c>
      <c r="M590" s="369">
        <f t="shared" si="93"/>
        <v>0</v>
      </c>
      <c r="N590" s="459">
        <f t="shared" si="90"/>
        <v>0</v>
      </c>
    </row>
    <row r="591" spans="1:14" ht="13.2" customHeight="1" x14ac:dyDescent="0.3">
      <c r="A591" s="365">
        <f t="shared" si="91"/>
        <v>49</v>
      </c>
      <c r="B591" s="376" t="s">
        <v>2324</v>
      </c>
      <c r="C591" s="371"/>
      <c r="D591" s="371"/>
      <c r="E591" s="367" t="s">
        <v>399</v>
      </c>
      <c r="F591" s="538"/>
      <c r="G591" s="538"/>
      <c r="H591" s="527"/>
      <c r="I591" s="372">
        <f t="shared" si="87"/>
        <v>0</v>
      </c>
      <c r="J591" s="372">
        <f>'D1 Tiang'!K650</f>
        <v>2731020</v>
      </c>
      <c r="K591" s="372">
        <v>804280</v>
      </c>
      <c r="L591" s="369">
        <f t="shared" si="92"/>
        <v>0</v>
      </c>
      <c r="M591" s="369">
        <f t="shared" si="93"/>
        <v>0</v>
      </c>
      <c r="N591" s="459">
        <f t="shared" si="90"/>
        <v>0</v>
      </c>
    </row>
    <row r="592" spans="1:14" ht="13.2" customHeight="1" x14ac:dyDescent="0.3">
      <c r="A592" s="365">
        <f t="shared" si="91"/>
        <v>50</v>
      </c>
      <c r="B592" s="376" t="s">
        <v>706</v>
      </c>
      <c r="C592" s="371"/>
      <c r="D592" s="371"/>
      <c r="E592" s="367" t="s">
        <v>399</v>
      </c>
      <c r="F592" s="538"/>
      <c r="G592" s="538"/>
      <c r="H592" s="527"/>
      <c r="I592" s="372">
        <f t="shared" si="87"/>
        <v>0</v>
      </c>
      <c r="J592" s="372">
        <f>'D1 Tiang'!K665</f>
        <v>2653510</v>
      </c>
      <c r="K592" s="372">
        <v>964280</v>
      </c>
      <c r="L592" s="369">
        <f t="shared" si="92"/>
        <v>0</v>
      </c>
      <c r="M592" s="369">
        <f t="shared" si="93"/>
        <v>0</v>
      </c>
      <c r="N592" s="459">
        <f t="shared" si="90"/>
        <v>0</v>
      </c>
    </row>
    <row r="593" spans="1:14" ht="13.2" customHeight="1" x14ac:dyDescent="0.3">
      <c r="A593" s="365">
        <f t="shared" si="91"/>
        <v>51</v>
      </c>
      <c r="B593" s="376" t="s">
        <v>707</v>
      </c>
      <c r="C593" s="371"/>
      <c r="D593" s="371"/>
      <c r="E593" s="367" t="s">
        <v>399</v>
      </c>
      <c r="F593" s="538"/>
      <c r="G593" s="538"/>
      <c r="H593" s="527"/>
      <c r="I593" s="372">
        <f t="shared" si="87"/>
        <v>0</v>
      </c>
      <c r="J593" s="372">
        <f>'D1 Tiang'!K680</f>
        <v>2614990</v>
      </c>
      <c r="K593" s="372">
        <v>964280</v>
      </c>
      <c r="L593" s="369">
        <f t="shared" si="92"/>
        <v>0</v>
      </c>
      <c r="M593" s="369">
        <f t="shared" si="93"/>
        <v>0</v>
      </c>
      <c r="N593" s="459">
        <f t="shared" si="90"/>
        <v>0</v>
      </c>
    </row>
    <row r="594" spans="1:14" ht="13.2" customHeight="1" x14ac:dyDescent="0.3">
      <c r="A594" s="365">
        <f t="shared" si="91"/>
        <v>52</v>
      </c>
      <c r="B594" s="376" t="s">
        <v>782</v>
      </c>
      <c r="C594" s="373"/>
      <c r="D594" s="373"/>
      <c r="E594" s="374" t="s">
        <v>399</v>
      </c>
      <c r="F594" s="538"/>
      <c r="G594" s="538"/>
      <c r="H594" s="528"/>
      <c r="I594" s="375">
        <f t="shared" si="87"/>
        <v>0</v>
      </c>
      <c r="J594" s="375">
        <f>'D1 Tiang'!K695</f>
        <v>2576230</v>
      </c>
      <c r="K594" s="375">
        <v>806430</v>
      </c>
      <c r="L594" s="369">
        <f t="shared" si="92"/>
        <v>0</v>
      </c>
      <c r="M594" s="369">
        <f t="shared" si="93"/>
        <v>0</v>
      </c>
      <c r="N594" s="459">
        <f t="shared" si="90"/>
        <v>0</v>
      </c>
    </row>
    <row r="595" spans="1:14" ht="13.2" customHeight="1" x14ac:dyDescent="0.3">
      <c r="A595" s="365">
        <f t="shared" si="91"/>
        <v>53</v>
      </c>
      <c r="B595" s="370" t="s">
        <v>1051</v>
      </c>
      <c r="C595" s="371"/>
      <c r="D595" s="371"/>
      <c r="E595" s="367" t="s">
        <v>399</v>
      </c>
      <c r="F595" s="527"/>
      <c r="G595" s="527"/>
      <c r="H595" s="538"/>
      <c r="I595" s="372">
        <f t="shared" si="87"/>
        <v>0</v>
      </c>
      <c r="J595" s="372">
        <f>'D1 Tiang'!K705</f>
        <v>2065400</v>
      </c>
      <c r="K595" s="372">
        <v>252700</v>
      </c>
      <c r="L595" s="369">
        <f t="shared" si="92"/>
        <v>0</v>
      </c>
      <c r="M595" s="369">
        <f t="shared" si="93"/>
        <v>0</v>
      </c>
      <c r="N595" s="459">
        <f t="shared" si="90"/>
        <v>0</v>
      </c>
    </row>
    <row r="596" spans="1:14" ht="13.2" customHeight="1" x14ac:dyDescent="0.3">
      <c r="A596" s="365">
        <f t="shared" si="91"/>
        <v>54</v>
      </c>
      <c r="B596" s="370" t="s">
        <v>1052</v>
      </c>
      <c r="C596" s="371"/>
      <c r="D596" s="371"/>
      <c r="E596" s="367" t="s">
        <v>399</v>
      </c>
      <c r="F596" s="527"/>
      <c r="G596" s="527"/>
      <c r="H596" s="538"/>
      <c r="I596" s="372">
        <f t="shared" si="87"/>
        <v>0</v>
      </c>
      <c r="J596" s="372">
        <f>'D1 Tiang'!K715</f>
        <v>2071150</v>
      </c>
      <c r="K596" s="372">
        <v>252700</v>
      </c>
      <c r="L596" s="369">
        <f t="shared" si="92"/>
        <v>0</v>
      </c>
      <c r="M596" s="369">
        <f t="shared" si="93"/>
        <v>0</v>
      </c>
      <c r="N596" s="459">
        <f t="shared" si="90"/>
        <v>0</v>
      </c>
    </row>
    <row r="597" spans="1:14" ht="13.2" customHeight="1" x14ac:dyDescent="0.3">
      <c r="A597" s="365">
        <f t="shared" si="91"/>
        <v>55</v>
      </c>
      <c r="B597" s="370" t="s">
        <v>1053</v>
      </c>
      <c r="C597" s="371"/>
      <c r="D597" s="371"/>
      <c r="E597" s="367" t="s">
        <v>399</v>
      </c>
      <c r="F597" s="527"/>
      <c r="G597" s="527"/>
      <c r="H597" s="538"/>
      <c r="I597" s="372">
        <f t="shared" si="87"/>
        <v>0</v>
      </c>
      <c r="J597" s="372">
        <f>'D1 Tiang'!K725</f>
        <v>2005600</v>
      </c>
      <c r="K597" s="372">
        <v>252700</v>
      </c>
      <c r="L597" s="369">
        <f t="shared" si="92"/>
        <v>0</v>
      </c>
      <c r="M597" s="369">
        <f t="shared" si="93"/>
        <v>0</v>
      </c>
      <c r="N597" s="459">
        <f t="shared" si="90"/>
        <v>0</v>
      </c>
    </row>
    <row r="598" spans="1:14" ht="13.2" customHeight="1" x14ac:dyDescent="0.3">
      <c r="A598" s="365">
        <f t="shared" si="91"/>
        <v>56</v>
      </c>
      <c r="B598" s="370" t="s">
        <v>1054</v>
      </c>
      <c r="C598" s="371"/>
      <c r="D598" s="371"/>
      <c r="E598" s="367" t="s">
        <v>399</v>
      </c>
      <c r="F598" s="527"/>
      <c r="G598" s="527"/>
      <c r="H598" s="538"/>
      <c r="I598" s="372">
        <f t="shared" si="87"/>
        <v>0</v>
      </c>
      <c r="J598" s="372">
        <f>'D1 Tiang'!K725</f>
        <v>2005600</v>
      </c>
      <c r="K598" s="372">
        <v>252700</v>
      </c>
      <c r="L598" s="369">
        <f t="shared" si="92"/>
        <v>0</v>
      </c>
      <c r="M598" s="369">
        <f t="shared" si="93"/>
        <v>0</v>
      </c>
      <c r="N598" s="459">
        <f t="shared" si="90"/>
        <v>0</v>
      </c>
    </row>
    <row r="599" spans="1:14" ht="13.2" customHeight="1" x14ac:dyDescent="0.3">
      <c r="A599" s="365">
        <f t="shared" si="91"/>
        <v>57</v>
      </c>
      <c r="B599" s="370" t="s">
        <v>1055</v>
      </c>
      <c r="C599" s="371"/>
      <c r="D599" s="371"/>
      <c r="E599" s="367" t="s">
        <v>399</v>
      </c>
      <c r="F599" s="527"/>
      <c r="G599" s="527"/>
      <c r="H599" s="538"/>
      <c r="I599" s="372">
        <f t="shared" si="87"/>
        <v>0</v>
      </c>
      <c r="J599" s="372">
        <f>'D1 Tiang'!K735</f>
        <v>1971100</v>
      </c>
      <c r="K599" s="372">
        <v>252700</v>
      </c>
      <c r="L599" s="369">
        <f t="shared" si="92"/>
        <v>0</v>
      </c>
      <c r="M599" s="369">
        <f t="shared" si="93"/>
        <v>0</v>
      </c>
      <c r="N599" s="459">
        <f t="shared" si="90"/>
        <v>0</v>
      </c>
    </row>
    <row r="600" spans="1:14" ht="13.2" customHeight="1" x14ac:dyDescent="0.3">
      <c r="A600" s="365">
        <f t="shared" si="91"/>
        <v>58</v>
      </c>
      <c r="B600" s="370" t="s">
        <v>1061</v>
      </c>
      <c r="C600" s="371"/>
      <c r="D600" s="371"/>
      <c r="E600" s="367" t="s">
        <v>399</v>
      </c>
      <c r="F600" s="527"/>
      <c r="G600" s="527"/>
      <c r="H600" s="538"/>
      <c r="I600" s="372">
        <f t="shared" si="87"/>
        <v>0</v>
      </c>
      <c r="J600" s="372">
        <f>'D1 Tiang'!K743</f>
        <v>1078700</v>
      </c>
      <c r="K600" s="372">
        <v>252700</v>
      </c>
      <c r="L600" s="369">
        <f t="shared" si="92"/>
        <v>0</v>
      </c>
      <c r="M600" s="369">
        <f t="shared" si="93"/>
        <v>0</v>
      </c>
      <c r="N600" s="459">
        <f t="shared" si="90"/>
        <v>0</v>
      </c>
    </row>
    <row r="601" spans="1:14" ht="13.2" customHeight="1" x14ac:dyDescent="0.3">
      <c r="A601" s="365">
        <f t="shared" si="91"/>
        <v>59</v>
      </c>
      <c r="B601" s="370" t="s">
        <v>1062</v>
      </c>
      <c r="C601" s="371"/>
      <c r="D601" s="371"/>
      <c r="E601" s="367" t="s">
        <v>399</v>
      </c>
      <c r="F601" s="527"/>
      <c r="G601" s="527"/>
      <c r="H601" s="538"/>
      <c r="I601" s="372">
        <f t="shared" si="87"/>
        <v>0</v>
      </c>
      <c r="J601" s="372">
        <f>'D1 Tiang'!K751</f>
        <v>1164950</v>
      </c>
      <c r="K601" s="372">
        <v>252700</v>
      </c>
      <c r="L601" s="369">
        <f t="shared" si="92"/>
        <v>0</v>
      </c>
      <c r="M601" s="369">
        <f t="shared" si="93"/>
        <v>0</v>
      </c>
      <c r="N601" s="459">
        <f t="shared" si="90"/>
        <v>0</v>
      </c>
    </row>
    <row r="602" spans="1:14" ht="13.2" customHeight="1" x14ac:dyDescent="0.3">
      <c r="A602" s="365">
        <f t="shared" si="91"/>
        <v>60</v>
      </c>
      <c r="B602" s="370" t="s">
        <v>1063</v>
      </c>
      <c r="C602" s="371"/>
      <c r="D602" s="371"/>
      <c r="E602" s="367" t="s">
        <v>399</v>
      </c>
      <c r="F602" s="527"/>
      <c r="G602" s="527"/>
      <c r="H602" s="538"/>
      <c r="I602" s="372">
        <f t="shared" si="87"/>
        <v>0</v>
      </c>
      <c r="J602" s="372">
        <f>'D1 Tiang'!K759</f>
        <v>1142530</v>
      </c>
      <c r="K602" s="372">
        <v>252700</v>
      </c>
      <c r="L602" s="369">
        <f t="shared" si="92"/>
        <v>0</v>
      </c>
      <c r="M602" s="369">
        <f t="shared" si="93"/>
        <v>0</v>
      </c>
      <c r="N602" s="459">
        <f t="shared" si="90"/>
        <v>0</v>
      </c>
    </row>
    <row r="603" spans="1:14" ht="13.2" customHeight="1" x14ac:dyDescent="0.3">
      <c r="A603" s="365">
        <f t="shared" si="91"/>
        <v>61</v>
      </c>
      <c r="B603" s="370" t="s">
        <v>1064</v>
      </c>
      <c r="C603" s="371"/>
      <c r="D603" s="371"/>
      <c r="E603" s="367" t="s">
        <v>399</v>
      </c>
      <c r="F603" s="527"/>
      <c r="G603" s="527"/>
      <c r="H603" s="538"/>
      <c r="I603" s="372">
        <f t="shared" si="87"/>
        <v>0</v>
      </c>
      <c r="J603" s="372">
        <f>'D1 Tiang'!K759</f>
        <v>1142530</v>
      </c>
      <c r="K603" s="372">
        <v>252700</v>
      </c>
      <c r="L603" s="369">
        <f t="shared" si="92"/>
        <v>0</v>
      </c>
      <c r="M603" s="369">
        <f t="shared" si="93"/>
        <v>0</v>
      </c>
      <c r="N603" s="459">
        <f t="shared" si="90"/>
        <v>0</v>
      </c>
    </row>
    <row r="604" spans="1:14" ht="13.2" customHeight="1" x14ac:dyDescent="0.3">
      <c r="A604" s="365">
        <f t="shared" si="91"/>
        <v>62</v>
      </c>
      <c r="B604" s="370" t="s">
        <v>1065</v>
      </c>
      <c r="C604" s="371"/>
      <c r="D604" s="371"/>
      <c r="E604" s="367" t="s">
        <v>399</v>
      </c>
      <c r="F604" s="527"/>
      <c r="G604" s="527"/>
      <c r="H604" s="538"/>
      <c r="I604" s="372">
        <f t="shared" si="87"/>
        <v>0</v>
      </c>
      <c r="J604" s="372">
        <f>'D1 Tiang'!K767</f>
        <v>1130450</v>
      </c>
      <c r="K604" s="372">
        <v>252700</v>
      </c>
      <c r="L604" s="369">
        <f t="shared" si="92"/>
        <v>0</v>
      </c>
      <c r="M604" s="369">
        <f t="shared" si="93"/>
        <v>0</v>
      </c>
      <c r="N604" s="459">
        <f t="shared" si="90"/>
        <v>0</v>
      </c>
    </row>
    <row r="605" spans="1:14" ht="13.2" customHeight="1" x14ac:dyDescent="0.3">
      <c r="A605" s="365">
        <f t="shared" si="91"/>
        <v>63</v>
      </c>
      <c r="B605" s="370" t="s">
        <v>1674</v>
      </c>
      <c r="C605" s="371"/>
      <c r="D605" s="371"/>
      <c r="E605" s="367" t="s">
        <v>399</v>
      </c>
      <c r="F605" s="527"/>
      <c r="G605" s="527"/>
      <c r="H605" s="538"/>
      <c r="I605" s="372">
        <f t="shared" si="87"/>
        <v>0</v>
      </c>
      <c r="J605" s="372">
        <f>'D1 Tiang'!K776</f>
        <v>1214860</v>
      </c>
      <c r="K605" s="372">
        <v>243220</v>
      </c>
      <c r="L605" s="369">
        <f t="shared" si="92"/>
        <v>0</v>
      </c>
      <c r="M605" s="369">
        <f t="shared" si="93"/>
        <v>0</v>
      </c>
      <c r="N605" s="459">
        <f t="shared" si="90"/>
        <v>0</v>
      </c>
    </row>
    <row r="606" spans="1:14" ht="13.2" customHeight="1" x14ac:dyDescent="0.3">
      <c r="A606" s="365">
        <f t="shared" si="91"/>
        <v>64</v>
      </c>
      <c r="B606" s="370" t="s">
        <v>1675</v>
      </c>
      <c r="C606" s="371"/>
      <c r="D606" s="371"/>
      <c r="E606" s="367" t="s">
        <v>399</v>
      </c>
      <c r="F606" s="527"/>
      <c r="G606" s="527"/>
      <c r="H606" s="538"/>
      <c r="I606" s="372">
        <f t="shared" si="87"/>
        <v>0</v>
      </c>
      <c r="J606" s="372">
        <f>'D1 Tiang'!K785</f>
        <v>1230960</v>
      </c>
      <c r="K606" s="372">
        <v>243220</v>
      </c>
      <c r="L606" s="369">
        <f t="shared" si="92"/>
        <v>0</v>
      </c>
      <c r="M606" s="369">
        <f t="shared" si="93"/>
        <v>0</v>
      </c>
      <c r="N606" s="459">
        <f t="shared" si="90"/>
        <v>0</v>
      </c>
    </row>
    <row r="607" spans="1:14" ht="13.2" customHeight="1" x14ac:dyDescent="0.3">
      <c r="A607" s="365">
        <f t="shared" si="91"/>
        <v>65</v>
      </c>
      <c r="B607" s="370" t="s">
        <v>1679</v>
      </c>
      <c r="C607" s="371"/>
      <c r="D607" s="371"/>
      <c r="E607" s="367" t="s">
        <v>399</v>
      </c>
      <c r="F607" s="527"/>
      <c r="G607" s="527"/>
      <c r="H607" s="538"/>
      <c r="I607" s="372">
        <f t="shared" ref="I607:I621" si="94">SUM(F607:H607)</f>
        <v>0</v>
      </c>
      <c r="J607" s="372">
        <f>'D1 Tiang'!K794</f>
        <v>1161960</v>
      </c>
      <c r="K607" s="372">
        <v>243220</v>
      </c>
      <c r="L607" s="369">
        <f t="shared" ref="L607:L621" si="95">J607*I607</f>
        <v>0</v>
      </c>
      <c r="M607" s="369">
        <f t="shared" ref="M607:M621" si="96">K607*I607</f>
        <v>0</v>
      </c>
      <c r="N607" s="459">
        <f t="shared" ref="N607:N621" si="97">SUM(L607:M607)</f>
        <v>0</v>
      </c>
    </row>
    <row r="608" spans="1:14" ht="13.2" customHeight="1" x14ac:dyDescent="0.3">
      <c r="A608" s="365">
        <f t="shared" si="91"/>
        <v>66</v>
      </c>
      <c r="B608" s="370" t="s">
        <v>1680</v>
      </c>
      <c r="C608" s="371"/>
      <c r="D608" s="371"/>
      <c r="E608" s="367" t="s">
        <v>399</v>
      </c>
      <c r="F608" s="527"/>
      <c r="G608" s="527"/>
      <c r="H608" s="538"/>
      <c r="I608" s="372">
        <f t="shared" si="94"/>
        <v>0</v>
      </c>
      <c r="J608" s="372">
        <f>'D1 Tiang'!K794</f>
        <v>1161960</v>
      </c>
      <c r="K608" s="372">
        <v>243220</v>
      </c>
      <c r="L608" s="369">
        <f t="shared" si="95"/>
        <v>0</v>
      </c>
      <c r="M608" s="369">
        <f t="shared" si="96"/>
        <v>0</v>
      </c>
      <c r="N608" s="459">
        <f t="shared" si="97"/>
        <v>0</v>
      </c>
    </row>
    <row r="609" spans="1:14" ht="13.2" customHeight="1" x14ac:dyDescent="0.3">
      <c r="A609" s="365">
        <f t="shared" si="91"/>
        <v>67</v>
      </c>
      <c r="B609" s="370" t="s">
        <v>1681</v>
      </c>
      <c r="C609" s="371"/>
      <c r="D609" s="371"/>
      <c r="E609" s="367" t="s">
        <v>399</v>
      </c>
      <c r="F609" s="527"/>
      <c r="G609" s="527"/>
      <c r="H609" s="538"/>
      <c r="I609" s="372">
        <f t="shared" si="94"/>
        <v>0</v>
      </c>
      <c r="J609" s="372">
        <f>'D1 Tiang'!K803</f>
        <v>1127460</v>
      </c>
      <c r="K609" s="372">
        <v>243220</v>
      </c>
      <c r="L609" s="369">
        <f t="shared" si="95"/>
        <v>0</v>
      </c>
      <c r="M609" s="369">
        <f t="shared" si="96"/>
        <v>0</v>
      </c>
      <c r="N609" s="459">
        <f t="shared" si="97"/>
        <v>0</v>
      </c>
    </row>
    <row r="610" spans="1:14" ht="13.2" customHeight="1" x14ac:dyDescent="0.3">
      <c r="A610" s="365">
        <f t="shared" si="91"/>
        <v>68</v>
      </c>
      <c r="B610" s="370" t="s">
        <v>1982</v>
      </c>
      <c r="C610" s="371"/>
      <c r="D610" s="371"/>
      <c r="E610" s="367" t="s">
        <v>399</v>
      </c>
      <c r="F610" s="527"/>
      <c r="G610" s="527"/>
      <c r="H610" s="539"/>
      <c r="I610" s="372">
        <f t="shared" si="94"/>
        <v>0</v>
      </c>
      <c r="J610" s="372">
        <f>'D1 Tiang'!K811</f>
        <v>292100</v>
      </c>
      <c r="K610" s="372">
        <v>30800</v>
      </c>
      <c r="L610" s="369">
        <f t="shared" si="95"/>
        <v>0</v>
      </c>
      <c r="M610" s="369">
        <f t="shared" si="96"/>
        <v>0</v>
      </c>
      <c r="N610" s="459">
        <f t="shared" si="97"/>
        <v>0</v>
      </c>
    </row>
    <row r="611" spans="1:14" ht="13.2" customHeight="1" x14ac:dyDescent="0.3">
      <c r="A611" s="365">
        <f t="shared" si="91"/>
        <v>69</v>
      </c>
      <c r="B611" s="370" t="s">
        <v>1455</v>
      </c>
      <c r="C611" s="371"/>
      <c r="D611" s="371"/>
      <c r="E611" s="367" t="s">
        <v>399</v>
      </c>
      <c r="F611" s="527"/>
      <c r="G611" s="527"/>
      <c r="H611" s="539"/>
      <c r="I611" s="372">
        <f t="shared" si="94"/>
        <v>0</v>
      </c>
      <c r="J611" s="372">
        <f>'D1 Tiang'!K811</f>
        <v>292100</v>
      </c>
      <c r="K611" s="372">
        <v>30800</v>
      </c>
      <c r="L611" s="369">
        <f t="shared" si="95"/>
        <v>0</v>
      </c>
      <c r="M611" s="369">
        <f t="shared" si="96"/>
        <v>0</v>
      </c>
      <c r="N611" s="459">
        <f t="shared" si="97"/>
        <v>0</v>
      </c>
    </row>
    <row r="612" spans="1:14" ht="13.2" customHeight="1" x14ac:dyDescent="0.3">
      <c r="A612" s="365">
        <f t="shared" si="91"/>
        <v>70</v>
      </c>
      <c r="B612" s="370" t="s">
        <v>1456</v>
      </c>
      <c r="C612" s="371"/>
      <c r="D612" s="371"/>
      <c r="E612" s="367" t="s">
        <v>399</v>
      </c>
      <c r="F612" s="527"/>
      <c r="G612" s="527"/>
      <c r="H612" s="539"/>
      <c r="I612" s="372">
        <f t="shared" si="94"/>
        <v>0</v>
      </c>
      <c r="J612" s="372">
        <f>'D1 Tiang'!K819</f>
        <v>258180</v>
      </c>
      <c r="K612" s="372">
        <v>30800</v>
      </c>
      <c r="L612" s="369">
        <f t="shared" si="95"/>
        <v>0</v>
      </c>
      <c r="M612" s="369">
        <f t="shared" si="96"/>
        <v>0</v>
      </c>
      <c r="N612" s="459">
        <f t="shared" si="97"/>
        <v>0</v>
      </c>
    </row>
    <row r="613" spans="1:14" ht="13.2" customHeight="1" x14ac:dyDescent="0.3">
      <c r="A613" s="365">
        <f t="shared" ref="A613:A621" si="98">A612+1</f>
        <v>71</v>
      </c>
      <c r="B613" s="370" t="s">
        <v>1457</v>
      </c>
      <c r="C613" s="371"/>
      <c r="D613" s="371"/>
      <c r="E613" s="367" t="s">
        <v>399</v>
      </c>
      <c r="F613" s="527"/>
      <c r="G613" s="527"/>
      <c r="H613" s="539"/>
      <c r="I613" s="372">
        <f t="shared" si="94"/>
        <v>0</v>
      </c>
      <c r="J613" s="372">
        <f>'D1 Tiang'!K819</f>
        <v>258180</v>
      </c>
      <c r="K613" s="372">
        <v>30800</v>
      </c>
      <c r="L613" s="369">
        <f t="shared" si="95"/>
        <v>0</v>
      </c>
      <c r="M613" s="369">
        <f t="shared" si="96"/>
        <v>0</v>
      </c>
      <c r="N613" s="459">
        <f t="shared" si="97"/>
        <v>0</v>
      </c>
    </row>
    <row r="614" spans="1:14" ht="13.2" customHeight="1" x14ac:dyDescent="0.3">
      <c r="A614" s="365">
        <f t="shared" si="98"/>
        <v>72</v>
      </c>
      <c r="B614" s="370" t="s">
        <v>1458</v>
      </c>
      <c r="C614" s="371"/>
      <c r="D614" s="371"/>
      <c r="E614" s="367" t="s">
        <v>399</v>
      </c>
      <c r="F614" s="527"/>
      <c r="G614" s="527"/>
      <c r="H614" s="539"/>
      <c r="I614" s="372">
        <f t="shared" si="94"/>
        <v>0</v>
      </c>
      <c r="J614" s="372">
        <f>'D1 Tiang'!K827</f>
        <v>226550</v>
      </c>
      <c r="K614" s="372">
        <v>30800</v>
      </c>
      <c r="L614" s="369">
        <f t="shared" si="95"/>
        <v>0</v>
      </c>
      <c r="M614" s="369">
        <f t="shared" si="96"/>
        <v>0</v>
      </c>
      <c r="N614" s="459">
        <f t="shared" si="97"/>
        <v>0</v>
      </c>
    </row>
    <row r="615" spans="1:14" ht="13.2" customHeight="1" x14ac:dyDescent="0.3">
      <c r="A615" s="365">
        <f t="shared" si="98"/>
        <v>73</v>
      </c>
      <c r="B615" s="370" t="s">
        <v>1617</v>
      </c>
      <c r="C615" s="371"/>
      <c r="D615" s="371"/>
      <c r="E615" s="367" t="s">
        <v>399</v>
      </c>
      <c r="F615" s="527"/>
      <c r="G615" s="527"/>
      <c r="H615" s="539"/>
      <c r="I615" s="372">
        <f t="shared" si="94"/>
        <v>0</v>
      </c>
      <c r="J615" s="372">
        <f>'D1 Tiang'!K835</f>
        <v>400090</v>
      </c>
      <c r="K615" s="372">
        <v>30800</v>
      </c>
      <c r="L615" s="369">
        <f t="shared" si="95"/>
        <v>0</v>
      </c>
      <c r="M615" s="369">
        <f t="shared" si="96"/>
        <v>0</v>
      </c>
      <c r="N615" s="459">
        <f t="shared" si="97"/>
        <v>0</v>
      </c>
    </row>
    <row r="616" spans="1:14" ht="13.2" customHeight="1" x14ac:dyDescent="0.3">
      <c r="A616" s="365">
        <f t="shared" si="98"/>
        <v>74</v>
      </c>
      <c r="B616" s="370" t="s">
        <v>1619</v>
      </c>
      <c r="C616" s="371"/>
      <c r="D616" s="371"/>
      <c r="E616" s="367" t="s">
        <v>399</v>
      </c>
      <c r="F616" s="527"/>
      <c r="G616" s="527"/>
      <c r="H616" s="539"/>
      <c r="I616" s="372">
        <f t="shared" si="94"/>
        <v>0</v>
      </c>
      <c r="J616" s="372">
        <f>'D1 Tiang'!K843</f>
        <v>370760</v>
      </c>
      <c r="K616" s="372">
        <v>30800</v>
      </c>
      <c r="L616" s="369">
        <f t="shared" si="95"/>
        <v>0</v>
      </c>
      <c r="M616" s="369">
        <f t="shared" si="96"/>
        <v>0</v>
      </c>
      <c r="N616" s="459">
        <f t="shared" si="97"/>
        <v>0</v>
      </c>
    </row>
    <row r="617" spans="1:14" ht="13.2" customHeight="1" x14ac:dyDescent="0.3">
      <c r="A617" s="365">
        <f t="shared" si="98"/>
        <v>75</v>
      </c>
      <c r="B617" s="370" t="s">
        <v>1621</v>
      </c>
      <c r="C617" s="371"/>
      <c r="D617" s="371"/>
      <c r="E617" s="367" t="s">
        <v>399</v>
      </c>
      <c r="F617" s="527"/>
      <c r="G617" s="527"/>
      <c r="H617" s="539"/>
      <c r="I617" s="372">
        <f t="shared" si="94"/>
        <v>0</v>
      </c>
      <c r="J617" s="372">
        <f>'D1 Tiang'!K851</f>
        <v>334540</v>
      </c>
      <c r="K617" s="372">
        <v>30800</v>
      </c>
      <c r="L617" s="369">
        <f t="shared" si="95"/>
        <v>0</v>
      </c>
      <c r="M617" s="369">
        <f t="shared" si="96"/>
        <v>0</v>
      </c>
      <c r="N617" s="459">
        <f t="shared" si="97"/>
        <v>0</v>
      </c>
    </row>
    <row r="618" spans="1:14" ht="13.2" customHeight="1" x14ac:dyDescent="0.3">
      <c r="A618" s="365">
        <f t="shared" si="98"/>
        <v>76</v>
      </c>
      <c r="B618" s="370" t="s">
        <v>1626</v>
      </c>
      <c r="C618" s="371"/>
      <c r="D618" s="371"/>
      <c r="E618" s="367" t="s">
        <v>399</v>
      </c>
      <c r="F618" s="527"/>
      <c r="G618" s="527"/>
      <c r="H618" s="539"/>
      <c r="I618" s="372">
        <f t="shared" si="94"/>
        <v>0</v>
      </c>
      <c r="J618" s="372">
        <f>'D1 Tiang'!K851</f>
        <v>334540</v>
      </c>
      <c r="K618" s="372">
        <v>30800</v>
      </c>
      <c r="L618" s="369">
        <f t="shared" si="95"/>
        <v>0</v>
      </c>
      <c r="M618" s="369">
        <f t="shared" si="96"/>
        <v>0</v>
      </c>
      <c r="N618" s="459">
        <f t="shared" si="97"/>
        <v>0</v>
      </c>
    </row>
    <row r="619" spans="1:14" ht="13.2" customHeight="1" x14ac:dyDescent="0.3">
      <c r="A619" s="365">
        <f t="shared" si="98"/>
        <v>77</v>
      </c>
      <c r="B619" s="370" t="s">
        <v>1624</v>
      </c>
      <c r="C619" s="371"/>
      <c r="D619" s="371"/>
      <c r="E619" s="367" t="s">
        <v>399</v>
      </c>
      <c r="F619" s="527"/>
      <c r="G619" s="527"/>
      <c r="H619" s="539"/>
      <c r="I619" s="372">
        <f t="shared" si="94"/>
        <v>0</v>
      </c>
      <c r="J619" s="372">
        <f>'D1 Tiang'!K859</f>
        <v>315560</v>
      </c>
      <c r="K619" s="372">
        <v>30800</v>
      </c>
      <c r="L619" s="369">
        <f t="shared" si="95"/>
        <v>0</v>
      </c>
      <c r="M619" s="369">
        <f t="shared" si="96"/>
        <v>0</v>
      </c>
      <c r="N619" s="459">
        <f t="shared" si="97"/>
        <v>0</v>
      </c>
    </row>
    <row r="620" spans="1:14" ht="13.2" customHeight="1" x14ac:dyDescent="0.3">
      <c r="A620" s="418">
        <f t="shared" si="98"/>
        <v>78</v>
      </c>
      <c r="B620" s="370" t="s">
        <v>1210</v>
      </c>
      <c r="C620" s="371"/>
      <c r="D620" s="371"/>
      <c r="E620" s="367" t="s">
        <v>399</v>
      </c>
      <c r="F620" s="527"/>
      <c r="G620" s="527"/>
      <c r="H620" s="539"/>
      <c r="I620" s="375">
        <f t="shared" si="94"/>
        <v>0</v>
      </c>
      <c r="J620" s="372">
        <f>'D1 Tiang'!K867</f>
        <v>816500</v>
      </c>
      <c r="K620" s="372">
        <v>123220</v>
      </c>
      <c r="L620" s="369">
        <f t="shared" si="95"/>
        <v>0</v>
      </c>
      <c r="M620" s="369">
        <f t="shared" si="96"/>
        <v>0</v>
      </c>
      <c r="N620" s="459">
        <f t="shared" si="97"/>
        <v>0</v>
      </c>
    </row>
    <row r="621" spans="1:14" ht="13.2" customHeight="1" x14ac:dyDescent="0.3">
      <c r="A621" s="418">
        <f t="shared" si="98"/>
        <v>79</v>
      </c>
      <c r="B621" s="370" t="s">
        <v>1211</v>
      </c>
      <c r="C621" s="371"/>
      <c r="D621" s="371"/>
      <c r="E621" s="367" t="s">
        <v>399</v>
      </c>
      <c r="F621" s="527"/>
      <c r="G621" s="527"/>
      <c r="H621" s="539"/>
      <c r="I621" s="375">
        <f t="shared" si="94"/>
        <v>0</v>
      </c>
      <c r="J621" s="372">
        <f>'D1 Tiang'!K875</f>
        <v>2249400</v>
      </c>
      <c r="K621" s="372">
        <v>203750</v>
      </c>
      <c r="L621" s="369">
        <f t="shared" si="95"/>
        <v>0</v>
      </c>
      <c r="M621" s="369">
        <f t="shared" si="96"/>
        <v>0</v>
      </c>
      <c r="N621" s="459">
        <f t="shared" si="97"/>
        <v>0</v>
      </c>
    </row>
    <row r="622" spans="1:14" ht="15" customHeight="1" x14ac:dyDescent="0.3">
      <c r="A622" s="498"/>
      <c r="B622" s="497" t="s">
        <v>1716</v>
      </c>
      <c r="C622" s="487"/>
      <c r="D622" s="487"/>
      <c r="E622" s="488"/>
      <c r="F622" s="540"/>
      <c r="G622" s="540"/>
      <c r="H622" s="540"/>
      <c r="I622" s="489"/>
      <c r="J622" s="492"/>
      <c r="K622" s="492"/>
      <c r="L622" s="543">
        <f t="shared" ref="L622:N622" si="99">SUM(L543:L621)</f>
        <v>0</v>
      </c>
      <c r="M622" s="543">
        <f t="shared" si="99"/>
        <v>0</v>
      </c>
      <c r="N622" s="544">
        <f t="shared" si="99"/>
        <v>0</v>
      </c>
    </row>
    <row r="623" spans="1:14" ht="9" customHeight="1" x14ac:dyDescent="0.3">
      <c r="A623" s="419"/>
      <c r="B623" s="379"/>
      <c r="C623" s="380"/>
      <c r="D623" s="380"/>
      <c r="E623" s="395"/>
      <c r="F623" s="563"/>
      <c r="G623" s="563"/>
      <c r="H623" s="563"/>
      <c r="I623" s="467"/>
      <c r="J623" s="417"/>
      <c r="K623" s="417"/>
      <c r="L623" s="417"/>
      <c r="M623" s="417"/>
      <c r="N623" s="547"/>
    </row>
    <row r="624" spans="1:14" ht="15" customHeight="1" x14ac:dyDescent="0.3">
      <c r="A624" s="495" t="s">
        <v>1448</v>
      </c>
      <c r="B624" s="478" t="s">
        <v>1441</v>
      </c>
      <c r="C624" s="480"/>
      <c r="D624" s="480"/>
      <c r="E624" s="493"/>
      <c r="F624" s="568"/>
      <c r="G624" s="568"/>
      <c r="H624" s="568"/>
      <c r="I624" s="483"/>
      <c r="J624" s="494"/>
      <c r="K624" s="494"/>
      <c r="L624" s="494"/>
      <c r="M624" s="494"/>
      <c r="N624" s="546"/>
    </row>
    <row r="625" spans="1:14" ht="13.2" customHeight="1" x14ac:dyDescent="0.3">
      <c r="A625" s="365">
        <v>1</v>
      </c>
      <c r="B625" s="370" t="s">
        <v>788</v>
      </c>
      <c r="C625" s="371"/>
      <c r="D625" s="371"/>
      <c r="E625" s="367" t="s">
        <v>399</v>
      </c>
      <c r="F625" s="527"/>
      <c r="G625" s="527"/>
      <c r="H625" s="539"/>
      <c r="I625" s="372">
        <f t="shared" ref="I625:I654" si="100">SUM(F625:H625)</f>
        <v>0</v>
      </c>
      <c r="J625" s="372">
        <f>'D2 SUTM'!K18</f>
        <v>1794860</v>
      </c>
      <c r="K625" s="372">
        <v>252700</v>
      </c>
      <c r="L625" s="372">
        <f t="shared" ref="L625:L654" si="101">J625*I625</f>
        <v>0</v>
      </c>
      <c r="M625" s="372">
        <f t="shared" ref="M625:M654" si="102">K625*I625</f>
        <v>0</v>
      </c>
      <c r="N625" s="460">
        <f t="shared" ref="N625:N654" si="103">SUM(L625:M625)</f>
        <v>0</v>
      </c>
    </row>
    <row r="626" spans="1:14" ht="13.2" customHeight="1" x14ac:dyDescent="0.3">
      <c r="A626" s="365">
        <f t="shared" ref="A626:A638" si="104">A625+1</f>
        <v>2</v>
      </c>
      <c r="B626" s="370" t="s">
        <v>790</v>
      </c>
      <c r="C626" s="371"/>
      <c r="D626" s="371"/>
      <c r="E626" s="367" t="s">
        <v>399</v>
      </c>
      <c r="F626" s="527"/>
      <c r="G626" s="527"/>
      <c r="H626" s="539"/>
      <c r="I626" s="372">
        <f t="shared" si="100"/>
        <v>0</v>
      </c>
      <c r="J626" s="372">
        <f>'D2 SUTM'!K30</f>
        <v>1815560</v>
      </c>
      <c r="K626" s="372">
        <v>252700</v>
      </c>
      <c r="L626" s="372">
        <f t="shared" si="101"/>
        <v>0</v>
      </c>
      <c r="M626" s="372">
        <f t="shared" si="102"/>
        <v>0</v>
      </c>
      <c r="N626" s="460">
        <f t="shared" si="103"/>
        <v>0</v>
      </c>
    </row>
    <row r="627" spans="1:14" ht="13.2" customHeight="1" x14ac:dyDescent="0.3">
      <c r="A627" s="365">
        <f t="shared" si="104"/>
        <v>3</v>
      </c>
      <c r="B627" s="370" t="s">
        <v>794</v>
      </c>
      <c r="C627" s="371"/>
      <c r="D627" s="371"/>
      <c r="E627" s="367" t="s">
        <v>399</v>
      </c>
      <c r="F627" s="527"/>
      <c r="G627" s="527"/>
      <c r="H627" s="539"/>
      <c r="I627" s="372">
        <f t="shared" si="100"/>
        <v>0</v>
      </c>
      <c r="J627" s="372">
        <f>'D2 SUTM'!K42</f>
        <v>1754610</v>
      </c>
      <c r="K627" s="372">
        <v>252700</v>
      </c>
      <c r="L627" s="372">
        <f t="shared" si="101"/>
        <v>0</v>
      </c>
      <c r="M627" s="372">
        <f t="shared" si="102"/>
        <v>0</v>
      </c>
      <c r="N627" s="460">
        <f t="shared" si="103"/>
        <v>0</v>
      </c>
    </row>
    <row r="628" spans="1:14" ht="13.2" customHeight="1" x14ac:dyDescent="0.3">
      <c r="A628" s="365">
        <f t="shared" si="104"/>
        <v>4</v>
      </c>
      <c r="B628" s="370" t="s">
        <v>798</v>
      </c>
      <c r="C628" s="371"/>
      <c r="D628" s="371"/>
      <c r="E628" s="367" t="s">
        <v>399</v>
      </c>
      <c r="F628" s="527"/>
      <c r="G628" s="527"/>
      <c r="H628" s="539"/>
      <c r="I628" s="372">
        <f t="shared" si="100"/>
        <v>0</v>
      </c>
      <c r="J628" s="372">
        <f>'D2 SUTM'!K42</f>
        <v>1754610</v>
      </c>
      <c r="K628" s="372">
        <v>252700</v>
      </c>
      <c r="L628" s="372">
        <f t="shared" si="101"/>
        <v>0</v>
      </c>
      <c r="M628" s="372">
        <f t="shared" si="102"/>
        <v>0</v>
      </c>
      <c r="N628" s="460">
        <f t="shared" si="103"/>
        <v>0</v>
      </c>
    </row>
    <row r="629" spans="1:14" ht="13.2" customHeight="1" x14ac:dyDescent="0.3">
      <c r="A629" s="365">
        <f t="shared" si="104"/>
        <v>5</v>
      </c>
      <c r="B629" s="370" t="s">
        <v>799</v>
      </c>
      <c r="C629" s="371"/>
      <c r="D629" s="371"/>
      <c r="E629" s="367" t="s">
        <v>399</v>
      </c>
      <c r="F629" s="527"/>
      <c r="G629" s="527"/>
      <c r="H629" s="539"/>
      <c r="I629" s="372">
        <f t="shared" si="100"/>
        <v>0</v>
      </c>
      <c r="J629" s="372">
        <f>'D2 SUTM'!K54</f>
        <v>1722410</v>
      </c>
      <c r="K629" s="372">
        <v>252700</v>
      </c>
      <c r="L629" s="372">
        <f t="shared" si="101"/>
        <v>0</v>
      </c>
      <c r="M629" s="372">
        <f t="shared" si="102"/>
        <v>0</v>
      </c>
      <c r="N629" s="460">
        <f t="shared" si="103"/>
        <v>0</v>
      </c>
    </row>
    <row r="630" spans="1:14" ht="13.2" customHeight="1" x14ac:dyDescent="0.3">
      <c r="A630" s="365">
        <f t="shared" si="104"/>
        <v>6</v>
      </c>
      <c r="B630" s="370" t="s">
        <v>828</v>
      </c>
      <c r="C630" s="371"/>
      <c r="D630" s="371"/>
      <c r="E630" s="367" t="s">
        <v>399</v>
      </c>
      <c r="F630" s="527"/>
      <c r="G630" s="527"/>
      <c r="H630" s="539"/>
      <c r="I630" s="372">
        <f t="shared" si="100"/>
        <v>0</v>
      </c>
      <c r="J630" s="372">
        <f>'D2 SUTM'!K64</f>
        <v>1687910</v>
      </c>
      <c r="K630" s="372">
        <v>252700</v>
      </c>
      <c r="L630" s="372">
        <f t="shared" si="101"/>
        <v>0</v>
      </c>
      <c r="M630" s="372">
        <f t="shared" si="102"/>
        <v>0</v>
      </c>
      <c r="N630" s="460">
        <f t="shared" si="103"/>
        <v>0</v>
      </c>
    </row>
    <row r="631" spans="1:14" ht="13.2" customHeight="1" x14ac:dyDescent="0.3">
      <c r="A631" s="365">
        <f t="shared" si="104"/>
        <v>7</v>
      </c>
      <c r="B631" s="370" t="s">
        <v>829</v>
      </c>
      <c r="C631" s="371"/>
      <c r="D631" s="371"/>
      <c r="E631" s="367" t="s">
        <v>399</v>
      </c>
      <c r="F631" s="527"/>
      <c r="G631" s="527"/>
      <c r="H631" s="539"/>
      <c r="I631" s="372">
        <f t="shared" si="100"/>
        <v>0</v>
      </c>
      <c r="J631" s="372">
        <f>'D2 SUTM'!K74</f>
        <v>1676410</v>
      </c>
      <c r="K631" s="372">
        <v>252700</v>
      </c>
      <c r="L631" s="372">
        <f t="shared" si="101"/>
        <v>0</v>
      </c>
      <c r="M631" s="372">
        <f t="shared" si="102"/>
        <v>0</v>
      </c>
      <c r="N631" s="460">
        <f t="shared" si="103"/>
        <v>0</v>
      </c>
    </row>
    <row r="632" spans="1:14" ht="13.2" customHeight="1" x14ac:dyDescent="0.3">
      <c r="A632" s="365">
        <f t="shared" si="104"/>
        <v>8</v>
      </c>
      <c r="B632" s="370" t="s">
        <v>830</v>
      </c>
      <c r="C632" s="371"/>
      <c r="D632" s="371"/>
      <c r="E632" s="367" t="s">
        <v>399</v>
      </c>
      <c r="F632" s="527"/>
      <c r="G632" s="527"/>
      <c r="H632" s="539"/>
      <c r="I632" s="372">
        <f t="shared" si="100"/>
        <v>0</v>
      </c>
      <c r="J632" s="372">
        <f>'D2 SUTM'!K84</f>
        <v>1615460</v>
      </c>
      <c r="K632" s="372">
        <v>252700</v>
      </c>
      <c r="L632" s="372">
        <f t="shared" si="101"/>
        <v>0</v>
      </c>
      <c r="M632" s="372">
        <f t="shared" si="102"/>
        <v>0</v>
      </c>
      <c r="N632" s="460">
        <f t="shared" si="103"/>
        <v>0</v>
      </c>
    </row>
    <row r="633" spans="1:14" ht="13.2" customHeight="1" x14ac:dyDescent="0.3">
      <c r="A633" s="365">
        <f t="shared" si="104"/>
        <v>9</v>
      </c>
      <c r="B633" s="370" t="s">
        <v>831</v>
      </c>
      <c r="C633" s="371"/>
      <c r="D633" s="371"/>
      <c r="E633" s="367" t="s">
        <v>399</v>
      </c>
      <c r="F633" s="527"/>
      <c r="G633" s="527"/>
      <c r="H633" s="539"/>
      <c r="I633" s="372">
        <f t="shared" si="100"/>
        <v>0</v>
      </c>
      <c r="J633" s="372">
        <f>'D2 SUTM'!K84</f>
        <v>1615460</v>
      </c>
      <c r="K633" s="372">
        <v>252700</v>
      </c>
      <c r="L633" s="372">
        <f t="shared" si="101"/>
        <v>0</v>
      </c>
      <c r="M633" s="372">
        <f t="shared" si="102"/>
        <v>0</v>
      </c>
      <c r="N633" s="460">
        <f t="shared" si="103"/>
        <v>0</v>
      </c>
    </row>
    <row r="634" spans="1:14" ht="13.2" customHeight="1" x14ac:dyDescent="0.3">
      <c r="A634" s="365">
        <f t="shared" si="104"/>
        <v>10</v>
      </c>
      <c r="B634" s="370" t="s">
        <v>832</v>
      </c>
      <c r="C634" s="371"/>
      <c r="D634" s="371"/>
      <c r="E634" s="367" t="s">
        <v>399</v>
      </c>
      <c r="F634" s="527"/>
      <c r="G634" s="527"/>
      <c r="H634" s="539"/>
      <c r="I634" s="372">
        <f t="shared" si="100"/>
        <v>0</v>
      </c>
      <c r="J634" s="372">
        <f>'D2 SUTM'!K94</f>
        <v>1583260</v>
      </c>
      <c r="K634" s="372">
        <v>252700</v>
      </c>
      <c r="L634" s="372">
        <f t="shared" si="101"/>
        <v>0</v>
      </c>
      <c r="M634" s="372">
        <f t="shared" si="102"/>
        <v>0</v>
      </c>
      <c r="N634" s="460">
        <f t="shared" si="103"/>
        <v>0</v>
      </c>
    </row>
    <row r="635" spans="1:14" ht="13.2" customHeight="1" x14ac:dyDescent="0.3">
      <c r="A635" s="365">
        <f t="shared" si="104"/>
        <v>11</v>
      </c>
      <c r="B635" s="370" t="s">
        <v>803</v>
      </c>
      <c r="C635" s="371"/>
      <c r="D635" s="371"/>
      <c r="E635" s="367" t="s">
        <v>399</v>
      </c>
      <c r="F635" s="527"/>
      <c r="G635" s="539"/>
      <c r="H635" s="539"/>
      <c r="I635" s="372">
        <f t="shared" si="100"/>
        <v>0</v>
      </c>
      <c r="J635" s="372">
        <f>'D2 SUTM'!K108</f>
        <v>3519290</v>
      </c>
      <c r="K635" s="372">
        <v>364830</v>
      </c>
      <c r="L635" s="372">
        <f t="shared" si="101"/>
        <v>0</v>
      </c>
      <c r="M635" s="372">
        <f t="shared" si="102"/>
        <v>0</v>
      </c>
      <c r="N635" s="460">
        <f t="shared" si="103"/>
        <v>0</v>
      </c>
    </row>
    <row r="636" spans="1:14" ht="13.2" customHeight="1" x14ac:dyDescent="0.3">
      <c r="A636" s="365">
        <f t="shared" si="104"/>
        <v>12</v>
      </c>
      <c r="B636" s="370" t="s">
        <v>815</v>
      </c>
      <c r="C636" s="371"/>
      <c r="D636" s="371"/>
      <c r="E636" s="367" t="s">
        <v>399</v>
      </c>
      <c r="F636" s="527"/>
      <c r="G636" s="539"/>
      <c r="H636" s="539"/>
      <c r="I636" s="372">
        <f t="shared" si="100"/>
        <v>0</v>
      </c>
      <c r="J636" s="372">
        <f>'D2 SUTM'!K122</f>
        <v>3545740</v>
      </c>
      <c r="K636" s="372">
        <v>364830</v>
      </c>
      <c r="L636" s="372">
        <f t="shared" si="101"/>
        <v>0</v>
      </c>
      <c r="M636" s="372">
        <f t="shared" si="102"/>
        <v>0</v>
      </c>
      <c r="N636" s="460">
        <f t="shared" si="103"/>
        <v>0</v>
      </c>
    </row>
    <row r="637" spans="1:14" ht="13.2" customHeight="1" x14ac:dyDescent="0.3">
      <c r="A637" s="365">
        <f t="shared" si="104"/>
        <v>13</v>
      </c>
      <c r="B637" s="370" t="s">
        <v>816</v>
      </c>
      <c r="C637" s="371"/>
      <c r="D637" s="371"/>
      <c r="E637" s="367" t="s">
        <v>399</v>
      </c>
      <c r="F637" s="527"/>
      <c r="G637" s="539"/>
      <c r="H637" s="539"/>
      <c r="I637" s="372">
        <f t="shared" si="100"/>
        <v>0</v>
      </c>
      <c r="J637" s="372">
        <f>'D2 SUTM'!K136</f>
        <v>3473290</v>
      </c>
      <c r="K637" s="372">
        <v>364830</v>
      </c>
      <c r="L637" s="372">
        <f t="shared" si="101"/>
        <v>0</v>
      </c>
      <c r="M637" s="372">
        <f t="shared" si="102"/>
        <v>0</v>
      </c>
      <c r="N637" s="460">
        <f t="shared" si="103"/>
        <v>0</v>
      </c>
    </row>
    <row r="638" spans="1:14" ht="13.2" customHeight="1" x14ac:dyDescent="0.3">
      <c r="A638" s="365">
        <f t="shared" si="104"/>
        <v>14</v>
      </c>
      <c r="B638" s="370" t="s">
        <v>817</v>
      </c>
      <c r="C638" s="371"/>
      <c r="D638" s="371"/>
      <c r="E638" s="367" t="s">
        <v>399</v>
      </c>
      <c r="F638" s="527"/>
      <c r="G638" s="539"/>
      <c r="H638" s="539"/>
      <c r="I638" s="372">
        <f t="shared" si="100"/>
        <v>0</v>
      </c>
      <c r="J638" s="372">
        <f>'D2 SUTM'!K136</f>
        <v>3473290</v>
      </c>
      <c r="K638" s="372">
        <v>364830</v>
      </c>
      <c r="L638" s="372">
        <f t="shared" si="101"/>
        <v>0</v>
      </c>
      <c r="M638" s="372">
        <f t="shared" si="102"/>
        <v>0</v>
      </c>
      <c r="N638" s="460">
        <f t="shared" si="103"/>
        <v>0</v>
      </c>
    </row>
    <row r="639" spans="1:14" ht="13.2" customHeight="1" x14ac:dyDescent="0.3">
      <c r="A639" s="365">
        <f t="shared" ref="A639:A654" si="105">A638+1</f>
        <v>15</v>
      </c>
      <c r="B639" s="370" t="s">
        <v>818</v>
      </c>
      <c r="C639" s="371"/>
      <c r="D639" s="371"/>
      <c r="E639" s="367" t="s">
        <v>399</v>
      </c>
      <c r="F639" s="527"/>
      <c r="G639" s="539"/>
      <c r="H639" s="539"/>
      <c r="I639" s="372">
        <f t="shared" si="100"/>
        <v>0</v>
      </c>
      <c r="J639" s="372">
        <f>'D2 SUTM'!K150</f>
        <v>3435340</v>
      </c>
      <c r="K639" s="372">
        <v>364830</v>
      </c>
      <c r="L639" s="372">
        <f t="shared" si="101"/>
        <v>0</v>
      </c>
      <c r="M639" s="372">
        <f t="shared" si="102"/>
        <v>0</v>
      </c>
      <c r="N639" s="460">
        <f t="shared" si="103"/>
        <v>0</v>
      </c>
    </row>
    <row r="640" spans="1:14" ht="13.2" customHeight="1" x14ac:dyDescent="0.3">
      <c r="A640" s="365">
        <f t="shared" si="105"/>
        <v>16</v>
      </c>
      <c r="B640" s="370" t="s">
        <v>819</v>
      </c>
      <c r="C640" s="371"/>
      <c r="D640" s="371"/>
      <c r="E640" s="367" t="s">
        <v>399</v>
      </c>
      <c r="F640" s="527"/>
      <c r="G640" s="527"/>
      <c r="H640" s="539"/>
      <c r="I640" s="372">
        <f t="shared" si="100"/>
        <v>0</v>
      </c>
      <c r="J640" s="372">
        <f>'D2 SUTM'!K164</f>
        <v>3519290</v>
      </c>
      <c r="K640" s="372">
        <v>364830</v>
      </c>
      <c r="L640" s="372">
        <f t="shared" si="101"/>
        <v>0</v>
      </c>
      <c r="M640" s="372">
        <f t="shared" si="102"/>
        <v>0</v>
      </c>
      <c r="N640" s="460">
        <f t="shared" si="103"/>
        <v>0</v>
      </c>
    </row>
    <row r="641" spans="1:14" ht="13.2" customHeight="1" x14ac:dyDescent="0.3">
      <c r="A641" s="365">
        <f t="shared" si="105"/>
        <v>17</v>
      </c>
      <c r="B641" s="370" t="s">
        <v>824</v>
      </c>
      <c r="C641" s="371"/>
      <c r="D641" s="371"/>
      <c r="E641" s="367" t="s">
        <v>399</v>
      </c>
      <c r="F641" s="527"/>
      <c r="G641" s="527"/>
      <c r="H641" s="539"/>
      <c r="I641" s="372">
        <f t="shared" si="100"/>
        <v>0</v>
      </c>
      <c r="J641" s="372">
        <f>'D2 SUTM'!K178</f>
        <v>3545740</v>
      </c>
      <c r="K641" s="372">
        <v>364830</v>
      </c>
      <c r="L641" s="372">
        <f t="shared" si="101"/>
        <v>0</v>
      </c>
      <c r="M641" s="372">
        <f t="shared" si="102"/>
        <v>0</v>
      </c>
      <c r="N641" s="460">
        <f t="shared" si="103"/>
        <v>0</v>
      </c>
    </row>
    <row r="642" spans="1:14" ht="13.2" customHeight="1" x14ac:dyDescent="0.3">
      <c r="A642" s="365">
        <f t="shared" si="105"/>
        <v>18</v>
      </c>
      <c r="B642" s="370" t="s">
        <v>825</v>
      </c>
      <c r="C642" s="371"/>
      <c r="D642" s="371"/>
      <c r="E642" s="367" t="s">
        <v>399</v>
      </c>
      <c r="F642" s="527"/>
      <c r="G642" s="527"/>
      <c r="H642" s="539"/>
      <c r="I642" s="372">
        <f t="shared" si="100"/>
        <v>0</v>
      </c>
      <c r="J642" s="372">
        <f>'D2 SUTM'!K192</f>
        <v>3473290</v>
      </c>
      <c r="K642" s="372">
        <v>364830</v>
      </c>
      <c r="L642" s="372">
        <f t="shared" si="101"/>
        <v>0</v>
      </c>
      <c r="M642" s="372">
        <f t="shared" si="102"/>
        <v>0</v>
      </c>
      <c r="N642" s="460">
        <f t="shared" si="103"/>
        <v>0</v>
      </c>
    </row>
    <row r="643" spans="1:14" ht="13.2" customHeight="1" x14ac:dyDescent="0.3">
      <c r="A643" s="365">
        <f t="shared" si="105"/>
        <v>19</v>
      </c>
      <c r="B643" s="370" t="s">
        <v>826</v>
      </c>
      <c r="C643" s="371"/>
      <c r="D643" s="371"/>
      <c r="E643" s="367" t="s">
        <v>399</v>
      </c>
      <c r="F643" s="527"/>
      <c r="G643" s="527"/>
      <c r="H643" s="539"/>
      <c r="I643" s="372">
        <f t="shared" si="100"/>
        <v>0</v>
      </c>
      <c r="J643" s="372">
        <f>'D2 SUTM'!K192</f>
        <v>3473290</v>
      </c>
      <c r="K643" s="372">
        <v>364830</v>
      </c>
      <c r="L643" s="372">
        <f t="shared" si="101"/>
        <v>0</v>
      </c>
      <c r="M643" s="372">
        <f t="shared" si="102"/>
        <v>0</v>
      </c>
      <c r="N643" s="460">
        <f t="shared" si="103"/>
        <v>0</v>
      </c>
    </row>
    <row r="644" spans="1:14" ht="13.2" customHeight="1" x14ac:dyDescent="0.3">
      <c r="A644" s="365">
        <f t="shared" si="105"/>
        <v>20</v>
      </c>
      <c r="B644" s="370" t="s">
        <v>827</v>
      </c>
      <c r="C644" s="371"/>
      <c r="D644" s="371"/>
      <c r="E644" s="367" t="s">
        <v>399</v>
      </c>
      <c r="F644" s="527"/>
      <c r="G644" s="527"/>
      <c r="H644" s="539"/>
      <c r="I644" s="372">
        <f t="shared" si="100"/>
        <v>0</v>
      </c>
      <c r="J644" s="372">
        <f>'D2 SUTM'!K206</f>
        <v>3435340</v>
      </c>
      <c r="K644" s="372">
        <v>364830</v>
      </c>
      <c r="L644" s="372">
        <f t="shared" si="101"/>
        <v>0</v>
      </c>
      <c r="M644" s="372">
        <f t="shared" si="102"/>
        <v>0</v>
      </c>
      <c r="N644" s="460">
        <f t="shared" si="103"/>
        <v>0</v>
      </c>
    </row>
    <row r="645" spans="1:14" ht="13.2" customHeight="1" x14ac:dyDescent="0.3">
      <c r="A645" s="365">
        <f t="shared" si="105"/>
        <v>21</v>
      </c>
      <c r="B645" s="370" t="s">
        <v>1036</v>
      </c>
      <c r="C645" s="371"/>
      <c r="D645" s="371"/>
      <c r="E645" s="367" t="s">
        <v>399</v>
      </c>
      <c r="F645" s="527"/>
      <c r="G645" s="527"/>
      <c r="H645" s="539"/>
      <c r="I645" s="372">
        <f t="shared" si="100"/>
        <v>0</v>
      </c>
      <c r="J645" s="372">
        <f>'D2 SUTM'!K216</f>
        <v>6586050</v>
      </c>
      <c r="K645" s="372">
        <v>595970</v>
      </c>
      <c r="L645" s="372">
        <f t="shared" si="101"/>
        <v>0</v>
      </c>
      <c r="M645" s="372">
        <f t="shared" si="102"/>
        <v>0</v>
      </c>
      <c r="N645" s="460">
        <f t="shared" si="103"/>
        <v>0</v>
      </c>
    </row>
    <row r="646" spans="1:14" ht="13.2" customHeight="1" x14ac:dyDescent="0.3">
      <c r="A646" s="365">
        <f t="shared" si="105"/>
        <v>22</v>
      </c>
      <c r="B646" s="370" t="s">
        <v>1037</v>
      </c>
      <c r="C646" s="371"/>
      <c r="D646" s="371"/>
      <c r="E646" s="367" t="s">
        <v>399</v>
      </c>
      <c r="F646" s="527"/>
      <c r="G646" s="527"/>
      <c r="H646" s="539"/>
      <c r="I646" s="372">
        <f t="shared" si="100"/>
        <v>0</v>
      </c>
      <c r="J646" s="372">
        <f>'D2 SUTM'!K226</f>
        <v>6652750</v>
      </c>
      <c r="K646" s="372">
        <v>595970</v>
      </c>
      <c r="L646" s="372">
        <f t="shared" si="101"/>
        <v>0</v>
      </c>
      <c r="M646" s="372">
        <f t="shared" si="102"/>
        <v>0</v>
      </c>
      <c r="N646" s="460">
        <f t="shared" si="103"/>
        <v>0</v>
      </c>
    </row>
    <row r="647" spans="1:14" ht="13.2" customHeight="1" x14ac:dyDescent="0.3">
      <c r="A647" s="365">
        <f t="shared" si="105"/>
        <v>23</v>
      </c>
      <c r="B647" s="370" t="s">
        <v>1045</v>
      </c>
      <c r="C647" s="371"/>
      <c r="D647" s="371"/>
      <c r="E647" s="367" t="s">
        <v>399</v>
      </c>
      <c r="F647" s="527"/>
      <c r="G647" s="527"/>
      <c r="H647" s="539"/>
      <c r="I647" s="372">
        <f t="shared" si="100"/>
        <v>0</v>
      </c>
      <c r="J647" s="372">
        <f>'D2 SUTM'!K236</f>
        <v>6517050</v>
      </c>
      <c r="K647" s="372">
        <v>595970</v>
      </c>
      <c r="L647" s="372">
        <f t="shared" si="101"/>
        <v>0</v>
      </c>
      <c r="M647" s="372">
        <f t="shared" si="102"/>
        <v>0</v>
      </c>
      <c r="N647" s="460">
        <f t="shared" si="103"/>
        <v>0</v>
      </c>
    </row>
    <row r="648" spans="1:14" ht="13.2" customHeight="1" x14ac:dyDescent="0.3">
      <c r="A648" s="365">
        <f t="shared" si="105"/>
        <v>24</v>
      </c>
      <c r="B648" s="370" t="s">
        <v>1038</v>
      </c>
      <c r="C648" s="371"/>
      <c r="D648" s="371"/>
      <c r="E648" s="367" t="s">
        <v>399</v>
      </c>
      <c r="F648" s="527"/>
      <c r="G648" s="527"/>
      <c r="H648" s="539"/>
      <c r="I648" s="372">
        <f t="shared" si="100"/>
        <v>0</v>
      </c>
      <c r="J648" s="372">
        <f>'D2 SUTM'!K236</f>
        <v>6517050</v>
      </c>
      <c r="K648" s="372">
        <v>595970</v>
      </c>
      <c r="L648" s="372">
        <f t="shared" si="101"/>
        <v>0</v>
      </c>
      <c r="M648" s="372">
        <f t="shared" si="102"/>
        <v>0</v>
      </c>
      <c r="N648" s="460">
        <f t="shared" si="103"/>
        <v>0</v>
      </c>
    </row>
    <row r="649" spans="1:14" ht="13.2" customHeight="1" x14ac:dyDescent="0.3">
      <c r="A649" s="365">
        <f t="shared" si="105"/>
        <v>25</v>
      </c>
      <c r="B649" s="370" t="s">
        <v>1039</v>
      </c>
      <c r="C649" s="371"/>
      <c r="D649" s="371"/>
      <c r="E649" s="367" t="s">
        <v>399</v>
      </c>
      <c r="F649" s="527"/>
      <c r="G649" s="527"/>
      <c r="H649" s="539"/>
      <c r="I649" s="372">
        <f t="shared" si="100"/>
        <v>0</v>
      </c>
      <c r="J649" s="372">
        <f>'D2 SUTM'!K246</f>
        <v>6445750</v>
      </c>
      <c r="K649" s="372">
        <v>595970</v>
      </c>
      <c r="L649" s="372">
        <f t="shared" si="101"/>
        <v>0</v>
      </c>
      <c r="M649" s="372">
        <f t="shared" si="102"/>
        <v>0</v>
      </c>
      <c r="N649" s="460">
        <f t="shared" si="103"/>
        <v>0</v>
      </c>
    </row>
    <row r="650" spans="1:14" ht="13.2" customHeight="1" x14ac:dyDescent="0.3">
      <c r="A650" s="365">
        <f t="shared" si="105"/>
        <v>26</v>
      </c>
      <c r="B650" s="370" t="s">
        <v>1040</v>
      </c>
      <c r="C650" s="371"/>
      <c r="D650" s="371"/>
      <c r="E650" s="367" t="s">
        <v>399</v>
      </c>
      <c r="F650" s="527"/>
      <c r="G650" s="527"/>
      <c r="H650" s="539"/>
      <c r="I650" s="372">
        <f t="shared" si="100"/>
        <v>0</v>
      </c>
      <c r="J650" s="372">
        <f>'D2 SUTM'!K256</f>
        <v>3715650</v>
      </c>
      <c r="K650" s="372">
        <v>510830</v>
      </c>
      <c r="L650" s="372">
        <f t="shared" si="101"/>
        <v>0</v>
      </c>
      <c r="M650" s="372">
        <f t="shared" si="102"/>
        <v>0</v>
      </c>
      <c r="N650" s="460">
        <f t="shared" si="103"/>
        <v>0</v>
      </c>
    </row>
    <row r="651" spans="1:14" ht="13.2" customHeight="1" x14ac:dyDescent="0.3">
      <c r="A651" s="365">
        <f t="shared" si="105"/>
        <v>27</v>
      </c>
      <c r="B651" s="370" t="s">
        <v>1041</v>
      </c>
      <c r="C651" s="371"/>
      <c r="D651" s="371"/>
      <c r="E651" s="367" t="s">
        <v>399</v>
      </c>
      <c r="F651" s="527"/>
      <c r="G651" s="527"/>
      <c r="H651" s="539"/>
      <c r="I651" s="372">
        <f t="shared" si="100"/>
        <v>0</v>
      </c>
      <c r="J651" s="372">
        <f>'D2 SUTM'!K266</f>
        <v>3749000</v>
      </c>
      <c r="K651" s="372">
        <v>510830</v>
      </c>
      <c r="L651" s="372">
        <f t="shared" si="101"/>
        <v>0</v>
      </c>
      <c r="M651" s="372">
        <f t="shared" si="102"/>
        <v>0</v>
      </c>
      <c r="N651" s="460">
        <f t="shared" si="103"/>
        <v>0</v>
      </c>
    </row>
    <row r="652" spans="1:14" ht="13.2" customHeight="1" x14ac:dyDescent="0.3">
      <c r="A652" s="365">
        <f t="shared" si="105"/>
        <v>28</v>
      </c>
      <c r="B652" s="370" t="s">
        <v>1042</v>
      </c>
      <c r="C652" s="371"/>
      <c r="D652" s="371"/>
      <c r="E652" s="367" t="s">
        <v>399</v>
      </c>
      <c r="F652" s="527"/>
      <c r="G652" s="527"/>
      <c r="H652" s="539"/>
      <c r="I652" s="372">
        <f t="shared" si="100"/>
        <v>0</v>
      </c>
      <c r="J652" s="372">
        <f>'D2 SUTM'!K276</f>
        <v>3681150</v>
      </c>
      <c r="K652" s="372">
        <v>510830</v>
      </c>
      <c r="L652" s="372">
        <f t="shared" si="101"/>
        <v>0</v>
      </c>
      <c r="M652" s="372">
        <f t="shared" si="102"/>
        <v>0</v>
      </c>
      <c r="N652" s="460">
        <f t="shared" si="103"/>
        <v>0</v>
      </c>
    </row>
    <row r="653" spans="1:14" ht="13.2" customHeight="1" x14ac:dyDescent="0.3">
      <c r="A653" s="365">
        <f t="shared" si="105"/>
        <v>29</v>
      </c>
      <c r="B653" s="370" t="s">
        <v>1043</v>
      </c>
      <c r="C653" s="371"/>
      <c r="D653" s="371"/>
      <c r="E653" s="367" t="s">
        <v>399</v>
      </c>
      <c r="F653" s="527"/>
      <c r="G653" s="527"/>
      <c r="H653" s="539"/>
      <c r="I653" s="372">
        <f t="shared" si="100"/>
        <v>0</v>
      </c>
      <c r="J653" s="372">
        <f>'D2 SUTM'!K276</f>
        <v>3681150</v>
      </c>
      <c r="K653" s="372">
        <v>510830</v>
      </c>
      <c r="L653" s="372">
        <f t="shared" si="101"/>
        <v>0</v>
      </c>
      <c r="M653" s="372">
        <f t="shared" si="102"/>
        <v>0</v>
      </c>
      <c r="N653" s="460">
        <f t="shared" si="103"/>
        <v>0</v>
      </c>
    </row>
    <row r="654" spans="1:14" ht="13.2" customHeight="1" x14ac:dyDescent="0.3">
      <c r="A654" s="365">
        <f t="shared" si="105"/>
        <v>30</v>
      </c>
      <c r="B654" s="370" t="s">
        <v>1044</v>
      </c>
      <c r="C654" s="371"/>
      <c r="D654" s="371"/>
      <c r="E654" s="367" t="s">
        <v>399</v>
      </c>
      <c r="F654" s="527"/>
      <c r="G654" s="527"/>
      <c r="H654" s="539"/>
      <c r="I654" s="372">
        <f t="shared" si="100"/>
        <v>0</v>
      </c>
      <c r="J654" s="372">
        <f>'D2 SUTM'!K286</f>
        <v>3645500</v>
      </c>
      <c r="K654" s="372">
        <v>510830</v>
      </c>
      <c r="L654" s="372">
        <f t="shared" si="101"/>
        <v>0</v>
      </c>
      <c r="M654" s="372">
        <f t="shared" si="102"/>
        <v>0</v>
      </c>
      <c r="N654" s="460">
        <f t="shared" si="103"/>
        <v>0</v>
      </c>
    </row>
    <row r="655" spans="1:14" ht="14.4" customHeight="1" x14ac:dyDescent="0.3">
      <c r="A655" s="485"/>
      <c r="B655" s="497" t="s">
        <v>1715</v>
      </c>
      <c r="C655" s="487"/>
      <c r="D655" s="487"/>
      <c r="E655" s="488"/>
      <c r="F655" s="540"/>
      <c r="G655" s="540"/>
      <c r="H655" s="540"/>
      <c r="I655" s="489"/>
      <c r="J655" s="492"/>
      <c r="K655" s="492"/>
      <c r="L655" s="543">
        <f t="shared" ref="L655:N655" si="106">SUM(L625:L654)</f>
        <v>0</v>
      </c>
      <c r="M655" s="543">
        <f t="shared" si="106"/>
        <v>0</v>
      </c>
      <c r="N655" s="544">
        <f t="shared" si="106"/>
        <v>0</v>
      </c>
    </row>
    <row r="657" spans="1:14" ht="15" customHeight="1" x14ac:dyDescent="0.3">
      <c r="A657" s="495" t="s">
        <v>618</v>
      </c>
      <c r="B657" s="478" t="s">
        <v>1449</v>
      </c>
      <c r="C657" s="480"/>
      <c r="D657" s="480"/>
      <c r="E657" s="493"/>
      <c r="F657" s="568"/>
      <c r="G657" s="568"/>
      <c r="H657" s="568"/>
      <c r="I657" s="483"/>
      <c r="J657" s="494"/>
      <c r="K657" s="494"/>
      <c r="L657" s="494"/>
      <c r="M657" s="494"/>
      <c r="N657" s="546"/>
    </row>
    <row r="658" spans="1:14" ht="13.2" customHeight="1" x14ac:dyDescent="0.3">
      <c r="A658" s="365">
        <v>1</v>
      </c>
      <c r="B658" s="370" t="s">
        <v>1236</v>
      </c>
      <c r="C658" s="371"/>
      <c r="D658" s="371"/>
      <c r="E658" s="367" t="s">
        <v>399</v>
      </c>
      <c r="F658" s="527"/>
      <c r="G658" s="539"/>
      <c r="H658" s="539"/>
      <c r="I658" s="372">
        <f t="shared" ref="I658:I721" si="107">SUM(F658:H658)</f>
        <v>0</v>
      </c>
      <c r="J658" s="372">
        <f>'D3 SKUTM'!K14</f>
        <v>383530</v>
      </c>
      <c r="K658" s="372">
        <v>178150</v>
      </c>
      <c r="L658" s="372">
        <f t="shared" ref="L658:L689" si="108">J658*I658</f>
        <v>0</v>
      </c>
      <c r="M658" s="372">
        <f t="shared" ref="M658:M689" si="109">K658*I658</f>
        <v>0</v>
      </c>
      <c r="N658" s="460">
        <f t="shared" ref="N658:N721" si="110">SUM(L658:M658)</f>
        <v>0</v>
      </c>
    </row>
    <row r="659" spans="1:14" ht="13.2" customHeight="1" x14ac:dyDescent="0.3">
      <c r="A659" s="365">
        <f>A658+1</f>
        <v>2</v>
      </c>
      <c r="B659" s="370" t="s">
        <v>1243</v>
      </c>
      <c r="C659" s="371"/>
      <c r="D659" s="371"/>
      <c r="E659" s="367" t="s">
        <v>399</v>
      </c>
      <c r="F659" s="527"/>
      <c r="G659" s="539"/>
      <c r="H659" s="539"/>
      <c r="I659" s="372">
        <f t="shared" si="107"/>
        <v>0</v>
      </c>
      <c r="J659" s="372">
        <f>'D3 SKUTM'!K22</f>
        <v>404800</v>
      </c>
      <c r="K659" s="372">
        <v>178150</v>
      </c>
      <c r="L659" s="372">
        <f t="shared" si="108"/>
        <v>0</v>
      </c>
      <c r="M659" s="372">
        <f t="shared" si="109"/>
        <v>0</v>
      </c>
      <c r="N659" s="460">
        <f t="shared" si="110"/>
        <v>0</v>
      </c>
    </row>
    <row r="660" spans="1:14" ht="13.2" customHeight="1" x14ac:dyDescent="0.3">
      <c r="A660" s="365">
        <f t="shared" ref="A660:A723" si="111">A659+1</f>
        <v>3</v>
      </c>
      <c r="B660" s="370" t="s">
        <v>1244</v>
      </c>
      <c r="C660" s="371"/>
      <c r="D660" s="371"/>
      <c r="E660" s="367" t="s">
        <v>399</v>
      </c>
      <c r="F660" s="527"/>
      <c r="G660" s="539"/>
      <c r="H660" s="539"/>
      <c r="I660" s="372">
        <f t="shared" si="107"/>
        <v>0</v>
      </c>
      <c r="J660" s="372">
        <f>'D3 SKUTM'!K30</f>
        <v>361680</v>
      </c>
      <c r="K660" s="372">
        <v>178150</v>
      </c>
      <c r="L660" s="372">
        <f t="shared" si="108"/>
        <v>0</v>
      </c>
      <c r="M660" s="372">
        <f t="shared" si="109"/>
        <v>0</v>
      </c>
      <c r="N660" s="460">
        <f t="shared" si="110"/>
        <v>0</v>
      </c>
    </row>
    <row r="661" spans="1:14" ht="13.2" customHeight="1" x14ac:dyDescent="0.3">
      <c r="A661" s="365">
        <f t="shared" si="111"/>
        <v>4</v>
      </c>
      <c r="B661" s="370" t="s">
        <v>1245</v>
      </c>
      <c r="C661" s="371"/>
      <c r="D661" s="371"/>
      <c r="E661" s="367" t="s">
        <v>399</v>
      </c>
      <c r="F661" s="527"/>
      <c r="G661" s="539"/>
      <c r="H661" s="539"/>
      <c r="I661" s="372">
        <f t="shared" si="107"/>
        <v>0</v>
      </c>
      <c r="J661" s="372">
        <f>'D3 SKUTM'!K30</f>
        <v>361680</v>
      </c>
      <c r="K661" s="372">
        <v>178150</v>
      </c>
      <c r="L661" s="372">
        <f t="shared" si="108"/>
        <v>0</v>
      </c>
      <c r="M661" s="372">
        <f t="shared" si="109"/>
        <v>0</v>
      </c>
      <c r="N661" s="460">
        <f t="shared" si="110"/>
        <v>0</v>
      </c>
    </row>
    <row r="662" spans="1:14" ht="13.2" customHeight="1" x14ac:dyDescent="0.3">
      <c r="A662" s="365">
        <f t="shared" si="111"/>
        <v>5</v>
      </c>
      <c r="B662" s="370" t="s">
        <v>1246</v>
      </c>
      <c r="C662" s="371"/>
      <c r="D662" s="371"/>
      <c r="E662" s="367" t="s">
        <v>399</v>
      </c>
      <c r="F662" s="527"/>
      <c r="G662" s="539"/>
      <c r="H662" s="539"/>
      <c r="I662" s="372">
        <f t="shared" si="107"/>
        <v>0</v>
      </c>
      <c r="J662" s="372">
        <f>'D3 SKUTM'!K38</f>
        <v>339250</v>
      </c>
      <c r="K662" s="372">
        <v>178150</v>
      </c>
      <c r="L662" s="372">
        <f t="shared" si="108"/>
        <v>0</v>
      </c>
      <c r="M662" s="372">
        <f t="shared" si="109"/>
        <v>0</v>
      </c>
      <c r="N662" s="460">
        <f t="shared" si="110"/>
        <v>0</v>
      </c>
    </row>
    <row r="663" spans="1:14" ht="13.2" customHeight="1" x14ac:dyDescent="0.3">
      <c r="A663" s="365">
        <f t="shared" si="111"/>
        <v>6</v>
      </c>
      <c r="B663" s="370" t="s">
        <v>2297</v>
      </c>
      <c r="C663" s="371"/>
      <c r="D663" s="371"/>
      <c r="E663" s="367" t="s">
        <v>399</v>
      </c>
      <c r="F663" s="527"/>
      <c r="G663" s="539"/>
      <c r="H663" s="539"/>
      <c r="I663" s="372">
        <f t="shared" si="107"/>
        <v>0</v>
      </c>
      <c r="J663" s="372">
        <f>'D3 SKUTM'!K49</f>
        <v>1232500</v>
      </c>
      <c r="K663" s="372">
        <v>222680</v>
      </c>
      <c r="L663" s="372">
        <f t="shared" si="108"/>
        <v>0</v>
      </c>
      <c r="M663" s="372">
        <f t="shared" si="109"/>
        <v>0</v>
      </c>
      <c r="N663" s="460">
        <f t="shared" si="110"/>
        <v>0</v>
      </c>
    </row>
    <row r="664" spans="1:14" ht="13.2" customHeight="1" x14ac:dyDescent="0.3">
      <c r="A664" s="365">
        <f t="shared" si="111"/>
        <v>7</v>
      </c>
      <c r="B664" s="370" t="s">
        <v>2298</v>
      </c>
      <c r="C664" s="371"/>
      <c r="D664" s="371"/>
      <c r="E664" s="367" t="s">
        <v>399</v>
      </c>
      <c r="F664" s="527"/>
      <c r="G664" s="539"/>
      <c r="H664" s="539"/>
      <c r="I664" s="372">
        <f t="shared" si="107"/>
        <v>0</v>
      </c>
      <c r="J664" s="372">
        <f>'D3 SKUTM'!K60</f>
        <v>1253780</v>
      </c>
      <c r="K664" s="372">
        <v>222680</v>
      </c>
      <c r="L664" s="372">
        <f t="shared" si="108"/>
        <v>0</v>
      </c>
      <c r="M664" s="372">
        <f t="shared" si="109"/>
        <v>0</v>
      </c>
      <c r="N664" s="460">
        <f t="shared" si="110"/>
        <v>0</v>
      </c>
    </row>
    <row r="665" spans="1:14" ht="13.2" customHeight="1" x14ac:dyDescent="0.3">
      <c r="A665" s="365">
        <f t="shared" si="111"/>
        <v>8</v>
      </c>
      <c r="B665" s="370" t="s">
        <v>2036</v>
      </c>
      <c r="C665" s="371"/>
      <c r="D665" s="371"/>
      <c r="E665" s="367" t="s">
        <v>399</v>
      </c>
      <c r="F665" s="527"/>
      <c r="G665" s="539"/>
      <c r="H665" s="539"/>
      <c r="I665" s="372">
        <f t="shared" si="107"/>
        <v>0</v>
      </c>
      <c r="J665" s="372">
        <f>'D3 SKUTM'!K71</f>
        <v>1210650</v>
      </c>
      <c r="K665" s="372">
        <v>222680</v>
      </c>
      <c r="L665" s="372">
        <f t="shared" si="108"/>
        <v>0</v>
      </c>
      <c r="M665" s="372">
        <f t="shared" si="109"/>
        <v>0</v>
      </c>
      <c r="N665" s="460">
        <f t="shared" si="110"/>
        <v>0</v>
      </c>
    </row>
    <row r="666" spans="1:14" ht="13.2" customHeight="1" x14ac:dyDescent="0.3">
      <c r="A666" s="365">
        <f t="shared" si="111"/>
        <v>9</v>
      </c>
      <c r="B666" s="370" t="s">
        <v>2037</v>
      </c>
      <c r="C666" s="371"/>
      <c r="D666" s="371"/>
      <c r="E666" s="367" t="s">
        <v>399</v>
      </c>
      <c r="F666" s="527"/>
      <c r="G666" s="539"/>
      <c r="H666" s="539"/>
      <c r="I666" s="372">
        <f t="shared" si="107"/>
        <v>0</v>
      </c>
      <c r="J666" s="372">
        <f>'D3 SKUTM'!K71</f>
        <v>1210650</v>
      </c>
      <c r="K666" s="372">
        <v>222680</v>
      </c>
      <c r="L666" s="372">
        <f t="shared" si="108"/>
        <v>0</v>
      </c>
      <c r="M666" s="372">
        <f t="shared" si="109"/>
        <v>0</v>
      </c>
      <c r="N666" s="460">
        <f t="shared" si="110"/>
        <v>0</v>
      </c>
    </row>
    <row r="667" spans="1:14" ht="13.2" customHeight="1" x14ac:dyDescent="0.3">
      <c r="A667" s="365">
        <f t="shared" si="111"/>
        <v>10</v>
      </c>
      <c r="B667" s="370" t="s">
        <v>2038</v>
      </c>
      <c r="C667" s="371"/>
      <c r="D667" s="371"/>
      <c r="E667" s="367" t="s">
        <v>399</v>
      </c>
      <c r="F667" s="527"/>
      <c r="G667" s="539"/>
      <c r="H667" s="539"/>
      <c r="I667" s="372">
        <f t="shared" si="107"/>
        <v>0</v>
      </c>
      <c r="J667" s="372">
        <f>'D3 SKUTM'!K82</f>
        <v>1188230</v>
      </c>
      <c r="K667" s="372">
        <v>222680</v>
      </c>
      <c r="L667" s="372">
        <f t="shared" si="108"/>
        <v>0</v>
      </c>
      <c r="M667" s="372">
        <f t="shared" si="109"/>
        <v>0</v>
      </c>
      <c r="N667" s="460">
        <f t="shared" si="110"/>
        <v>0</v>
      </c>
    </row>
    <row r="668" spans="1:14" ht="13.2" customHeight="1" x14ac:dyDescent="0.3">
      <c r="A668" s="365">
        <f t="shared" si="111"/>
        <v>11</v>
      </c>
      <c r="B668" s="370" t="s">
        <v>2039</v>
      </c>
      <c r="C668" s="371"/>
      <c r="D668" s="371"/>
      <c r="E668" s="367" t="s">
        <v>399</v>
      </c>
      <c r="F668" s="527"/>
      <c r="G668" s="539"/>
      <c r="H668" s="539"/>
      <c r="I668" s="372">
        <f t="shared" si="107"/>
        <v>0</v>
      </c>
      <c r="J668" s="372">
        <f>'D3 SKUTM'!K93</f>
        <v>1289080</v>
      </c>
      <c r="K668" s="372">
        <v>222680</v>
      </c>
      <c r="L668" s="372">
        <f t="shared" si="108"/>
        <v>0</v>
      </c>
      <c r="M668" s="372">
        <f t="shared" si="109"/>
        <v>0</v>
      </c>
      <c r="N668" s="460">
        <f t="shared" si="110"/>
        <v>0</v>
      </c>
    </row>
    <row r="669" spans="1:14" ht="13.2" customHeight="1" x14ac:dyDescent="0.3">
      <c r="A669" s="365">
        <f t="shared" si="111"/>
        <v>12</v>
      </c>
      <c r="B669" s="370" t="s">
        <v>2040</v>
      </c>
      <c r="C669" s="371"/>
      <c r="D669" s="371"/>
      <c r="E669" s="367" t="s">
        <v>399</v>
      </c>
      <c r="F669" s="527"/>
      <c r="G669" s="539"/>
      <c r="H669" s="539"/>
      <c r="I669" s="372">
        <f t="shared" si="107"/>
        <v>0</v>
      </c>
      <c r="J669" s="372">
        <f>'D3 SKUTM'!K104</f>
        <v>1310360</v>
      </c>
      <c r="K669" s="372">
        <v>222680</v>
      </c>
      <c r="L669" s="372">
        <f t="shared" si="108"/>
        <v>0</v>
      </c>
      <c r="M669" s="372">
        <f t="shared" si="109"/>
        <v>0</v>
      </c>
      <c r="N669" s="460">
        <f t="shared" si="110"/>
        <v>0</v>
      </c>
    </row>
    <row r="670" spans="1:14" ht="13.2" customHeight="1" x14ac:dyDescent="0.3">
      <c r="A670" s="365">
        <f t="shared" si="111"/>
        <v>13</v>
      </c>
      <c r="B670" s="370" t="s">
        <v>2041</v>
      </c>
      <c r="C670" s="371"/>
      <c r="D670" s="371"/>
      <c r="E670" s="367" t="s">
        <v>399</v>
      </c>
      <c r="F670" s="527"/>
      <c r="G670" s="539"/>
      <c r="H670" s="539"/>
      <c r="I670" s="372">
        <f t="shared" si="107"/>
        <v>0</v>
      </c>
      <c r="J670" s="372">
        <f>'D3 SKUTM'!K115</f>
        <v>1267230</v>
      </c>
      <c r="K670" s="372">
        <v>222680</v>
      </c>
      <c r="L670" s="372">
        <f t="shared" si="108"/>
        <v>0</v>
      </c>
      <c r="M670" s="372">
        <f t="shared" si="109"/>
        <v>0</v>
      </c>
      <c r="N670" s="460">
        <f t="shared" si="110"/>
        <v>0</v>
      </c>
    </row>
    <row r="671" spans="1:14" ht="13.2" customHeight="1" x14ac:dyDescent="0.3">
      <c r="A671" s="365">
        <f t="shared" si="111"/>
        <v>14</v>
      </c>
      <c r="B671" s="370" t="s">
        <v>2042</v>
      </c>
      <c r="C671" s="371"/>
      <c r="D671" s="371"/>
      <c r="E671" s="367" t="s">
        <v>399</v>
      </c>
      <c r="F671" s="527"/>
      <c r="G671" s="539"/>
      <c r="H671" s="539"/>
      <c r="I671" s="372">
        <f t="shared" si="107"/>
        <v>0</v>
      </c>
      <c r="J671" s="372">
        <f>'D3 SKUTM'!K115</f>
        <v>1267230</v>
      </c>
      <c r="K671" s="372">
        <v>222680</v>
      </c>
      <c r="L671" s="372">
        <f t="shared" si="108"/>
        <v>0</v>
      </c>
      <c r="M671" s="372">
        <f t="shared" si="109"/>
        <v>0</v>
      </c>
      <c r="N671" s="460">
        <f t="shared" si="110"/>
        <v>0</v>
      </c>
    </row>
    <row r="672" spans="1:14" ht="13.2" customHeight="1" x14ac:dyDescent="0.3">
      <c r="A672" s="365">
        <f t="shared" si="111"/>
        <v>15</v>
      </c>
      <c r="B672" s="370" t="s">
        <v>2043</v>
      </c>
      <c r="C672" s="371"/>
      <c r="D672" s="371"/>
      <c r="E672" s="367" t="s">
        <v>399</v>
      </c>
      <c r="F672" s="527"/>
      <c r="G672" s="539"/>
      <c r="H672" s="539"/>
      <c r="I672" s="372">
        <f t="shared" si="107"/>
        <v>0</v>
      </c>
      <c r="J672" s="372">
        <f>'D3 SKUTM'!K126</f>
        <v>1244810</v>
      </c>
      <c r="K672" s="372">
        <v>222680</v>
      </c>
      <c r="L672" s="372">
        <f t="shared" si="108"/>
        <v>0</v>
      </c>
      <c r="M672" s="372">
        <f t="shared" si="109"/>
        <v>0</v>
      </c>
      <c r="N672" s="460">
        <f t="shared" si="110"/>
        <v>0</v>
      </c>
    </row>
    <row r="673" spans="1:14" ht="13.2" customHeight="1" x14ac:dyDescent="0.3">
      <c r="A673" s="365">
        <f t="shared" si="111"/>
        <v>16</v>
      </c>
      <c r="B673" s="370" t="s">
        <v>2044</v>
      </c>
      <c r="C673" s="371"/>
      <c r="D673" s="371"/>
      <c r="E673" s="367" t="s">
        <v>399</v>
      </c>
      <c r="F673" s="527"/>
      <c r="G673" s="539"/>
      <c r="H673" s="539"/>
      <c r="I673" s="372">
        <f t="shared" si="107"/>
        <v>0</v>
      </c>
      <c r="J673" s="372">
        <f>'D3 SKUTM'!K137</f>
        <v>1511810</v>
      </c>
      <c r="K673" s="372">
        <v>222680</v>
      </c>
      <c r="L673" s="372">
        <f t="shared" si="108"/>
        <v>0</v>
      </c>
      <c r="M673" s="372">
        <f t="shared" si="109"/>
        <v>0</v>
      </c>
      <c r="N673" s="460">
        <f t="shared" si="110"/>
        <v>0</v>
      </c>
    </row>
    <row r="674" spans="1:14" ht="13.2" customHeight="1" x14ac:dyDescent="0.3">
      <c r="A674" s="365">
        <f t="shared" si="111"/>
        <v>17</v>
      </c>
      <c r="B674" s="370" t="s">
        <v>2045</v>
      </c>
      <c r="C674" s="371"/>
      <c r="D674" s="371"/>
      <c r="E674" s="367" t="s">
        <v>399</v>
      </c>
      <c r="F674" s="527"/>
      <c r="G674" s="539"/>
      <c r="H674" s="539"/>
      <c r="I674" s="372">
        <f t="shared" si="107"/>
        <v>0</v>
      </c>
      <c r="J674" s="372">
        <f>'D3 SKUTM'!K148</f>
        <v>1533090</v>
      </c>
      <c r="K674" s="372">
        <v>222680</v>
      </c>
      <c r="L674" s="372">
        <f t="shared" si="108"/>
        <v>0</v>
      </c>
      <c r="M674" s="372">
        <f t="shared" si="109"/>
        <v>0</v>
      </c>
      <c r="N674" s="460">
        <f t="shared" si="110"/>
        <v>0</v>
      </c>
    </row>
    <row r="675" spans="1:14" ht="13.2" customHeight="1" x14ac:dyDescent="0.3">
      <c r="A675" s="365">
        <f t="shared" si="111"/>
        <v>18</v>
      </c>
      <c r="B675" s="370" t="s">
        <v>2046</v>
      </c>
      <c r="C675" s="371"/>
      <c r="D675" s="371"/>
      <c r="E675" s="367" t="s">
        <v>399</v>
      </c>
      <c r="F675" s="527"/>
      <c r="G675" s="539"/>
      <c r="H675" s="539"/>
      <c r="I675" s="372">
        <f t="shared" si="107"/>
        <v>0</v>
      </c>
      <c r="J675" s="372">
        <f>'D3 SKUTM'!K159</f>
        <v>1489960</v>
      </c>
      <c r="K675" s="372">
        <v>222680</v>
      </c>
      <c r="L675" s="372">
        <f t="shared" si="108"/>
        <v>0</v>
      </c>
      <c r="M675" s="372">
        <f t="shared" si="109"/>
        <v>0</v>
      </c>
      <c r="N675" s="460">
        <f t="shared" si="110"/>
        <v>0</v>
      </c>
    </row>
    <row r="676" spans="1:14" ht="13.2" customHeight="1" x14ac:dyDescent="0.3">
      <c r="A676" s="365">
        <f t="shared" si="111"/>
        <v>19</v>
      </c>
      <c r="B676" s="370" t="s">
        <v>2047</v>
      </c>
      <c r="C676" s="371"/>
      <c r="D676" s="371"/>
      <c r="E676" s="367" t="s">
        <v>399</v>
      </c>
      <c r="F676" s="527"/>
      <c r="G676" s="539"/>
      <c r="H676" s="539"/>
      <c r="I676" s="372">
        <f t="shared" si="107"/>
        <v>0</v>
      </c>
      <c r="J676" s="372">
        <f>'D3 SKUTM'!K159</f>
        <v>1489960</v>
      </c>
      <c r="K676" s="372">
        <v>222680</v>
      </c>
      <c r="L676" s="372">
        <f t="shared" si="108"/>
        <v>0</v>
      </c>
      <c r="M676" s="372">
        <f t="shared" si="109"/>
        <v>0</v>
      </c>
      <c r="N676" s="460">
        <f t="shared" si="110"/>
        <v>0</v>
      </c>
    </row>
    <row r="677" spans="1:14" ht="13.2" customHeight="1" x14ac:dyDescent="0.3">
      <c r="A677" s="365">
        <f t="shared" si="111"/>
        <v>20</v>
      </c>
      <c r="B677" s="370" t="s">
        <v>2048</v>
      </c>
      <c r="C677" s="371"/>
      <c r="D677" s="371"/>
      <c r="E677" s="367" t="s">
        <v>399</v>
      </c>
      <c r="F677" s="527"/>
      <c r="G677" s="539"/>
      <c r="H677" s="539"/>
      <c r="I677" s="372">
        <f t="shared" si="107"/>
        <v>0</v>
      </c>
      <c r="J677" s="372">
        <f>'D3 SKUTM'!K170</f>
        <v>1467540</v>
      </c>
      <c r="K677" s="372">
        <v>222680</v>
      </c>
      <c r="L677" s="372">
        <f t="shared" si="108"/>
        <v>0</v>
      </c>
      <c r="M677" s="372">
        <f t="shared" si="109"/>
        <v>0</v>
      </c>
      <c r="N677" s="460">
        <f t="shared" si="110"/>
        <v>0</v>
      </c>
    </row>
    <row r="678" spans="1:14" ht="13.2" customHeight="1" x14ac:dyDescent="0.3">
      <c r="A678" s="365">
        <f t="shared" si="111"/>
        <v>21</v>
      </c>
      <c r="B678" s="370" t="s">
        <v>2049</v>
      </c>
      <c r="C678" s="371"/>
      <c r="D678" s="371"/>
      <c r="E678" s="367" t="s">
        <v>399</v>
      </c>
      <c r="F678" s="527"/>
      <c r="G678" s="539"/>
      <c r="H678" s="539"/>
      <c r="I678" s="372">
        <f t="shared" si="107"/>
        <v>0</v>
      </c>
      <c r="J678" s="372">
        <f>'D3 SKUTM'!K181</f>
        <v>1198000</v>
      </c>
      <c r="K678" s="372">
        <v>209580</v>
      </c>
      <c r="L678" s="372">
        <f t="shared" si="108"/>
        <v>0</v>
      </c>
      <c r="M678" s="372">
        <f t="shared" si="109"/>
        <v>0</v>
      </c>
      <c r="N678" s="460">
        <f t="shared" si="110"/>
        <v>0</v>
      </c>
    </row>
    <row r="679" spans="1:14" ht="13.2" customHeight="1" x14ac:dyDescent="0.3">
      <c r="A679" s="365">
        <f t="shared" si="111"/>
        <v>22</v>
      </c>
      <c r="B679" s="370" t="s">
        <v>2050</v>
      </c>
      <c r="C679" s="371"/>
      <c r="D679" s="371"/>
      <c r="E679" s="367" t="s">
        <v>399</v>
      </c>
      <c r="F679" s="527"/>
      <c r="G679" s="539"/>
      <c r="H679" s="539"/>
      <c r="I679" s="372">
        <f t="shared" si="107"/>
        <v>0</v>
      </c>
      <c r="J679" s="372">
        <f>'D3 SKUTM'!K192</f>
        <v>1216980</v>
      </c>
      <c r="K679" s="372">
        <v>209580</v>
      </c>
      <c r="L679" s="372">
        <f t="shared" si="108"/>
        <v>0</v>
      </c>
      <c r="M679" s="372">
        <f t="shared" si="109"/>
        <v>0</v>
      </c>
      <c r="N679" s="460">
        <f t="shared" si="110"/>
        <v>0</v>
      </c>
    </row>
    <row r="680" spans="1:14" ht="13.2" customHeight="1" x14ac:dyDescent="0.3">
      <c r="A680" s="365">
        <f t="shared" si="111"/>
        <v>23</v>
      </c>
      <c r="B680" s="370" t="s">
        <v>2051</v>
      </c>
      <c r="C680" s="371"/>
      <c r="D680" s="371"/>
      <c r="E680" s="367" t="s">
        <v>399</v>
      </c>
      <c r="F680" s="527"/>
      <c r="G680" s="539"/>
      <c r="H680" s="539"/>
      <c r="I680" s="372">
        <f t="shared" si="107"/>
        <v>0</v>
      </c>
      <c r="J680" s="372">
        <f>'D3 SKUTM'!K203</f>
        <v>1178450</v>
      </c>
      <c r="K680" s="372">
        <v>209580</v>
      </c>
      <c r="L680" s="372">
        <f t="shared" si="108"/>
        <v>0</v>
      </c>
      <c r="M680" s="372">
        <f t="shared" si="109"/>
        <v>0</v>
      </c>
      <c r="N680" s="460">
        <f t="shared" si="110"/>
        <v>0</v>
      </c>
    </row>
    <row r="681" spans="1:14" ht="13.2" customHeight="1" x14ac:dyDescent="0.3">
      <c r="A681" s="365">
        <f t="shared" si="111"/>
        <v>24</v>
      </c>
      <c r="B681" s="370" t="s">
        <v>2052</v>
      </c>
      <c r="C681" s="371"/>
      <c r="D681" s="371"/>
      <c r="E681" s="367" t="s">
        <v>399</v>
      </c>
      <c r="F681" s="527"/>
      <c r="G681" s="539"/>
      <c r="H681" s="539"/>
      <c r="I681" s="372">
        <f t="shared" si="107"/>
        <v>0</v>
      </c>
      <c r="J681" s="372">
        <f>'D3 SKUTM'!K203</f>
        <v>1178450</v>
      </c>
      <c r="K681" s="372">
        <v>209580</v>
      </c>
      <c r="L681" s="372">
        <f t="shared" si="108"/>
        <v>0</v>
      </c>
      <c r="M681" s="372">
        <f t="shared" si="109"/>
        <v>0</v>
      </c>
      <c r="N681" s="460">
        <f t="shared" si="110"/>
        <v>0</v>
      </c>
    </row>
    <row r="682" spans="1:14" ht="13.2" customHeight="1" x14ac:dyDescent="0.3">
      <c r="A682" s="365">
        <f t="shared" si="111"/>
        <v>25</v>
      </c>
      <c r="B682" s="370" t="s">
        <v>2053</v>
      </c>
      <c r="C682" s="371"/>
      <c r="D682" s="371"/>
      <c r="E682" s="367" t="s">
        <v>399</v>
      </c>
      <c r="F682" s="527"/>
      <c r="G682" s="539"/>
      <c r="H682" s="539"/>
      <c r="I682" s="372">
        <f t="shared" si="107"/>
        <v>0</v>
      </c>
      <c r="J682" s="372">
        <f>'D3 SKUTM'!K214</f>
        <v>1158330</v>
      </c>
      <c r="K682" s="372">
        <v>209580</v>
      </c>
      <c r="L682" s="372">
        <f t="shared" si="108"/>
        <v>0</v>
      </c>
      <c r="M682" s="372">
        <f t="shared" si="109"/>
        <v>0</v>
      </c>
      <c r="N682" s="460">
        <f t="shared" si="110"/>
        <v>0</v>
      </c>
    </row>
    <row r="683" spans="1:14" ht="13.2" customHeight="1" x14ac:dyDescent="0.3">
      <c r="A683" s="365">
        <f t="shared" si="111"/>
        <v>26</v>
      </c>
      <c r="B683" s="370" t="s">
        <v>2054</v>
      </c>
      <c r="C683" s="371"/>
      <c r="D683" s="371"/>
      <c r="E683" s="367" t="s">
        <v>399</v>
      </c>
      <c r="F683" s="527"/>
      <c r="G683" s="539"/>
      <c r="H683" s="539"/>
      <c r="I683" s="372">
        <f t="shared" si="107"/>
        <v>0</v>
      </c>
      <c r="J683" s="372">
        <f>'D3 SKUTM'!K225</f>
        <v>1254580</v>
      </c>
      <c r="K683" s="372">
        <v>209580</v>
      </c>
      <c r="L683" s="372">
        <f t="shared" si="108"/>
        <v>0</v>
      </c>
      <c r="M683" s="372">
        <f t="shared" si="109"/>
        <v>0</v>
      </c>
      <c r="N683" s="460">
        <f t="shared" si="110"/>
        <v>0</v>
      </c>
    </row>
    <row r="684" spans="1:14" ht="13.2" customHeight="1" x14ac:dyDescent="0.3">
      <c r="A684" s="365">
        <f t="shared" si="111"/>
        <v>27</v>
      </c>
      <c r="B684" s="370" t="s">
        <v>2055</v>
      </c>
      <c r="C684" s="371"/>
      <c r="D684" s="371"/>
      <c r="E684" s="367" t="s">
        <v>399</v>
      </c>
      <c r="F684" s="527"/>
      <c r="G684" s="539"/>
      <c r="H684" s="539"/>
      <c r="I684" s="372">
        <f t="shared" si="107"/>
        <v>0</v>
      </c>
      <c r="J684" s="372">
        <f>'D3 SKUTM'!K236</f>
        <v>1273560</v>
      </c>
      <c r="K684" s="372">
        <v>209580</v>
      </c>
      <c r="L684" s="372">
        <f t="shared" si="108"/>
        <v>0</v>
      </c>
      <c r="M684" s="372">
        <f t="shared" si="109"/>
        <v>0</v>
      </c>
      <c r="N684" s="460">
        <f t="shared" si="110"/>
        <v>0</v>
      </c>
    </row>
    <row r="685" spans="1:14" ht="13.2" customHeight="1" x14ac:dyDescent="0.3">
      <c r="A685" s="365">
        <f t="shared" si="111"/>
        <v>28</v>
      </c>
      <c r="B685" s="370" t="s">
        <v>2056</v>
      </c>
      <c r="C685" s="371"/>
      <c r="D685" s="371"/>
      <c r="E685" s="367" t="s">
        <v>399</v>
      </c>
      <c r="F685" s="527"/>
      <c r="G685" s="539"/>
      <c r="H685" s="539"/>
      <c r="I685" s="372">
        <f t="shared" si="107"/>
        <v>0</v>
      </c>
      <c r="J685" s="372">
        <f>'D3 SKUTM'!K247</f>
        <v>1235030</v>
      </c>
      <c r="K685" s="372">
        <v>209580</v>
      </c>
      <c r="L685" s="372">
        <f t="shared" si="108"/>
        <v>0</v>
      </c>
      <c r="M685" s="372">
        <f t="shared" si="109"/>
        <v>0</v>
      </c>
      <c r="N685" s="460">
        <f t="shared" si="110"/>
        <v>0</v>
      </c>
    </row>
    <row r="686" spans="1:14" ht="13.2" customHeight="1" x14ac:dyDescent="0.3">
      <c r="A686" s="365">
        <f t="shared" si="111"/>
        <v>29</v>
      </c>
      <c r="B686" s="370" t="s">
        <v>2057</v>
      </c>
      <c r="C686" s="371"/>
      <c r="D686" s="371"/>
      <c r="E686" s="367" t="s">
        <v>399</v>
      </c>
      <c r="F686" s="527"/>
      <c r="G686" s="539"/>
      <c r="H686" s="539"/>
      <c r="I686" s="372">
        <f t="shared" si="107"/>
        <v>0</v>
      </c>
      <c r="J686" s="372">
        <f>'D3 SKUTM'!K247</f>
        <v>1235030</v>
      </c>
      <c r="K686" s="372">
        <v>209580</v>
      </c>
      <c r="L686" s="372">
        <f t="shared" si="108"/>
        <v>0</v>
      </c>
      <c r="M686" s="372">
        <f t="shared" si="109"/>
        <v>0</v>
      </c>
      <c r="N686" s="460">
        <f t="shared" si="110"/>
        <v>0</v>
      </c>
    </row>
    <row r="687" spans="1:14" ht="13.2" customHeight="1" x14ac:dyDescent="0.3">
      <c r="A687" s="365">
        <f t="shared" si="111"/>
        <v>30</v>
      </c>
      <c r="B687" s="370" t="s">
        <v>2058</v>
      </c>
      <c r="C687" s="371"/>
      <c r="D687" s="371"/>
      <c r="E687" s="367" t="s">
        <v>399</v>
      </c>
      <c r="F687" s="527"/>
      <c r="G687" s="539"/>
      <c r="H687" s="539"/>
      <c r="I687" s="372">
        <f t="shared" si="107"/>
        <v>0</v>
      </c>
      <c r="J687" s="372">
        <f>'D3 SKUTM'!K258</f>
        <v>1214910</v>
      </c>
      <c r="K687" s="372">
        <v>209580</v>
      </c>
      <c r="L687" s="372">
        <f t="shared" si="108"/>
        <v>0</v>
      </c>
      <c r="M687" s="372">
        <f t="shared" si="109"/>
        <v>0</v>
      </c>
      <c r="N687" s="460">
        <f t="shared" si="110"/>
        <v>0</v>
      </c>
    </row>
    <row r="688" spans="1:14" ht="13.2" customHeight="1" x14ac:dyDescent="0.3">
      <c r="A688" s="365">
        <f t="shared" si="111"/>
        <v>31</v>
      </c>
      <c r="B688" s="370" t="s">
        <v>2059</v>
      </c>
      <c r="C688" s="371"/>
      <c r="D688" s="371"/>
      <c r="E688" s="367" t="s">
        <v>399</v>
      </c>
      <c r="F688" s="527"/>
      <c r="G688" s="539"/>
      <c r="H688" s="539"/>
      <c r="I688" s="372">
        <f t="shared" si="107"/>
        <v>0</v>
      </c>
      <c r="J688" s="372">
        <f>'D3 SKUTM'!K269</f>
        <v>1477310</v>
      </c>
      <c r="K688" s="372">
        <v>209580</v>
      </c>
      <c r="L688" s="372">
        <f t="shared" si="108"/>
        <v>0</v>
      </c>
      <c r="M688" s="372">
        <f t="shared" si="109"/>
        <v>0</v>
      </c>
      <c r="N688" s="460">
        <f t="shared" si="110"/>
        <v>0</v>
      </c>
    </row>
    <row r="689" spans="1:14" ht="13.2" customHeight="1" x14ac:dyDescent="0.3">
      <c r="A689" s="365">
        <f t="shared" si="111"/>
        <v>32</v>
      </c>
      <c r="B689" s="370" t="s">
        <v>2060</v>
      </c>
      <c r="C689" s="371"/>
      <c r="D689" s="371"/>
      <c r="E689" s="367" t="s">
        <v>399</v>
      </c>
      <c r="F689" s="527"/>
      <c r="G689" s="539"/>
      <c r="H689" s="539"/>
      <c r="I689" s="372">
        <f t="shared" si="107"/>
        <v>0</v>
      </c>
      <c r="J689" s="372">
        <f>'D3 SKUTM'!K280</f>
        <v>1496290</v>
      </c>
      <c r="K689" s="372">
        <v>209580</v>
      </c>
      <c r="L689" s="372">
        <f t="shared" si="108"/>
        <v>0</v>
      </c>
      <c r="M689" s="372">
        <f t="shared" si="109"/>
        <v>0</v>
      </c>
      <c r="N689" s="460">
        <f t="shared" si="110"/>
        <v>0</v>
      </c>
    </row>
    <row r="690" spans="1:14" ht="13.2" customHeight="1" x14ac:dyDescent="0.3">
      <c r="A690" s="365">
        <f t="shared" si="111"/>
        <v>33</v>
      </c>
      <c r="B690" s="370" t="s">
        <v>2061</v>
      </c>
      <c r="C690" s="371"/>
      <c r="D690" s="371"/>
      <c r="E690" s="367" t="s">
        <v>399</v>
      </c>
      <c r="F690" s="527"/>
      <c r="G690" s="539"/>
      <c r="H690" s="539"/>
      <c r="I690" s="372">
        <f t="shared" si="107"/>
        <v>0</v>
      </c>
      <c r="J690" s="372">
        <f>'D3 SKUTM'!K291</f>
        <v>1457760</v>
      </c>
      <c r="K690" s="372">
        <v>209580</v>
      </c>
      <c r="L690" s="372">
        <f t="shared" ref="L690:L721" si="112">J690*I690</f>
        <v>0</v>
      </c>
      <c r="M690" s="372">
        <f t="shared" ref="M690:M721" si="113">K690*I690</f>
        <v>0</v>
      </c>
      <c r="N690" s="460">
        <f t="shared" si="110"/>
        <v>0</v>
      </c>
    </row>
    <row r="691" spans="1:14" ht="13.2" customHeight="1" x14ac:dyDescent="0.3">
      <c r="A691" s="365">
        <f t="shared" si="111"/>
        <v>34</v>
      </c>
      <c r="B691" s="370" t="s">
        <v>2062</v>
      </c>
      <c r="C691" s="371"/>
      <c r="D691" s="371"/>
      <c r="E691" s="367" t="s">
        <v>399</v>
      </c>
      <c r="F691" s="527"/>
      <c r="G691" s="539"/>
      <c r="H691" s="539"/>
      <c r="I691" s="372">
        <f t="shared" si="107"/>
        <v>0</v>
      </c>
      <c r="J691" s="372">
        <f>'D3 SKUTM'!K291</f>
        <v>1457760</v>
      </c>
      <c r="K691" s="372">
        <v>209580</v>
      </c>
      <c r="L691" s="372">
        <f t="shared" si="112"/>
        <v>0</v>
      </c>
      <c r="M691" s="372">
        <f t="shared" si="113"/>
        <v>0</v>
      </c>
      <c r="N691" s="460">
        <f t="shared" si="110"/>
        <v>0</v>
      </c>
    </row>
    <row r="692" spans="1:14" ht="13.2" customHeight="1" x14ac:dyDescent="0.3">
      <c r="A692" s="365">
        <f t="shared" si="111"/>
        <v>35</v>
      </c>
      <c r="B692" s="370" t="s">
        <v>2063</v>
      </c>
      <c r="C692" s="371"/>
      <c r="D692" s="371"/>
      <c r="E692" s="367" t="s">
        <v>399</v>
      </c>
      <c r="F692" s="527"/>
      <c r="G692" s="539"/>
      <c r="H692" s="539"/>
      <c r="I692" s="372">
        <f t="shared" si="107"/>
        <v>0</v>
      </c>
      <c r="J692" s="372">
        <f>'D3 SKUTM'!K302</f>
        <v>1437640</v>
      </c>
      <c r="K692" s="372">
        <v>209580</v>
      </c>
      <c r="L692" s="372">
        <f t="shared" si="112"/>
        <v>0</v>
      </c>
      <c r="M692" s="372">
        <f t="shared" si="113"/>
        <v>0</v>
      </c>
      <c r="N692" s="460">
        <f t="shared" si="110"/>
        <v>0</v>
      </c>
    </row>
    <row r="693" spans="1:14" ht="13.2" customHeight="1" x14ac:dyDescent="0.3">
      <c r="A693" s="365">
        <f t="shared" si="111"/>
        <v>36</v>
      </c>
      <c r="B693" s="370" t="s">
        <v>2270</v>
      </c>
      <c r="C693" s="371"/>
      <c r="D693" s="371"/>
      <c r="E693" s="367" t="s">
        <v>399</v>
      </c>
      <c r="F693" s="527"/>
      <c r="G693" s="539"/>
      <c r="H693" s="539"/>
      <c r="I693" s="372">
        <f t="shared" si="107"/>
        <v>0</v>
      </c>
      <c r="J693" s="372">
        <f>'D3 SKUTM'!K311</f>
        <v>462300</v>
      </c>
      <c r="K693" s="372">
        <v>178150</v>
      </c>
      <c r="L693" s="372">
        <f t="shared" si="112"/>
        <v>0</v>
      </c>
      <c r="M693" s="372">
        <f t="shared" si="113"/>
        <v>0</v>
      </c>
      <c r="N693" s="460">
        <f t="shared" si="110"/>
        <v>0</v>
      </c>
    </row>
    <row r="694" spans="1:14" ht="13.2" customHeight="1" x14ac:dyDescent="0.3">
      <c r="A694" s="365">
        <f t="shared" si="111"/>
        <v>37</v>
      </c>
      <c r="B694" s="370" t="s">
        <v>2271</v>
      </c>
      <c r="C694" s="371"/>
      <c r="D694" s="371"/>
      <c r="E694" s="367" t="s">
        <v>399</v>
      </c>
      <c r="F694" s="527"/>
      <c r="G694" s="539"/>
      <c r="H694" s="539"/>
      <c r="I694" s="372">
        <f t="shared" si="107"/>
        <v>0</v>
      </c>
      <c r="J694" s="372">
        <f>'D3 SKUTM'!K320</f>
        <v>483580</v>
      </c>
      <c r="K694" s="372">
        <v>178150</v>
      </c>
      <c r="L694" s="372">
        <f t="shared" si="112"/>
        <v>0</v>
      </c>
      <c r="M694" s="372">
        <f t="shared" si="113"/>
        <v>0</v>
      </c>
      <c r="N694" s="460">
        <f t="shared" si="110"/>
        <v>0</v>
      </c>
    </row>
    <row r="695" spans="1:14" ht="13.2" customHeight="1" x14ac:dyDescent="0.3">
      <c r="A695" s="365">
        <f t="shared" si="111"/>
        <v>38</v>
      </c>
      <c r="B695" s="370" t="s">
        <v>2272</v>
      </c>
      <c r="C695" s="371"/>
      <c r="D695" s="371"/>
      <c r="E695" s="367" t="s">
        <v>399</v>
      </c>
      <c r="F695" s="527"/>
      <c r="G695" s="539"/>
      <c r="H695" s="539"/>
      <c r="I695" s="372">
        <f t="shared" si="107"/>
        <v>0</v>
      </c>
      <c r="J695" s="372">
        <f>'D3 SKUTM'!K329</f>
        <v>440450</v>
      </c>
      <c r="K695" s="372">
        <v>178150</v>
      </c>
      <c r="L695" s="372">
        <f t="shared" si="112"/>
        <v>0</v>
      </c>
      <c r="M695" s="372">
        <f t="shared" si="113"/>
        <v>0</v>
      </c>
      <c r="N695" s="460">
        <f t="shared" si="110"/>
        <v>0</v>
      </c>
    </row>
    <row r="696" spans="1:14" ht="13.2" customHeight="1" x14ac:dyDescent="0.3">
      <c r="A696" s="365">
        <f t="shared" si="111"/>
        <v>39</v>
      </c>
      <c r="B696" s="370" t="s">
        <v>2273</v>
      </c>
      <c r="C696" s="371"/>
      <c r="D696" s="371"/>
      <c r="E696" s="367" t="s">
        <v>399</v>
      </c>
      <c r="F696" s="527"/>
      <c r="G696" s="539"/>
      <c r="H696" s="539"/>
      <c r="I696" s="372">
        <f t="shared" si="107"/>
        <v>0</v>
      </c>
      <c r="J696" s="372">
        <f>'D3 SKUTM'!K329</f>
        <v>440450</v>
      </c>
      <c r="K696" s="372">
        <v>178150</v>
      </c>
      <c r="L696" s="372">
        <f t="shared" si="112"/>
        <v>0</v>
      </c>
      <c r="M696" s="372">
        <f t="shared" si="113"/>
        <v>0</v>
      </c>
      <c r="N696" s="460">
        <f t="shared" si="110"/>
        <v>0</v>
      </c>
    </row>
    <row r="697" spans="1:14" ht="13.2" customHeight="1" x14ac:dyDescent="0.3">
      <c r="A697" s="365">
        <f t="shared" si="111"/>
        <v>40</v>
      </c>
      <c r="B697" s="370" t="s">
        <v>2274</v>
      </c>
      <c r="C697" s="371"/>
      <c r="D697" s="371"/>
      <c r="E697" s="367" t="s">
        <v>399</v>
      </c>
      <c r="F697" s="527"/>
      <c r="G697" s="539"/>
      <c r="H697" s="539"/>
      <c r="I697" s="372">
        <f t="shared" si="107"/>
        <v>0</v>
      </c>
      <c r="J697" s="372">
        <f>'D3 SKUTM'!K338</f>
        <v>418030</v>
      </c>
      <c r="K697" s="372">
        <v>178150</v>
      </c>
      <c r="L697" s="372">
        <f t="shared" si="112"/>
        <v>0</v>
      </c>
      <c r="M697" s="372">
        <f t="shared" si="113"/>
        <v>0</v>
      </c>
      <c r="N697" s="460">
        <f t="shared" si="110"/>
        <v>0</v>
      </c>
    </row>
    <row r="698" spans="1:14" ht="13.2" customHeight="1" x14ac:dyDescent="0.3">
      <c r="A698" s="365">
        <f t="shared" si="111"/>
        <v>41</v>
      </c>
      <c r="B698" s="370" t="s">
        <v>2275</v>
      </c>
      <c r="C698" s="371"/>
      <c r="D698" s="371"/>
      <c r="E698" s="367" t="s">
        <v>399</v>
      </c>
      <c r="F698" s="527"/>
      <c r="G698" s="539"/>
      <c r="H698" s="539"/>
      <c r="I698" s="372">
        <f t="shared" si="107"/>
        <v>0</v>
      </c>
      <c r="J698" s="372">
        <f>'D3 SKUTM'!K348</f>
        <v>708400</v>
      </c>
      <c r="K698" s="372">
        <v>178150</v>
      </c>
      <c r="L698" s="372">
        <f t="shared" si="112"/>
        <v>0</v>
      </c>
      <c r="M698" s="372">
        <f t="shared" si="113"/>
        <v>0</v>
      </c>
      <c r="N698" s="460">
        <f t="shared" si="110"/>
        <v>0</v>
      </c>
    </row>
    <row r="699" spans="1:14" ht="13.2" customHeight="1" x14ac:dyDescent="0.3">
      <c r="A699" s="365">
        <f t="shared" si="111"/>
        <v>42</v>
      </c>
      <c r="B699" s="370" t="s">
        <v>2276</v>
      </c>
      <c r="C699" s="371"/>
      <c r="D699" s="371"/>
      <c r="E699" s="367" t="s">
        <v>399</v>
      </c>
      <c r="F699" s="527"/>
      <c r="G699" s="539"/>
      <c r="H699" s="539"/>
      <c r="I699" s="372">
        <f t="shared" si="107"/>
        <v>0</v>
      </c>
      <c r="J699" s="372">
        <f>'D3 SKUTM'!K358</f>
        <v>729680</v>
      </c>
      <c r="K699" s="372">
        <v>178150</v>
      </c>
      <c r="L699" s="372">
        <f t="shared" si="112"/>
        <v>0</v>
      </c>
      <c r="M699" s="372">
        <f t="shared" si="113"/>
        <v>0</v>
      </c>
      <c r="N699" s="460">
        <f t="shared" si="110"/>
        <v>0</v>
      </c>
    </row>
    <row r="700" spans="1:14" ht="13.2" customHeight="1" x14ac:dyDescent="0.3">
      <c r="A700" s="365">
        <f t="shared" si="111"/>
        <v>43</v>
      </c>
      <c r="B700" s="370" t="s">
        <v>2277</v>
      </c>
      <c r="C700" s="371"/>
      <c r="D700" s="371"/>
      <c r="E700" s="367" t="s">
        <v>399</v>
      </c>
      <c r="F700" s="527"/>
      <c r="G700" s="539"/>
      <c r="H700" s="539"/>
      <c r="I700" s="372">
        <f t="shared" si="107"/>
        <v>0</v>
      </c>
      <c r="J700" s="372">
        <f>'D3 SKUTM'!K368</f>
        <v>686550</v>
      </c>
      <c r="K700" s="372">
        <v>178150</v>
      </c>
      <c r="L700" s="372">
        <f t="shared" si="112"/>
        <v>0</v>
      </c>
      <c r="M700" s="372">
        <f t="shared" si="113"/>
        <v>0</v>
      </c>
      <c r="N700" s="460">
        <f t="shared" si="110"/>
        <v>0</v>
      </c>
    </row>
    <row r="701" spans="1:14" ht="13.2" customHeight="1" x14ac:dyDescent="0.3">
      <c r="A701" s="365">
        <f t="shared" si="111"/>
        <v>44</v>
      </c>
      <c r="B701" s="370" t="s">
        <v>2278</v>
      </c>
      <c r="C701" s="371"/>
      <c r="D701" s="371"/>
      <c r="E701" s="367" t="s">
        <v>399</v>
      </c>
      <c r="F701" s="527"/>
      <c r="G701" s="539"/>
      <c r="H701" s="539"/>
      <c r="I701" s="372">
        <f t="shared" si="107"/>
        <v>0</v>
      </c>
      <c r="J701" s="372">
        <f>'D3 SKUTM'!K368</f>
        <v>686550</v>
      </c>
      <c r="K701" s="372">
        <v>178150</v>
      </c>
      <c r="L701" s="372">
        <f t="shared" si="112"/>
        <v>0</v>
      </c>
      <c r="M701" s="372">
        <f t="shared" si="113"/>
        <v>0</v>
      </c>
      <c r="N701" s="460">
        <f t="shared" si="110"/>
        <v>0</v>
      </c>
    </row>
    <row r="702" spans="1:14" ht="13.2" customHeight="1" x14ac:dyDescent="0.3">
      <c r="A702" s="365">
        <f t="shared" si="111"/>
        <v>45</v>
      </c>
      <c r="B702" s="370" t="s">
        <v>2279</v>
      </c>
      <c r="C702" s="371"/>
      <c r="D702" s="371"/>
      <c r="E702" s="367" t="s">
        <v>399</v>
      </c>
      <c r="F702" s="527"/>
      <c r="G702" s="539"/>
      <c r="H702" s="539"/>
      <c r="I702" s="372">
        <f t="shared" si="107"/>
        <v>0</v>
      </c>
      <c r="J702" s="372">
        <f>'D3 SKUTM'!K378</f>
        <v>664130</v>
      </c>
      <c r="K702" s="372">
        <v>178150</v>
      </c>
      <c r="L702" s="372">
        <f t="shared" si="112"/>
        <v>0</v>
      </c>
      <c r="M702" s="372">
        <f t="shared" si="113"/>
        <v>0</v>
      </c>
      <c r="N702" s="460">
        <f t="shared" si="110"/>
        <v>0</v>
      </c>
    </row>
    <row r="703" spans="1:14" ht="13.2" customHeight="1" x14ac:dyDescent="0.3">
      <c r="A703" s="365">
        <f t="shared" si="111"/>
        <v>46</v>
      </c>
      <c r="B703" s="370" t="s">
        <v>2280</v>
      </c>
      <c r="C703" s="371"/>
      <c r="D703" s="371"/>
      <c r="E703" s="367" t="s">
        <v>399</v>
      </c>
      <c r="F703" s="527"/>
      <c r="G703" s="539"/>
      <c r="H703" s="539"/>
      <c r="I703" s="372">
        <f t="shared" si="107"/>
        <v>0</v>
      </c>
      <c r="J703" s="372">
        <f>'D3 SKUTM'!K387</f>
        <v>626750</v>
      </c>
      <c r="K703" s="372">
        <v>222680</v>
      </c>
      <c r="L703" s="372">
        <f t="shared" si="112"/>
        <v>0</v>
      </c>
      <c r="M703" s="372">
        <f t="shared" si="113"/>
        <v>0</v>
      </c>
      <c r="N703" s="460">
        <f t="shared" si="110"/>
        <v>0</v>
      </c>
    </row>
    <row r="704" spans="1:14" ht="13.2" customHeight="1" x14ac:dyDescent="0.3">
      <c r="A704" s="365">
        <f t="shared" si="111"/>
        <v>47</v>
      </c>
      <c r="B704" s="370" t="s">
        <v>2281</v>
      </c>
      <c r="C704" s="371"/>
      <c r="D704" s="371"/>
      <c r="E704" s="367" t="s">
        <v>399</v>
      </c>
      <c r="F704" s="527"/>
      <c r="G704" s="539"/>
      <c r="H704" s="539"/>
      <c r="I704" s="372">
        <f t="shared" si="107"/>
        <v>0</v>
      </c>
      <c r="J704" s="372">
        <f>'D3 SKUTM'!K396</f>
        <v>648030</v>
      </c>
      <c r="K704" s="372">
        <v>222680</v>
      </c>
      <c r="L704" s="372">
        <f t="shared" si="112"/>
        <v>0</v>
      </c>
      <c r="M704" s="372">
        <f t="shared" si="113"/>
        <v>0</v>
      </c>
      <c r="N704" s="460">
        <f t="shared" si="110"/>
        <v>0</v>
      </c>
    </row>
    <row r="705" spans="1:14" ht="13.2" customHeight="1" x14ac:dyDescent="0.3">
      <c r="A705" s="365">
        <f t="shared" si="111"/>
        <v>48</v>
      </c>
      <c r="B705" s="370" t="s">
        <v>2282</v>
      </c>
      <c r="C705" s="371"/>
      <c r="D705" s="371"/>
      <c r="E705" s="367" t="s">
        <v>399</v>
      </c>
      <c r="F705" s="527"/>
      <c r="G705" s="539"/>
      <c r="H705" s="539"/>
      <c r="I705" s="372">
        <f t="shared" si="107"/>
        <v>0</v>
      </c>
      <c r="J705" s="372">
        <f>'D3 SKUTM'!K405</f>
        <v>604900</v>
      </c>
      <c r="K705" s="372">
        <v>222680</v>
      </c>
      <c r="L705" s="372">
        <f t="shared" si="112"/>
        <v>0</v>
      </c>
      <c r="M705" s="372">
        <f t="shared" si="113"/>
        <v>0</v>
      </c>
      <c r="N705" s="460">
        <f t="shared" si="110"/>
        <v>0</v>
      </c>
    </row>
    <row r="706" spans="1:14" ht="13.2" customHeight="1" x14ac:dyDescent="0.3">
      <c r="A706" s="365">
        <f t="shared" si="111"/>
        <v>49</v>
      </c>
      <c r="B706" s="370" t="s">
        <v>2283</v>
      </c>
      <c r="C706" s="371"/>
      <c r="D706" s="371"/>
      <c r="E706" s="367" t="s">
        <v>399</v>
      </c>
      <c r="F706" s="527"/>
      <c r="G706" s="539"/>
      <c r="H706" s="539"/>
      <c r="I706" s="372">
        <f t="shared" si="107"/>
        <v>0</v>
      </c>
      <c r="J706" s="372">
        <f>'D3 SKUTM'!K405</f>
        <v>604900</v>
      </c>
      <c r="K706" s="372">
        <v>222680</v>
      </c>
      <c r="L706" s="372">
        <f t="shared" si="112"/>
        <v>0</v>
      </c>
      <c r="M706" s="372">
        <f t="shared" si="113"/>
        <v>0</v>
      </c>
      <c r="N706" s="460">
        <f t="shared" si="110"/>
        <v>0</v>
      </c>
    </row>
    <row r="707" spans="1:14" ht="13.2" customHeight="1" x14ac:dyDescent="0.3">
      <c r="A707" s="365">
        <f t="shared" si="111"/>
        <v>50</v>
      </c>
      <c r="B707" s="370" t="s">
        <v>2284</v>
      </c>
      <c r="C707" s="371"/>
      <c r="D707" s="371"/>
      <c r="E707" s="367" t="s">
        <v>399</v>
      </c>
      <c r="F707" s="527"/>
      <c r="G707" s="539"/>
      <c r="H707" s="539"/>
      <c r="I707" s="372">
        <f t="shared" si="107"/>
        <v>0</v>
      </c>
      <c r="J707" s="372">
        <f>'D3 SKUTM'!K414</f>
        <v>582480</v>
      </c>
      <c r="K707" s="372">
        <v>222680</v>
      </c>
      <c r="L707" s="372">
        <f t="shared" si="112"/>
        <v>0</v>
      </c>
      <c r="M707" s="372">
        <f t="shared" si="113"/>
        <v>0</v>
      </c>
      <c r="N707" s="460">
        <f t="shared" si="110"/>
        <v>0</v>
      </c>
    </row>
    <row r="708" spans="1:14" ht="13.2" customHeight="1" x14ac:dyDescent="0.3">
      <c r="A708" s="365">
        <f t="shared" si="111"/>
        <v>51</v>
      </c>
      <c r="B708" s="370" t="s">
        <v>2285</v>
      </c>
      <c r="C708" s="371"/>
      <c r="D708" s="371"/>
      <c r="E708" s="367" t="s">
        <v>399</v>
      </c>
      <c r="F708" s="527"/>
      <c r="G708" s="539"/>
      <c r="H708" s="539"/>
      <c r="I708" s="372">
        <f t="shared" si="107"/>
        <v>0</v>
      </c>
      <c r="J708" s="372">
        <f>'D3 SKUTM'!K424</f>
        <v>1118950</v>
      </c>
      <c r="K708" s="372">
        <v>222680</v>
      </c>
      <c r="L708" s="372">
        <f t="shared" si="112"/>
        <v>0</v>
      </c>
      <c r="M708" s="372">
        <f t="shared" si="113"/>
        <v>0</v>
      </c>
      <c r="N708" s="460">
        <f t="shared" si="110"/>
        <v>0</v>
      </c>
    </row>
    <row r="709" spans="1:14" ht="13.2" customHeight="1" x14ac:dyDescent="0.3">
      <c r="A709" s="365">
        <f t="shared" si="111"/>
        <v>52</v>
      </c>
      <c r="B709" s="370" t="s">
        <v>2286</v>
      </c>
      <c r="C709" s="371"/>
      <c r="D709" s="371"/>
      <c r="E709" s="367" t="s">
        <v>399</v>
      </c>
      <c r="F709" s="527"/>
      <c r="G709" s="539"/>
      <c r="H709" s="539"/>
      <c r="I709" s="372">
        <f t="shared" si="107"/>
        <v>0</v>
      </c>
      <c r="J709" s="372">
        <f>'D3 SKUTM'!K434</f>
        <v>1140230</v>
      </c>
      <c r="K709" s="372">
        <v>222680</v>
      </c>
      <c r="L709" s="372">
        <f t="shared" si="112"/>
        <v>0</v>
      </c>
      <c r="M709" s="372">
        <f t="shared" si="113"/>
        <v>0</v>
      </c>
      <c r="N709" s="460">
        <f t="shared" si="110"/>
        <v>0</v>
      </c>
    </row>
    <row r="710" spans="1:14" ht="13.2" customHeight="1" x14ac:dyDescent="0.3">
      <c r="A710" s="365">
        <f t="shared" si="111"/>
        <v>53</v>
      </c>
      <c r="B710" s="370" t="s">
        <v>2287</v>
      </c>
      <c r="C710" s="371"/>
      <c r="D710" s="371"/>
      <c r="E710" s="367" t="s">
        <v>399</v>
      </c>
      <c r="F710" s="527"/>
      <c r="G710" s="539"/>
      <c r="H710" s="539"/>
      <c r="I710" s="372">
        <f t="shared" si="107"/>
        <v>0</v>
      </c>
      <c r="J710" s="372">
        <f>'D3 SKUTM'!K444</f>
        <v>1097100</v>
      </c>
      <c r="K710" s="372">
        <v>222680</v>
      </c>
      <c r="L710" s="372">
        <f t="shared" si="112"/>
        <v>0</v>
      </c>
      <c r="M710" s="372">
        <f t="shared" si="113"/>
        <v>0</v>
      </c>
      <c r="N710" s="460">
        <f t="shared" si="110"/>
        <v>0</v>
      </c>
    </row>
    <row r="711" spans="1:14" ht="13.2" customHeight="1" x14ac:dyDescent="0.3">
      <c r="A711" s="365">
        <f t="shared" si="111"/>
        <v>54</v>
      </c>
      <c r="B711" s="370" t="s">
        <v>2288</v>
      </c>
      <c r="C711" s="371"/>
      <c r="D711" s="371"/>
      <c r="E711" s="367" t="s">
        <v>399</v>
      </c>
      <c r="F711" s="527"/>
      <c r="G711" s="539"/>
      <c r="H711" s="539"/>
      <c r="I711" s="372">
        <f t="shared" si="107"/>
        <v>0</v>
      </c>
      <c r="J711" s="372">
        <f>'D3 SKUTM'!K444</f>
        <v>1097100</v>
      </c>
      <c r="K711" s="372">
        <v>222680</v>
      </c>
      <c r="L711" s="372">
        <f t="shared" si="112"/>
        <v>0</v>
      </c>
      <c r="M711" s="372">
        <f t="shared" si="113"/>
        <v>0</v>
      </c>
      <c r="N711" s="460">
        <f t="shared" si="110"/>
        <v>0</v>
      </c>
    </row>
    <row r="712" spans="1:14" ht="13.2" customHeight="1" x14ac:dyDescent="0.3">
      <c r="A712" s="365">
        <f t="shared" si="111"/>
        <v>55</v>
      </c>
      <c r="B712" s="370" t="s">
        <v>2289</v>
      </c>
      <c r="C712" s="371"/>
      <c r="D712" s="371"/>
      <c r="E712" s="367" t="s">
        <v>399</v>
      </c>
      <c r="F712" s="527"/>
      <c r="G712" s="539"/>
      <c r="H712" s="539"/>
      <c r="I712" s="372">
        <f t="shared" si="107"/>
        <v>0</v>
      </c>
      <c r="J712" s="372">
        <f>'D3 SKUTM'!K454</f>
        <v>1074680</v>
      </c>
      <c r="K712" s="372">
        <v>222680</v>
      </c>
      <c r="L712" s="372">
        <f t="shared" si="112"/>
        <v>0</v>
      </c>
      <c r="M712" s="372">
        <f t="shared" si="113"/>
        <v>0</v>
      </c>
      <c r="N712" s="460">
        <f t="shared" si="110"/>
        <v>0</v>
      </c>
    </row>
    <row r="713" spans="1:14" ht="13.2" customHeight="1" x14ac:dyDescent="0.3">
      <c r="A713" s="365">
        <f t="shared" si="111"/>
        <v>56</v>
      </c>
      <c r="B713" s="370" t="s">
        <v>2064</v>
      </c>
      <c r="C713" s="371"/>
      <c r="D713" s="371"/>
      <c r="E713" s="367" t="s">
        <v>399</v>
      </c>
      <c r="F713" s="527"/>
      <c r="G713" s="539"/>
      <c r="H713" s="539"/>
      <c r="I713" s="372">
        <f t="shared" si="107"/>
        <v>0</v>
      </c>
      <c r="J713" s="372">
        <f>'D3 SKUTM'!K471</f>
        <v>3646350</v>
      </c>
      <c r="K713" s="372">
        <v>324900</v>
      </c>
      <c r="L713" s="372">
        <f t="shared" si="112"/>
        <v>0</v>
      </c>
      <c r="M713" s="372">
        <f t="shared" si="113"/>
        <v>0</v>
      </c>
      <c r="N713" s="460">
        <f t="shared" si="110"/>
        <v>0</v>
      </c>
    </row>
    <row r="714" spans="1:14" ht="13.2" customHeight="1" x14ac:dyDescent="0.3">
      <c r="A714" s="365">
        <f t="shared" si="111"/>
        <v>57</v>
      </c>
      <c r="B714" s="370" t="s">
        <v>2065</v>
      </c>
      <c r="C714" s="371"/>
      <c r="D714" s="371"/>
      <c r="E714" s="367" t="s">
        <v>399</v>
      </c>
      <c r="F714" s="527"/>
      <c r="G714" s="539"/>
      <c r="H714" s="539"/>
      <c r="I714" s="372">
        <f t="shared" si="107"/>
        <v>0</v>
      </c>
      <c r="J714" s="372">
        <f>'D3 SKUTM'!K488</f>
        <v>3667630</v>
      </c>
      <c r="K714" s="372">
        <v>324900</v>
      </c>
      <c r="L714" s="372">
        <f t="shared" si="112"/>
        <v>0</v>
      </c>
      <c r="M714" s="372">
        <f t="shared" si="113"/>
        <v>0</v>
      </c>
      <c r="N714" s="460">
        <f t="shared" si="110"/>
        <v>0</v>
      </c>
    </row>
    <row r="715" spans="1:14" ht="13.2" customHeight="1" x14ac:dyDescent="0.3">
      <c r="A715" s="365">
        <f t="shared" si="111"/>
        <v>58</v>
      </c>
      <c r="B715" s="370" t="s">
        <v>2066</v>
      </c>
      <c r="C715" s="371"/>
      <c r="D715" s="371"/>
      <c r="E715" s="367" t="s">
        <v>399</v>
      </c>
      <c r="F715" s="527"/>
      <c r="G715" s="539"/>
      <c r="H715" s="539"/>
      <c r="I715" s="372">
        <f t="shared" si="107"/>
        <v>0</v>
      </c>
      <c r="J715" s="372">
        <f>'D3 SKUTM'!K505</f>
        <v>3581380</v>
      </c>
      <c r="K715" s="372">
        <v>324900</v>
      </c>
      <c r="L715" s="372">
        <f t="shared" si="112"/>
        <v>0</v>
      </c>
      <c r="M715" s="372">
        <f t="shared" si="113"/>
        <v>0</v>
      </c>
      <c r="N715" s="460">
        <f t="shared" si="110"/>
        <v>0</v>
      </c>
    </row>
    <row r="716" spans="1:14" ht="13.2" customHeight="1" x14ac:dyDescent="0.3">
      <c r="A716" s="365">
        <f t="shared" si="111"/>
        <v>59</v>
      </c>
      <c r="B716" s="370" t="s">
        <v>2067</v>
      </c>
      <c r="C716" s="371"/>
      <c r="D716" s="371"/>
      <c r="E716" s="367" t="s">
        <v>399</v>
      </c>
      <c r="F716" s="527"/>
      <c r="G716" s="539"/>
      <c r="H716" s="539"/>
      <c r="I716" s="372">
        <f t="shared" si="107"/>
        <v>0</v>
      </c>
      <c r="J716" s="372">
        <f>'D3 SKUTM'!K505</f>
        <v>3581380</v>
      </c>
      <c r="K716" s="372">
        <v>324900</v>
      </c>
      <c r="L716" s="372">
        <f t="shared" si="112"/>
        <v>0</v>
      </c>
      <c r="M716" s="372">
        <f t="shared" si="113"/>
        <v>0</v>
      </c>
      <c r="N716" s="460">
        <f t="shared" si="110"/>
        <v>0</v>
      </c>
    </row>
    <row r="717" spans="1:14" ht="13.2" customHeight="1" x14ac:dyDescent="0.3">
      <c r="A717" s="365">
        <f t="shared" si="111"/>
        <v>60</v>
      </c>
      <c r="B717" s="370" t="s">
        <v>2068</v>
      </c>
      <c r="C717" s="371"/>
      <c r="D717" s="371"/>
      <c r="E717" s="367" t="s">
        <v>399</v>
      </c>
      <c r="F717" s="527"/>
      <c r="G717" s="539"/>
      <c r="H717" s="539"/>
      <c r="I717" s="372">
        <f t="shared" si="107"/>
        <v>0</v>
      </c>
      <c r="J717" s="372">
        <f>'D3 SKUTM'!K522</f>
        <v>3536530</v>
      </c>
      <c r="K717" s="372">
        <v>324900</v>
      </c>
      <c r="L717" s="372">
        <f t="shared" si="112"/>
        <v>0</v>
      </c>
      <c r="M717" s="372">
        <f t="shared" si="113"/>
        <v>0</v>
      </c>
      <c r="N717" s="460">
        <f t="shared" si="110"/>
        <v>0</v>
      </c>
    </row>
    <row r="718" spans="1:14" ht="13.2" customHeight="1" x14ac:dyDescent="0.3">
      <c r="A718" s="365">
        <f t="shared" si="111"/>
        <v>61</v>
      </c>
      <c r="B718" s="370" t="s">
        <v>2069</v>
      </c>
      <c r="C718" s="371"/>
      <c r="D718" s="371"/>
      <c r="E718" s="367" t="s">
        <v>399</v>
      </c>
      <c r="F718" s="527"/>
      <c r="G718" s="539"/>
      <c r="H718" s="539"/>
      <c r="I718" s="372">
        <f t="shared" si="107"/>
        <v>0</v>
      </c>
      <c r="J718" s="372">
        <f>'D3 SKUTM'!K539</f>
        <v>3702930</v>
      </c>
      <c r="K718" s="372">
        <v>324900</v>
      </c>
      <c r="L718" s="372">
        <f t="shared" si="112"/>
        <v>0</v>
      </c>
      <c r="M718" s="372">
        <f t="shared" si="113"/>
        <v>0</v>
      </c>
      <c r="N718" s="460">
        <f t="shared" si="110"/>
        <v>0</v>
      </c>
    </row>
    <row r="719" spans="1:14" ht="13.2" customHeight="1" x14ac:dyDescent="0.3">
      <c r="A719" s="365">
        <f t="shared" si="111"/>
        <v>62</v>
      </c>
      <c r="B719" s="370" t="s">
        <v>2070</v>
      </c>
      <c r="C719" s="371"/>
      <c r="D719" s="371"/>
      <c r="E719" s="367" t="s">
        <v>399</v>
      </c>
      <c r="F719" s="527"/>
      <c r="G719" s="539"/>
      <c r="H719" s="539"/>
      <c r="I719" s="372">
        <f t="shared" si="107"/>
        <v>0</v>
      </c>
      <c r="J719" s="372">
        <f>'D3 SKUTM'!K556</f>
        <v>3724210</v>
      </c>
      <c r="K719" s="372">
        <v>324900</v>
      </c>
      <c r="L719" s="372">
        <f t="shared" si="112"/>
        <v>0</v>
      </c>
      <c r="M719" s="372">
        <f t="shared" si="113"/>
        <v>0</v>
      </c>
      <c r="N719" s="460">
        <f t="shared" si="110"/>
        <v>0</v>
      </c>
    </row>
    <row r="720" spans="1:14" ht="13.2" customHeight="1" x14ac:dyDescent="0.3">
      <c r="A720" s="365">
        <f t="shared" si="111"/>
        <v>63</v>
      </c>
      <c r="B720" s="370" t="s">
        <v>2071</v>
      </c>
      <c r="C720" s="371"/>
      <c r="D720" s="371"/>
      <c r="E720" s="367" t="s">
        <v>399</v>
      </c>
      <c r="F720" s="527"/>
      <c r="G720" s="539"/>
      <c r="H720" s="539"/>
      <c r="I720" s="372">
        <f t="shared" si="107"/>
        <v>0</v>
      </c>
      <c r="J720" s="372">
        <f>'D3 SKUTM'!K573</f>
        <v>3637960</v>
      </c>
      <c r="K720" s="372">
        <v>324900</v>
      </c>
      <c r="L720" s="372">
        <f t="shared" si="112"/>
        <v>0</v>
      </c>
      <c r="M720" s="372">
        <f t="shared" si="113"/>
        <v>0</v>
      </c>
      <c r="N720" s="460">
        <f t="shared" si="110"/>
        <v>0</v>
      </c>
    </row>
    <row r="721" spans="1:14" ht="13.2" customHeight="1" x14ac:dyDescent="0.3">
      <c r="A721" s="365">
        <f t="shared" si="111"/>
        <v>64</v>
      </c>
      <c r="B721" s="370" t="s">
        <v>2072</v>
      </c>
      <c r="C721" s="371"/>
      <c r="D721" s="371"/>
      <c r="E721" s="367" t="s">
        <v>399</v>
      </c>
      <c r="F721" s="527"/>
      <c r="G721" s="539"/>
      <c r="H721" s="539"/>
      <c r="I721" s="372">
        <f t="shared" si="107"/>
        <v>0</v>
      </c>
      <c r="J721" s="372">
        <f>'D3 SKUTM'!K573</f>
        <v>3637960</v>
      </c>
      <c r="K721" s="372">
        <v>324900</v>
      </c>
      <c r="L721" s="372">
        <f t="shared" si="112"/>
        <v>0</v>
      </c>
      <c r="M721" s="372">
        <f t="shared" si="113"/>
        <v>0</v>
      </c>
      <c r="N721" s="460">
        <f t="shared" si="110"/>
        <v>0</v>
      </c>
    </row>
    <row r="722" spans="1:14" ht="13.2" customHeight="1" x14ac:dyDescent="0.3">
      <c r="A722" s="365">
        <f t="shared" si="111"/>
        <v>65</v>
      </c>
      <c r="B722" s="370" t="s">
        <v>2073</v>
      </c>
      <c r="C722" s="371"/>
      <c r="D722" s="371"/>
      <c r="E722" s="367" t="s">
        <v>399</v>
      </c>
      <c r="F722" s="527"/>
      <c r="G722" s="539"/>
      <c r="H722" s="539"/>
      <c r="I722" s="372">
        <f t="shared" ref="I722:I742" si="114">SUM(F722:H722)</f>
        <v>0</v>
      </c>
      <c r="J722" s="372">
        <f>'D3 SKUTM'!K590</f>
        <v>3593110</v>
      </c>
      <c r="K722" s="372">
        <v>324900</v>
      </c>
      <c r="L722" s="372">
        <f t="shared" ref="L722:L742" si="115">J722*I722</f>
        <v>0</v>
      </c>
      <c r="M722" s="372">
        <f t="shared" ref="M722:M742" si="116">K722*I722</f>
        <v>0</v>
      </c>
      <c r="N722" s="460">
        <f t="shared" ref="N722:N742" si="117">SUM(L722:M722)</f>
        <v>0</v>
      </c>
    </row>
    <row r="723" spans="1:14" ht="13.2" customHeight="1" x14ac:dyDescent="0.3">
      <c r="A723" s="365">
        <f t="shared" si="111"/>
        <v>66</v>
      </c>
      <c r="B723" s="370" t="s">
        <v>2074</v>
      </c>
      <c r="C723" s="371"/>
      <c r="D723" s="371"/>
      <c r="E723" s="367" t="s">
        <v>399</v>
      </c>
      <c r="F723" s="527"/>
      <c r="G723" s="539"/>
      <c r="H723" s="539"/>
      <c r="I723" s="372">
        <f t="shared" si="114"/>
        <v>0</v>
      </c>
      <c r="J723" s="372">
        <f>'D3 SKUTM'!K607</f>
        <v>3925660</v>
      </c>
      <c r="K723" s="372">
        <v>324900</v>
      </c>
      <c r="L723" s="372">
        <f t="shared" si="115"/>
        <v>0</v>
      </c>
      <c r="M723" s="372">
        <f t="shared" si="116"/>
        <v>0</v>
      </c>
      <c r="N723" s="460">
        <f t="shared" si="117"/>
        <v>0</v>
      </c>
    </row>
    <row r="724" spans="1:14" ht="13.2" customHeight="1" x14ac:dyDescent="0.3">
      <c r="A724" s="365">
        <f t="shared" ref="A724:A742" si="118">A723+1</f>
        <v>67</v>
      </c>
      <c r="B724" s="370" t="s">
        <v>2075</v>
      </c>
      <c r="C724" s="371"/>
      <c r="D724" s="371"/>
      <c r="E724" s="367" t="s">
        <v>399</v>
      </c>
      <c r="F724" s="527"/>
      <c r="G724" s="539"/>
      <c r="H724" s="539"/>
      <c r="I724" s="372">
        <f t="shared" si="114"/>
        <v>0</v>
      </c>
      <c r="J724" s="372">
        <f>'D3 SKUTM'!K624</f>
        <v>3946940</v>
      </c>
      <c r="K724" s="372">
        <v>324900</v>
      </c>
      <c r="L724" s="372">
        <f t="shared" si="115"/>
        <v>0</v>
      </c>
      <c r="M724" s="372">
        <f t="shared" si="116"/>
        <v>0</v>
      </c>
      <c r="N724" s="460">
        <f t="shared" si="117"/>
        <v>0</v>
      </c>
    </row>
    <row r="725" spans="1:14" ht="13.2" customHeight="1" x14ac:dyDescent="0.3">
      <c r="A725" s="365">
        <f t="shared" si="118"/>
        <v>68</v>
      </c>
      <c r="B725" s="370" t="s">
        <v>2076</v>
      </c>
      <c r="C725" s="371"/>
      <c r="D725" s="371"/>
      <c r="E725" s="367" t="s">
        <v>399</v>
      </c>
      <c r="F725" s="527"/>
      <c r="G725" s="539"/>
      <c r="H725" s="539"/>
      <c r="I725" s="372">
        <f t="shared" si="114"/>
        <v>0</v>
      </c>
      <c r="J725" s="372">
        <f>'D3 SKUTM'!K641</f>
        <v>3860690</v>
      </c>
      <c r="K725" s="372">
        <v>324900</v>
      </c>
      <c r="L725" s="372">
        <f t="shared" si="115"/>
        <v>0</v>
      </c>
      <c r="M725" s="372">
        <f t="shared" si="116"/>
        <v>0</v>
      </c>
      <c r="N725" s="460">
        <f t="shared" si="117"/>
        <v>0</v>
      </c>
    </row>
    <row r="726" spans="1:14" ht="13.2" customHeight="1" x14ac:dyDescent="0.3">
      <c r="A726" s="365">
        <f t="shared" si="118"/>
        <v>69</v>
      </c>
      <c r="B726" s="370" t="s">
        <v>2077</v>
      </c>
      <c r="C726" s="371"/>
      <c r="D726" s="371"/>
      <c r="E726" s="367" t="s">
        <v>399</v>
      </c>
      <c r="F726" s="527"/>
      <c r="G726" s="539"/>
      <c r="H726" s="539"/>
      <c r="I726" s="372">
        <f t="shared" si="114"/>
        <v>0</v>
      </c>
      <c r="J726" s="372">
        <f>'D3 SKUTM'!K641</f>
        <v>3860690</v>
      </c>
      <c r="K726" s="372">
        <v>324900</v>
      </c>
      <c r="L726" s="372">
        <f t="shared" si="115"/>
        <v>0</v>
      </c>
      <c r="M726" s="372">
        <f t="shared" si="116"/>
        <v>0</v>
      </c>
      <c r="N726" s="460">
        <f t="shared" si="117"/>
        <v>0</v>
      </c>
    </row>
    <row r="727" spans="1:14" ht="13.2" customHeight="1" x14ac:dyDescent="0.3">
      <c r="A727" s="365">
        <f t="shared" si="118"/>
        <v>70</v>
      </c>
      <c r="B727" s="370" t="s">
        <v>2078</v>
      </c>
      <c r="C727" s="371"/>
      <c r="D727" s="371"/>
      <c r="E727" s="367" t="s">
        <v>399</v>
      </c>
      <c r="F727" s="527"/>
      <c r="G727" s="539"/>
      <c r="H727" s="539"/>
      <c r="I727" s="372">
        <f t="shared" si="114"/>
        <v>0</v>
      </c>
      <c r="J727" s="372">
        <f>'D3 SKUTM'!K658</f>
        <v>3815840</v>
      </c>
      <c r="K727" s="372">
        <v>324900</v>
      </c>
      <c r="L727" s="372">
        <f t="shared" si="115"/>
        <v>0</v>
      </c>
      <c r="M727" s="372">
        <f t="shared" si="116"/>
        <v>0</v>
      </c>
      <c r="N727" s="460">
        <f t="shared" si="117"/>
        <v>0</v>
      </c>
    </row>
    <row r="728" spans="1:14" ht="13.2" customHeight="1" x14ac:dyDescent="0.3">
      <c r="A728" s="365">
        <f t="shared" si="118"/>
        <v>71</v>
      </c>
      <c r="B728" s="370" t="s">
        <v>2079</v>
      </c>
      <c r="C728" s="371"/>
      <c r="D728" s="371"/>
      <c r="E728" s="367" t="s">
        <v>399</v>
      </c>
      <c r="F728" s="527"/>
      <c r="G728" s="539"/>
      <c r="H728" s="539"/>
      <c r="I728" s="372">
        <f t="shared" si="114"/>
        <v>0</v>
      </c>
      <c r="J728" s="372">
        <f>'D3 SKUTM'!K670</f>
        <v>5231930</v>
      </c>
      <c r="K728" s="372">
        <v>379060</v>
      </c>
      <c r="L728" s="372">
        <f t="shared" si="115"/>
        <v>0</v>
      </c>
      <c r="M728" s="372">
        <f t="shared" si="116"/>
        <v>0</v>
      </c>
      <c r="N728" s="460">
        <f t="shared" si="117"/>
        <v>0</v>
      </c>
    </row>
    <row r="729" spans="1:14" ht="13.2" customHeight="1" x14ac:dyDescent="0.3">
      <c r="A729" s="365">
        <f t="shared" si="118"/>
        <v>72</v>
      </c>
      <c r="B729" s="370" t="s">
        <v>2080</v>
      </c>
      <c r="C729" s="371"/>
      <c r="D729" s="371"/>
      <c r="E729" s="367" t="s">
        <v>399</v>
      </c>
      <c r="F729" s="527"/>
      <c r="G729" s="539"/>
      <c r="H729" s="539"/>
      <c r="I729" s="372">
        <f t="shared" si="114"/>
        <v>0</v>
      </c>
      <c r="J729" s="372">
        <f>'D3 SKUTM'!K682</f>
        <v>5258950</v>
      </c>
      <c r="K729" s="372">
        <v>379060</v>
      </c>
      <c r="L729" s="372">
        <f t="shared" si="115"/>
        <v>0</v>
      </c>
      <c r="M729" s="372">
        <f t="shared" si="116"/>
        <v>0</v>
      </c>
      <c r="N729" s="460">
        <f t="shared" si="117"/>
        <v>0</v>
      </c>
    </row>
    <row r="730" spans="1:14" ht="13.2" customHeight="1" x14ac:dyDescent="0.3">
      <c r="A730" s="365">
        <f t="shared" si="118"/>
        <v>73</v>
      </c>
      <c r="B730" s="370" t="s">
        <v>2081</v>
      </c>
      <c r="C730" s="371"/>
      <c r="D730" s="371"/>
      <c r="E730" s="367" t="s">
        <v>399</v>
      </c>
      <c r="F730" s="527"/>
      <c r="G730" s="539"/>
      <c r="H730" s="539"/>
      <c r="I730" s="372">
        <f t="shared" si="114"/>
        <v>0</v>
      </c>
      <c r="J730" s="372">
        <f>'D3 SKUTM'!K694</f>
        <v>5098530</v>
      </c>
      <c r="K730" s="372">
        <v>379060</v>
      </c>
      <c r="L730" s="372">
        <f t="shared" si="115"/>
        <v>0</v>
      </c>
      <c r="M730" s="372">
        <f t="shared" si="116"/>
        <v>0</v>
      </c>
      <c r="N730" s="460">
        <f t="shared" si="117"/>
        <v>0</v>
      </c>
    </row>
    <row r="731" spans="1:14" ht="13.2" customHeight="1" x14ac:dyDescent="0.3">
      <c r="A731" s="365">
        <f t="shared" si="118"/>
        <v>74</v>
      </c>
      <c r="B731" s="370" t="s">
        <v>2082</v>
      </c>
      <c r="C731" s="371"/>
      <c r="D731" s="371"/>
      <c r="E731" s="367" t="s">
        <v>399</v>
      </c>
      <c r="F731" s="527"/>
      <c r="G731" s="539"/>
      <c r="H731" s="539"/>
      <c r="I731" s="372">
        <f t="shared" si="114"/>
        <v>0</v>
      </c>
      <c r="J731" s="372">
        <f>'D3 SKUTM'!K694</f>
        <v>5098530</v>
      </c>
      <c r="K731" s="372">
        <v>379060</v>
      </c>
      <c r="L731" s="372">
        <f t="shared" si="115"/>
        <v>0</v>
      </c>
      <c r="M731" s="372">
        <f t="shared" si="116"/>
        <v>0</v>
      </c>
      <c r="N731" s="460">
        <f t="shared" si="117"/>
        <v>0</v>
      </c>
    </row>
    <row r="732" spans="1:14" ht="13.2" customHeight="1" x14ac:dyDescent="0.3">
      <c r="A732" s="365">
        <f t="shared" si="118"/>
        <v>75</v>
      </c>
      <c r="B732" s="370" t="s">
        <v>2083</v>
      </c>
      <c r="C732" s="371"/>
      <c r="D732" s="371"/>
      <c r="E732" s="367" t="s">
        <v>399</v>
      </c>
      <c r="F732" s="527"/>
      <c r="G732" s="539"/>
      <c r="H732" s="539"/>
      <c r="I732" s="372">
        <f t="shared" si="114"/>
        <v>0</v>
      </c>
      <c r="J732" s="372">
        <f>'D3 SKUTM'!K706</f>
        <v>5017450</v>
      </c>
      <c r="K732" s="372">
        <v>379060</v>
      </c>
      <c r="L732" s="372">
        <f t="shared" si="115"/>
        <v>0</v>
      </c>
      <c r="M732" s="372">
        <f t="shared" si="116"/>
        <v>0</v>
      </c>
      <c r="N732" s="460">
        <f t="shared" si="117"/>
        <v>0</v>
      </c>
    </row>
    <row r="733" spans="1:14" ht="13.2" customHeight="1" x14ac:dyDescent="0.3">
      <c r="A733" s="365">
        <f t="shared" si="118"/>
        <v>76</v>
      </c>
      <c r="B733" s="370" t="s">
        <v>2084</v>
      </c>
      <c r="C733" s="371"/>
      <c r="D733" s="371"/>
      <c r="E733" s="367" t="s">
        <v>399</v>
      </c>
      <c r="F733" s="527"/>
      <c r="G733" s="539"/>
      <c r="H733" s="539"/>
      <c r="I733" s="372">
        <f t="shared" si="114"/>
        <v>0</v>
      </c>
      <c r="J733" s="372">
        <f>'D3 SKUTM'!K718</f>
        <v>5376830</v>
      </c>
      <c r="K733" s="372">
        <v>379060</v>
      </c>
      <c r="L733" s="372">
        <f t="shared" si="115"/>
        <v>0</v>
      </c>
      <c r="M733" s="372">
        <f t="shared" si="116"/>
        <v>0</v>
      </c>
      <c r="N733" s="460">
        <f t="shared" si="117"/>
        <v>0</v>
      </c>
    </row>
    <row r="734" spans="1:14" ht="13.2" customHeight="1" x14ac:dyDescent="0.3">
      <c r="A734" s="365">
        <f t="shared" si="118"/>
        <v>77</v>
      </c>
      <c r="B734" s="370" t="s">
        <v>2085</v>
      </c>
      <c r="C734" s="371"/>
      <c r="D734" s="371"/>
      <c r="E734" s="367" t="s">
        <v>399</v>
      </c>
      <c r="F734" s="527"/>
      <c r="G734" s="539"/>
      <c r="H734" s="539"/>
      <c r="I734" s="372">
        <f t="shared" si="114"/>
        <v>0</v>
      </c>
      <c r="J734" s="372">
        <f>'D3 SKUTM'!K730</f>
        <v>5406150</v>
      </c>
      <c r="K734" s="372">
        <v>379060</v>
      </c>
      <c r="L734" s="372">
        <f t="shared" si="115"/>
        <v>0</v>
      </c>
      <c r="M734" s="372">
        <f t="shared" si="116"/>
        <v>0</v>
      </c>
      <c r="N734" s="460">
        <f t="shared" si="117"/>
        <v>0</v>
      </c>
    </row>
    <row r="735" spans="1:14" ht="13.2" customHeight="1" x14ac:dyDescent="0.3">
      <c r="A735" s="365">
        <f t="shared" si="118"/>
        <v>78</v>
      </c>
      <c r="B735" s="370" t="s">
        <v>2086</v>
      </c>
      <c r="C735" s="371"/>
      <c r="D735" s="371"/>
      <c r="E735" s="367" t="s">
        <v>399</v>
      </c>
      <c r="F735" s="527"/>
      <c r="G735" s="539"/>
      <c r="H735" s="539"/>
      <c r="I735" s="372">
        <f t="shared" si="114"/>
        <v>0</v>
      </c>
      <c r="J735" s="372">
        <f>'D3 SKUTM'!K742</f>
        <v>5231930</v>
      </c>
      <c r="K735" s="372">
        <v>379060</v>
      </c>
      <c r="L735" s="372">
        <f t="shared" si="115"/>
        <v>0</v>
      </c>
      <c r="M735" s="372">
        <f t="shared" si="116"/>
        <v>0</v>
      </c>
      <c r="N735" s="460">
        <f t="shared" si="117"/>
        <v>0</v>
      </c>
    </row>
    <row r="736" spans="1:14" ht="13.2" customHeight="1" x14ac:dyDescent="0.3">
      <c r="A736" s="365">
        <f t="shared" si="118"/>
        <v>79</v>
      </c>
      <c r="B736" s="370" t="s">
        <v>2087</v>
      </c>
      <c r="C736" s="371"/>
      <c r="D736" s="371"/>
      <c r="E736" s="367" t="s">
        <v>399</v>
      </c>
      <c r="F736" s="527"/>
      <c r="G736" s="539"/>
      <c r="H736" s="539"/>
      <c r="I736" s="372">
        <f t="shared" si="114"/>
        <v>0</v>
      </c>
      <c r="J736" s="372">
        <f>'D3 SKUTM'!K742</f>
        <v>5231930</v>
      </c>
      <c r="K736" s="372">
        <v>379060</v>
      </c>
      <c r="L736" s="372">
        <f t="shared" si="115"/>
        <v>0</v>
      </c>
      <c r="M736" s="372">
        <f t="shared" si="116"/>
        <v>0</v>
      </c>
      <c r="N736" s="460">
        <f t="shared" si="117"/>
        <v>0</v>
      </c>
    </row>
    <row r="737" spans="1:14" ht="13.2" customHeight="1" x14ac:dyDescent="0.3">
      <c r="A737" s="365">
        <f t="shared" si="118"/>
        <v>80</v>
      </c>
      <c r="B737" s="370" t="s">
        <v>2088</v>
      </c>
      <c r="C737" s="371"/>
      <c r="D737" s="371"/>
      <c r="E737" s="367" t="s">
        <v>399</v>
      </c>
      <c r="F737" s="527"/>
      <c r="G737" s="539"/>
      <c r="H737" s="539"/>
      <c r="I737" s="372">
        <f t="shared" si="114"/>
        <v>0</v>
      </c>
      <c r="J737" s="372">
        <f>'D3 SKUTM'!K754</f>
        <v>5141650</v>
      </c>
      <c r="K737" s="372">
        <v>379060</v>
      </c>
      <c r="L737" s="372">
        <f t="shared" si="115"/>
        <v>0</v>
      </c>
      <c r="M737" s="372">
        <f t="shared" si="116"/>
        <v>0</v>
      </c>
      <c r="N737" s="460">
        <f t="shared" si="117"/>
        <v>0</v>
      </c>
    </row>
    <row r="738" spans="1:14" ht="13.2" customHeight="1" x14ac:dyDescent="0.3">
      <c r="A738" s="365">
        <f t="shared" si="118"/>
        <v>81</v>
      </c>
      <c r="B738" s="370" t="s">
        <v>2089</v>
      </c>
      <c r="C738" s="371"/>
      <c r="D738" s="371"/>
      <c r="E738" s="367" t="s">
        <v>399</v>
      </c>
      <c r="F738" s="527"/>
      <c r="G738" s="539"/>
      <c r="H738" s="539"/>
      <c r="I738" s="372">
        <f t="shared" si="114"/>
        <v>0</v>
      </c>
      <c r="J738" s="372">
        <f>'D3 SKUTM'!K766</f>
        <v>5694370</v>
      </c>
      <c r="K738" s="372">
        <v>379060</v>
      </c>
      <c r="L738" s="372">
        <f t="shared" si="115"/>
        <v>0</v>
      </c>
      <c r="M738" s="372">
        <f t="shared" si="116"/>
        <v>0</v>
      </c>
      <c r="N738" s="460">
        <f t="shared" si="117"/>
        <v>0</v>
      </c>
    </row>
    <row r="739" spans="1:14" ht="13.2" customHeight="1" x14ac:dyDescent="0.3">
      <c r="A739" s="365">
        <f t="shared" si="118"/>
        <v>82</v>
      </c>
      <c r="B739" s="370" t="s">
        <v>2090</v>
      </c>
      <c r="C739" s="371"/>
      <c r="D739" s="371"/>
      <c r="E739" s="367" t="s">
        <v>399</v>
      </c>
      <c r="F739" s="527"/>
      <c r="G739" s="539"/>
      <c r="H739" s="539"/>
      <c r="I739" s="372">
        <f t="shared" si="114"/>
        <v>0</v>
      </c>
      <c r="J739" s="372">
        <f>'D3 SKUTM'!K778</f>
        <v>5732190</v>
      </c>
      <c r="K739" s="372">
        <v>379060</v>
      </c>
      <c r="L739" s="372">
        <f t="shared" si="115"/>
        <v>0</v>
      </c>
      <c r="M739" s="372">
        <f t="shared" si="116"/>
        <v>0</v>
      </c>
      <c r="N739" s="460">
        <f t="shared" si="117"/>
        <v>0</v>
      </c>
    </row>
    <row r="740" spans="1:14" ht="13.2" customHeight="1" x14ac:dyDescent="0.3">
      <c r="A740" s="365">
        <f t="shared" si="118"/>
        <v>83</v>
      </c>
      <c r="B740" s="370" t="s">
        <v>2091</v>
      </c>
      <c r="C740" s="371"/>
      <c r="D740" s="371"/>
      <c r="E740" s="367" t="s">
        <v>399</v>
      </c>
      <c r="F740" s="527"/>
      <c r="G740" s="539"/>
      <c r="H740" s="539"/>
      <c r="I740" s="372">
        <f t="shared" si="114"/>
        <v>0</v>
      </c>
      <c r="J740" s="372">
        <f>'D3 SKUTM'!K790</f>
        <v>5494620</v>
      </c>
      <c r="K740" s="372">
        <v>379060</v>
      </c>
      <c r="L740" s="372">
        <f t="shared" si="115"/>
        <v>0</v>
      </c>
      <c r="M740" s="372">
        <f t="shared" si="116"/>
        <v>0</v>
      </c>
      <c r="N740" s="460">
        <f t="shared" si="117"/>
        <v>0</v>
      </c>
    </row>
    <row r="741" spans="1:14" ht="13.2" customHeight="1" x14ac:dyDescent="0.3">
      <c r="A741" s="365">
        <f t="shared" si="118"/>
        <v>84</v>
      </c>
      <c r="B741" s="370" t="s">
        <v>2092</v>
      </c>
      <c r="C741" s="371"/>
      <c r="D741" s="371"/>
      <c r="E741" s="367" t="s">
        <v>399</v>
      </c>
      <c r="F741" s="527"/>
      <c r="G741" s="539"/>
      <c r="H741" s="539"/>
      <c r="I741" s="372">
        <f t="shared" si="114"/>
        <v>0</v>
      </c>
      <c r="J741" s="372">
        <f>'D3 SKUTM'!K790</f>
        <v>5494620</v>
      </c>
      <c r="K741" s="372">
        <v>379060</v>
      </c>
      <c r="L741" s="372">
        <f t="shared" si="115"/>
        <v>0</v>
      </c>
      <c r="M741" s="372">
        <f t="shared" si="116"/>
        <v>0</v>
      </c>
      <c r="N741" s="460">
        <f t="shared" si="117"/>
        <v>0</v>
      </c>
    </row>
    <row r="742" spans="1:14" ht="13.2" customHeight="1" x14ac:dyDescent="0.3">
      <c r="A742" s="365">
        <f t="shared" si="118"/>
        <v>85</v>
      </c>
      <c r="B742" s="370" t="s">
        <v>2093</v>
      </c>
      <c r="C742" s="371"/>
      <c r="D742" s="371"/>
      <c r="E742" s="367" t="s">
        <v>399</v>
      </c>
      <c r="F742" s="527"/>
      <c r="G742" s="539"/>
      <c r="H742" s="539"/>
      <c r="I742" s="372">
        <f t="shared" si="114"/>
        <v>0</v>
      </c>
      <c r="J742" s="372">
        <f>'D3 SKUTM'!K802</f>
        <v>5374970</v>
      </c>
      <c r="K742" s="372">
        <v>379060</v>
      </c>
      <c r="L742" s="372">
        <f t="shared" si="115"/>
        <v>0</v>
      </c>
      <c r="M742" s="372">
        <f t="shared" si="116"/>
        <v>0</v>
      </c>
      <c r="N742" s="460">
        <f t="shared" si="117"/>
        <v>0</v>
      </c>
    </row>
    <row r="743" spans="1:14" ht="14.4" customHeight="1" x14ac:dyDescent="0.3">
      <c r="A743" s="485"/>
      <c r="B743" s="497" t="s">
        <v>1717</v>
      </c>
      <c r="C743" s="487"/>
      <c r="D743" s="487"/>
      <c r="E743" s="488"/>
      <c r="F743" s="540"/>
      <c r="G743" s="540"/>
      <c r="H743" s="540"/>
      <c r="I743" s="489"/>
      <c r="J743" s="492"/>
      <c r="K743" s="492"/>
      <c r="L743" s="543">
        <f t="shared" ref="L743:N743" si="119">SUM(L658:L742)</f>
        <v>0</v>
      </c>
      <c r="M743" s="543">
        <f t="shared" si="119"/>
        <v>0</v>
      </c>
      <c r="N743" s="544">
        <f t="shared" si="119"/>
        <v>0</v>
      </c>
    </row>
    <row r="744" spans="1:14" ht="8.4" customHeight="1" x14ac:dyDescent="0.3">
      <c r="A744" s="420"/>
      <c r="B744" s="376"/>
      <c r="C744" s="373"/>
      <c r="D744" s="373"/>
      <c r="E744" s="374"/>
      <c r="F744" s="560"/>
      <c r="G744" s="560"/>
      <c r="H744" s="560"/>
      <c r="I744" s="468"/>
      <c r="J744" s="375"/>
      <c r="K744" s="375"/>
      <c r="L744" s="375"/>
      <c r="M744" s="375"/>
      <c r="N744" s="462"/>
    </row>
    <row r="745" spans="1:14" ht="13.95" customHeight="1" x14ac:dyDescent="0.3">
      <c r="A745" s="495" t="s">
        <v>1450</v>
      </c>
      <c r="B745" s="478" t="s">
        <v>1440</v>
      </c>
      <c r="C745" s="480"/>
      <c r="D745" s="480"/>
      <c r="E745" s="493"/>
      <c r="F745" s="568"/>
      <c r="G745" s="568"/>
      <c r="H745" s="568"/>
      <c r="I745" s="483"/>
      <c r="J745" s="494"/>
      <c r="K745" s="494"/>
      <c r="L745" s="494"/>
      <c r="M745" s="494"/>
      <c r="N745" s="546"/>
    </row>
    <row r="746" spans="1:14" ht="13.2" customHeight="1" x14ac:dyDescent="0.3">
      <c r="A746" s="365">
        <v>1</v>
      </c>
      <c r="B746" s="370" t="s">
        <v>2094</v>
      </c>
      <c r="C746" s="371"/>
      <c r="D746" s="371"/>
      <c r="E746" s="367" t="s">
        <v>399</v>
      </c>
      <c r="F746" s="527"/>
      <c r="G746" s="539"/>
      <c r="H746" s="539"/>
      <c r="I746" s="372">
        <f t="shared" ref="I746:I769" si="120">SUM(F746:H746)</f>
        <v>0</v>
      </c>
      <c r="J746" s="372">
        <f>'D4 SKTM'!K17</f>
        <v>3432750</v>
      </c>
      <c r="K746" s="372">
        <v>324900</v>
      </c>
      <c r="L746" s="372">
        <f t="shared" ref="L746:L769" si="121">J746*I746</f>
        <v>0</v>
      </c>
      <c r="M746" s="372">
        <f t="shared" ref="M746:M769" si="122">K746*I746</f>
        <v>0</v>
      </c>
      <c r="N746" s="460">
        <f t="shared" ref="N746:N769" si="123">SUM(L746:M746)</f>
        <v>0</v>
      </c>
    </row>
    <row r="747" spans="1:14" ht="13.2" customHeight="1" x14ac:dyDescent="0.3">
      <c r="A747" s="365">
        <f t="shared" ref="A747:A769" si="124">A746+1</f>
        <v>2</v>
      </c>
      <c r="B747" s="370" t="s">
        <v>2095</v>
      </c>
      <c r="C747" s="371"/>
      <c r="D747" s="371"/>
      <c r="E747" s="367" t="s">
        <v>399</v>
      </c>
      <c r="F747" s="527"/>
      <c r="G747" s="539"/>
      <c r="H747" s="539"/>
      <c r="I747" s="372">
        <f t="shared" si="120"/>
        <v>0</v>
      </c>
      <c r="J747" s="372">
        <f>'D4 SKTM'!K28</f>
        <v>3415500</v>
      </c>
      <c r="K747" s="372">
        <v>324900</v>
      </c>
      <c r="L747" s="372">
        <f t="shared" si="121"/>
        <v>0</v>
      </c>
      <c r="M747" s="372">
        <f t="shared" si="122"/>
        <v>0</v>
      </c>
      <c r="N747" s="460">
        <f t="shared" si="123"/>
        <v>0</v>
      </c>
    </row>
    <row r="748" spans="1:14" ht="13.2" customHeight="1" x14ac:dyDescent="0.3">
      <c r="A748" s="365">
        <f t="shared" si="124"/>
        <v>3</v>
      </c>
      <c r="B748" s="370" t="s">
        <v>2096</v>
      </c>
      <c r="C748" s="371"/>
      <c r="D748" s="371"/>
      <c r="E748" s="367" t="s">
        <v>399</v>
      </c>
      <c r="F748" s="527"/>
      <c r="G748" s="539"/>
      <c r="H748" s="539"/>
      <c r="I748" s="372">
        <f t="shared" si="120"/>
        <v>0</v>
      </c>
      <c r="J748" s="372">
        <f>'D4 SKTM'!K39</f>
        <v>3300500</v>
      </c>
      <c r="K748" s="372">
        <v>324900</v>
      </c>
      <c r="L748" s="372">
        <f t="shared" si="121"/>
        <v>0</v>
      </c>
      <c r="M748" s="372">
        <f t="shared" si="122"/>
        <v>0</v>
      </c>
      <c r="N748" s="460">
        <f t="shared" si="123"/>
        <v>0</v>
      </c>
    </row>
    <row r="749" spans="1:14" ht="13.2" customHeight="1" x14ac:dyDescent="0.3">
      <c r="A749" s="365">
        <f t="shared" si="124"/>
        <v>4</v>
      </c>
      <c r="B749" s="370" t="s">
        <v>2097</v>
      </c>
      <c r="C749" s="371"/>
      <c r="D749" s="371"/>
      <c r="E749" s="367" t="s">
        <v>399</v>
      </c>
      <c r="F749" s="527"/>
      <c r="G749" s="539"/>
      <c r="H749" s="539"/>
      <c r="I749" s="372">
        <f t="shared" si="120"/>
        <v>0</v>
      </c>
      <c r="J749" s="372">
        <f>'D4 SKTM'!K39</f>
        <v>3300500</v>
      </c>
      <c r="K749" s="372">
        <v>324900</v>
      </c>
      <c r="L749" s="372">
        <f t="shared" si="121"/>
        <v>0</v>
      </c>
      <c r="M749" s="372">
        <f t="shared" si="122"/>
        <v>0</v>
      </c>
      <c r="N749" s="460">
        <f t="shared" si="123"/>
        <v>0</v>
      </c>
    </row>
    <row r="750" spans="1:14" ht="13.2" customHeight="1" x14ac:dyDescent="0.3">
      <c r="A750" s="365">
        <f t="shared" si="124"/>
        <v>5</v>
      </c>
      <c r="B750" s="370" t="s">
        <v>2098</v>
      </c>
      <c r="C750" s="371"/>
      <c r="D750" s="371"/>
      <c r="E750" s="367" t="s">
        <v>399</v>
      </c>
      <c r="F750" s="527"/>
      <c r="G750" s="539"/>
      <c r="H750" s="539"/>
      <c r="I750" s="372">
        <f t="shared" si="120"/>
        <v>0</v>
      </c>
      <c r="J750" s="372">
        <f>'D4 SKTM'!K50</f>
        <v>3237250</v>
      </c>
      <c r="K750" s="372">
        <v>324900</v>
      </c>
      <c r="L750" s="372">
        <f t="shared" si="121"/>
        <v>0</v>
      </c>
      <c r="M750" s="372">
        <f t="shared" si="122"/>
        <v>0</v>
      </c>
      <c r="N750" s="460">
        <f t="shared" si="123"/>
        <v>0</v>
      </c>
    </row>
    <row r="751" spans="1:14" ht="13.2" customHeight="1" x14ac:dyDescent="0.3">
      <c r="A751" s="365">
        <f t="shared" si="124"/>
        <v>6</v>
      </c>
      <c r="B751" s="370" t="s">
        <v>2099</v>
      </c>
      <c r="C751" s="371"/>
      <c r="D751" s="371"/>
      <c r="E751" s="367" t="s">
        <v>399</v>
      </c>
      <c r="F751" s="527"/>
      <c r="G751" s="539"/>
      <c r="H751" s="539"/>
      <c r="I751" s="372">
        <f t="shared" si="120"/>
        <v>0</v>
      </c>
      <c r="J751" s="372">
        <f>'D4 SKTM'!K61</f>
        <v>4005620</v>
      </c>
      <c r="K751" s="372">
        <v>324900</v>
      </c>
      <c r="L751" s="372">
        <f t="shared" si="121"/>
        <v>0</v>
      </c>
      <c r="M751" s="372">
        <f t="shared" si="122"/>
        <v>0</v>
      </c>
      <c r="N751" s="460">
        <f t="shared" si="123"/>
        <v>0</v>
      </c>
    </row>
    <row r="752" spans="1:14" ht="13.2" customHeight="1" x14ac:dyDescent="0.3">
      <c r="A752" s="365">
        <f t="shared" si="124"/>
        <v>7</v>
      </c>
      <c r="B752" s="370" t="s">
        <v>2100</v>
      </c>
      <c r="C752" s="371"/>
      <c r="D752" s="371"/>
      <c r="E752" s="367" t="s">
        <v>399</v>
      </c>
      <c r="F752" s="527"/>
      <c r="G752" s="539"/>
      <c r="H752" s="539"/>
      <c r="I752" s="372">
        <f t="shared" si="120"/>
        <v>0</v>
      </c>
      <c r="J752" s="372">
        <f>'D4 SKTM'!K72</f>
        <v>3988370</v>
      </c>
      <c r="K752" s="372">
        <v>324900</v>
      </c>
      <c r="L752" s="372">
        <f t="shared" si="121"/>
        <v>0</v>
      </c>
      <c r="M752" s="372">
        <f t="shared" si="122"/>
        <v>0</v>
      </c>
      <c r="N752" s="460">
        <f t="shared" si="123"/>
        <v>0</v>
      </c>
    </row>
    <row r="753" spans="1:14" ht="13.2" customHeight="1" x14ac:dyDescent="0.3">
      <c r="A753" s="365">
        <f t="shared" si="124"/>
        <v>8</v>
      </c>
      <c r="B753" s="370" t="s">
        <v>2101</v>
      </c>
      <c r="C753" s="371"/>
      <c r="D753" s="371"/>
      <c r="E753" s="367" t="s">
        <v>399</v>
      </c>
      <c r="F753" s="527"/>
      <c r="G753" s="539"/>
      <c r="H753" s="539"/>
      <c r="I753" s="372">
        <f t="shared" si="120"/>
        <v>0</v>
      </c>
      <c r="J753" s="372">
        <f>'D4 SKTM'!K83</f>
        <v>3873370</v>
      </c>
      <c r="K753" s="372">
        <v>324900</v>
      </c>
      <c r="L753" s="372">
        <f t="shared" si="121"/>
        <v>0</v>
      </c>
      <c r="M753" s="372">
        <f t="shared" si="122"/>
        <v>0</v>
      </c>
      <c r="N753" s="460">
        <f t="shared" si="123"/>
        <v>0</v>
      </c>
    </row>
    <row r="754" spans="1:14" ht="13.2" customHeight="1" x14ac:dyDescent="0.3">
      <c r="A754" s="365">
        <f t="shared" si="124"/>
        <v>9</v>
      </c>
      <c r="B754" s="370" t="s">
        <v>2102</v>
      </c>
      <c r="C754" s="371"/>
      <c r="D754" s="371"/>
      <c r="E754" s="367" t="s">
        <v>399</v>
      </c>
      <c r="F754" s="527"/>
      <c r="G754" s="539"/>
      <c r="H754" s="539"/>
      <c r="I754" s="372">
        <f t="shared" si="120"/>
        <v>0</v>
      </c>
      <c r="J754" s="372">
        <f>'D4 SKTM'!K83</f>
        <v>3873370</v>
      </c>
      <c r="K754" s="372">
        <v>324900</v>
      </c>
      <c r="L754" s="372">
        <f t="shared" si="121"/>
        <v>0</v>
      </c>
      <c r="M754" s="372">
        <f t="shared" si="122"/>
        <v>0</v>
      </c>
      <c r="N754" s="460">
        <f t="shared" si="123"/>
        <v>0</v>
      </c>
    </row>
    <row r="755" spans="1:14" ht="13.2" customHeight="1" x14ac:dyDescent="0.3">
      <c r="A755" s="365">
        <f t="shared" si="124"/>
        <v>10</v>
      </c>
      <c r="B755" s="370" t="s">
        <v>2103</v>
      </c>
      <c r="C755" s="371"/>
      <c r="D755" s="371"/>
      <c r="E755" s="367" t="s">
        <v>399</v>
      </c>
      <c r="F755" s="527"/>
      <c r="G755" s="539"/>
      <c r="H755" s="539"/>
      <c r="I755" s="372">
        <f t="shared" si="120"/>
        <v>0</v>
      </c>
      <c r="J755" s="372">
        <f>'D4 SKTM'!K94</f>
        <v>3810120</v>
      </c>
      <c r="K755" s="372">
        <v>324900</v>
      </c>
      <c r="L755" s="372">
        <f t="shared" si="121"/>
        <v>0</v>
      </c>
      <c r="M755" s="372">
        <f t="shared" si="122"/>
        <v>0</v>
      </c>
      <c r="N755" s="460">
        <f t="shared" si="123"/>
        <v>0</v>
      </c>
    </row>
    <row r="756" spans="1:14" ht="13.2" customHeight="1" x14ac:dyDescent="0.3">
      <c r="A756" s="365">
        <f t="shared" si="124"/>
        <v>11</v>
      </c>
      <c r="B756" s="370" t="s">
        <v>2104</v>
      </c>
      <c r="C756" s="371"/>
      <c r="D756" s="371"/>
      <c r="E756" s="367" t="s">
        <v>399</v>
      </c>
      <c r="F756" s="527"/>
      <c r="G756" s="539"/>
      <c r="H756" s="539"/>
      <c r="I756" s="372">
        <f t="shared" si="120"/>
        <v>0</v>
      </c>
      <c r="J756" s="372">
        <f>'D4 SKTM'!K105</f>
        <v>4794210</v>
      </c>
      <c r="K756" s="372">
        <v>324900</v>
      </c>
      <c r="L756" s="372">
        <f t="shared" si="121"/>
        <v>0</v>
      </c>
      <c r="M756" s="372">
        <f t="shared" si="122"/>
        <v>0</v>
      </c>
      <c r="N756" s="460">
        <f t="shared" si="123"/>
        <v>0</v>
      </c>
    </row>
    <row r="757" spans="1:14" ht="13.2" customHeight="1" x14ac:dyDescent="0.3">
      <c r="A757" s="365">
        <f t="shared" si="124"/>
        <v>12</v>
      </c>
      <c r="B757" s="370" t="s">
        <v>2105</v>
      </c>
      <c r="C757" s="371"/>
      <c r="D757" s="371"/>
      <c r="E757" s="367" t="s">
        <v>399</v>
      </c>
      <c r="F757" s="527"/>
      <c r="G757" s="539"/>
      <c r="H757" s="539"/>
      <c r="I757" s="372">
        <f t="shared" si="120"/>
        <v>0</v>
      </c>
      <c r="J757" s="372">
        <f>'D4 SKTM'!K116</f>
        <v>4773510</v>
      </c>
      <c r="K757" s="372">
        <v>324900</v>
      </c>
      <c r="L757" s="372">
        <f t="shared" si="121"/>
        <v>0</v>
      </c>
      <c r="M757" s="372">
        <f t="shared" si="122"/>
        <v>0</v>
      </c>
      <c r="N757" s="460">
        <f t="shared" si="123"/>
        <v>0</v>
      </c>
    </row>
    <row r="758" spans="1:14" ht="13.2" customHeight="1" x14ac:dyDescent="0.3">
      <c r="A758" s="365">
        <f t="shared" si="124"/>
        <v>13</v>
      </c>
      <c r="B758" s="370" t="s">
        <v>2106</v>
      </c>
      <c r="C758" s="371"/>
      <c r="D758" s="371"/>
      <c r="E758" s="367" t="s">
        <v>399</v>
      </c>
      <c r="F758" s="527"/>
      <c r="G758" s="539"/>
      <c r="H758" s="539"/>
      <c r="I758" s="372">
        <f t="shared" si="120"/>
        <v>0</v>
      </c>
      <c r="J758" s="372">
        <f>'D4 SKTM'!K127</f>
        <v>4619410</v>
      </c>
      <c r="K758" s="372">
        <v>324900</v>
      </c>
      <c r="L758" s="372">
        <f t="shared" si="121"/>
        <v>0</v>
      </c>
      <c r="M758" s="372">
        <f t="shared" si="122"/>
        <v>0</v>
      </c>
      <c r="N758" s="460">
        <f t="shared" si="123"/>
        <v>0</v>
      </c>
    </row>
    <row r="759" spans="1:14" ht="13.2" customHeight="1" x14ac:dyDescent="0.3">
      <c r="A759" s="365">
        <f t="shared" si="124"/>
        <v>14</v>
      </c>
      <c r="B759" s="370" t="s">
        <v>2107</v>
      </c>
      <c r="C759" s="371"/>
      <c r="D759" s="371"/>
      <c r="E759" s="367" t="s">
        <v>399</v>
      </c>
      <c r="F759" s="527"/>
      <c r="G759" s="539"/>
      <c r="H759" s="539"/>
      <c r="I759" s="372">
        <f t="shared" si="120"/>
        <v>0</v>
      </c>
      <c r="J759" s="372">
        <f>'D4 SKTM'!K127</f>
        <v>4619410</v>
      </c>
      <c r="K759" s="372">
        <v>324900</v>
      </c>
      <c r="L759" s="372">
        <f t="shared" si="121"/>
        <v>0</v>
      </c>
      <c r="M759" s="372">
        <f t="shared" si="122"/>
        <v>0</v>
      </c>
      <c r="N759" s="460">
        <f t="shared" si="123"/>
        <v>0</v>
      </c>
    </row>
    <row r="760" spans="1:14" ht="13.2" customHeight="1" x14ac:dyDescent="0.3">
      <c r="A760" s="365">
        <f t="shared" si="124"/>
        <v>15</v>
      </c>
      <c r="B760" s="370" t="s">
        <v>2108</v>
      </c>
      <c r="C760" s="371"/>
      <c r="D760" s="371"/>
      <c r="E760" s="367" t="s">
        <v>399</v>
      </c>
      <c r="F760" s="527"/>
      <c r="G760" s="539"/>
      <c r="H760" s="539"/>
      <c r="I760" s="372">
        <f t="shared" si="120"/>
        <v>0</v>
      </c>
      <c r="J760" s="372">
        <f>'D4 SKTM'!K138</f>
        <v>4521660</v>
      </c>
      <c r="K760" s="372">
        <v>324900</v>
      </c>
      <c r="L760" s="372">
        <f t="shared" si="121"/>
        <v>0</v>
      </c>
      <c r="M760" s="372">
        <f t="shared" si="122"/>
        <v>0</v>
      </c>
      <c r="N760" s="460">
        <f t="shared" si="123"/>
        <v>0</v>
      </c>
    </row>
    <row r="761" spans="1:14" ht="13.2" customHeight="1" x14ac:dyDescent="0.3">
      <c r="A761" s="365">
        <f t="shared" si="124"/>
        <v>16</v>
      </c>
      <c r="B761" s="370" t="s">
        <v>2269</v>
      </c>
      <c r="C761" s="371"/>
      <c r="D761" s="371"/>
      <c r="E761" s="367" t="s">
        <v>596</v>
      </c>
      <c r="F761" s="537"/>
      <c r="G761" s="536"/>
      <c r="H761" s="536"/>
      <c r="I761" s="466">
        <f t="shared" si="120"/>
        <v>0</v>
      </c>
      <c r="J761" s="372">
        <v>0</v>
      </c>
      <c r="K761" s="372">
        <v>447120</v>
      </c>
      <c r="L761" s="372">
        <f t="shared" si="121"/>
        <v>0</v>
      </c>
      <c r="M761" s="372">
        <f t="shared" si="122"/>
        <v>0</v>
      </c>
      <c r="N761" s="460">
        <f t="shared" si="123"/>
        <v>0</v>
      </c>
    </row>
    <row r="762" spans="1:14" ht="13.2" customHeight="1" x14ac:dyDescent="0.3">
      <c r="A762" s="365">
        <f t="shared" si="124"/>
        <v>17</v>
      </c>
      <c r="B762" s="370" t="s">
        <v>1663</v>
      </c>
      <c r="C762" s="371"/>
      <c r="D762" s="371"/>
      <c r="E762" s="367" t="s">
        <v>596</v>
      </c>
      <c r="F762" s="537"/>
      <c r="G762" s="536"/>
      <c r="H762" s="536"/>
      <c r="I762" s="466">
        <f t="shared" si="120"/>
        <v>0</v>
      </c>
      <c r="J762" s="372">
        <v>0</v>
      </c>
      <c r="K762" s="372">
        <v>745210</v>
      </c>
      <c r="L762" s="372">
        <f t="shared" si="121"/>
        <v>0</v>
      </c>
      <c r="M762" s="372">
        <f t="shared" si="122"/>
        <v>0</v>
      </c>
      <c r="N762" s="460">
        <f t="shared" si="123"/>
        <v>0</v>
      </c>
    </row>
    <row r="763" spans="1:14" ht="13.2" customHeight="1" x14ac:dyDescent="0.3">
      <c r="A763" s="365">
        <f t="shared" si="124"/>
        <v>18</v>
      </c>
      <c r="B763" s="370" t="s">
        <v>1664</v>
      </c>
      <c r="C763" s="371"/>
      <c r="D763" s="371"/>
      <c r="E763" s="367" t="s">
        <v>596</v>
      </c>
      <c r="F763" s="537"/>
      <c r="G763" s="536"/>
      <c r="H763" s="536"/>
      <c r="I763" s="466">
        <f t="shared" si="120"/>
        <v>0</v>
      </c>
      <c r="J763" s="372">
        <v>0</v>
      </c>
      <c r="K763" s="372">
        <v>850440</v>
      </c>
      <c r="L763" s="372">
        <f t="shared" si="121"/>
        <v>0</v>
      </c>
      <c r="M763" s="372">
        <f t="shared" si="122"/>
        <v>0</v>
      </c>
      <c r="N763" s="460">
        <f t="shared" si="123"/>
        <v>0</v>
      </c>
    </row>
    <row r="764" spans="1:14" ht="13.2" customHeight="1" x14ac:dyDescent="0.3">
      <c r="A764" s="365">
        <f t="shared" si="124"/>
        <v>19</v>
      </c>
      <c r="B764" s="370" t="s">
        <v>1665</v>
      </c>
      <c r="C764" s="371"/>
      <c r="D764" s="371"/>
      <c r="E764" s="367" t="s">
        <v>596</v>
      </c>
      <c r="F764" s="537"/>
      <c r="G764" s="536"/>
      <c r="H764" s="536"/>
      <c r="I764" s="466">
        <f t="shared" si="120"/>
        <v>0</v>
      </c>
      <c r="J764" s="372">
        <f>'Harga Satuan Dasar mat'!G764</f>
        <v>445500</v>
      </c>
      <c r="K764" s="372">
        <v>698630</v>
      </c>
      <c r="L764" s="372">
        <f t="shared" si="121"/>
        <v>0</v>
      </c>
      <c r="M764" s="372">
        <f t="shared" si="122"/>
        <v>0</v>
      </c>
      <c r="N764" s="460">
        <f t="shared" si="123"/>
        <v>0</v>
      </c>
    </row>
    <row r="765" spans="1:14" ht="13.2" customHeight="1" x14ac:dyDescent="0.3">
      <c r="A765" s="365">
        <f t="shared" si="124"/>
        <v>20</v>
      </c>
      <c r="B765" s="370" t="s">
        <v>1666</v>
      </c>
      <c r="C765" s="371"/>
      <c r="D765" s="371"/>
      <c r="E765" s="367" t="s">
        <v>596</v>
      </c>
      <c r="F765" s="537"/>
      <c r="G765" s="536"/>
      <c r="H765" s="536"/>
      <c r="I765" s="466">
        <f t="shared" si="120"/>
        <v>0</v>
      </c>
      <c r="J765" s="372">
        <v>0</v>
      </c>
      <c r="K765" s="372">
        <v>785020</v>
      </c>
      <c r="L765" s="372">
        <f t="shared" si="121"/>
        <v>0</v>
      </c>
      <c r="M765" s="372">
        <f t="shared" si="122"/>
        <v>0</v>
      </c>
      <c r="N765" s="460">
        <f t="shared" si="123"/>
        <v>0</v>
      </c>
    </row>
    <row r="766" spans="1:14" ht="13.2" customHeight="1" x14ac:dyDescent="0.3">
      <c r="A766" s="365">
        <f>A765+1</f>
        <v>21</v>
      </c>
      <c r="B766" s="370" t="s">
        <v>1667</v>
      </c>
      <c r="C766" s="371"/>
      <c r="D766" s="371"/>
      <c r="E766" s="367" t="s">
        <v>399</v>
      </c>
      <c r="F766" s="527"/>
      <c r="G766" s="539"/>
      <c r="H766" s="539"/>
      <c r="I766" s="372">
        <f t="shared" si="120"/>
        <v>0</v>
      </c>
      <c r="J766" s="372">
        <f>'D4 SKTM'!K145</f>
        <v>164740</v>
      </c>
      <c r="K766" s="372">
        <v>20380</v>
      </c>
      <c r="L766" s="372">
        <f t="shared" si="121"/>
        <v>0</v>
      </c>
      <c r="M766" s="372">
        <f t="shared" si="122"/>
        <v>0</v>
      </c>
      <c r="N766" s="460">
        <f t="shared" si="123"/>
        <v>0</v>
      </c>
    </row>
    <row r="767" spans="1:14" ht="13.2" customHeight="1" x14ac:dyDescent="0.3">
      <c r="A767" s="365">
        <f t="shared" si="124"/>
        <v>22</v>
      </c>
      <c r="B767" s="370" t="s">
        <v>1670</v>
      </c>
      <c r="C767" s="371"/>
      <c r="D767" s="371"/>
      <c r="E767" s="367" t="s">
        <v>399</v>
      </c>
      <c r="F767" s="527"/>
      <c r="G767" s="539"/>
      <c r="H767" s="539"/>
      <c r="I767" s="372">
        <f t="shared" si="120"/>
        <v>0</v>
      </c>
      <c r="J767" s="372">
        <f>'Harga Satuan Dasar mat'!G767</f>
        <v>144800</v>
      </c>
      <c r="K767" s="372">
        <v>19710</v>
      </c>
      <c r="L767" s="372">
        <f t="shared" si="121"/>
        <v>0</v>
      </c>
      <c r="M767" s="372">
        <f t="shared" si="122"/>
        <v>0</v>
      </c>
      <c r="N767" s="460">
        <f t="shared" si="123"/>
        <v>0</v>
      </c>
    </row>
    <row r="768" spans="1:14" ht="13.2" customHeight="1" x14ac:dyDescent="0.3">
      <c r="A768" s="365">
        <f t="shared" si="124"/>
        <v>23</v>
      </c>
      <c r="B768" s="370" t="s">
        <v>1671</v>
      </c>
      <c r="C768" s="371"/>
      <c r="D768" s="371"/>
      <c r="E768" s="367" t="s">
        <v>399</v>
      </c>
      <c r="F768" s="527"/>
      <c r="G768" s="539"/>
      <c r="H768" s="539"/>
      <c r="I768" s="372">
        <f t="shared" si="120"/>
        <v>0</v>
      </c>
      <c r="J768" s="372">
        <f>'Harga Satuan Dasar mat'!G768</f>
        <v>139500</v>
      </c>
      <c r="K768" s="372">
        <v>19710</v>
      </c>
      <c r="L768" s="372">
        <f t="shared" si="121"/>
        <v>0</v>
      </c>
      <c r="M768" s="372">
        <f t="shared" si="122"/>
        <v>0</v>
      </c>
      <c r="N768" s="460">
        <f t="shared" si="123"/>
        <v>0</v>
      </c>
    </row>
    <row r="769" spans="1:14" ht="13.2" customHeight="1" x14ac:dyDescent="0.3">
      <c r="A769" s="365">
        <f t="shared" si="124"/>
        <v>24</v>
      </c>
      <c r="B769" s="370" t="s">
        <v>1689</v>
      </c>
      <c r="C769" s="371"/>
      <c r="D769" s="371"/>
      <c r="E769" s="367" t="s">
        <v>264</v>
      </c>
      <c r="F769" s="527"/>
      <c r="G769" s="539"/>
      <c r="H769" s="539"/>
      <c r="I769" s="372">
        <f t="shared" si="120"/>
        <v>0</v>
      </c>
      <c r="J769" s="372">
        <f>'D4 SKTM'!K154</f>
        <v>2945610</v>
      </c>
      <c r="K769" s="372">
        <v>108670</v>
      </c>
      <c r="L769" s="372">
        <f t="shared" si="121"/>
        <v>0</v>
      </c>
      <c r="M769" s="372">
        <f t="shared" si="122"/>
        <v>0</v>
      </c>
      <c r="N769" s="460">
        <f t="shared" si="123"/>
        <v>0</v>
      </c>
    </row>
    <row r="770" spans="1:14" ht="15.6" customHeight="1" x14ac:dyDescent="0.3">
      <c r="A770" s="485"/>
      <c r="B770" s="497" t="s">
        <v>1718</v>
      </c>
      <c r="C770" s="487"/>
      <c r="D770" s="487"/>
      <c r="E770" s="488"/>
      <c r="F770" s="540"/>
      <c r="G770" s="540"/>
      <c r="H770" s="540"/>
      <c r="I770" s="489"/>
      <c r="J770" s="492"/>
      <c r="K770" s="492"/>
      <c r="L770" s="543">
        <f>SUM(L746:L769)</f>
        <v>0</v>
      </c>
      <c r="M770" s="543">
        <f t="shared" ref="M770:N770" si="125">SUM(M746:M769)</f>
        <v>0</v>
      </c>
      <c r="N770" s="544">
        <f t="shared" si="125"/>
        <v>0</v>
      </c>
    </row>
    <row r="771" spans="1:14" ht="8.4" customHeight="1" x14ac:dyDescent="0.3">
      <c r="A771" s="420"/>
      <c r="B771" s="376"/>
      <c r="C771" s="373"/>
      <c r="D771" s="373"/>
      <c r="E771" s="421"/>
      <c r="F771" s="560"/>
      <c r="G771" s="560"/>
      <c r="H771" s="560"/>
      <c r="I771" s="468"/>
      <c r="J771" s="375"/>
      <c r="K771" s="375"/>
      <c r="L771" s="375"/>
      <c r="M771" s="375"/>
      <c r="N771" s="462"/>
    </row>
    <row r="772" spans="1:14" ht="13.95" customHeight="1" x14ac:dyDescent="0.3">
      <c r="A772" s="495" t="s">
        <v>1451</v>
      </c>
      <c r="B772" s="478" t="s">
        <v>1443</v>
      </c>
      <c r="C772" s="480"/>
      <c r="D772" s="480"/>
      <c r="E772" s="493"/>
      <c r="F772" s="568"/>
      <c r="G772" s="568"/>
      <c r="H772" s="568"/>
      <c r="I772" s="483"/>
      <c r="J772" s="494"/>
      <c r="K772" s="494"/>
      <c r="L772" s="494"/>
      <c r="M772" s="494"/>
      <c r="N772" s="546"/>
    </row>
    <row r="773" spans="1:14" ht="13.2" customHeight="1" x14ac:dyDescent="0.3">
      <c r="A773" s="365">
        <v>1</v>
      </c>
      <c r="B773" s="370" t="s">
        <v>1983</v>
      </c>
      <c r="C773" s="371"/>
      <c r="D773" s="371"/>
      <c r="E773" s="367" t="s">
        <v>399</v>
      </c>
      <c r="F773" s="527"/>
      <c r="G773" s="527"/>
      <c r="H773" s="539"/>
      <c r="I773" s="372">
        <f t="shared" ref="I773:I836" si="126">SUM(F773:H773)</f>
        <v>0</v>
      </c>
      <c r="J773" s="372">
        <f>'D5 Gardu'!K16</f>
        <v>2065400</v>
      </c>
      <c r="K773" s="372">
        <v>252700</v>
      </c>
      <c r="L773" s="372">
        <f t="shared" ref="L773:L804" si="127">J773*I773</f>
        <v>0</v>
      </c>
      <c r="M773" s="372">
        <f t="shared" ref="M773:M804" si="128">K773*I773</f>
        <v>0</v>
      </c>
      <c r="N773" s="460">
        <f t="shared" ref="N773:N828" si="129">SUM(L773:M773)</f>
        <v>0</v>
      </c>
    </row>
    <row r="774" spans="1:14" ht="13.2" customHeight="1" x14ac:dyDescent="0.3">
      <c r="A774" s="365">
        <f t="shared" ref="A774:A829" si="130">A773+1</f>
        <v>2</v>
      </c>
      <c r="B774" s="370" t="s">
        <v>1984</v>
      </c>
      <c r="C774" s="371"/>
      <c r="D774" s="371"/>
      <c r="E774" s="367" t="s">
        <v>399</v>
      </c>
      <c r="F774" s="527"/>
      <c r="G774" s="527"/>
      <c r="H774" s="539"/>
      <c r="I774" s="372">
        <f t="shared" si="126"/>
        <v>0</v>
      </c>
      <c r="J774" s="372">
        <f>'D5 Gardu'!K26</f>
        <v>2071150</v>
      </c>
      <c r="K774" s="372">
        <v>252700</v>
      </c>
      <c r="L774" s="372">
        <f t="shared" si="127"/>
        <v>0</v>
      </c>
      <c r="M774" s="372">
        <f t="shared" si="128"/>
        <v>0</v>
      </c>
      <c r="N774" s="460">
        <f t="shared" si="129"/>
        <v>0</v>
      </c>
    </row>
    <row r="775" spans="1:14" ht="13.2" customHeight="1" x14ac:dyDescent="0.3">
      <c r="A775" s="365">
        <f t="shared" si="130"/>
        <v>3</v>
      </c>
      <c r="B775" s="370" t="s">
        <v>1985</v>
      </c>
      <c r="C775" s="371"/>
      <c r="D775" s="371"/>
      <c r="E775" s="367" t="s">
        <v>399</v>
      </c>
      <c r="F775" s="527"/>
      <c r="G775" s="527"/>
      <c r="H775" s="539"/>
      <c r="I775" s="372">
        <f t="shared" si="126"/>
        <v>0</v>
      </c>
      <c r="J775" s="372">
        <f>'D5 Gardu'!K36</f>
        <v>2005600</v>
      </c>
      <c r="K775" s="372">
        <v>252700</v>
      </c>
      <c r="L775" s="372">
        <f t="shared" si="127"/>
        <v>0</v>
      </c>
      <c r="M775" s="372">
        <f t="shared" si="128"/>
        <v>0</v>
      </c>
      <c r="N775" s="460">
        <f t="shared" si="129"/>
        <v>0</v>
      </c>
    </row>
    <row r="776" spans="1:14" ht="13.2" customHeight="1" x14ac:dyDescent="0.3">
      <c r="A776" s="365">
        <f t="shared" si="130"/>
        <v>4</v>
      </c>
      <c r="B776" s="370" t="s">
        <v>1986</v>
      </c>
      <c r="C776" s="371"/>
      <c r="D776" s="371"/>
      <c r="E776" s="367" t="s">
        <v>399</v>
      </c>
      <c r="F776" s="527"/>
      <c r="G776" s="527"/>
      <c r="H776" s="539"/>
      <c r="I776" s="372">
        <f t="shared" si="126"/>
        <v>0</v>
      </c>
      <c r="J776" s="372">
        <f>'D5 Gardu'!K36</f>
        <v>2005600</v>
      </c>
      <c r="K776" s="372">
        <v>252700</v>
      </c>
      <c r="L776" s="372">
        <f t="shared" si="127"/>
        <v>0</v>
      </c>
      <c r="M776" s="372">
        <f t="shared" si="128"/>
        <v>0</v>
      </c>
      <c r="N776" s="460">
        <f t="shared" si="129"/>
        <v>0</v>
      </c>
    </row>
    <row r="777" spans="1:14" ht="13.2" customHeight="1" x14ac:dyDescent="0.3">
      <c r="A777" s="365">
        <f t="shared" si="130"/>
        <v>5</v>
      </c>
      <c r="B777" s="370" t="s">
        <v>1987</v>
      </c>
      <c r="C777" s="371"/>
      <c r="D777" s="371"/>
      <c r="E777" s="367" t="s">
        <v>399</v>
      </c>
      <c r="F777" s="527"/>
      <c r="G777" s="527"/>
      <c r="H777" s="539"/>
      <c r="I777" s="372">
        <f t="shared" si="126"/>
        <v>0</v>
      </c>
      <c r="J777" s="372">
        <f>'D5 Gardu'!K46</f>
        <v>1971100</v>
      </c>
      <c r="K777" s="372">
        <v>252700</v>
      </c>
      <c r="L777" s="372">
        <f t="shared" si="127"/>
        <v>0</v>
      </c>
      <c r="M777" s="372">
        <f t="shared" si="128"/>
        <v>0</v>
      </c>
      <c r="N777" s="460">
        <f t="shared" si="129"/>
        <v>0</v>
      </c>
    </row>
    <row r="778" spans="1:14" ht="13.2" customHeight="1" x14ac:dyDescent="0.3">
      <c r="A778" s="365">
        <f t="shared" si="130"/>
        <v>6</v>
      </c>
      <c r="B778" s="370" t="s">
        <v>1046</v>
      </c>
      <c r="C778" s="371"/>
      <c r="D778" s="371"/>
      <c r="E778" s="367" t="s">
        <v>399</v>
      </c>
      <c r="F778" s="539"/>
      <c r="G778" s="527"/>
      <c r="H778" s="539"/>
      <c r="I778" s="372">
        <f t="shared" si="126"/>
        <v>0</v>
      </c>
      <c r="J778" s="372">
        <f>'D5 Gardu'!K54</f>
        <v>1237400</v>
      </c>
      <c r="K778" s="372">
        <v>379060</v>
      </c>
      <c r="L778" s="372">
        <f t="shared" si="127"/>
        <v>0</v>
      </c>
      <c r="M778" s="372">
        <f t="shared" si="128"/>
        <v>0</v>
      </c>
      <c r="N778" s="460">
        <f t="shared" si="129"/>
        <v>0</v>
      </c>
    </row>
    <row r="779" spans="1:14" ht="13.2" customHeight="1" x14ac:dyDescent="0.3">
      <c r="A779" s="365">
        <f t="shared" si="130"/>
        <v>7</v>
      </c>
      <c r="B779" s="370" t="s">
        <v>1047</v>
      </c>
      <c r="C779" s="371"/>
      <c r="D779" s="371"/>
      <c r="E779" s="367" t="s">
        <v>399</v>
      </c>
      <c r="F779" s="539"/>
      <c r="G779" s="527"/>
      <c r="H779" s="539"/>
      <c r="I779" s="372">
        <f t="shared" si="126"/>
        <v>0</v>
      </c>
      <c r="J779" s="372">
        <f>'D5 Gardu'!K62</f>
        <v>1248900</v>
      </c>
      <c r="K779" s="372">
        <v>379060</v>
      </c>
      <c r="L779" s="372">
        <f t="shared" si="127"/>
        <v>0</v>
      </c>
      <c r="M779" s="372">
        <f t="shared" si="128"/>
        <v>0</v>
      </c>
      <c r="N779" s="460">
        <f t="shared" si="129"/>
        <v>0</v>
      </c>
    </row>
    <row r="780" spans="1:14" ht="13.2" customHeight="1" x14ac:dyDescent="0.3">
      <c r="A780" s="365">
        <f t="shared" si="130"/>
        <v>8</v>
      </c>
      <c r="B780" s="370" t="s">
        <v>1048</v>
      </c>
      <c r="C780" s="371"/>
      <c r="D780" s="371"/>
      <c r="E780" s="367" t="s">
        <v>399</v>
      </c>
      <c r="F780" s="539"/>
      <c r="G780" s="527"/>
      <c r="H780" s="539"/>
      <c r="I780" s="372">
        <f t="shared" si="126"/>
        <v>0</v>
      </c>
      <c r="J780" s="372">
        <f>'D5 Gardu'!K70</f>
        <v>1204050</v>
      </c>
      <c r="K780" s="372">
        <v>379060</v>
      </c>
      <c r="L780" s="372">
        <f t="shared" si="127"/>
        <v>0</v>
      </c>
      <c r="M780" s="372">
        <f t="shared" si="128"/>
        <v>0</v>
      </c>
      <c r="N780" s="460">
        <f t="shared" si="129"/>
        <v>0</v>
      </c>
    </row>
    <row r="781" spans="1:14" ht="13.2" customHeight="1" x14ac:dyDescent="0.3">
      <c r="A781" s="365">
        <f t="shared" si="130"/>
        <v>9</v>
      </c>
      <c r="B781" s="370" t="s">
        <v>1049</v>
      </c>
      <c r="C781" s="371"/>
      <c r="D781" s="371"/>
      <c r="E781" s="367" t="s">
        <v>399</v>
      </c>
      <c r="F781" s="539"/>
      <c r="G781" s="527"/>
      <c r="H781" s="539"/>
      <c r="I781" s="372">
        <f t="shared" si="126"/>
        <v>0</v>
      </c>
      <c r="J781" s="372">
        <f>'D5 Gardu'!K70</f>
        <v>1204050</v>
      </c>
      <c r="K781" s="372">
        <v>379060</v>
      </c>
      <c r="L781" s="372">
        <f t="shared" si="127"/>
        <v>0</v>
      </c>
      <c r="M781" s="372">
        <f t="shared" si="128"/>
        <v>0</v>
      </c>
      <c r="N781" s="460">
        <f t="shared" si="129"/>
        <v>0</v>
      </c>
    </row>
    <row r="782" spans="1:14" ht="13.2" customHeight="1" x14ac:dyDescent="0.3">
      <c r="A782" s="365">
        <f t="shared" si="130"/>
        <v>10</v>
      </c>
      <c r="B782" s="370" t="s">
        <v>1050</v>
      </c>
      <c r="C782" s="371"/>
      <c r="D782" s="371"/>
      <c r="E782" s="367" t="s">
        <v>399</v>
      </c>
      <c r="F782" s="539"/>
      <c r="G782" s="527"/>
      <c r="H782" s="539"/>
      <c r="I782" s="372">
        <f t="shared" si="126"/>
        <v>0</v>
      </c>
      <c r="J782" s="372">
        <f>'D5 Gardu'!K78</f>
        <v>1179900</v>
      </c>
      <c r="K782" s="372">
        <v>379060</v>
      </c>
      <c r="L782" s="372">
        <f t="shared" si="127"/>
        <v>0</v>
      </c>
      <c r="M782" s="372">
        <f t="shared" si="128"/>
        <v>0</v>
      </c>
      <c r="N782" s="460">
        <f t="shared" si="129"/>
        <v>0</v>
      </c>
    </row>
    <row r="783" spans="1:14" ht="13.2" customHeight="1" x14ac:dyDescent="0.3">
      <c r="A783" s="365">
        <f t="shared" si="130"/>
        <v>11</v>
      </c>
      <c r="B783" s="370" t="s">
        <v>1988</v>
      </c>
      <c r="C783" s="371"/>
      <c r="D783" s="371"/>
      <c r="E783" s="367" t="s">
        <v>399</v>
      </c>
      <c r="F783" s="527"/>
      <c r="G783" s="527"/>
      <c r="H783" s="539"/>
      <c r="I783" s="372">
        <f t="shared" si="126"/>
        <v>0</v>
      </c>
      <c r="J783" s="372">
        <f>'D5 Gardu'!K86</f>
        <v>1084450</v>
      </c>
      <c r="K783" s="372">
        <v>252700</v>
      </c>
      <c r="L783" s="372">
        <f t="shared" si="127"/>
        <v>0</v>
      </c>
      <c r="M783" s="372">
        <f t="shared" si="128"/>
        <v>0</v>
      </c>
      <c r="N783" s="460">
        <f t="shared" si="129"/>
        <v>0</v>
      </c>
    </row>
    <row r="784" spans="1:14" ht="13.2" customHeight="1" x14ac:dyDescent="0.3">
      <c r="A784" s="365">
        <f t="shared" si="130"/>
        <v>12</v>
      </c>
      <c r="B784" s="370" t="s">
        <v>1989</v>
      </c>
      <c r="C784" s="371"/>
      <c r="D784" s="371"/>
      <c r="E784" s="367" t="s">
        <v>399</v>
      </c>
      <c r="F784" s="527"/>
      <c r="G784" s="527"/>
      <c r="H784" s="539"/>
      <c r="I784" s="372">
        <f t="shared" si="126"/>
        <v>0</v>
      </c>
      <c r="J784" s="372">
        <f>'D5 Gardu'!K94</f>
        <v>1084450</v>
      </c>
      <c r="K784" s="372">
        <v>252700</v>
      </c>
      <c r="L784" s="372">
        <f t="shared" si="127"/>
        <v>0</v>
      </c>
      <c r="M784" s="372">
        <f t="shared" si="128"/>
        <v>0</v>
      </c>
      <c r="N784" s="460">
        <f t="shared" si="129"/>
        <v>0</v>
      </c>
    </row>
    <row r="785" spans="1:14" ht="13.2" customHeight="1" x14ac:dyDescent="0.3">
      <c r="A785" s="365">
        <f t="shared" si="130"/>
        <v>13</v>
      </c>
      <c r="B785" s="370" t="s">
        <v>1990</v>
      </c>
      <c r="C785" s="371"/>
      <c r="D785" s="371"/>
      <c r="E785" s="367" t="s">
        <v>399</v>
      </c>
      <c r="F785" s="527"/>
      <c r="G785" s="527"/>
      <c r="H785" s="539"/>
      <c r="I785" s="372">
        <f t="shared" si="126"/>
        <v>0</v>
      </c>
      <c r="J785" s="372">
        <f>'D5 Gardu'!K102</f>
        <v>1062030</v>
      </c>
      <c r="K785" s="372">
        <v>252700</v>
      </c>
      <c r="L785" s="372">
        <f t="shared" si="127"/>
        <v>0</v>
      </c>
      <c r="M785" s="372">
        <f t="shared" si="128"/>
        <v>0</v>
      </c>
      <c r="N785" s="460">
        <f t="shared" si="129"/>
        <v>0</v>
      </c>
    </row>
    <row r="786" spans="1:14" ht="13.2" customHeight="1" x14ac:dyDescent="0.3">
      <c r="A786" s="365">
        <f t="shared" si="130"/>
        <v>14</v>
      </c>
      <c r="B786" s="370" t="s">
        <v>1991</v>
      </c>
      <c r="C786" s="371"/>
      <c r="D786" s="371"/>
      <c r="E786" s="367" t="s">
        <v>399</v>
      </c>
      <c r="F786" s="527"/>
      <c r="G786" s="527"/>
      <c r="H786" s="539"/>
      <c r="I786" s="372">
        <f t="shared" si="126"/>
        <v>0</v>
      </c>
      <c r="J786" s="372">
        <f>'D5 Gardu'!K102</f>
        <v>1062030</v>
      </c>
      <c r="K786" s="372">
        <v>252700</v>
      </c>
      <c r="L786" s="372">
        <f t="shared" si="127"/>
        <v>0</v>
      </c>
      <c r="M786" s="372">
        <f t="shared" si="128"/>
        <v>0</v>
      </c>
      <c r="N786" s="460">
        <f t="shared" si="129"/>
        <v>0</v>
      </c>
    </row>
    <row r="787" spans="1:14" ht="13.2" customHeight="1" x14ac:dyDescent="0.3">
      <c r="A787" s="365">
        <f t="shared" si="130"/>
        <v>15</v>
      </c>
      <c r="B787" s="370" t="s">
        <v>1992</v>
      </c>
      <c r="C787" s="371"/>
      <c r="D787" s="371"/>
      <c r="E787" s="367" t="s">
        <v>399</v>
      </c>
      <c r="F787" s="527"/>
      <c r="G787" s="527"/>
      <c r="H787" s="539"/>
      <c r="I787" s="372">
        <f t="shared" si="126"/>
        <v>0</v>
      </c>
      <c r="J787" s="372">
        <f>'D5 Gardu'!K110</f>
        <v>1049950</v>
      </c>
      <c r="K787" s="372">
        <v>252700</v>
      </c>
      <c r="L787" s="372">
        <f t="shared" si="127"/>
        <v>0</v>
      </c>
      <c r="M787" s="372">
        <f t="shared" si="128"/>
        <v>0</v>
      </c>
      <c r="N787" s="460">
        <f t="shared" si="129"/>
        <v>0</v>
      </c>
    </row>
    <row r="788" spans="1:14" ht="13.2" customHeight="1" x14ac:dyDescent="0.3">
      <c r="A788" s="365">
        <f t="shared" si="130"/>
        <v>16</v>
      </c>
      <c r="B788" s="370" t="s">
        <v>1056</v>
      </c>
      <c r="C788" s="371"/>
      <c r="D788" s="371"/>
      <c r="E788" s="367" t="s">
        <v>399</v>
      </c>
      <c r="F788" s="539"/>
      <c r="G788" s="527"/>
      <c r="H788" s="539"/>
      <c r="I788" s="372">
        <f t="shared" si="126"/>
        <v>0</v>
      </c>
      <c r="J788" s="372">
        <f>'D5 Gardu'!K118</f>
        <v>1248900</v>
      </c>
      <c r="K788" s="372">
        <v>379060</v>
      </c>
      <c r="L788" s="372">
        <f t="shared" si="127"/>
        <v>0</v>
      </c>
      <c r="M788" s="372">
        <f t="shared" si="128"/>
        <v>0</v>
      </c>
      <c r="N788" s="460">
        <f t="shared" si="129"/>
        <v>0</v>
      </c>
    </row>
    <row r="789" spans="1:14" ht="13.2" customHeight="1" x14ac:dyDescent="0.3">
      <c r="A789" s="365">
        <f t="shared" si="130"/>
        <v>17</v>
      </c>
      <c r="B789" s="370" t="s">
        <v>1057</v>
      </c>
      <c r="C789" s="371"/>
      <c r="D789" s="371"/>
      <c r="E789" s="367" t="s">
        <v>399</v>
      </c>
      <c r="F789" s="539"/>
      <c r="G789" s="527"/>
      <c r="H789" s="539"/>
      <c r="I789" s="372">
        <f t="shared" si="126"/>
        <v>0</v>
      </c>
      <c r="J789" s="372">
        <f>'D5 Gardu'!K126</f>
        <v>1248900</v>
      </c>
      <c r="K789" s="372">
        <v>379060</v>
      </c>
      <c r="L789" s="372">
        <f t="shared" si="127"/>
        <v>0</v>
      </c>
      <c r="M789" s="372">
        <f t="shared" si="128"/>
        <v>0</v>
      </c>
      <c r="N789" s="460">
        <f t="shared" si="129"/>
        <v>0</v>
      </c>
    </row>
    <row r="790" spans="1:14" ht="13.2" customHeight="1" x14ac:dyDescent="0.3">
      <c r="A790" s="365">
        <f t="shared" si="130"/>
        <v>18</v>
      </c>
      <c r="B790" s="370" t="s">
        <v>1058</v>
      </c>
      <c r="C790" s="371"/>
      <c r="D790" s="371"/>
      <c r="E790" s="367" t="s">
        <v>399</v>
      </c>
      <c r="F790" s="539"/>
      <c r="G790" s="527"/>
      <c r="H790" s="539"/>
      <c r="I790" s="372">
        <f t="shared" si="126"/>
        <v>0</v>
      </c>
      <c r="J790" s="372">
        <f>'D5 Gardu'!K134</f>
        <v>1204050</v>
      </c>
      <c r="K790" s="372">
        <v>379060</v>
      </c>
      <c r="L790" s="372">
        <f t="shared" si="127"/>
        <v>0</v>
      </c>
      <c r="M790" s="372">
        <f t="shared" si="128"/>
        <v>0</v>
      </c>
      <c r="N790" s="460">
        <f t="shared" si="129"/>
        <v>0</v>
      </c>
    </row>
    <row r="791" spans="1:14" ht="13.2" customHeight="1" x14ac:dyDescent="0.3">
      <c r="A791" s="365">
        <f t="shared" si="130"/>
        <v>19</v>
      </c>
      <c r="B791" s="370" t="s">
        <v>1059</v>
      </c>
      <c r="C791" s="371"/>
      <c r="D791" s="371"/>
      <c r="E791" s="367" t="s">
        <v>399</v>
      </c>
      <c r="F791" s="539"/>
      <c r="G791" s="527"/>
      <c r="H791" s="539"/>
      <c r="I791" s="372">
        <f t="shared" si="126"/>
        <v>0</v>
      </c>
      <c r="J791" s="372">
        <f>'D5 Gardu'!K134</f>
        <v>1204050</v>
      </c>
      <c r="K791" s="372">
        <v>379060</v>
      </c>
      <c r="L791" s="372">
        <f t="shared" si="127"/>
        <v>0</v>
      </c>
      <c r="M791" s="372">
        <f t="shared" si="128"/>
        <v>0</v>
      </c>
      <c r="N791" s="460">
        <f t="shared" si="129"/>
        <v>0</v>
      </c>
    </row>
    <row r="792" spans="1:14" ht="13.2" customHeight="1" x14ac:dyDescent="0.3">
      <c r="A792" s="365">
        <f t="shared" si="130"/>
        <v>20</v>
      </c>
      <c r="B792" s="370" t="s">
        <v>1060</v>
      </c>
      <c r="C792" s="371"/>
      <c r="D792" s="371"/>
      <c r="E792" s="367" t="s">
        <v>399</v>
      </c>
      <c r="F792" s="539"/>
      <c r="G792" s="527"/>
      <c r="H792" s="539"/>
      <c r="I792" s="372">
        <f t="shared" si="126"/>
        <v>0</v>
      </c>
      <c r="J792" s="372">
        <f>'D5 Gardu'!K142</f>
        <v>1179900</v>
      </c>
      <c r="K792" s="372">
        <v>379060</v>
      </c>
      <c r="L792" s="372">
        <f t="shared" si="127"/>
        <v>0</v>
      </c>
      <c r="M792" s="372">
        <f t="shared" si="128"/>
        <v>0</v>
      </c>
      <c r="N792" s="460">
        <f t="shared" si="129"/>
        <v>0</v>
      </c>
    </row>
    <row r="793" spans="1:14" ht="13.2" customHeight="1" x14ac:dyDescent="0.3">
      <c r="A793" s="365">
        <f t="shared" si="130"/>
        <v>21</v>
      </c>
      <c r="B793" s="370" t="s">
        <v>2005</v>
      </c>
      <c r="C793" s="371"/>
      <c r="D793" s="371"/>
      <c r="E793" s="367" t="s">
        <v>399</v>
      </c>
      <c r="F793" s="539"/>
      <c r="G793" s="527"/>
      <c r="H793" s="539"/>
      <c r="I793" s="372">
        <f t="shared" si="126"/>
        <v>0</v>
      </c>
      <c r="J793" s="372">
        <f>'D5 Gardu'!K156</f>
        <v>4973750</v>
      </c>
      <c r="K793" s="372">
        <v>758110</v>
      </c>
      <c r="L793" s="372">
        <f t="shared" si="127"/>
        <v>0</v>
      </c>
      <c r="M793" s="372">
        <f t="shared" si="128"/>
        <v>0</v>
      </c>
      <c r="N793" s="460">
        <f t="shared" si="129"/>
        <v>0</v>
      </c>
    </row>
    <row r="794" spans="1:14" ht="13.2" customHeight="1" x14ac:dyDescent="0.3">
      <c r="A794" s="365">
        <f t="shared" si="130"/>
        <v>22</v>
      </c>
      <c r="B794" s="370" t="s">
        <v>1998</v>
      </c>
      <c r="C794" s="371"/>
      <c r="D794" s="371"/>
      <c r="E794" s="367" t="s">
        <v>399</v>
      </c>
      <c r="F794" s="539"/>
      <c r="G794" s="527"/>
      <c r="H794" s="539"/>
      <c r="I794" s="372">
        <f t="shared" si="126"/>
        <v>0</v>
      </c>
      <c r="J794" s="372">
        <f>'D5 Gardu'!K170</f>
        <v>4949600</v>
      </c>
      <c r="K794" s="372">
        <v>758110</v>
      </c>
      <c r="L794" s="372">
        <f t="shared" si="127"/>
        <v>0</v>
      </c>
      <c r="M794" s="372">
        <f t="shared" si="128"/>
        <v>0</v>
      </c>
      <c r="N794" s="460">
        <f t="shared" si="129"/>
        <v>0</v>
      </c>
    </row>
    <row r="795" spans="1:14" ht="13.2" customHeight="1" x14ac:dyDescent="0.3">
      <c r="A795" s="365">
        <f t="shared" si="130"/>
        <v>23</v>
      </c>
      <c r="B795" s="370" t="s">
        <v>1999</v>
      </c>
      <c r="C795" s="371"/>
      <c r="D795" s="371"/>
      <c r="E795" s="367" t="s">
        <v>399</v>
      </c>
      <c r="F795" s="539"/>
      <c r="G795" s="527"/>
      <c r="H795" s="539"/>
      <c r="I795" s="372">
        <f t="shared" si="126"/>
        <v>0</v>
      </c>
      <c r="J795" s="372">
        <f>'D5 Gardu'!K184</f>
        <v>4928900</v>
      </c>
      <c r="K795" s="372">
        <v>758110</v>
      </c>
      <c r="L795" s="372">
        <f t="shared" si="127"/>
        <v>0</v>
      </c>
      <c r="M795" s="372">
        <f t="shared" si="128"/>
        <v>0</v>
      </c>
      <c r="N795" s="460">
        <f t="shared" si="129"/>
        <v>0</v>
      </c>
    </row>
    <row r="796" spans="1:14" ht="13.2" customHeight="1" x14ac:dyDescent="0.3">
      <c r="A796" s="365">
        <f t="shared" si="130"/>
        <v>24</v>
      </c>
      <c r="B796" s="370" t="s">
        <v>2000</v>
      </c>
      <c r="C796" s="371"/>
      <c r="D796" s="371"/>
      <c r="E796" s="367" t="s">
        <v>399</v>
      </c>
      <c r="F796" s="539"/>
      <c r="G796" s="527"/>
      <c r="H796" s="539"/>
      <c r="I796" s="372">
        <f t="shared" si="126"/>
        <v>0</v>
      </c>
      <c r="J796" s="372">
        <f>'D5 Gardu'!K184</f>
        <v>4928900</v>
      </c>
      <c r="K796" s="372">
        <v>758110</v>
      </c>
      <c r="L796" s="372">
        <f t="shared" si="127"/>
        <v>0</v>
      </c>
      <c r="M796" s="372">
        <f t="shared" si="128"/>
        <v>0</v>
      </c>
      <c r="N796" s="460">
        <f t="shared" si="129"/>
        <v>0</v>
      </c>
    </row>
    <row r="797" spans="1:14" ht="13.2" customHeight="1" x14ac:dyDescent="0.3">
      <c r="A797" s="365">
        <f t="shared" si="130"/>
        <v>25</v>
      </c>
      <c r="B797" s="370" t="s">
        <v>2001</v>
      </c>
      <c r="C797" s="371"/>
      <c r="D797" s="371"/>
      <c r="E797" s="367" t="s">
        <v>399</v>
      </c>
      <c r="F797" s="539"/>
      <c r="G797" s="527"/>
      <c r="H797" s="539"/>
      <c r="I797" s="372">
        <f t="shared" si="126"/>
        <v>0</v>
      </c>
      <c r="J797" s="372">
        <f>'D5 Gardu'!K198</f>
        <v>4949600</v>
      </c>
      <c r="K797" s="372">
        <v>758110</v>
      </c>
      <c r="L797" s="372">
        <f t="shared" si="127"/>
        <v>0</v>
      </c>
      <c r="M797" s="372">
        <f t="shared" si="128"/>
        <v>0</v>
      </c>
      <c r="N797" s="460">
        <f t="shared" si="129"/>
        <v>0</v>
      </c>
    </row>
    <row r="798" spans="1:14" ht="13.2" customHeight="1" x14ac:dyDescent="0.3">
      <c r="A798" s="365">
        <f t="shared" si="130"/>
        <v>26</v>
      </c>
      <c r="B798" s="370" t="s">
        <v>2002</v>
      </c>
      <c r="C798" s="371"/>
      <c r="D798" s="371"/>
      <c r="E798" s="367" t="s">
        <v>399</v>
      </c>
      <c r="F798" s="539"/>
      <c r="G798" s="527"/>
      <c r="H798" s="539"/>
      <c r="I798" s="372">
        <f t="shared" si="126"/>
        <v>0</v>
      </c>
      <c r="J798" s="372">
        <f>'D5 Gardu'!K212</f>
        <v>4877150</v>
      </c>
      <c r="K798" s="372">
        <v>758110</v>
      </c>
      <c r="L798" s="372">
        <f t="shared" si="127"/>
        <v>0</v>
      </c>
      <c r="M798" s="372">
        <f t="shared" si="128"/>
        <v>0</v>
      </c>
      <c r="N798" s="460">
        <f t="shared" si="129"/>
        <v>0</v>
      </c>
    </row>
    <row r="799" spans="1:14" ht="13.2" customHeight="1" x14ac:dyDescent="0.3">
      <c r="A799" s="365">
        <f t="shared" si="130"/>
        <v>27</v>
      </c>
      <c r="B799" s="370" t="s">
        <v>2003</v>
      </c>
      <c r="C799" s="371"/>
      <c r="D799" s="371"/>
      <c r="E799" s="367" t="s">
        <v>399</v>
      </c>
      <c r="F799" s="539"/>
      <c r="G799" s="527"/>
      <c r="H799" s="539"/>
      <c r="I799" s="372">
        <f t="shared" si="126"/>
        <v>0</v>
      </c>
      <c r="J799" s="372">
        <f>'D5 Gardu'!K212</f>
        <v>4877150</v>
      </c>
      <c r="K799" s="372">
        <v>758110</v>
      </c>
      <c r="L799" s="372">
        <f t="shared" si="127"/>
        <v>0</v>
      </c>
      <c r="M799" s="372">
        <f t="shared" si="128"/>
        <v>0</v>
      </c>
      <c r="N799" s="460">
        <f t="shared" si="129"/>
        <v>0</v>
      </c>
    </row>
    <row r="800" spans="1:14" ht="13.2" customHeight="1" x14ac:dyDescent="0.3">
      <c r="A800" s="365">
        <f t="shared" si="130"/>
        <v>28</v>
      </c>
      <c r="B800" s="370" t="s">
        <v>2004</v>
      </c>
      <c r="C800" s="371"/>
      <c r="D800" s="371"/>
      <c r="E800" s="367" t="s">
        <v>399</v>
      </c>
      <c r="F800" s="539"/>
      <c r="G800" s="527"/>
      <c r="H800" s="539"/>
      <c r="I800" s="372">
        <f t="shared" si="126"/>
        <v>0</v>
      </c>
      <c r="J800" s="372">
        <f>'D5 Gardu'!K226</f>
        <v>4798950</v>
      </c>
      <c r="K800" s="372">
        <v>758110</v>
      </c>
      <c r="L800" s="372">
        <f t="shared" si="127"/>
        <v>0</v>
      </c>
      <c r="M800" s="372">
        <f t="shared" si="128"/>
        <v>0</v>
      </c>
      <c r="N800" s="460">
        <f t="shared" si="129"/>
        <v>0</v>
      </c>
    </row>
    <row r="801" spans="1:14" ht="13.2" customHeight="1" x14ac:dyDescent="0.3">
      <c r="A801" s="365">
        <f t="shared" si="130"/>
        <v>29</v>
      </c>
      <c r="B801" s="370" t="s">
        <v>1099</v>
      </c>
      <c r="C801" s="371"/>
      <c r="D801" s="371"/>
      <c r="E801" s="367" t="s">
        <v>399</v>
      </c>
      <c r="F801" s="539"/>
      <c r="G801" s="527"/>
      <c r="H801" s="539"/>
      <c r="I801" s="372">
        <f t="shared" si="126"/>
        <v>0</v>
      </c>
      <c r="J801" s="372">
        <f>'D5 Gardu'!K329</f>
        <v>4529510</v>
      </c>
      <c r="K801" s="372">
        <v>758110</v>
      </c>
      <c r="L801" s="372">
        <f t="shared" si="127"/>
        <v>0</v>
      </c>
      <c r="M801" s="372">
        <f t="shared" si="128"/>
        <v>0</v>
      </c>
      <c r="N801" s="460">
        <f t="shared" si="129"/>
        <v>0</v>
      </c>
    </row>
    <row r="802" spans="1:14" ht="13.2" customHeight="1" x14ac:dyDescent="0.3">
      <c r="A802" s="365">
        <f t="shared" si="130"/>
        <v>30</v>
      </c>
      <c r="B802" s="370" t="s">
        <v>1113</v>
      </c>
      <c r="C802" s="371"/>
      <c r="D802" s="371"/>
      <c r="E802" s="367" t="s">
        <v>399</v>
      </c>
      <c r="F802" s="539"/>
      <c r="G802" s="527"/>
      <c r="H802" s="539"/>
      <c r="I802" s="372">
        <f t="shared" si="126"/>
        <v>0</v>
      </c>
      <c r="J802" s="372">
        <f>'D5 Gardu'!K342</f>
        <v>4497310</v>
      </c>
      <c r="K802" s="372">
        <v>758110</v>
      </c>
      <c r="L802" s="372">
        <f t="shared" si="127"/>
        <v>0</v>
      </c>
      <c r="M802" s="372">
        <f t="shared" si="128"/>
        <v>0</v>
      </c>
      <c r="N802" s="460">
        <f t="shared" si="129"/>
        <v>0</v>
      </c>
    </row>
    <row r="803" spans="1:14" ht="13.2" customHeight="1" x14ac:dyDescent="0.3">
      <c r="A803" s="365">
        <f t="shared" si="130"/>
        <v>31</v>
      </c>
      <c r="B803" s="370" t="s">
        <v>1114</v>
      </c>
      <c r="C803" s="371"/>
      <c r="D803" s="371"/>
      <c r="E803" s="367" t="s">
        <v>399</v>
      </c>
      <c r="F803" s="539"/>
      <c r="G803" s="527"/>
      <c r="H803" s="539"/>
      <c r="I803" s="372">
        <f t="shared" si="126"/>
        <v>0</v>
      </c>
      <c r="J803" s="372">
        <f>'D5 Gardu'!K355</f>
        <v>4464530</v>
      </c>
      <c r="K803" s="372">
        <v>758110</v>
      </c>
      <c r="L803" s="372">
        <f t="shared" si="127"/>
        <v>0</v>
      </c>
      <c r="M803" s="372">
        <f t="shared" si="128"/>
        <v>0</v>
      </c>
      <c r="N803" s="460">
        <f t="shared" si="129"/>
        <v>0</v>
      </c>
    </row>
    <row r="804" spans="1:14" ht="13.2" customHeight="1" x14ac:dyDescent="0.3">
      <c r="A804" s="365">
        <f t="shared" si="130"/>
        <v>32</v>
      </c>
      <c r="B804" s="370" t="s">
        <v>1115</v>
      </c>
      <c r="C804" s="371"/>
      <c r="D804" s="371"/>
      <c r="E804" s="367" t="s">
        <v>399</v>
      </c>
      <c r="F804" s="539"/>
      <c r="G804" s="527"/>
      <c r="H804" s="539"/>
      <c r="I804" s="372">
        <f t="shared" si="126"/>
        <v>0</v>
      </c>
      <c r="J804" s="372">
        <f>'D5 Gardu'!K355</f>
        <v>4464530</v>
      </c>
      <c r="K804" s="372">
        <v>758110</v>
      </c>
      <c r="L804" s="372">
        <f t="shared" si="127"/>
        <v>0</v>
      </c>
      <c r="M804" s="372">
        <f t="shared" si="128"/>
        <v>0</v>
      </c>
      <c r="N804" s="460">
        <f t="shared" si="129"/>
        <v>0</v>
      </c>
    </row>
    <row r="805" spans="1:14" ht="13.2" customHeight="1" x14ac:dyDescent="0.3">
      <c r="A805" s="365">
        <f t="shared" si="130"/>
        <v>33</v>
      </c>
      <c r="B805" s="370" t="s">
        <v>1116</v>
      </c>
      <c r="C805" s="371"/>
      <c r="D805" s="371"/>
      <c r="E805" s="367" t="s">
        <v>399</v>
      </c>
      <c r="F805" s="539"/>
      <c r="G805" s="527"/>
      <c r="H805" s="539"/>
      <c r="I805" s="372">
        <f t="shared" si="126"/>
        <v>0</v>
      </c>
      <c r="J805" s="372">
        <f>'D5 Gardu'!K368</f>
        <v>4495580</v>
      </c>
      <c r="K805" s="372">
        <v>758110</v>
      </c>
      <c r="L805" s="372">
        <f t="shared" ref="L805:L836" si="131">J805*I805</f>
        <v>0</v>
      </c>
      <c r="M805" s="372">
        <f t="shared" ref="M805:M836" si="132">K805*I805</f>
        <v>0</v>
      </c>
      <c r="N805" s="460">
        <f t="shared" si="129"/>
        <v>0</v>
      </c>
    </row>
    <row r="806" spans="1:14" ht="13.2" customHeight="1" x14ac:dyDescent="0.3">
      <c r="A806" s="365">
        <f t="shared" si="130"/>
        <v>34</v>
      </c>
      <c r="B806" s="370" t="s">
        <v>1117</v>
      </c>
      <c r="C806" s="371"/>
      <c r="D806" s="371"/>
      <c r="E806" s="367" t="s">
        <v>399</v>
      </c>
      <c r="F806" s="539"/>
      <c r="G806" s="527"/>
      <c r="H806" s="539"/>
      <c r="I806" s="372">
        <f t="shared" si="126"/>
        <v>0</v>
      </c>
      <c r="J806" s="372">
        <f>'D5 Gardu'!K381</f>
        <v>4382310</v>
      </c>
      <c r="K806" s="372">
        <v>758110</v>
      </c>
      <c r="L806" s="372">
        <f t="shared" si="131"/>
        <v>0</v>
      </c>
      <c r="M806" s="372">
        <f t="shared" si="132"/>
        <v>0</v>
      </c>
      <c r="N806" s="460">
        <f t="shared" si="129"/>
        <v>0</v>
      </c>
    </row>
    <row r="807" spans="1:14" ht="13.2" customHeight="1" x14ac:dyDescent="0.3">
      <c r="A807" s="365">
        <f t="shared" si="130"/>
        <v>35</v>
      </c>
      <c r="B807" s="370" t="s">
        <v>1118</v>
      </c>
      <c r="C807" s="371"/>
      <c r="D807" s="371"/>
      <c r="E807" s="367" t="s">
        <v>399</v>
      </c>
      <c r="F807" s="539"/>
      <c r="G807" s="527"/>
      <c r="H807" s="539"/>
      <c r="I807" s="372">
        <f t="shared" si="126"/>
        <v>0</v>
      </c>
      <c r="J807" s="372">
        <f>'D5 Gardu'!K381</f>
        <v>4382310</v>
      </c>
      <c r="K807" s="372">
        <v>758110</v>
      </c>
      <c r="L807" s="372">
        <f t="shared" si="131"/>
        <v>0</v>
      </c>
      <c r="M807" s="372">
        <f t="shared" si="132"/>
        <v>0</v>
      </c>
      <c r="N807" s="460">
        <f t="shared" si="129"/>
        <v>0</v>
      </c>
    </row>
    <row r="808" spans="1:14" ht="13.2" customHeight="1" x14ac:dyDescent="0.3">
      <c r="A808" s="365">
        <f t="shared" si="130"/>
        <v>36</v>
      </c>
      <c r="B808" s="370" t="s">
        <v>1119</v>
      </c>
      <c r="C808" s="371"/>
      <c r="D808" s="371"/>
      <c r="E808" s="367" t="s">
        <v>399</v>
      </c>
      <c r="F808" s="539"/>
      <c r="G808" s="527"/>
      <c r="H808" s="539"/>
      <c r="I808" s="372">
        <f t="shared" si="126"/>
        <v>0</v>
      </c>
      <c r="J808" s="372">
        <f>'D5 Gardu'!K394</f>
        <v>4323080</v>
      </c>
      <c r="K808" s="372">
        <v>758110</v>
      </c>
      <c r="L808" s="372">
        <f t="shared" si="131"/>
        <v>0</v>
      </c>
      <c r="M808" s="372">
        <f t="shared" si="132"/>
        <v>0</v>
      </c>
      <c r="N808" s="460">
        <f t="shared" si="129"/>
        <v>0</v>
      </c>
    </row>
    <row r="809" spans="1:14" ht="13.2" customHeight="1" x14ac:dyDescent="0.3">
      <c r="A809" s="365">
        <f t="shared" si="130"/>
        <v>37</v>
      </c>
      <c r="B809" s="370" t="s">
        <v>1127</v>
      </c>
      <c r="C809" s="371"/>
      <c r="D809" s="371"/>
      <c r="E809" s="367" t="s">
        <v>399</v>
      </c>
      <c r="F809" s="539"/>
      <c r="G809" s="527"/>
      <c r="H809" s="539"/>
      <c r="I809" s="372">
        <f t="shared" si="126"/>
        <v>0</v>
      </c>
      <c r="J809" s="372">
        <f>'D5 Gardu'!K412</f>
        <v>13497900</v>
      </c>
      <c r="K809" s="372">
        <v>1402410</v>
      </c>
      <c r="L809" s="372">
        <f t="shared" si="131"/>
        <v>0</v>
      </c>
      <c r="M809" s="372">
        <f t="shared" si="132"/>
        <v>0</v>
      </c>
      <c r="N809" s="460">
        <f t="shared" si="129"/>
        <v>0</v>
      </c>
    </row>
    <row r="810" spans="1:14" ht="13.2" customHeight="1" x14ac:dyDescent="0.3">
      <c r="A810" s="365">
        <f t="shared" si="130"/>
        <v>38</v>
      </c>
      <c r="B810" s="370" t="s">
        <v>1128</v>
      </c>
      <c r="C810" s="371"/>
      <c r="D810" s="371"/>
      <c r="E810" s="367" t="s">
        <v>399</v>
      </c>
      <c r="F810" s="539"/>
      <c r="G810" s="527"/>
      <c r="H810" s="539"/>
      <c r="I810" s="372">
        <f t="shared" si="126"/>
        <v>0</v>
      </c>
      <c r="J810" s="372">
        <f>'D5 Gardu'!K430</f>
        <v>13431200</v>
      </c>
      <c r="K810" s="372">
        <v>1402410</v>
      </c>
      <c r="L810" s="372">
        <f t="shared" si="131"/>
        <v>0</v>
      </c>
      <c r="M810" s="372">
        <f t="shared" si="132"/>
        <v>0</v>
      </c>
      <c r="N810" s="460">
        <f t="shared" si="129"/>
        <v>0</v>
      </c>
    </row>
    <row r="811" spans="1:14" ht="13.2" customHeight="1" x14ac:dyDescent="0.3">
      <c r="A811" s="365">
        <f t="shared" si="130"/>
        <v>39</v>
      </c>
      <c r="B811" s="370" t="s">
        <v>1129</v>
      </c>
      <c r="C811" s="371"/>
      <c r="D811" s="371"/>
      <c r="E811" s="367" t="s">
        <v>399</v>
      </c>
      <c r="F811" s="539"/>
      <c r="G811" s="527"/>
      <c r="H811" s="539"/>
      <c r="I811" s="372">
        <f t="shared" si="126"/>
        <v>0</v>
      </c>
      <c r="J811" s="372">
        <f>'D5 Gardu'!K448</f>
        <v>13373700</v>
      </c>
      <c r="K811" s="372">
        <v>1402410</v>
      </c>
      <c r="L811" s="372">
        <f t="shared" si="131"/>
        <v>0</v>
      </c>
      <c r="M811" s="372">
        <f t="shared" si="132"/>
        <v>0</v>
      </c>
      <c r="N811" s="460">
        <f t="shared" si="129"/>
        <v>0</v>
      </c>
    </row>
    <row r="812" spans="1:14" ht="13.2" customHeight="1" x14ac:dyDescent="0.3">
      <c r="A812" s="365">
        <f t="shared" si="130"/>
        <v>40</v>
      </c>
      <c r="B812" s="370" t="s">
        <v>1130</v>
      </c>
      <c r="C812" s="371"/>
      <c r="D812" s="371"/>
      <c r="E812" s="367" t="s">
        <v>399</v>
      </c>
      <c r="F812" s="539"/>
      <c r="G812" s="527"/>
      <c r="H812" s="539"/>
      <c r="I812" s="372">
        <f t="shared" si="126"/>
        <v>0</v>
      </c>
      <c r="J812" s="372">
        <f>'D5 Gardu'!K448</f>
        <v>13373700</v>
      </c>
      <c r="K812" s="372">
        <v>1402410</v>
      </c>
      <c r="L812" s="372">
        <f t="shared" si="131"/>
        <v>0</v>
      </c>
      <c r="M812" s="372">
        <f t="shared" si="132"/>
        <v>0</v>
      </c>
      <c r="N812" s="460">
        <f t="shared" si="129"/>
        <v>0</v>
      </c>
    </row>
    <row r="813" spans="1:14" ht="13.2" customHeight="1" x14ac:dyDescent="0.3">
      <c r="A813" s="365">
        <f t="shared" si="130"/>
        <v>41</v>
      </c>
      <c r="B813" s="370" t="s">
        <v>1131</v>
      </c>
      <c r="C813" s="371"/>
      <c r="D813" s="371"/>
      <c r="E813" s="367" t="s">
        <v>399</v>
      </c>
      <c r="F813" s="539"/>
      <c r="G813" s="527"/>
      <c r="H813" s="539"/>
      <c r="I813" s="372">
        <f t="shared" si="126"/>
        <v>0</v>
      </c>
      <c r="J813" s="372">
        <f>'D5 Gardu'!K466</f>
        <v>13454200</v>
      </c>
      <c r="K813" s="372">
        <v>1402410</v>
      </c>
      <c r="L813" s="372">
        <f t="shared" si="131"/>
        <v>0</v>
      </c>
      <c r="M813" s="372">
        <f t="shared" si="132"/>
        <v>0</v>
      </c>
      <c r="N813" s="460">
        <f t="shared" si="129"/>
        <v>0</v>
      </c>
    </row>
    <row r="814" spans="1:14" ht="13.2" customHeight="1" x14ac:dyDescent="0.3">
      <c r="A814" s="365">
        <f t="shared" si="130"/>
        <v>42</v>
      </c>
      <c r="B814" s="370" t="s">
        <v>1132</v>
      </c>
      <c r="C814" s="371"/>
      <c r="D814" s="371"/>
      <c r="E814" s="367" t="s">
        <v>399</v>
      </c>
      <c r="F814" s="539"/>
      <c r="G814" s="527"/>
      <c r="H814" s="539"/>
      <c r="I814" s="372">
        <f t="shared" si="126"/>
        <v>0</v>
      </c>
      <c r="J814" s="372">
        <f>'D5 Gardu'!K484</f>
        <v>13246050</v>
      </c>
      <c r="K814" s="372">
        <v>1402410</v>
      </c>
      <c r="L814" s="372">
        <f t="shared" si="131"/>
        <v>0</v>
      </c>
      <c r="M814" s="372">
        <f t="shared" si="132"/>
        <v>0</v>
      </c>
      <c r="N814" s="460">
        <f t="shared" si="129"/>
        <v>0</v>
      </c>
    </row>
    <row r="815" spans="1:14" ht="13.2" customHeight="1" x14ac:dyDescent="0.3">
      <c r="A815" s="365">
        <f t="shared" si="130"/>
        <v>43</v>
      </c>
      <c r="B815" s="370" t="s">
        <v>1133</v>
      </c>
      <c r="C815" s="371"/>
      <c r="D815" s="371"/>
      <c r="E815" s="367" t="s">
        <v>399</v>
      </c>
      <c r="F815" s="539"/>
      <c r="G815" s="527"/>
      <c r="H815" s="539"/>
      <c r="I815" s="372">
        <f t="shared" si="126"/>
        <v>0</v>
      </c>
      <c r="J815" s="372">
        <f>'D5 Gardu'!K484</f>
        <v>13246050</v>
      </c>
      <c r="K815" s="372">
        <v>1402410</v>
      </c>
      <c r="L815" s="372">
        <f t="shared" si="131"/>
        <v>0</v>
      </c>
      <c r="M815" s="372">
        <f t="shared" si="132"/>
        <v>0</v>
      </c>
      <c r="N815" s="460">
        <f t="shared" si="129"/>
        <v>0</v>
      </c>
    </row>
    <row r="816" spans="1:14" ht="13.2" customHeight="1" x14ac:dyDescent="0.3">
      <c r="A816" s="365">
        <f t="shared" si="130"/>
        <v>44</v>
      </c>
      <c r="B816" s="370" t="s">
        <v>1134</v>
      </c>
      <c r="C816" s="371"/>
      <c r="D816" s="371"/>
      <c r="E816" s="367" t="s">
        <v>399</v>
      </c>
      <c r="F816" s="539"/>
      <c r="G816" s="527"/>
      <c r="H816" s="539"/>
      <c r="I816" s="372">
        <f t="shared" si="126"/>
        <v>0</v>
      </c>
      <c r="J816" s="372">
        <f>'D5 Gardu'!K502</f>
        <v>13136800</v>
      </c>
      <c r="K816" s="372">
        <v>1402410</v>
      </c>
      <c r="L816" s="372">
        <f t="shared" si="131"/>
        <v>0</v>
      </c>
      <c r="M816" s="372">
        <f t="shared" si="132"/>
        <v>0</v>
      </c>
      <c r="N816" s="460">
        <f t="shared" si="129"/>
        <v>0</v>
      </c>
    </row>
    <row r="817" spans="1:14" ht="13.2" customHeight="1" x14ac:dyDescent="0.3">
      <c r="A817" s="365">
        <f t="shared" si="130"/>
        <v>45</v>
      </c>
      <c r="B817" s="370" t="s">
        <v>911</v>
      </c>
      <c r="C817" s="371"/>
      <c r="D817" s="371"/>
      <c r="E817" s="367" t="s">
        <v>399</v>
      </c>
      <c r="F817" s="539"/>
      <c r="G817" s="527"/>
      <c r="H817" s="539"/>
      <c r="I817" s="372">
        <f t="shared" si="126"/>
        <v>0</v>
      </c>
      <c r="J817" s="372">
        <f>'D5 Gardu'!K512</f>
        <v>1280530</v>
      </c>
      <c r="K817" s="372">
        <v>273820</v>
      </c>
      <c r="L817" s="372">
        <f t="shared" si="131"/>
        <v>0</v>
      </c>
      <c r="M817" s="372">
        <f t="shared" si="132"/>
        <v>0</v>
      </c>
      <c r="N817" s="460">
        <f t="shared" si="129"/>
        <v>0</v>
      </c>
    </row>
    <row r="818" spans="1:14" ht="13.2" customHeight="1" x14ac:dyDescent="0.3">
      <c r="A818" s="365">
        <f t="shared" si="130"/>
        <v>46</v>
      </c>
      <c r="B818" s="370" t="s">
        <v>912</v>
      </c>
      <c r="C818" s="371"/>
      <c r="D818" s="371"/>
      <c r="E818" s="367" t="s">
        <v>399</v>
      </c>
      <c r="F818" s="539"/>
      <c r="G818" s="527"/>
      <c r="H818" s="539"/>
      <c r="I818" s="372">
        <f t="shared" si="126"/>
        <v>0</v>
      </c>
      <c r="J818" s="372">
        <f>'D5 Gardu'!K522</f>
        <v>1269030</v>
      </c>
      <c r="K818" s="372">
        <v>273820</v>
      </c>
      <c r="L818" s="372">
        <f t="shared" si="131"/>
        <v>0</v>
      </c>
      <c r="M818" s="372">
        <f t="shared" si="132"/>
        <v>0</v>
      </c>
      <c r="N818" s="460">
        <f t="shared" si="129"/>
        <v>0</v>
      </c>
    </row>
    <row r="819" spans="1:14" ht="13.2" customHeight="1" x14ac:dyDescent="0.3">
      <c r="A819" s="365">
        <f t="shared" si="130"/>
        <v>47</v>
      </c>
      <c r="B819" s="370" t="s">
        <v>913</v>
      </c>
      <c r="C819" s="371"/>
      <c r="D819" s="371"/>
      <c r="E819" s="367" t="s">
        <v>399</v>
      </c>
      <c r="F819" s="539"/>
      <c r="G819" s="527"/>
      <c r="H819" s="539"/>
      <c r="I819" s="372">
        <f t="shared" si="126"/>
        <v>0</v>
      </c>
      <c r="J819" s="372">
        <f>'D5 Gardu'!K522</f>
        <v>1269030</v>
      </c>
      <c r="K819" s="372">
        <v>273820</v>
      </c>
      <c r="L819" s="372">
        <f t="shared" si="131"/>
        <v>0</v>
      </c>
      <c r="M819" s="372">
        <f t="shared" si="132"/>
        <v>0</v>
      </c>
      <c r="N819" s="460">
        <f t="shared" si="129"/>
        <v>0</v>
      </c>
    </row>
    <row r="820" spans="1:14" ht="13.2" customHeight="1" x14ac:dyDescent="0.3">
      <c r="A820" s="365">
        <f t="shared" si="130"/>
        <v>48</v>
      </c>
      <c r="B820" s="370" t="s">
        <v>914</v>
      </c>
      <c r="C820" s="371"/>
      <c r="D820" s="371"/>
      <c r="E820" s="367" t="s">
        <v>399</v>
      </c>
      <c r="F820" s="539"/>
      <c r="G820" s="527"/>
      <c r="H820" s="539"/>
      <c r="I820" s="372">
        <f t="shared" si="126"/>
        <v>0</v>
      </c>
      <c r="J820" s="372">
        <f>'D5 Gardu'!K522</f>
        <v>1269030</v>
      </c>
      <c r="K820" s="372">
        <v>273820</v>
      </c>
      <c r="L820" s="372">
        <f t="shared" si="131"/>
        <v>0</v>
      </c>
      <c r="M820" s="372">
        <f t="shared" si="132"/>
        <v>0</v>
      </c>
      <c r="N820" s="460">
        <f t="shared" si="129"/>
        <v>0</v>
      </c>
    </row>
    <row r="821" spans="1:14" ht="13.2" customHeight="1" x14ac:dyDescent="0.3">
      <c r="A821" s="365">
        <f t="shared" si="130"/>
        <v>49</v>
      </c>
      <c r="B821" s="370" t="s">
        <v>915</v>
      </c>
      <c r="C821" s="371"/>
      <c r="D821" s="371"/>
      <c r="E821" s="367" t="s">
        <v>399</v>
      </c>
      <c r="F821" s="539"/>
      <c r="G821" s="527"/>
      <c r="H821" s="539"/>
      <c r="I821" s="372">
        <f t="shared" si="126"/>
        <v>0</v>
      </c>
      <c r="J821" s="372">
        <f>'D5 Gardu'!K532</f>
        <v>1274200</v>
      </c>
      <c r="K821" s="372">
        <v>273820</v>
      </c>
      <c r="L821" s="372">
        <f t="shared" si="131"/>
        <v>0</v>
      </c>
      <c r="M821" s="372">
        <f t="shared" si="132"/>
        <v>0</v>
      </c>
      <c r="N821" s="460">
        <f t="shared" si="129"/>
        <v>0</v>
      </c>
    </row>
    <row r="822" spans="1:14" ht="13.2" customHeight="1" x14ac:dyDescent="0.3">
      <c r="A822" s="365">
        <f t="shared" si="130"/>
        <v>50</v>
      </c>
      <c r="B822" s="370" t="s">
        <v>918</v>
      </c>
      <c r="C822" s="371"/>
      <c r="D822" s="371"/>
      <c r="E822" s="367" t="s">
        <v>399</v>
      </c>
      <c r="F822" s="539"/>
      <c r="G822" s="527"/>
      <c r="H822" s="539"/>
      <c r="I822" s="372">
        <f t="shared" si="126"/>
        <v>0</v>
      </c>
      <c r="J822" s="372">
        <f>'D5 Gardu'!K542</f>
        <v>1189100</v>
      </c>
      <c r="K822" s="372">
        <v>273820</v>
      </c>
      <c r="L822" s="372">
        <f t="shared" si="131"/>
        <v>0</v>
      </c>
      <c r="M822" s="372">
        <f t="shared" si="132"/>
        <v>0</v>
      </c>
      <c r="N822" s="460">
        <f t="shared" si="129"/>
        <v>0</v>
      </c>
    </row>
    <row r="823" spans="1:14" ht="13.2" customHeight="1" x14ac:dyDescent="0.3">
      <c r="A823" s="365">
        <f t="shared" si="130"/>
        <v>51</v>
      </c>
      <c r="B823" s="370" t="s">
        <v>919</v>
      </c>
      <c r="C823" s="371"/>
      <c r="D823" s="371"/>
      <c r="E823" s="367" t="s">
        <v>399</v>
      </c>
      <c r="F823" s="539"/>
      <c r="G823" s="527"/>
      <c r="H823" s="539"/>
      <c r="I823" s="372">
        <f t="shared" si="126"/>
        <v>0</v>
      </c>
      <c r="J823" s="372">
        <f>'D5 Gardu'!K542</f>
        <v>1189100</v>
      </c>
      <c r="K823" s="372">
        <v>273820</v>
      </c>
      <c r="L823" s="372">
        <f t="shared" si="131"/>
        <v>0</v>
      </c>
      <c r="M823" s="372">
        <f t="shared" si="132"/>
        <v>0</v>
      </c>
      <c r="N823" s="460">
        <f t="shared" si="129"/>
        <v>0</v>
      </c>
    </row>
    <row r="824" spans="1:14" ht="13.2" customHeight="1" x14ac:dyDescent="0.3">
      <c r="A824" s="365">
        <f t="shared" si="130"/>
        <v>52</v>
      </c>
      <c r="B824" s="370" t="s">
        <v>920</v>
      </c>
      <c r="C824" s="371"/>
      <c r="D824" s="371"/>
      <c r="E824" s="367" t="s">
        <v>399</v>
      </c>
      <c r="F824" s="539"/>
      <c r="G824" s="527"/>
      <c r="H824" s="539"/>
      <c r="I824" s="372">
        <f t="shared" si="126"/>
        <v>0</v>
      </c>
      <c r="J824" s="372">
        <f>'D5 Gardu'!K552</f>
        <v>1167250</v>
      </c>
      <c r="K824" s="372">
        <v>273820</v>
      </c>
      <c r="L824" s="372">
        <f t="shared" si="131"/>
        <v>0</v>
      </c>
      <c r="M824" s="372">
        <f t="shared" si="132"/>
        <v>0</v>
      </c>
      <c r="N824" s="460">
        <f t="shared" si="129"/>
        <v>0</v>
      </c>
    </row>
    <row r="825" spans="1:14" ht="13.2" customHeight="1" x14ac:dyDescent="0.3">
      <c r="A825" s="365">
        <f t="shared" si="130"/>
        <v>53</v>
      </c>
      <c r="B825" s="370" t="s">
        <v>921</v>
      </c>
      <c r="C825" s="371"/>
      <c r="D825" s="371"/>
      <c r="E825" s="367" t="s">
        <v>399</v>
      </c>
      <c r="F825" s="539"/>
      <c r="G825" s="527"/>
      <c r="H825" s="539"/>
      <c r="I825" s="372">
        <f t="shared" si="126"/>
        <v>0</v>
      </c>
      <c r="J825" s="372">
        <f>'D5 Gardu'!K562</f>
        <v>3324650</v>
      </c>
      <c r="K825" s="372">
        <v>379060</v>
      </c>
      <c r="L825" s="372">
        <f t="shared" si="131"/>
        <v>0</v>
      </c>
      <c r="M825" s="372">
        <f t="shared" si="132"/>
        <v>0</v>
      </c>
      <c r="N825" s="460">
        <f t="shared" si="129"/>
        <v>0</v>
      </c>
    </row>
    <row r="826" spans="1:14" ht="13.2" customHeight="1" x14ac:dyDescent="0.3">
      <c r="A826" s="365">
        <f t="shared" si="130"/>
        <v>54</v>
      </c>
      <c r="B826" s="370" t="s">
        <v>922</v>
      </c>
      <c r="C826" s="371"/>
      <c r="D826" s="371"/>
      <c r="E826" s="367" t="s">
        <v>399</v>
      </c>
      <c r="F826" s="539"/>
      <c r="G826" s="527"/>
      <c r="H826" s="539"/>
      <c r="I826" s="372">
        <f t="shared" si="126"/>
        <v>0</v>
      </c>
      <c r="J826" s="372">
        <f>'D5 Gardu'!K572</f>
        <v>3301650</v>
      </c>
      <c r="K826" s="372">
        <v>379060</v>
      </c>
      <c r="L826" s="372">
        <f t="shared" si="131"/>
        <v>0</v>
      </c>
      <c r="M826" s="372">
        <f t="shared" si="132"/>
        <v>0</v>
      </c>
      <c r="N826" s="460">
        <f t="shared" si="129"/>
        <v>0</v>
      </c>
    </row>
    <row r="827" spans="1:14" ht="13.2" customHeight="1" x14ac:dyDescent="0.3">
      <c r="A827" s="365">
        <f t="shared" si="130"/>
        <v>55</v>
      </c>
      <c r="B827" s="370" t="s">
        <v>923</v>
      </c>
      <c r="C827" s="371"/>
      <c r="D827" s="371"/>
      <c r="E827" s="367" t="s">
        <v>399</v>
      </c>
      <c r="F827" s="539"/>
      <c r="G827" s="527"/>
      <c r="H827" s="539"/>
      <c r="I827" s="372">
        <f t="shared" si="126"/>
        <v>0</v>
      </c>
      <c r="J827" s="372">
        <f>'D5 Gardu'!K582</f>
        <v>3282100</v>
      </c>
      <c r="K827" s="372">
        <v>379060</v>
      </c>
      <c r="L827" s="372">
        <f t="shared" si="131"/>
        <v>0</v>
      </c>
      <c r="M827" s="372">
        <f t="shared" si="132"/>
        <v>0</v>
      </c>
      <c r="N827" s="460">
        <f t="shared" si="129"/>
        <v>0</v>
      </c>
    </row>
    <row r="828" spans="1:14" ht="13.2" customHeight="1" x14ac:dyDescent="0.3">
      <c r="A828" s="365">
        <f t="shared" si="130"/>
        <v>56</v>
      </c>
      <c r="B828" s="370" t="s">
        <v>924</v>
      </c>
      <c r="C828" s="371"/>
      <c r="D828" s="371"/>
      <c r="E828" s="367" t="s">
        <v>399</v>
      </c>
      <c r="F828" s="539"/>
      <c r="G828" s="527"/>
      <c r="H828" s="539"/>
      <c r="I828" s="372">
        <f t="shared" si="126"/>
        <v>0</v>
      </c>
      <c r="J828" s="372">
        <f>'D5 Gardu'!K582</f>
        <v>3282100</v>
      </c>
      <c r="K828" s="372">
        <v>379060</v>
      </c>
      <c r="L828" s="372">
        <f t="shared" si="131"/>
        <v>0</v>
      </c>
      <c r="M828" s="372">
        <f t="shared" si="132"/>
        <v>0</v>
      </c>
      <c r="N828" s="460">
        <f t="shared" si="129"/>
        <v>0</v>
      </c>
    </row>
    <row r="829" spans="1:14" ht="13.2" customHeight="1" x14ac:dyDescent="0.3">
      <c r="A829" s="365">
        <f t="shared" si="130"/>
        <v>57</v>
      </c>
      <c r="B829" s="370" t="s">
        <v>925</v>
      </c>
      <c r="C829" s="371"/>
      <c r="D829" s="371"/>
      <c r="E829" s="367" t="s">
        <v>399</v>
      </c>
      <c r="F829" s="539"/>
      <c r="G829" s="527"/>
      <c r="H829" s="539"/>
      <c r="I829" s="372">
        <f t="shared" si="126"/>
        <v>0</v>
      </c>
      <c r="J829" s="372">
        <f>'D5 Gardu'!K592</f>
        <v>3312000</v>
      </c>
      <c r="K829" s="372">
        <v>379060</v>
      </c>
      <c r="L829" s="372">
        <f t="shared" si="131"/>
        <v>0</v>
      </c>
      <c r="M829" s="372">
        <f t="shared" si="132"/>
        <v>0</v>
      </c>
      <c r="N829" s="460">
        <f t="shared" ref="N829:N881" si="133">SUM(L829:M829)</f>
        <v>0</v>
      </c>
    </row>
    <row r="830" spans="1:14" ht="13.2" customHeight="1" x14ac:dyDescent="0.3">
      <c r="A830" s="365">
        <f t="shared" ref="A830:A879" si="134">A829+1</f>
        <v>58</v>
      </c>
      <c r="B830" s="370" t="s">
        <v>926</v>
      </c>
      <c r="C830" s="371"/>
      <c r="D830" s="371"/>
      <c r="E830" s="367" t="s">
        <v>399</v>
      </c>
      <c r="F830" s="539"/>
      <c r="G830" s="527"/>
      <c r="H830" s="539"/>
      <c r="I830" s="372">
        <f t="shared" si="126"/>
        <v>0</v>
      </c>
      <c r="J830" s="372">
        <f>'D5 Gardu'!K602</f>
        <v>3222300</v>
      </c>
      <c r="K830" s="372">
        <v>379060</v>
      </c>
      <c r="L830" s="372">
        <f t="shared" si="131"/>
        <v>0</v>
      </c>
      <c r="M830" s="372">
        <f t="shared" si="132"/>
        <v>0</v>
      </c>
      <c r="N830" s="460">
        <f t="shared" si="133"/>
        <v>0</v>
      </c>
    </row>
    <row r="831" spans="1:14" ht="13.2" customHeight="1" x14ac:dyDescent="0.3">
      <c r="A831" s="365">
        <f t="shared" si="134"/>
        <v>59</v>
      </c>
      <c r="B831" s="370" t="s">
        <v>927</v>
      </c>
      <c r="C831" s="371"/>
      <c r="D831" s="371"/>
      <c r="E831" s="367" t="s">
        <v>399</v>
      </c>
      <c r="F831" s="539"/>
      <c r="G831" s="527"/>
      <c r="H831" s="539"/>
      <c r="I831" s="372">
        <f t="shared" si="126"/>
        <v>0</v>
      </c>
      <c r="J831" s="372">
        <f>'D5 Gardu'!K602</f>
        <v>3222300</v>
      </c>
      <c r="K831" s="372">
        <v>379060</v>
      </c>
      <c r="L831" s="372">
        <f t="shared" si="131"/>
        <v>0</v>
      </c>
      <c r="M831" s="372">
        <f t="shared" si="132"/>
        <v>0</v>
      </c>
      <c r="N831" s="460">
        <f t="shared" si="133"/>
        <v>0</v>
      </c>
    </row>
    <row r="832" spans="1:14" ht="13.2" customHeight="1" x14ac:dyDescent="0.3">
      <c r="A832" s="365">
        <f t="shared" si="134"/>
        <v>60</v>
      </c>
      <c r="B832" s="370" t="s">
        <v>928</v>
      </c>
      <c r="C832" s="371"/>
      <c r="D832" s="371"/>
      <c r="E832" s="367" t="s">
        <v>399</v>
      </c>
      <c r="F832" s="539"/>
      <c r="G832" s="527"/>
      <c r="H832" s="539"/>
      <c r="I832" s="372">
        <f t="shared" si="126"/>
        <v>0</v>
      </c>
      <c r="J832" s="372">
        <f>'D5 Gardu'!K612</f>
        <v>3141800</v>
      </c>
      <c r="K832" s="372">
        <v>379060</v>
      </c>
      <c r="L832" s="372">
        <f t="shared" si="131"/>
        <v>0</v>
      </c>
      <c r="M832" s="372">
        <f t="shared" si="132"/>
        <v>0</v>
      </c>
      <c r="N832" s="460">
        <f t="shared" si="133"/>
        <v>0</v>
      </c>
    </row>
    <row r="833" spans="1:14" ht="13.2" customHeight="1" x14ac:dyDescent="0.3">
      <c r="A833" s="365">
        <f t="shared" si="134"/>
        <v>61</v>
      </c>
      <c r="B833" s="370" t="s">
        <v>1993</v>
      </c>
      <c r="C833" s="371"/>
      <c r="D833" s="371"/>
      <c r="E833" s="367" t="s">
        <v>399</v>
      </c>
      <c r="F833" s="539"/>
      <c r="G833" s="527"/>
      <c r="H833" s="539"/>
      <c r="I833" s="372">
        <f t="shared" si="126"/>
        <v>0</v>
      </c>
      <c r="J833" s="372">
        <f>'D5 Gardu'!K629</f>
        <v>7103900</v>
      </c>
      <c r="K833" s="372">
        <v>547650</v>
      </c>
      <c r="L833" s="372">
        <f t="shared" si="131"/>
        <v>0</v>
      </c>
      <c r="M833" s="372">
        <f t="shared" si="132"/>
        <v>0</v>
      </c>
      <c r="N833" s="460">
        <f t="shared" si="133"/>
        <v>0</v>
      </c>
    </row>
    <row r="834" spans="1:14" ht="13.2" customHeight="1" x14ac:dyDescent="0.3">
      <c r="A834" s="365">
        <f t="shared" si="134"/>
        <v>62</v>
      </c>
      <c r="B834" s="370" t="s">
        <v>1390</v>
      </c>
      <c r="C834" s="371"/>
      <c r="D834" s="371"/>
      <c r="E834" s="367" t="s">
        <v>399</v>
      </c>
      <c r="F834" s="539"/>
      <c r="G834" s="527"/>
      <c r="H834" s="539"/>
      <c r="I834" s="372">
        <f t="shared" si="126"/>
        <v>0</v>
      </c>
      <c r="J834" s="372">
        <f>'D5 Gardu'!K629</f>
        <v>7103900</v>
      </c>
      <c r="K834" s="372">
        <v>547650</v>
      </c>
      <c r="L834" s="372">
        <f t="shared" si="131"/>
        <v>0</v>
      </c>
      <c r="M834" s="372">
        <f t="shared" si="132"/>
        <v>0</v>
      </c>
      <c r="N834" s="460">
        <f t="shared" si="133"/>
        <v>0</v>
      </c>
    </row>
    <row r="835" spans="1:14" ht="13.2" customHeight="1" x14ac:dyDescent="0.3">
      <c r="A835" s="365">
        <f t="shared" si="134"/>
        <v>63</v>
      </c>
      <c r="B835" s="370" t="s">
        <v>1391</v>
      </c>
      <c r="C835" s="371"/>
      <c r="D835" s="371"/>
      <c r="E835" s="367" t="s">
        <v>399</v>
      </c>
      <c r="F835" s="539"/>
      <c r="G835" s="527"/>
      <c r="H835" s="539"/>
      <c r="I835" s="372">
        <f t="shared" si="126"/>
        <v>0</v>
      </c>
      <c r="J835" s="372">
        <f>'D5 Gardu'!K646</f>
        <v>6701400</v>
      </c>
      <c r="K835" s="372">
        <v>547650</v>
      </c>
      <c r="L835" s="372">
        <f t="shared" si="131"/>
        <v>0</v>
      </c>
      <c r="M835" s="372">
        <f t="shared" si="132"/>
        <v>0</v>
      </c>
      <c r="N835" s="460">
        <f t="shared" si="133"/>
        <v>0</v>
      </c>
    </row>
    <row r="836" spans="1:14" ht="13.2" customHeight="1" x14ac:dyDescent="0.3">
      <c r="A836" s="365">
        <f t="shared" si="134"/>
        <v>64</v>
      </c>
      <c r="B836" s="370" t="s">
        <v>1392</v>
      </c>
      <c r="C836" s="371"/>
      <c r="D836" s="371"/>
      <c r="E836" s="367" t="s">
        <v>399</v>
      </c>
      <c r="F836" s="539"/>
      <c r="G836" s="527"/>
      <c r="H836" s="539"/>
      <c r="I836" s="372">
        <f t="shared" si="126"/>
        <v>0</v>
      </c>
      <c r="J836" s="372">
        <f>'D5 Gardu'!K646</f>
        <v>6701400</v>
      </c>
      <c r="K836" s="372">
        <v>547650</v>
      </c>
      <c r="L836" s="372">
        <f t="shared" si="131"/>
        <v>0</v>
      </c>
      <c r="M836" s="372">
        <f t="shared" si="132"/>
        <v>0</v>
      </c>
      <c r="N836" s="460">
        <f t="shared" si="133"/>
        <v>0</v>
      </c>
    </row>
    <row r="837" spans="1:14" ht="13.2" customHeight="1" x14ac:dyDescent="0.3">
      <c r="A837" s="365">
        <f t="shared" si="134"/>
        <v>65</v>
      </c>
      <c r="B837" s="370" t="s">
        <v>1393</v>
      </c>
      <c r="C837" s="371"/>
      <c r="D837" s="371"/>
      <c r="E837" s="367" t="s">
        <v>399</v>
      </c>
      <c r="F837" s="539"/>
      <c r="G837" s="527"/>
      <c r="H837" s="539"/>
      <c r="I837" s="372">
        <f t="shared" ref="I837:I881" si="135">SUM(F837:H837)</f>
        <v>0</v>
      </c>
      <c r="J837" s="372">
        <f>'D5 Gardu'!K663</f>
        <v>7100450</v>
      </c>
      <c r="K837" s="372">
        <v>547650</v>
      </c>
      <c r="L837" s="372">
        <f t="shared" ref="L837:L868" si="136">J837*I837</f>
        <v>0</v>
      </c>
      <c r="M837" s="372">
        <f t="shared" ref="M837:M868" si="137">K837*I837</f>
        <v>0</v>
      </c>
      <c r="N837" s="460">
        <f t="shared" si="133"/>
        <v>0</v>
      </c>
    </row>
    <row r="838" spans="1:14" ht="13.2" customHeight="1" x14ac:dyDescent="0.3">
      <c r="A838" s="365">
        <f t="shared" si="134"/>
        <v>66</v>
      </c>
      <c r="B838" s="370" t="s">
        <v>1394</v>
      </c>
      <c r="C838" s="371"/>
      <c r="D838" s="371"/>
      <c r="E838" s="367" t="s">
        <v>399</v>
      </c>
      <c r="F838" s="539"/>
      <c r="G838" s="527"/>
      <c r="H838" s="539"/>
      <c r="I838" s="372">
        <f t="shared" si="135"/>
        <v>0</v>
      </c>
      <c r="J838" s="372">
        <f>'D5 Gardu'!K680</f>
        <v>7037770</v>
      </c>
      <c r="K838" s="372">
        <v>547650</v>
      </c>
      <c r="L838" s="372">
        <f t="shared" si="136"/>
        <v>0</v>
      </c>
      <c r="M838" s="372">
        <f t="shared" si="137"/>
        <v>0</v>
      </c>
      <c r="N838" s="460">
        <f t="shared" si="133"/>
        <v>0</v>
      </c>
    </row>
    <row r="839" spans="1:14" ht="13.2" customHeight="1" x14ac:dyDescent="0.3">
      <c r="A839" s="365">
        <f t="shared" si="134"/>
        <v>67</v>
      </c>
      <c r="B839" s="370" t="s">
        <v>1395</v>
      </c>
      <c r="C839" s="371"/>
      <c r="D839" s="371"/>
      <c r="E839" s="367" t="s">
        <v>399</v>
      </c>
      <c r="F839" s="539"/>
      <c r="G839" s="527"/>
      <c r="H839" s="539"/>
      <c r="I839" s="372">
        <f t="shared" si="135"/>
        <v>0</v>
      </c>
      <c r="J839" s="372">
        <f>'D5 Gardu'!K680</f>
        <v>7037770</v>
      </c>
      <c r="K839" s="372">
        <v>547650</v>
      </c>
      <c r="L839" s="372">
        <f t="shared" si="136"/>
        <v>0</v>
      </c>
      <c r="M839" s="372">
        <f t="shared" si="137"/>
        <v>0</v>
      </c>
      <c r="N839" s="460">
        <f t="shared" si="133"/>
        <v>0</v>
      </c>
    </row>
    <row r="840" spans="1:14" ht="13.2" customHeight="1" x14ac:dyDescent="0.3">
      <c r="A840" s="365">
        <f t="shared" si="134"/>
        <v>68</v>
      </c>
      <c r="B840" s="370" t="s">
        <v>1396</v>
      </c>
      <c r="C840" s="371"/>
      <c r="D840" s="371"/>
      <c r="E840" s="367" t="s">
        <v>399</v>
      </c>
      <c r="F840" s="539"/>
      <c r="G840" s="527"/>
      <c r="H840" s="539"/>
      <c r="I840" s="372">
        <f t="shared" si="135"/>
        <v>0</v>
      </c>
      <c r="J840" s="372">
        <f>'D5 Gardu'!K697</f>
        <v>6995800</v>
      </c>
      <c r="K840" s="372">
        <v>547650</v>
      </c>
      <c r="L840" s="372">
        <f t="shared" si="136"/>
        <v>0</v>
      </c>
      <c r="M840" s="372">
        <f t="shared" si="137"/>
        <v>0</v>
      </c>
      <c r="N840" s="460">
        <f t="shared" si="133"/>
        <v>0</v>
      </c>
    </row>
    <row r="841" spans="1:14" ht="13.2" customHeight="1" x14ac:dyDescent="0.3">
      <c r="A841" s="365">
        <f t="shared" si="134"/>
        <v>69</v>
      </c>
      <c r="B841" s="370" t="s">
        <v>1397</v>
      </c>
      <c r="C841" s="371"/>
      <c r="D841" s="371"/>
      <c r="E841" s="367" t="s">
        <v>399</v>
      </c>
      <c r="F841" s="539"/>
      <c r="G841" s="527"/>
      <c r="H841" s="539"/>
      <c r="I841" s="372">
        <f t="shared" si="135"/>
        <v>0</v>
      </c>
      <c r="J841" s="372">
        <f>'D5 Gardu'!K714</f>
        <v>8258440</v>
      </c>
      <c r="K841" s="372">
        <v>547650</v>
      </c>
      <c r="L841" s="372">
        <f t="shared" si="136"/>
        <v>0</v>
      </c>
      <c r="M841" s="372">
        <f t="shared" si="137"/>
        <v>0</v>
      </c>
      <c r="N841" s="460">
        <f t="shared" si="133"/>
        <v>0</v>
      </c>
    </row>
    <row r="842" spans="1:14" ht="13.2" customHeight="1" x14ac:dyDescent="0.3">
      <c r="A842" s="365">
        <f t="shared" si="134"/>
        <v>70</v>
      </c>
      <c r="B842" s="370" t="s">
        <v>1398</v>
      </c>
      <c r="C842" s="371"/>
      <c r="D842" s="371"/>
      <c r="E842" s="367" t="s">
        <v>399</v>
      </c>
      <c r="F842" s="539"/>
      <c r="G842" s="527"/>
      <c r="H842" s="539"/>
      <c r="I842" s="372">
        <f t="shared" si="135"/>
        <v>0</v>
      </c>
      <c r="J842" s="372">
        <f>'D5 Gardu'!K714</f>
        <v>8258440</v>
      </c>
      <c r="K842" s="372">
        <v>547650</v>
      </c>
      <c r="L842" s="372">
        <f t="shared" si="136"/>
        <v>0</v>
      </c>
      <c r="M842" s="372">
        <f t="shared" si="137"/>
        <v>0</v>
      </c>
      <c r="N842" s="460">
        <f t="shared" si="133"/>
        <v>0</v>
      </c>
    </row>
    <row r="843" spans="1:14" ht="13.2" customHeight="1" x14ac:dyDescent="0.3">
      <c r="A843" s="365">
        <f t="shared" si="134"/>
        <v>71</v>
      </c>
      <c r="B843" s="370" t="s">
        <v>1399</v>
      </c>
      <c r="C843" s="371"/>
      <c r="D843" s="371"/>
      <c r="E843" s="367" t="s">
        <v>399</v>
      </c>
      <c r="F843" s="539"/>
      <c r="G843" s="527"/>
      <c r="H843" s="539"/>
      <c r="I843" s="372">
        <f t="shared" si="135"/>
        <v>0</v>
      </c>
      <c r="J843" s="372">
        <f>'D5 Gardu'!K731</f>
        <v>7855940</v>
      </c>
      <c r="K843" s="372">
        <v>547650</v>
      </c>
      <c r="L843" s="372">
        <f t="shared" si="136"/>
        <v>0</v>
      </c>
      <c r="M843" s="372">
        <f t="shared" si="137"/>
        <v>0</v>
      </c>
      <c r="N843" s="460">
        <f t="shared" si="133"/>
        <v>0</v>
      </c>
    </row>
    <row r="844" spans="1:14" ht="13.2" customHeight="1" x14ac:dyDescent="0.3">
      <c r="A844" s="365">
        <f t="shared" si="134"/>
        <v>72</v>
      </c>
      <c r="B844" s="370" t="s">
        <v>1400</v>
      </c>
      <c r="C844" s="371"/>
      <c r="D844" s="371"/>
      <c r="E844" s="367" t="s">
        <v>399</v>
      </c>
      <c r="F844" s="539"/>
      <c r="G844" s="527"/>
      <c r="H844" s="539"/>
      <c r="I844" s="372">
        <f t="shared" si="135"/>
        <v>0</v>
      </c>
      <c r="J844" s="372">
        <f>'D5 Gardu'!K731</f>
        <v>7855940</v>
      </c>
      <c r="K844" s="372">
        <v>547650</v>
      </c>
      <c r="L844" s="372">
        <f t="shared" si="136"/>
        <v>0</v>
      </c>
      <c r="M844" s="372">
        <f t="shared" si="137"/>
        <v>0</v>
      </c>
      <c r="N844" s="460">
        <f t="shared" si="133"/>
        <v>0</v>
      </c>
    </row>
    <row r="845" spans="1:14" ht="13.2" customHeight="1" x14ac:dyDescent="0.3">
      <c r="A845" s="365">
        <f t="shared" si="134"/>
        <v>73</v>
      </c>
      <c r="B845" s="370" t="s">
        <v>1401</v>
      </c>
      <c r="C845" s="371"/>
      <c r="D845" s="371"/>
      <c r="E845" s="367" t="s">
        <v>399</v>
      </c>
      <c r="F845" s="539"/>
      <c r="G845" s="527"/>
      <c r="H845" s="539"/>
      <c r="I845" s="372">
        <f t="shared" si="135"/>
        <v>0</v>
      </c>
      <c r="J845" s="372">
        <f>'D5 Gardu'!K748</f>
        <v>8271380</v>
      </c>
      <c r="K845" s="372">
        <v>547650</v>
      </c>
      <c r="L845" s="372">
        <f t="shared" si="136"/>
        <v>0</v>
      </c>
      <c r="M845" s="372">
        <f t="shared" si="137"/>
        <v>0</v>
      </c>
      <c r="N845" s="460">
        <f t="shared" si="133"/>
        <v>0</v>
      </c>
    </row>
    <row r="846" spans="1:14" ht="13.2" customHeight="1" x14ac:dyDescent="0.3">
      <c r="A846" s="365">
        <f t="shared" si="134"/>
        <v>74</v>
      </c>
      <c r="B846" s="370" t="s">
        <v>1402</v>
      </c>
      <c r="C846" s="371"/>
      <c r="D846" s="371"/>
      <c r="E846" s="367" t="s">
        <v>399</v>
      </c>
      <c r="F846" s="539"/>
      <c r="G846" s="527"/>
      <c r="H846" s="539"/>
      <c r="I846" s="372">
        <f t="shared" si="135"/>
        <v>0</v>
      </c>
      <c r="J846" s="372">
        <f>'D5 Gardu'!K765</f>
        <v>8208700</v>
      </c>
      <c r="K846" s="372">
        <v>547650</v>
      </c>
      <c r="L846" s="372">
        <f t="shared" si="136"/>
        <v>0</v>
      </c>
      <c r="M846" s="372">
        <f t="shared" si="137"/>
        <v>0</v>
      </c>
      <c r="N846" s="460">
        <f t="shared" si="133"/>
        <v>0</v>
      </c>
    </row>
    <row r="847" spans="1:14" ht="13.2" customHeight="1" x14ac:dyDescent="0.3">
      <c r="A847" s="365">
        <f t="shared" si="134"/>
        <v>75</v>
      </c>
      <c r="B847" s="370" t="s">
        <v>1403</v>
      </c>
      <c r="C847" s="371"/>
      <c r="D847" s="371"/>
      <c r="E847" s="367" t="s">
        <v>399</v>
      </c>
      <c r="F847" s="539"/>
      <c r="G847" s="527"/>
      <c r="H847" s="539"/>
      <c r="I847" s="372">
        <f t="shared" si="135"/>
        <v>0</v>
      </c>
      <c r="J847" s="372">
        <f>'D5 Gardu'!K765</f>
        <v>8208700</v>
      </c>
      <c r="K847" s="372">
        <v>547650</v>
      </c>
      <c r="L847" s="372">
        <f t="shared" si="136"/>
        <v>0</v>
      </c>
      <c r="M847" s="372">
        <f t="shared" si="137"/>
        <v>0</v>
      </c>
      <c r="N847" s="460">
        <f t="shared" si="133"/>
        <v>0</v>
      </c>
    </row>
    <row r="848" spans="1:14" ht="13.2" customHeight="1" x14ac:dyDescent="0.3">
      <c r="A848" s="365">
        <f t="shared" si="134"/>
        <v>76</v>
      </c>
      <c r="B848" s="370" t="s">
        <v>1404</v>
      </c>
      <c r="C848" s="371"/>
      <c r="D848" s="371"/>
      <c r="E848" s="367" t="s">
        <v>399</v>
      </c>
      <c r="F848" s="539"/>
      <c r="G848" s="527"/>
      <c r="H848" s="539"/>
      <c r="I848" s="372">
        <f t="shared" si="135"/>
        <v>0</v>
      </c>
      <c r="J848" s="372">
        <f>'D5 Gardu'!K782</f>
        <v>8166730</v>
      </c>
      <c r="K848" s="372">
        <v>547650</v>
      </c>
      <c r="L848" s="372">
        <f t="shared" si="136"/>
        <v>0</v>
      </c>
      <c r="M848" s="372">
        <f t="shared" si="137"/>
        <v>0</v>
      </c>
      <c r="N848" s="460">
        <f t="shared" si="133"/>
        <v>0</v>
      </c>
    </row>
    <row r="849" spans="1:14" ht="13.2" customHeight="1" x14ac:dyDescent="0.3">
      <c r="A849" s="365">
        <f t="shared" si="134"/>
        <v>77</v>
      </c>
      <c r="B849" s="370" t="s">
        <v>1405</v>
      </c>
      <c r="C849" s="371"/>
      <c r="D849" s="371"/>
      <c r="E849" s="367" t="s">
        <v>399</v>
      </c>
      <c r="F849" s="539"/>
      <c r="G849" s="527"/>
      <c r="H849" s="539"/>
      <c r="I849" s="372">
        <f t="shared" si="135"/>
        <v>0</v>
      </c>
      <c r="J849" s="372">
        <f>'D5 Gardu'!K798</f>
        <v>6473580</v>
      </c>
      <c r="K849" s="372">
        <v>490740</v>
      </c>
      <c r="L849" s="372">
        <f t="shared" si="136"/>
        <v>0</v>
      </c>
      <c r="M849" s="372">
        <f t="shared" si="137"/>
        <v>0</v>
      </c>
      <c r="N849" s="460">
        <f t="shared" si="133"/>
        <v>0</v>
      </c>
    </row>
    <row r="850" spans="1:14" ht="13.2" customHeight="1" x14ac:dyDescent="0.3">
      <c r="A850" s="365">
        <f t="shared" si="134"/>
        <v>78</v>
      </c>
      <c r="B850" s="370" t="s">
        <v>1406</v>
      </c>
      <c r="C850" s="371"/>
      <c r="D850" s="371"/>
      <c r="E850" s="367" t="s">
        <v>399</v>
      </c>
      <c r="F850" s="539"/>
      <c r="G850" s="527"/>
      <c r="H850" s="539"/>
      <c r="I850" s="372">
        <f t="shared" si="135"/>
        <v>0</v>
      </c>
      <c r="J850" s="372">
        <f>'D5 Gardu'!K798</f>
        <v>6473580</v>
      </c>
      <c r="K850" s="372">
        <v>490740</v>
      </c>
      <c r="L850" s="372">
        <f t="shared" si="136"/>
        <v>0</v>
      </c>
      <c r="M850" s="372">
        <f t="shared" si="137"/>
        <v>0</v>
      </c>
      <c r="N850" s="460">
        <f t="shared" si="133"/>
        <v>0</v>
      </c>
    </row>
    <row r="851" spans="1:14" ht="13.2" customHeight="1" x14ac:dyDescent="0.3">
      <c r="A851" s="365">
        <f t="shared" si="134"/>
        <v>79</v>
      </c>
      <c r="B851" s="370" t="s">
        <v>1407</v>
      </c>
      <c r="C851" s="371"/>
      <c r="D851" s="371"/>
      <c r="E851" s="367" t="s">
        <v>399</v>
      </c>
      <c r="F851" s="539"/>
      <c r="G851" s="527"/>
      <c r="H851" s="539"/>
      <c r="I851" s="372">
        <f t="shared" si="135"/>
        <v>0</v>
      </c>
      <c r="J851" s="372">
        <f>'D5 Gardu'!K814</f>
        <v>6071080</v>
      </c>
      <c r="K851" s="372">
        <v>490740</v>
      </c>
      <c r="L851" s="372">
        <f t="shared" si="136"/>
        <v>0</v>
      </c>
      <c r="M851" s="372">
        <f t="shared" si="137"/>
        <v>0</v>
      </c>
      <c r="N851" s="460">
        <f t="shared" si="133"/>
        <v>0</v>
      </c>
    </row>
    <row r="852" spans="1:14" ht="13.2" customHeight="1" x14ac:dyDescent="0.3">
      <c r="A852" s="365">
        <f t="shared" si="134"/>
        <v>80</v>
      </c>
      <c r="B852" s="370" t="s">
        <v>1408</v>
      </c>
      <c r="C852" s="371"/>
      <c r="D852" s="371"/>
      <c r="E852" s="367" t="s">
        <v>399</v>
      </c>
      <c r="F852" s="539"/>
      <c r="G852" s="527"/>
      <c r="H852" s="539"/>
      <c r="I852" s="372">
        <f t="shared" si="135"/>
        <v>0</v>
      </c>
      <c r="J852" s="372">
        <f>'D5 Gardu'!K814</f>
        <v>6071080</v>
      </c>
      <c r="K852" s="372">
        <v>490740</v>
      </c>
      <c r="L852" s="372">
        <f t="shared" si="136"/>
        <v>0</v>
      </c>
      <c r="M852" s="372">
        <f t="shared" si="137"/>
        <v>0</v>
      </c>
      <c r="N852" s="460">
        <f t="shared" si="133"/>
        <v>0</v>
      </c>
    </row>
    <row r="853" spans="1:14" ht="13.2" customHeight="1" x14ac:dyDescent="0.3">
      <c r="A853" s="365">
        <f t="shared" si="134"/>
        <v>81</v>
      </c>
      <c r="B853" s="370" t="s">
        <v>1409</v>
      </c>
      <c r="C853" s="371"/>
      <c r="D853" s="371"/>
      <c r="E853" s="367" t="s">
        <v>399</v>
      </c>
      <c r="F853" s="539"/>
      <c r="G853" s="527"/>
      <c r="H853" s="539"/>
      <c r="I853" s="372">
        <f t="shared" si="135"/>
        <v>0</v>
      </c>
      <c r="J853" s="372">
        <f>'D5 Gardu'!K830</f>
        <v>6470130</v>
      </c>
      <c r="K853" s="372">
        <v>490740</v>
      </c>
      <c r="L853" s="372">
        <f t="shared" si="136"/>
        <v>0</v>
      </c>
      <c r="M853" s="372">
        <f t="shared" si="137"/>
        <v>0</v>
      </c>
      <c r="N853" s="460">
        <f t="shared" si="133"/>
        <v>0</v>
      </c>
    </row>
    <row r="854" spans="1:14" ht="13.2" customHeight="1" x14ac:dyDescent="0.3">
      <c r="A854" s="365">
        <f t="shared" si="134"/>
        <v>82</v>
      </c>
      <c r="B854" s="370" t="s">
        <v>1410</v>
      </c>
      <c r="C854" s="371"/>
      <c r="D854" s="371"/>
      <c r="E854" s="367" t="s">
        <v>399</v>
      </c>
      <c r="F854" s="539"/>
      <c r="G854" s="527"/>
      <c r="H854" s="539"/>
      <c r="I854" s="372">
        <f t="shared" si="135"/>
        <v>0</v>
      </c>
      <c r="J854" s="372">
        <f>'D5 Gardu'!K846</f>
        <v>6407460</v>
      </c>
      <c r="K854" s="372">
        <v>490740</v>
      </c>
      <c r="L854" s="372">
        <f t="shared" si="136"/>
        <v>0</v>
      </c>
      <c r="M854" s="372">
        <f t="shared" si="137"/>
        <v>0</v>
      </c>
      <c r="N854" s="460">
        <f t="shared" si="133"/>
        <v>0</v>
      </c>
    </row>
    <row r="855" spans="1:14" ht="13.2" customHeight="1" x14ac:dyDescent="0.3">
      <c r="A855" s="365">
        <f t="shared" si="134"/>
        <v>83</v>
      </c>
      <c r="B855" s="370" t="s">
        <v>1411</v>
      </c>
      <c r="C855" s="371"/>
      <c r="D855" s="371"/>
      <c r="E855" s="367" t="s">
        <v>399</v>
      </c>
      <c r="F855" s="539"/>
      <c r="G855" s="527"/>
      <c r="H855" s="539"/>
      <c r="I855" s="372">
        <f t="shared" si="135"/>
        <v>0</v>
      </c>
      <c r="J855" s="372">
        <f>'D5 Gardu'!K846</f>
        <v>6407460</v>
      </c>
      <c r="K855" s="372">
        <v>490740</v>
      </c>
      <c r="L855" s="372">
        <f t="shared" si="136"/>
        <v>0</v>
      </c>
      <c r="M855" s="372">
        <f t="shared" si="137"/>
        <v>0</v>
      </c>
      <c r="N855" s="460">
        <f t="shared" si="133"/>
        <v>0</v>
      </c>
    </row>
    <row r="856" spans="1:14" ht="13.2" customHeight="1" x14ac:dyDescent="0.3">
      <c r="A856" s="365">
        <f t="shared" si="134"/>
        <v>84</v>
      </c>
      <c r="B856" s="370" t="s">
        <v>1412</v>
      </c>
      <c r="C856" s="371"/>
      <c r="D856" s="371"/>
      <c r="E856" s="367" t="s">
        <v>399</v>
      </c>
      <c r="F856" s="539"/>
      <c r="G856" s="527"/>
      <c r="H856" s="539"/>
      <c r="I856" s="372">
        <f t="shared" si="135"/>
        <v>0</v>
      </c>
      <c r="J856" s="372">
        <f>'D5 Gardu'!K862</f>
        <v>6365480</v>
      </c>
      <c r="K856" s="372">
        <v>490740</v>
      </c>
      <c r="L856" s="372">
        <f t="shared" si="136"/>
        <v>0</v>
      </c>
      <c r="M856" s="372">
        <f t="shared" si="137"/>
        <v>0</v>
      </c>
      <c r="N856" s="460">
        <f t="shared" si="133"/>
        <v>0</v>
      </c>
    </row>
    <row r="857" spans="1:14" ht="13.2" customHeight="1" x14ac:dyDescent="0.3">
      <c r="A857" s="365">
        <f t="shared" si="134"/>
        <v>85</v>
      </c>
      <c r="B857" s="370" t="s">
        <v>1413</v>
      </c>
      <c r="C857" s="371"/>
      <c r="D857" s="371"/>
      <c r="E857" s="367" t="s">
        <v>399</v>
      </c>
      <c r="F857" s="539"/>
      <c r="G857" s="527"/>
      <c r="H857" s="539"/>
      <c r="I857" s="372">
        <f t="shared" si="135"/>
        <v>0</v>
      </c>
      <c r="J857" s="372">
        <f>'D5 Gardu'!K878</f>
        <v>7407150</v>
      </c>
      <c r="K857" s="372">
        <v>490740</v>
      </c>
      <c r="L857" s="372">
        <f t="shared" si="136"/>
        <v>0</v>
      </c>
      <c r="M857" s="372">
        <f t="shared" si="137"/>
        <v>0</v>
      </c>
      <c r="N857" s="460">
        <f t="shared" si="133"/>
        <v>0</v>
      </c>
    </row>
    <row r="858" spans="1:14" ht="13.2" customHeight="1" x14ac:dyDescent="0.3">
      <c r="A858" s="365">
        <f t="shared" si="134"/>
        <v>86</v>
      </c>
      <c r="B858" s="370" t="s">
        <v>1414</v>
      </c>
      <c r="C858" s="371"/>
      <c r="D858" s="371"/>
      <c r="E858" s="367" t="s">
        <v>399</v>
      </c>
      <c r="F858" s="539"/>
      <c r="G858" s="527"/>
      <c r="H858" s="539"/>
      <c r="I858" s="372">
        <f t="shared" si="135"/>
        <v>0</v>
      </c>
      <c r="J858" s="372">
        <f>'D5 Gardu'!K878</f>
        <v>7407150</v>
      </c>
      <c r="K858" s="372">
        <v>490740</v>
      </c>
      <c r="L858" s="372">
        <f t="shared" si="136"/>
        <v>0</v>
      </c>
      <c r="M858" s="372">
        <f t="shared" si="137"/>
        <v>0</v>
      </c>
      <c r="N858" s="460">
        <f t="shared" si="133"/>
        <v>0</v>
      </c>
    </row>
    <row r="859" spans="1:14" ht="13.2" customHeight="1" x14ac:dyDescent="0.3">
      <c r="A859" s="365">
        <f t="shared" si="134"/>
        <v>87</v>
      </c>
      <c r="B859" s="370" t="s">
        <v>1415</v>
      </c>
      <c r="C859" s="371"/>
      <c r="D859" s="371"/>
      <c r="E859" s="367" t="s">
        <v>399</v>
      </c>
      <c r="F859" s="539"/>
      <c r="G859" s="527"/>
      <c r="H859" s="539"/>
      <c r="I859" s="372">
        <f t="shared" si="135"/>
        <v>0</v>
      </c>
      <c r="J859" s="372">
        <f>'D5 Gardu'!K894</f>
        <v>7493690</v>
      </c>
      <c r="K859" s="372">
        <v>490740</v>
      </c>
      <c r="L859" s="372">
        <f t="shared" si="136"/>
        <v>0</v>
      </c>
      <c r="M859" s="372">
        <f t="shared" si="137"/>
        <v>0</v>
      </c>
      <c r="N859" s="460">
        <f t="shared" si="133"/>
        <v>0</v>
      </c>
    </row>
    <row r="860" spans="1:14" ht="13.2" customHeight="1" x14ac:dyDescent="0.3">
      <c r="A860" s="365">
        <f t="shared" si="134"/>
        <v>88</v>
      </c>
      <c r="B860" s="370" t="s">
        <v>1416</v>
      </c>
      <c r="C860" s="371"/>
      <c r="D860" s="371"/>
      <c r="E860" s="367" t="s">
        <v>399</v>
      </c>
      <c r="F860" s="539"/>
      <c r="G860" s="527"/>
      <c r="H860" s="539"/>
      <c r="I860" s="372">
        <f t="shared" si="135"/>
        <v>0</v>
      </c>
      <c r="J860" s="372">
        <f>'D5 Gardu'!K894</f>
        <v>7493690</v>
      </c>
      <c r="K860" s="372">
        <v>490740</v>
      </c>
      <c r="L860" s="372">
        <f t="shared" si="136"/>
        <v>0</v>
      </c>
      <c r="M860" s="372">
        <f t="shared" si="137"/>
        <v>0</v>
      </c>
      <c r="N860" s="460">
        <f t="shared" si="133"/>
        <v>0</v>
      </c>
    </row>
    <row r="861" spans="1:14" ht="13.2" customHeight="1" x14ac:dyDescent="0.3">
      <c r="A861" s="365">
        <f t="shared" si="134"/>
        <v>89</v>
      </c>
      <c r="B861" s="370" t="s">
        <v>1417</v>
      </c>
      <c r="C861" s="371"/>
      <c r="D861" s="371"/>
      <c r="E861" s="367" t="s">
        <v>399</v>
      </c>
      <c r="F861" s="539"/>
      <c r="G861" s="527"/>
      <c r="H861" s="539"/>
      <c r="I861" s="372">
        <f t="shared" si="135"/>
        <v>0</v>
      </c>
      <c r="J861" s="372">
        <f>'D5 Gardu'!K910</f>
        <v>7909130</v>
      </c>
      <c r="K861" s="372">
        <v>490740</v>
      </c>
      <c r="L861" s="372">
        <f t="shared" si="136"/>
        <v>0</v>
      </c>
      <c r="M861" s="372">
        <f t="shared" si="137"/>
        <v>0</v>
      </c>
      <c r="N861" s="460">
        <f t="shared" si="133"/>
        <v>0</v>
      </c>
    </row>
    <row r="862" spans="1:14" ht="13.2" customHeight="1" x14ac:dyDescent="0.3">
      <c r="A862" s="365">
        <f t="shared" si="134"/>
        <v>90</v>
      </c>
      <c r="B862" s="370" t="s">
        <v>1418</v>
      </c>
      <c r="C862" s="371"/>
      <c r="D862" s="371"/>
      <c r="E862" s="367" t="s">
        <v>399</v>
      </c>
      <c r="F862" s="539"/>
      <c r="G862" s="527"/>
      <c r="H862" s="539"/>
      <c r="I862" s="372">
        <f t="shared" si="135"/>
        <v>0</v>
      </c>
      <c r="J862" s="372">
        <f>'D5 Gardu'!K926</f>
        <v>7846450</v>
      </c>
      <c r="K862" s="372">
        <v>490740</v>
      </c>
      <c r="L862" s="372">
        <f t="shared" si="136"/>
        <v>0</v>
      </c>
      <c r="M862" s="372">
        <f t="shared" si="137"/>
        <v>0</v>
      </c>
      <c r="N862" s="460">
        <f t="shared" si="133"/>
        <v>0</v>
      </c>
    </row>
    <row r="863" spans="1:14" ht="13.2" customHeight="1" x14ac:dyDescent="0.3">
      <c r="A863" s="365">
        <f t="shared" si="134"/>
        <v>91</v>
      </c>
      <c r="B863" s="370" t="s">
        <v>1419</v>
      </c>
      <c r="C863" s="371"/>
      <c r="D863" s="371"/>
      <c r="E863" s="367" t="s">
        <v>399</v>
      </c>
      <c r="F863" s="539"/>
      <c r="G863" s="527"/>
      <c r="H863" s="539"/>
      <c r="I863" s="372">
        <f t="shared" si="135"/>
        <v>0</v>
      </c>
      <c r="J863" s="372">
        <f>'D5 Gardu'!K926</f>
        <v>7846450</v>
      </c>
      <c r="K863" s="372">
        <v>490740</v>
      </c>
      <c r="L863" s="372">
        <f t="shared" si="136"/>
        <v>0</v>
      </c>
      <c r="M863" s="372">
        <f t="shared" si="137"/>
        <v>0</v>
      </c>
      <c r="N863" s="460">
        <f t="shared" si="133"/>
        <v>0</v>
      </c>
    </row>
    <row r="864" spans="1:14" ht="13.2" customHeight="1" x14ac:dyDescent="0.3">
      <c r="A864" s="365">
        <f t="shared" si="134"/>
        <v>92</v>
      </c>
      <c r="B864" s="370" t="s">
        <v>1420</v>
      </c>
      <c r="C864" s="371"/>
      <c r="D864" s="371"/>
      <c r="E864" s="367" t="s">
        <v>399</v>
      </c>
      <c r="F864" s="539"/>
      <c r="G864" s="527"/>
      <c r="H864" s="539"/>
      <c r="I864" s="372">
        <f t="shared" si="135"/>
        <v>0</v>
      </c>
      <c r="J864" s="372">
        <f>'D5 Gardu'!K942</f>
        <v>7804480</v>
      </c>
      <c r="K864" s="372">
        <v>490740</v>
      </c>
      <c r="L864" s="372">
        <f t="shared" si="136"/>
        <v>0</v>
      </c>
      <c r="M864" s="372">
        <f t="shared" si="137"/>
        <v>0</v>
      </c>
      <c r="N864" s="460">
        <f t="shared" si="133"/>
        <v>0</v>
      </c>
    </row>
    <row r="865" spans="1:14" ht="13.2" customHeight="1" x14ac:dyDescent="0.3">
      <c r="A865" s="365">
        <f t="shared" si="134"/>
        <v>93</v>
      </c>
      <c r="B865" s="370" t="s">
        <v>1421</v>
      </c>
      <c r="C865" s="371"/>
      <c r="D865" s="371"/>
      <c r="E865" s="367" t="s">
        <v>399</v>
      </c>
      <c r="F865" s="539"/>
      <c r="G865" s="527"/>
      <c r="H865" s="539"/>
      <c r="I865" s="372">
        <f t="shared" si="135"/>
        <v>0</v>
      </c>
      <c r="J865" s="372">
        <f>'D5 Gardu'!K958</f>
        <v>11391330</v>
      </c>
      <c r="K865" s="372">
        <v>1086710</v>
      </c>
      <c r="L865" s="372">
        <f t="shared" si="136"/>
        <v>0</v>
      </c>
      <c r="M865" s="372">
        <f t="shared" si="137"/>
        <v>0</v>
      </c>
      <c r="N865" s="460">
        <f t="shared" si="133"/>
        <v>0</v>
      </c>
    </row>
    <row r="866" spans="1:14" ht="13.2" customHeight="1" x14ac:dyDescent="0.3">
      <c r="A866" s="365">
        <f t="shared" si="134"/>
        <v>94</v>
      </c>
      <c r="B866" s="370" t="s">
        <v>1422</v>
      </c>
      <c r="C866" s="371"/>
      <c r="D866" s="371"/>
      <c r="E866" s="367" t="s">
        <v>399</v>
      </c>
      <c r="F866" s="539"/>
      <c r="G866" s="527"/>
      <c r="H866" s="539"/>
      <c r="I866" s="372">
        <f t="shared" si="135"/>
        <v>0</v>
      </c>
      <c r="J866" s="372">
        <f>'D5 Gardu'!K958</f>
        <v>11391330</v>
      </c>
      <c r="K866" s="372">
        <v>1086710</v>
      </c>
      <c r="L866" s="372">
        <f t="shared" si="136"/>
        <v>0</v>
      </c>
      <c r="M866" s="372">
        <f t="shared" si="137"/>
        <v>0</v>
      </c>
      <c r="N866" s="460">
        <f t="shared" si="133"/>
        <v>0</v>
      </c>
    </row>
    <row r="867" spans="1:14" ht="13.2" customHeight="1" x14ac:dyDescent="0.3">
      <c r="A867" s="365">
        <f t="shared" si="134"/>
        <v>95</v>
      </c>
      <c r="B867" s="370" t="s">
        <v>1423</v>
      </c>
      <c r="C867" s="371"/>
      <c r="D867" s="371"/>
      <c r="E867" s="367" t="s">
        <v>399</v>
      </c>
      <c r="F867" s="539"/>
      <c r="G867" s="527"/>
      <c r="H867" s="539"/>
      <c r="I867" s="372">
        <f t="shared" si="135"/>
        <v>0</v>
      </c>
      <c r="J867" s="372">
        <f>'D5 Gardu'!K974</f>
        <v>11322330</v>
      </c>
      <c r="K867" s="372">
        <v>1086710</v>
      </c>
      <c r="L867" s="372">
        <f t="shared" si="136"/>
        <v>0</v>
      </c>
      <c r="M867" s="372">
        <f t="shared" si="137"/>
        <v>0</v>
      </c>
      <c r="N867" s="460">
        <f t="shared" si="133"/>
        <v>0</v>
      </c>
    </row>
    <row r="868" spans="1:14" ht="13.2" customHeight="1" x14ac:dyDescent="0.3">
      <c r="A868" s="365">
        <f t="shared" si="134"/>
        <v>96</v>
      </c>
      <c r="B868" s="370" t="s">
        <v>1424</v>
      </c>
      <c r="C868" s="371"/>
      <c r="D868" s="371"/>
      <c r="E868" s="367" t="s">
        <v>399</v>
      </c>
      <c r="F868" s="539"/>
      <c r="G868" s="527"/>
      <c r="H868" s="539"/>
      <c r="I868" s="372">
        <f t="shared" si="135"/>
        <v>0</v>
      </c>
      <c r="J868" s="372">
        <f>'D5 Gardu'!K974</f>
        <v>11322330</v>
      </c>
      <c r="K868" s="372">
        <v>1086710</v>
      </c>
      <c r="L868" s="372">
        <f t="shared" si="136"/>
        <v>0</v>
      </c>
      <c r="M868" s="372">
        <f t="shared" si="137"/>
        <v>0</v>
      </c>
      <c r="N868" s="460">
        <f t="shared" si="133"/>
        <v>0</v>
      </c>
    </row>
    <row r="869" spans="1:14" ht="13.2" customHeight="1" x14ac:dyDescent="0.3">
      <c r="A869" s="365">
        <f t="shared" si="134"/>
        <v>97</v>
      </c>
      <c r="B869" s="370" t="s">
        <v>1425</v>
      </c>
      <c r="C869" s="371"/>
      <c r="D869" s="371"/>
      <c r="E869" s="367" t="s">
        <v>399</v>
      </c>
      <c r="F869" s="539"/>
      <c r="G869" s="527"/>
      <c r="H869" s="539"/>
      <c r="I869" s="372">
        <f t="shared" si="135"/>
        <v>0</v>
      </c>
      <c r="J869" s="372">
        <f>'D5 Gardu'!K990</f>
        <v>11318880</v>
      </c>
      <c r="K869" s="372">
        <v>1086710</v>
      </c>
      <c r="L869" s="372">
        <f t="shared" ref="L869:L881" si="138">J869*I869</f>
        <v>0</v>
      </c>
      <c r="M869" s="372">
        <f t="shared" ref="M869:M881" si="139">K869*I869</f>
        <v>0</v>
      </c>
      <c r="N869" s="460">
        <f t="shared" si="133"/>
        <v>0</v>
      </c>
    </row>
    <row r="870" spans="1:14" ht="13.2" customHeight="1" x14ac:dyDescent="0.3">
      <c r="A870" s="365">
        <f t="shared" si="134"/>
        <v>98</v>
      </c>
      <c r="B870" s="370" t="s">
        <v>1426</v>
      </c>
      <c r="C870" s="371"/>
      <c r="D870" s="371"/>
      <c r="E870" s="367" t="s">
        <v>399</v>
      </c>
      <c r="F870" s="539"/>
      <c r="G870" s="527"/>
      <c r="H870" s="539"/>
      <c r="I870" s="372">
        <f t="shared" si="135"/>
        <v>0</v>
      </c>
      <c r="J870" s="372">
        <f>'D5 Gardu'!K1006</f>
        <v>11193530</v>
      </c>
      <c r="K870" s="372">
        <v>1086710</v>
      </c>
      <c r="L870" s="372">
        <f t="shared" si="138"/>
        <v>0</v>
      </c>
      <c r="M870" s="372">
        <f t="shared" si="139"/>
        <v>0</v>
      </c>
      <c r="N870" s="460">
        <f t="shared" si="133"/>
        <v>0</v>
      </c>
    </row>
    <row r="871" spans="1:14" ht="13.2" customHeight="1" x14ac:dyDescent="0.3">
      <c r="A871" s="365">
        <f t="shared" si="134"/>
        <v>99</v>
      </c>
      <c r="B871" s="370" t="s">
        <v>1427</v>
      </c>
      <c r="C871" s="371"/>
      <c r="D871" s="371"/>
      <c r="E871" s="367" t="s">
        <v>399</v>
      </c>
      <c r="F871" s="539"/>
      <c r="G871" s="527"/>
      <c r="H871" s="539"/>
      <c r="I871" s="372">
        <f t="shared" si="135"/>
        <v>0</v>
      </c>
      <c r="J871" s="372">
        <f>'D5 Gardu'!K1006</f>
        <v>11193530</v>
      </c>
      <c r="K871" s="372">
        <v>1086710</v>
      </c>
      <c r="L871" s="372">
        <f t="shared" si="138"/>
        <v>0</v>
      </c>
      <c r="M871" s="372">
        <f t="shared" si="139"/>
        <v>0</v>
      </c>
      <c r="N871" s="460">
        <f t="shared" si="133"/>
        <v>0</v>
      </c>
    </row>
    <row r="872" spans="1:14" ht="13.2" customHeight="1" x14ac:dyDescent="0.3">
      <c r="A872" s="365">
        <f t="shared" si="134"/>
        <v>100</v>
      </c>
      <c r="B872" s="370" t="s">
        <v>1428</v>
      </c>
      <c r="C872" s="371"/>
      <c r="D872" s="371"/>
      <c r="E872" s="367" t="s">
        <v>399</v>
      </c>
      <c r="F872" s="539"/>
      <c r="G872" s="527"/>
      <c r="H872" s="539"/>
      <c r="I872" s="372">
        <f t="shared" si="135"/>
        <v>0</v>
      </c>
      <c r="J872" s="372">
        <f>'D5 Gardu'!K1022</f>
        <v>11109580</v>
      </c>
      <c r="K872" s="372">
        <v>1086710</v>
      </c>
      <c r="L872" s="372">
        <f t="shared" si="138"/>
        <v>0</v>
      </c>
      <c r="M872" s="372">
        <f t="shared" si="139"/>
        <v>0</v>
      </c>
      <c r="N872" s="460">
        <f t="shared" si="133"/>
        <v>0</v>
      </c>
    </row>
    <row r="873" spans="1:14" ht="13.2" customHeight="1" x14ac:dyDescent="0.3">
      <c r="A873" s="365">
        <f t="shared" si="134"/>
        <v>101</v>
      </c>
      <c r="B873" s="370" t="s">
        <v>1429</v>
      </c>
      <c r="C873" s="371"/>
      <c r="D873" s="371"/>
      <c r="E873" s="367" t="s">
        <v>399</v>
      </c>
      <c r="F873" s="539"/>
      <c r="G873" s="527"/>
      <c r="H873" s="539"/>
      <c r="I873" s="372">
        <f t="shared" si="135"/>
        <v>0</v>
      </c>
      <c r="J873" s="372">
        <f>'D5 Gardu'!K1038</f>
        <v>12947280</v>
      </c>
      <c r="K873" s="372">
        <v>1086710</v>
      </c>
      <c r="L873" s="372">
        <f t="shared" si="138"/>
        <v>0</v>
      </c>
      <c r="M873" s="372">
        <f t="shared" si="139"/>
        <v>0</v>
      </c>
      <c r="N873" s="460">
        <f t="shared" si="133"/>
        <v>0</v>
      </c>
    </row>
    <row r="874" spans="1:14" ht="13.2" customHeight="1" x14ac:dyDescent="0.3">
      <c r="A874" s="365">
        <f t="shared" si="134"/>
        <v>102</v>
      </c>
      <c r="B874" s="370" t="s">
        <v>1430</v>
      </c>
      <c r="C874" s="371"/>
      <c r="D874" s="371"/>
      <c r="E874" s="367" t="s">
        <v>399</v>
      </c>
      <c r="F874" s="539"/>
      <c r="G874" s="527"/>
      <c r="H874" s="539"/>
      <c r="I874" s="372">
        <f t="shared" si="135"/>
        <v>0</v>
      </c>
      <c r="J874" s="372">
        <f>'D5 Gardu'!K1038</f>
        <v>12947280</v>
      </c>
      <c r="K874" s="372">
        <v>1086710</v>
      </c>
      <c r="L874" s="372">
        <f t="shared" si="138"/>
        <v>0</v>
      </c>
      <c r="M874" s="372">
        <f t="shared" si="139"/>
        <v>0</v>
      </c>
      <c r="N874" s="460">
        <f t="shared" si="133"/>
        <v>0</v>
      </c>
    </row>
    <row r="875" spans="1:14" ht="13.2" customHeight="1" x14ac:dyDescent="0.3">
      <c r="A875" s="365">
        <f t="shared" si="134"/>
        <v>103</v>
      </c>
      <c r="B875" s="370" t="s">
        <v>1431</v>
      </c>
      <c r="C875" s="371"/>
      <c r="D875" s="371"/>
      <c r="E875" s="367" t="s">
        <v>399</v>
      </c>
      <c r="F875" s="539"/>
      <c r="G875" s="527"/>
      <c r="H875" s="539"/>
      <c r="I875" s="372">
        <f t="shared" si="135"/>
        <v>0</v>
      </c>
      <c r="J875" s="372">
        <f>'D5 Gardu'!K1054</f>
        <v>12878280</v>
      </c>
      <c r="K875" s="372">
        <v>1086710</v>
      </c>
      <c r="L875" s="372">
        <f t="shared" si="138"/>
        <v>0</v>
      </c>
      <c r="M875" s="372">
        <f t="shared" si="139"/>
        <v>0</v>
      </c>
      <c r="N875" s="460">
        <f t="shared" si="133"/>
        <v>0</v>
      </c>
    </row>
    <row r="876" spans="1:14" ht="13.2" customHeight="1" x14ac:dyDescent="0.3">
      <c r="A876" s="365">
        <f t="shared" si="134"/>
        <v>104</v>
      </c>
      <c r="B876" s="370" t="s">
        <v>1432</v>
      </c>
      <c r="C876" s="371"/>
      <c r="D876" s="371"/>
      <c r="E876" s="367" t="s">
        <v>399</v>
      </c>
      <c r="F876" s="539"/>
      <c r="G876" s="527"/>
      <c r="H876" s="539"/>
      <c r="I876" s="372">
        <f t="shared" si="135"/>
        <v>0</v>
      </c>
      <c r="J876" s="372">
        <f>'D5 Gardu'!K1054</f>
        <v>12878280</v>
      </c>
      <c r="K876" s="372">
        <v>1086710</v>
      </c>
      <c r="L876" s="372">
        <f t="shared" si="138"/>
        <v>0</v>
      </c>
      <c r="M876" s="372">
        <f t="shared" si="139"/>
        <v>0</v>
      </c>
      <c r="N876" s="460">
        <f t="shared" si="133"/>
        <v>0</v>
      </c>
    </row>
    <row r="877" spans="1:14" ht="13.2" customHeight="1" x14ac:dyDescent="0.3">
      <c r="A877" s="365">
        <f t="shared" si="134"/>
        <v>105</v>
      </c>
      <c r="B877" s="370" t="s">
        <v>1433</v>
      </c>
      <c r="C877" s="371"/>
      <c r="D877" s="371"/>
      <c r="E877" s="367" t="s">
        <v>399</v>
      </c>
      <c r="F877" s="539"/>
      <c r="G877" s="527"/>
      <c r="H877" s="539"/>
      <c r="I877" s="372">
        <f t="shared" si="135"/>
        <v>0</v>
      </c>
      <c r="J877" s="372">
        <f>'D5 Gardu'!K1070</f>
        <v>12874830</v>
      </c>
      <c r="K877" s="372">
        <v>1086710</v>
      </c>
      <c r="L877" s="372">
        <f t="shared" si="138"/>
        <v>0</v>
      </c>
      <c r="M877" s="372">
        <f t="shared" si="139"/>
        <v>0</v>
      </c>
      <c r="N877" s="460">
        <f t="shared" si="133"/>
        <v>0</v>
      </c>
    </row>
    <row r="878" spans="1:14" ht="13.2" customHeight="1" x14ac:dyDescent="0.3">
      <c r="A878" s="365">
        <f t="shared" si="134"/>
        <v>106</v>
      </c>
      <c r="B878" s="370" t="s">
        <v>1434</v>
      </c>
      <c r="C878" s="371"/>
      <c r="D878" s="371"/>
      <c r="E878" s="367" t="s">
        <v>399</v>
      </c>
      <c r="F878" s="539"/>
      <c r="G878" s="527"/>
      <c r="H878" s="539"/>
      <c r="I878" s="372">
        <f t="shared" si="135"/>
        <v>0</v>
      </c>
      <c r="J878" s="372">
        <f>'D5 Gardu'!K1086</f>
        <v>12749480</v>
      </c>
      <c r="K878" s="372">
        <v>1086710</v>
      </c>
      <c r="L878" s="372">
        <f t="shared" si="138"/>
        <v>0</v>
      </c>
      <c r="M878" s="372">
        <f t="shared" si="139"/>
        <v>0</v>
      </c>
      <c r="N878" s="460">
        <f t="shared" si="133"/>
        <v>0</v>
      </c>
    </row>
    <row r="879" spans="1:14" ht="13.2" customHeight="1" x14ac:dyDescent="0.3">
      <c r="A879" s="365">
        <f t="shared" si="134"/>
        <v>107</v>
      </c>
      <c r="B879" s="370" t="s">
        <v>1435</v>
      </c>
      <c r="C879" s="371"/>
      <c r="D879" s="371"/>
      <c r="E879" s="367" t="s">
        <v>399</v>
      </c>
      <c r="F879" s="539"/>
      <c r="G879" s="527"/>
      <c r="H879" s="539"/>
      <c r="I879" s="372">
        <f t="shared" si="135"/>
        <v>0</v>
      </c>
      <c r="J879" s="372">
        <f>'D5 Gardu'!K1086</f>
        <v>12749480</v>
      </c>
      <c r="K879" s="372">
        <v>1086710</v>
      </c>
      <c r="L879" s="372">
        <f t="shared" si="138"/>
        <v>0</v>
      </c>
      <c r="M879" s="372">
        <f t="shared" si="139"/>
        <v>0</v>
      </c>
      <c r="N879" s="460">
        <f t="shared" si="133"/>
        <v>0</v>
      </c>
    </row>
    <row r="880" spans="1:14" ht="13.2" customHeight="1" x14ac:dyDescent="0.3">
      <c r="A880" s="365">
        <f>A879+1</f>
        <v>108</v>
      </c>
      <c r="B880" s="370" t="s">
        <v>1436</v>
      </c>
      <c r="C880" s="371"/>
      <c r="D880" s="371"/>
      <c r="E880" s="367" t="s">
        <v>399</v>
      </c>
      <c r="F880" s="539"/>
      <c r="G880" s="527"/>
      <c r="H880" s="539"/>
      <c r="I880" s="372">
        <f t="shared" si="135"/>
        <v>0</v>
      </c>
      <c r="J880" s="372">
        <f>'D5 Gardu'!K1102</f>
        <v>12665530</v>
      </c>
      <c r="K880" s="372">
        <v>1086710</v>
      </c>
      <c r="L880" s="372">
        <f t="shared" si="138"/>
        <v>0</v>
      </c>
      <c r="M880" s="372">
        <f t="shared" si="139"/>
        <v>0</v>
      </c>
      <c r="N880" s="460">
        <f t="shared" si="133"/>
        <v>0</v>
      </c>
    </row>
    <row r="881" spans="1:14" ht="13.2" customHeight="1" x14ac:dyDescent="0.3">
      <c r="A881" s="365">
        <f>A880+1</f>
        <v>109</v>
      </c>
      <c r="B881" s="370" t="s">
        <v>1683</v>
      </c>
      <c r="C881" s="371"/>
      <c r="D881" s="371"/>
      <c r="E881" s="367" t="s">
        <v>399</v>
      </c>
      <c r="F881" s="580"/>
      <c r="G881" s="572"/>
      <c r="H881" s="580"/>
      <c r="I881" s="473">
        <f t="shared" si="135"/>
        <v>0</v>
      </c>
      <c r="J881" s="473">
        <f>'D5 Gardu'!K1109</f>
        <v>153530</v>
      </c>
      <c r="K881" s="372">
        <v>30800</v>
      </c>
      <c r="L881" s="372">
        <f t="shared" si="138"/>
        <v>0</v>
      </c>
      <c r="M881" s="372">
        <f t="shared" si="139"/>
        <v>0</v>
      </c>
      <c r="N881" s="460">
        <f t="shared" si="133"/>
        <v>0</v>
      </c>
    </row>
    <row r="882" spans="1:14" ht="13.2" customHeight="1" x14ac:dyDescent="0.3">
      <c r="A882" s="485"/>
      <c r="B882" s="497" t="s">
        <v>1719</v>
      </c>
      <c r="C882" s="487"/>
      <c r="D882" s="487"/>
      <c r="E882" s="488"/>
      <c r="F882" s="540"/>
      <c r="G882" s="540"/>
      <c r="H882" s="540"/>
      <c r="I882" s="489"/>
      <c r="J882" s="492"/>
      <c r="K882" s="492"/>
      <c r="L882" s="543">
        <f>SUM(L773:L881)</f>
        <v>0</v>
      </c>
      <c r="M882" s="543">
        <f t="shared" ref="M882:N882" si="140">SUM(M773:M881)</f>
        <v>0</v>
      </c>
      <c r="N882" s="544">
        <f t="shared" si="140"/>
        <v>0</v>
      </c>
    </row>
    <row r="883" spans="1:14" ht="7.2" customHeight="1" x14ac:dyDescent="0.3">
      <c r="A883" s="423"/>
      <c r="B883" s="424"/>
      <c r="C883" s="425"/>
      <c r="D883" s="425"/>
      <c r="E883" s="426"/>
      <c r="F883" s="569"/>
      <c r="G883" s="569"/>
      <c r="H883" s="569"/>
      <c r="I883" s="474"/>
      <c r="J883" s="427"/>
      <c r="K883" s="427"/>
      <c r="L883" s="427"/>
      <c r="M883" s="427"/>
      <c r="N883" s="551"/>
    </row>
    <row r="884" spans="1:14" ht="15" customHeight="1" x14ac:dyDescent="0.3">
      <c r="A884" s="495" t="s">
        <v>1452</v>
      </c>
      <c r="B884" s="478" t="s">
        <v>1445</v>
      </c>
      <c r="C884" s="480"/>
      <c r="D884" s="480"/>
      <c r="E884" s="493"/>
      <c r="F884" s="568"/>
      <c r="G884" s="568"/>
      <c r="H884" s="568"/>
      <c r="I884" s="483"/>
      <c r="J884" s="494"/>
      <c r="K884" s="494"/>
      <c r="L884" s="494"/>
      <c r="M884" s="494"/>
      <c r="N884" s="546"/>
    </row>
    <row r="885" spans="1:14" ht="13.2" customHeight="1" x14ac:dyDescent="0.3">
      <c r="A885" s="365">
        <v>1</v>
      </c>
      <c r="B885" s="370" t="s">
        <v>1212</v>
      </c>
      <c r="C885" s="371"/>
      <c r="D885" s="371"/>
      <c r="E885" s="367" t="s">
        <v>399</v>
      </c>
      <c r="F885" s="539"/>
      <c r="G885" s="539"/>
      <c r="H885" s="527"/>
      <c r="I885" s="372">
        <f t="shared" ref="I885:I893" si="141">SUM(F885:H885)</f>
        <v>0</v>
      </c>
      <c r="J885" s="372">
        <f>'D6 SKUTR'!K16</f>
        <v>139740</v>
      </c>
      <c r="K885" s="372">
        <v>51340</v>
      </c>
      <c r="L885" s="372">
        <f t="shared" ref="L885:L893" si="142">J885*I885</f>
        <v>0</v>
      </c>
      <c r="M885" s="372">
        <f t="shared" ref="M885:M893" si="143">K885*I885</f>
        <v>0</v>
      </c>
      <c r="N885" s="460">
        <f t="shared" ref="N885:N893" si="144">SUM(L885:M885)</f>
        <v>0</v>
      </c>
    </row>
    <row r="886" spans="1:14" ht="13.2" customHeight="1" x14ac:dyDescent="0.3">
      <c r="A886" s="365">
        <f t="shared" ref="A886:A893" si="145">A885+1</f>
        <v>2</v>
      </c>
      <c r="B886" s="370" t="s">
        <v>1213</v>
      </c>
      <c r="C886" s="371"/>
      <c r="D886" s="371"/>
      <c r="E886" s="367" t="s">
        <v>399</v>
      </c>
      <c r="F886" s="539"/>
      <c r="G886" s="539"/>
      <c r="H886" s="527"/>
      <c r="I886" s="372">
        <f t="shared" si="141"/>
        <v>0</v>
      </c>
      <c r="J886" s="372">
        <f>'D6 SKUTR'!K26</f>
        <v>158420</v>
      </c>
      <c r="K886" s="372">
        <v>60850</v>
      </c>
      <c r="L886" s="372">
        <f t="shared" si="142"/>
        <v>0</v>
      </c>
      <c r="M886" s="372">
        <f t="shared" si="143"/>
        <v>0</v>
      </c>
      <c r="N886" s="460">
        <f t="shared" si="144"/>
        <v>0</v>
      </c>
    </row>
    <row r="887" spans="1:14" ht="13.2" customHeight="1" x14ac:dyDescent="0.3">
      <c r="A887" s="365">
        <f t="shared" si="145"/>
        <v>3</v>
      </c>
      <c r="B887" s="370" t="s">
        <v>1214</v>
      </c>
      <c r="C887" s="371"/>
      <c r="E887" s="367" t="s">
        <v>399</v>
      </c>
      <c r="F887" s="539"/>
      <c r="G887" s="539"/>
      <c r="H887" s="527"/>
      <c r="I887" s="372">
        <f t="shared" si="141"/>
        <v>0</v>
      </c>
      <c r="J887" s="372">
        <f>'D6 SKUTR'!K36</f>
        <v>162050</v>
      </c>
      <c r="K887" s="372">
        <v>54760</v>
      </c>
      <c r="L887" s="372">
        <f t="shared" si="142"/>
        <v>0</v>
      </c>
      <c r="M887" s="372">
        <f t="shared" si="143"/>
        <v>0</v>
      </c>
      <c r="N887" s="460">
        <f t="shared" si="144"/>
        <v>0</v>
      </c>
    </row>
    <row r="888" spans="1:14" ht="13.2" customHeight="1" x14ac:dyDescent="0.3">
      <c r="A888" s="365">
        <f t="shared" si="145"/>
        <v>4</v>
      </c>
      <c r="B888" s="370" t="s">
        <v>1215</v>
      </c>
      <c r="C888" s="371"/>
      <c r="D888" s="371"/>
      <c r="E888" s="367" t="s">
        <v>399</v>
      </c>
      <c r="F888" s="539"/>
      <c r="G888" s="539"/>
      <c r="H888" s="527"/>
      <c r="I888" s="372">
        <f t="shared" si="141"/>
        <v>0</v>
      </c>
      <c r="J888" s="372">
        <f>'D6 SKUTR'!K47</f>
        <v>273420</v>
      </c>
      <c r="K888" s="372">
        <v>60850</v>
      </c>
      <c r="L888" s="372">
        <f t="shared" si="142"/>
        <v>0</v>
      </c>
      <c r="M888" s="372">
        <f t="shared" si="143"/>
        <v>0</v>
      </c>
      <c r="N888" s="460">
        <f t="shared" si="144"/>
        <v>0</v>
      </c>
    </row>
    <row r="889" spans="1:14" ht="13.2" customHeight="1" x14ac:dyDescent="0.3">
      <c r="A889" s="365">
        <f t="shared" si="145"/>
        <v>5</v>
      </c>
      <c r="B889" s="370" t="s">
        <v>1222</v>
      </c>
      <c r="C889" s="371"/>
      <c r="D889" s="371"/>
      <c r="E889" s="367" t="s">
        <v>399</v>
      </c>
      <c r="F889" s="539"/>
      <c r="G889" s="539"/>
      <c r="H889" s="527"/>
      <c r="I889" s="372">
        <f t="shared" si="141"/>
        <v>0</v>
      </c>
      <c r="J889" s="372">
        <f>'D6 SKUTR'!K57</f>
        <v>83120</v>
      </c>
      <c r="K889" s="372">
        <v>54760</v>
      </c>
      <c r="L889" s="372">
        <f t="shared" si="142"/>
        <v>0</v>
      </c>
      <c r="M889" s="372">
        <f t="shared" si="143"/>
        <v>0</v>
      </c>
      <c r="N889" s="460">
        <f t="shared" si="144"/>
        <v>0</v>
      </c>
    </row>
    <row r="890" spans="1:14" ht="13.2" customHeight="1" x14ac:dyDescent="0.3">
      <c r="A890" s="365">
        <f t="shared" si="145"/>
        <v>6</v>
      </c>
      <c r="B890" s="370" t="s">
        <v>1465</v>
      </c>
      <c r="C890" s="371"/>
      <c r="D890" s="371"/>
      <c r="E890" s="367" t="s">
        <v>399</v>
      </c>
      <c r="F890" s="539"/>
      <c r="G890" s="539"/>
      <c r="H890" s="527"/>
      <c r="I890" s="372">
        <f t="shared" si="141"/>
        <v>0</v>
      </c>
      <c r="J890" s="372">
        <f>'D6 SKUTR'!K65</f>
        <v>206510</v>
      </c>
      <c r="K890" s="372">
        <v>61610</v>
      </c>
      <c r="L890" s="372">
        <f t="shared" si="142"/>
        <v>0</v>
      </c>
      <c r="M890" s="372">
        <f t="shared" si="143"/>
        <v>0</v>
      </c>
      <c r="N890" s="460">
        <f t="shared" si="144"/>
        <v>0</v>
      </c>
    </row>
    <row r="891" spans="1:14" ht="13.2" customHeight="1" x14ac:dyDescent="0.3">
      <c r="A891" s="365">
        <f t="shared" si="145"/>
        <v>7</v>
      </c>
      <c r="B891" s="370" t="s">
        <v>1466</v>
      </c>
      <c r="C891" s="373"/>
      <c r="D891" s="373"/>
      <c r="E891" s="367" t="s">
        <v>399</v>
      </c>
      <c r="F891" s="571"/>
      <c r="G891" s="571"/>
      <c r="H891" s="528"/>
      <c r="I891" s="375">
        <f t="shared" si="141"/>
        <v>0</v>
      </c>
      <c r="J891" s="375">
        <f>'D6 SKUTR'!K73</f>
        <v>207220</v>
      </c>
      <c r="K891" s="372">
        <v>61610</v>
      </c>
      <c r="L891" s="372">
        <f t="shared" si="142"/>
        <v>0</v>
      </c>
      <c r="M891" s="372">
        <f t="shared" si="143"/>
        <v>0</v>
      </c>
      <c r="N891" s="460">
        <f t="shared" si="144"/>
        <v>0</v>
      </c>
    </row>
    <row r="892" spans="1:14" ht="13.2" customHeight="1" x14ac:dyDescent="0.3">
      <c r="A892" s="365">
        <f t="shared" si="145"/>
        <v>8</v>
      </c>
      <c r="B892" s="376" t="s">
        <v>1467</v>
      </c>
      <c r="C892" s="373"/>
      <c r="D892" s="373"/>
      <c r="E892" s="374" t="s">
        <v>399</v>
      </c>
      <c r="F892" s="571"/>
      <c r="G892" s="571"/>
      <c r="H892" s="528"/>
      <c r="I892" s="375">
        <f t="shared" si="141"/>
        <v>0</v>
      </c>
      <c r="J892" s="375">
        <f>'D6 SKUTR'!K81</f>
        <v>220570</v>
      </c>
      <c r="K892" s="375">
        <v>61610</v>
      </c>
      <c r="L892" s="372">
        <f t="shared" si="142"/>
        <v>0</v>
      </c>
      <c r="M892" s="372">
        <f t="shared" si="143"/>
        <v>0</v>
      </c>
      <c r="N892" s="460">
        <f t="shared" si="144"/>
        <v>0</v>
      </c>
    </row>
    <row r="893" spans="1:14" ht="13.2" customHeight="1" x14ac:dyDescent="0.3">
      <c r="A893" s="365">
        <f t="shared" si="145"/>
        <v>9</v>
      </c>
      <c r="B893" s="430" t="s">
        <v>1464</v>
      </c>
      <c r="C893" s="431"/>
      <c r="D893" s="431"/>
      <c r="E893" s="432" t="s">
        <v>203</v>
      </c>
      <c r="F893" s="582"/>
      <c r="G893" s="582"/>
      <c r="H893" s="583"/>
      <c r="I893" s="475">
        <f t="shared" si="141"/>
        <v>0</v>
      </c>
      <c r="J893" s="475">
        <f>'Harga Satuan Dasar mat'!G755</f>
        <v>40000</v>
      </c>
      <c r="K893" s="475">
        <v>23470</v>
      </c>
      <c r="L893" s="372">
        <f t="shared" si="142"/>
        <v>0</v>
      </c>
      <c r="M893" s="372">
        <f t="shared" si="143"/>
        <v>0</v>
      </c>
      <c r="N893" s="460">
        <f t="shared" si="144"/>
        <v>0</v>
      </c>
    </row>
    <row r="894" spans="1:14" ht="13.2" customHeight="1" x14ac:dyDescent="0.3">
      <c r="A894" s="485"/>
      <c r="B894" s="497" t="s">
        <v>1720</v>
      </c>
      <c r="C894" s="487"/>
      <c r="D894" s="487"/>
      <c r="E894" s="488"/>
      <c r="F894" s="540"/>
      <c r="G894" s="540"/>
      <c r="H894" s="540"/>
      <c r="I894" s="489"/>
      <c r="J894" s="492"/>
      <c r="K894" s="492"/>
      <c r="L894" s="543">
        <f t="shared" ref="L894:N894" si="146">SUM(L885:L893)</f>
        <v>0</v>
      </c>
      <c r="M894" s="543">
        <f t="shared" si="146"/>
        <v>0</v>
      </c>
      <c r="N894" s="544">
        <f t="shared" si="146"/>
        <v>0</v>
      </c>
    </row>
    <row r="895" spans="1:14" ht="6.6" customHeight="1" x14ac:dyDescent="0.3">
      <c r="A895" s="423"/>
      <c r="B895" s="424"/>
      <c r="C895" s="425"/>
      <c r="D895" s="425"/>
      <c r="E895" s="426"/>
      <c r="F895" s="569"/>
      <c r="G895" s="569"/>
      <c r="H895" s="569"/>
      <c r="I895" s="474"/>
      <c r="J895" s="427"/>
      <c r="K895" s="427"/>
      <c r="L895" s="427"/>
      <c r="M895" s="427"/>
      <c r="N895" s="551"/>
    </row>
    <row r="896" spans="1:14" ht="13.95" customHeight="1" x14ac:dyDescent="0.3">
      <c r="A896" s="495" t="s">
        <v>1453</v>
      </c>
      <c r="B896" s="478" t="s">
        <v>1475</v>
      </c>
      <c r="C896" s="480"/>
      <c r="D896" s="480"/>
      <c r="E896" s="493"/>
      <c r="F896" s="568"/>
      <c r="G896" s="568"/>
      <c r="H896" s="568"/>
      <c r="I896" s="483"/>
      <c r="J896" s="494"/>
      <c r="K896" s="494"/>
      <c r="L896" s="494"/>
      <c r="M896" s="494"/>
      <c r="N896" s="546"/>
    </row>
    <row r="897" spans="1:14" ht="13.2" customHeight="1" x14ac:dyDescent="0.3">
      <c r="A897" s="365">
        <v>1</v>
      </c>
      <c r="B897" s="370" t="s">
        <v>1710</v>
      </c>
      <c r="C897" s="371"/>
      <c r="D897" s="371"/>
      <c r="E897" s="367" t="s">
        <v>596</v>
      </c>
      <c r="F897" s="536"/>
      <c r="G897" s="536"/>
      <c r="H897" s="537"/>
      <c r="I897" s="466">
        <f t="shared" ref="I897:I908" si="147">SUM(F897:H897)</f>
        <v>0</v>
      </c>
      <c r="J897" s="372">
        <v>0</v>
      </c>
      <c r="K897" s="372">
        <v>447120</v>
      </c>
      <c r="L897" s="372">
        <f t="shared" ref="L897:L908" si="148">J897*I897</f>
        <v>0</v>
      </c>
      <c r="M897" s="372">
        <f t="shared" ref="M897:M908" si="149">K897*I897</f>
        <v>0</v>
      </c>
      <c r="N897" s="460">
        <f t="shared" ref="N897:N908" si="150">SUM(L897:M897)</f>
        <v>0</v>
      </c>
    </row>
    <row r="898" spans="1:14" ht="13.2" customHeight="1" x14ac:dyDescent="0.3">
      <c r="A898" s="365">
        <f t="shared" ref="A898:A908" si="151">A897+1</f>
        <v>2</v>
      </c>
      <c r="B898" s="370" t="s">
        <v>1711</v>
      </c>
      <c r="C898" s="371"/>
      <c r="D898" s="371"/>
      <c r="E898" s="367" t="s">
        <v>596</v>
      </c>
      <c r="F898" s="536"/>
      <c r="G898" s="536"/>
      <c r="H898" s="537"/>
      <c r="I898" s="466">
        <f t="shared" si="147"/>
        <v>0</v>
      </c>
      <c r="J898" s="372">
        <v>0</v>
      </c>
      <c r="K898" s="372">
        <v>745210</v>
      </c>
      <c r="L898" s="372">
        <f t="shared" si="148"/>
        <v>0</v>
      </c>
      <c r="M898" s="372">
        <f t="shared" si="149"/>
        <v>0</v>
      </c>
      <c r="N898" s="460">
        <f t="shared" si="150"/>
        <v>0</v>
      </c>
    </row>
    <row r="899" spans="1:14" ht="13.2" customHeight="1" x14ac:dyDescent="0.3">
      <c r="A899" s="365">
        <f t="shared" si="151"/>
        <v>3</v>
      </c>
      <c r="B899" s="370" t="s">
        <v>1994</v>
      </c>
      <c r="C899" s="371"/>
      <c r="D899" s="371"/>
      <c r="E899" s="367" t="s">
        <v>596</v>
      </c>
      <c r="F899" s="536"/>
      <c r="G899" s="536"/>
      <c r="H899" s="537"/>
      <c r="I899" s="466">
        <f t="shared" si="147"/>
        <v>0</v>
      </c>
      <c r="J899" s="372">
        <v>0</v>
      </c>
      <c r="K899" s="372">
        <v>850440</v>
      </c>
      <c r="L899" s="372">
        <f t="shared" si="148"/>
        <v>0</v>
      </c>
      <c r="M899" s="372">
        <f t="shared" si="149"/>
        <v>0</v>
      </c>
      <c r="N899" s="460">
        <f t="shared" si="150"/>
        <v>0</v>
      </c>
    </row>
    <row r="900" spans="1:14" ht="13.2" customHeight="1" x14ac:dyDescent="0.3">
      <c r="A900" s="365">
        <f t="shared" si="151"/>
        <v>4</v>
      </c>
      <c r="B900" s="370" t="s">
        <v>1995</v>
      </c>
      <c r="C900" s="371"/>
      <c r="D900" s="371"/>
      <c r="E900" s="367" t="s">
        <v>596</v>
      </c>
      <c r="F900" s="536"/>
      <c r="G900" s="536"/>
      <c r="H900" s="537"/>
      <c r="I900" s="466">
        <f t="shared" si="147"/>
        <v>0</v>
      </c>
      <c r="J900" s="372"/>
      <c r="K900" s="372">
        <v>850440</v>
      </c>
      <c r="L900" s="372">
        <f t="shared" si="148"/>
        <v>0</v>
      </c>
      <c r="M900" s="372">
        <f t="shared" si="149"/>
        <v>0</v>
      </c>
      <c r="N900" s="460">
        <f t="shared" ref="N900" si="152">SUM(L900:M900)</f>
        <v>0</v>
      </c>
    </row>
    <row r="901" spans="1:14" ht="13.2" customHeight="1" x14ac:dyDescent="0.3">
      <c r="A901" s="365">
        <f t="shared" si="151"/>
        <v>5</v>
      </c>
      <c r="B901" s="370" t="s">
        <v>1712</v>
      </c>
      <c r="C901" s="371"/>
      <c r="D901" s="371"/>
      <c r="E901" s="367" t="s">
        <v>596</v>
      </c>
      <c r="F901" s="536"/>
      <c r="G901" s="536"/>
      <c r="H901" s="537"/>
      <c r="I901" s="466">
        <f t="shared" si="147"/>
        <v>0</v>
      </c>
      <c r="J901" s="372">
        <f>'Harga Satuan Dasar mat'!G764</f>
        <v>445500</v>
      </c>
      <c r="K901" s="372">
        <v>698630</v>
      </c>
      <c r="L901" s="372">
        <f t="shared" si="148"/>
        <v>0</v>
      </c>
      <c r="M901" s="372">
        <f t="shared" si="149"/>
        <v>0</v>
      </c>
      <c r="N901" s="460">
        <f t="shared" si="150"/>
        <v>0</v>
      </c>
    </row>
    <row r="902" spans="1:14" ht="13.2" customHeight="1" x14ac:dyDescent="0.3">
      <c r="A902" s="365">
        <f t="shared" si="151"/>
        <v>6</v>
      </c>
      <c r="B902" s="370" t="s">
        <v>1996</v>
      </c>
      <c r="C902" s="371"/>
      <c r="D902" s="371"/>
      <c r="E902" s="367" t="s">
        <v>596</v>
      </c>
      <c r="F902" s="536"/>
      <c r="G902" s="536"/>
      <c r="H902" s="537"/>
      <c r="I902" s="466">
        <f t="shared" si="147"/>
        <v>0</v>
      </c>
      <c r="J902" s="372">
        <v>0</v>
      </c>
      <c r="K902" s="372">
        <v>785020</v>
      </c>
      <c r="L902" s="372">
        <f t="shared" si="148"/>
        <v>0</v>
      </c>
      <c r="M902" s="372">
        <f t="shared" si="149"/>
        <v>0</v>
      </c>
      <c r="N902" s="460">
        <f t="shared" si="150"/>
        <v>0</v>
      </c>
    </row>
    <row r="903" spans="1:14" ht="13.2" customHeight="1" x14ac:dyDescent="0.3">
      <c r="A903" s="365">
        <f t="shared" si="151"/>
        <v>7</v>
      </c>
      <c r="B903" s="370" t="s">
        <v>1997</v>
      </c>
      <c r="C903" s="371"/>
      <c r="D903" s="371"/>
      <c r="E903" s="367" t="s">
        <v>596</v>
      </c>
      <c r="F903" s="536"/>
      <c r="G903" s="536"/>
      <c r="H903" s="537"/>
      <c r="I903" s="466">
        <f t="shared" si="147"/>
        <v>0</v>
      </c>
      <c r="J903" s="372">
        <v>0</v>
      </c>
      <c r="K903" s="372">
        <v>785020</v>
      </c>
      <c r="L903" s="372">
        <f t="shared" si="148"/>
        <v>0</v>
      </c>
      <c r="M903" s="372">
        <f t="shared" si="149"/>
        <v>0</v>
      </c>
      <c r="N903" s="460">
        <f t="shared" ref="N903" si="153">SUM(L903:M903)</f>
        <v>0</v>
      </c>
    </row>
    <row r="904" spans="1:14" ht="13.2" customHeight="1" x14ac:dyDescent="0.3">
      <c r="A904" s="365">
        <f t="shared" si="151"/>
        <v>8</v>
      </c>
      <c r="B904" s="370" t="s">
        <v>1722</v>
      </c>
      <c r="C904" s="371"/>
      <c r="D904" s="371"/>
      <c r="E904" s="367" t="s">
        <v>399</v>
      </c>
      <c r="F904" s="539"/>
      <c r="G904" s="539"/>
      <c r="H904" s="527"/>
      <c r="I904" s="372">
        <f t="shared" si="147"/>
        <v>0</v>
      </c>
      <c r="J904" s="372">
        <f>'D7 SKTR'!K13</f>
        <v>170720</v>
      </c>
      <c r="K904" s="372">
        <v>20380</v>
      </c>
      <c r="L904" s="372">
        <f t="shared" si="148"/>
        <v>0</v>
      </c>
      <c r="M904" s="372">
        <f t="shared" si="149"/>
        <v>0</v>
      </c>
      <c r="N904" s="460">
        <f t="shared" si="150"/>
        <v>0</v>
      </c>
    </row>
    <row r="905" spans="1:14" ht="13.2" customHeight="1" x14ac:dyDescent="0.3">
      <c r="A905" s="365">
        <f t="shared" si="151"/>
        <v>9</v>
      </c>
      <c r="B905" s="370" t="s">
        <v>1670</v>
      </c>
      <c r="C905" s="371"/>
      <c r="D905" s="371"/>
      <c r="E905" s="367" t="s">
        <v>399</v>
      </c>
      <c r="F905" s="539"/>
      <c r="G905" s="539"/>
      <c r="H905" s="527"/>
      <c r="I905" s="372">
        <f t="shared" si="147"/>
        <v>0</v>
      </c>
      <c r="J905" s="372">
        <f>'Harga Satuan Dasar mat'!G767</f>
        <v>144800</v>
      </c>
      <c r="K905" s="372">
        <v>19710</v>
      </c>
      <c r="L905" s="372">
        <f t="shared" si="148"/>
        <v>0</v>
      </c>
      <c r="M905" s="372">
        <f t="shared" si="149"/>
        <v>0</v>
      </c>
      <c r="N905" s="460">
        <f t="shared" si="150"/>
        <v>0</v>
      </c>
    </row>
    <row r="906" spans="1:14" ht="13.2" customHeight="1" x14ac:dyDescent="0.3">
      <c r="A906" s="365">
        <f t="shared" si="151"/>
        <v>10</v>
      </c>
      <c r="B906" s="370" t="s">
        <v>1671</v>
      </c>
      <c r="C906" s="371"/>
      <c r="D906" s="371"/>
      <c r="E906" s="367" t="s">
        <v>399</v>
      </c>
      <c r="F906" s="539"/>
      <c r="G906" s="539"/>
      <c r="H906" s="527"/>
      <c r="I906" s="372">
        <f t="shared" si="147"/>
        <v>0</v>
      </c>
      <c r="J906" s="372">
        <f>'Harga Satuan Dasar mat'!G768</f>
        <v>139500</v>
      </c>
      <c r="K906" s="372">
        <v>19710</v>
      </c>
      <c r="L906" s="372">
        <f t="shared" si="148"/>
        <v>0</v>
      </c>
      <c r="M906" s="372">
        <f t="shared" si="149"/>
        <v>0</v>
      </c>
      <c r="N906" s="460">
        <f t="shared" si="150"/>
        <v>0</v>
      </c>
    </row>
    <row r="907" spans="1:14" ht="13.2" customHeight="1" x14ac:dyDescent="0.3">
      <c r="A907" s="365">
        <f t="shared" si="151"/>
        <v>11</v>
      </c>
      <c r="B907" s="370" t="s">
        <v>1853</v>
      </c>
      <c r="C907" s="371"/>
      <c r="D907" s="371"/>
      <c r="E907" s="367" t="s">
        <v>399</v>
      </c>
      <c r="F907" s="539"/>
      <c r="G907" s="527"/>
      <c r="H907" s="527"/>
      <c r="I907" s="372">
        <f t="shared" si="147"/>
        <v>0</v>
      </c>
      <c r="J907" s="372">
        <f>'D7 SKTR'!K22</f>
        <v>2269870</v>
      </c>
      <c r="K907" s="372">
        <v>328580</v>
      </c>
      <c r="L907" s="372">
        <f t="shared" si="148"/>
        <v>0</v>
      </c>
      <c r="M907" s="372">
        <f t="shared" si="149"/>
        <v>0</v>
      </c>
      <c r="N907" s="460">
        <f t="shared" si="150"/>
        <v>0</v>
      </c>
    </row>
    <row r="908" spans="1:14" ht="13.2" customHeight="1" x14ac:dyDescent="0.3">
      <c r="A908" s="365">
        <f t="shared" si="151"/>
        <v>12</v>
      </c>
      <c r="B908" s="366" t="s">
        <v>1807</v>
      </c>
      <c r="C908" s="362"/>
      <c r="D908" s="362"/>
      <c r="E908" s="367" t="s">
        <v>203</v>
      </c>
      <c r="F908" s="538"/>
      <c r="G908" s="535"/>
      <c r="H908" s="535"/>
      <c r="I908" s="369">
        <f t="shared" si="147"/>
        <v>0</v>
      </c>
      <c r="J908" s="369">
        <f>'D7 SKTR'!K31</f>
        <v>432910</v>
      </c>
      <c r="K908" s="369">
        <v>246430</v>
      </c>
      <c r="L908" s="372">
        <f t="shared" si="148"/>
        <v>0</v>
      </c>
      <c r="M908" s="372">
        <f t="shared" si="149"/>
        <v>0</v>
      </c>
      <c r="N908" s="460">
        <f t="shared" si="150"/>
        <v>0</v>
      </c>
    </row>
    <row r="909" spans="1:14" ht="15" customHeight="1" x14ac:dyDescent="0.3">
      <c r="A909" s="485"/>
      <c r="B909" s="497" t="s">
        <v>1721</v>
      </c>
      <c r="C909" s="487"/>
      <c r="D909" s="487"/>
      <c r="E909" s="488"/>
      <c r="F909" s="540"/>
      <c r="G909" s="540"/>
      <c r="H909" s="540"/>
      <c r="I909" s="489"/>
      <c r="J909" s="492"/>
      <c r="K909" s="492"/>
      <c r="L909" s="543">
        <f>SUM(L897:L908)</f>
        <v>0</v>
      </c>
      <c r="M909" s="543">
        <f t="shared" ref="M909:N909" si="154">SUM(M897:M908)</f>
        <v>0</v>
      </c>
      <c r="N909" s="544">
        <f t="shared" si="154"/>
        <v>0</v>
      </c>
    </row>
    <row r="910" spans="1:14" ht="6" customHeight="1" x14ac:dyDescent="0.3">
      <c r="A910" s="418"/>
      <c r="B910" s="370"/>
      <c r="C910" s="371"/>
      <c r="D910" s="371"/>
      <c r="E910" s="367"/>
      <c r="F910" s="537"/>
      <c r="G910" s="537"/>
      <c r="H910" s="537"/>
      <c r="I910" s="466"/>
      <c r="J910" s="372"/>
      <c r="K910" s="372"/>
      <c r="L910" s="372"/>
      <c r="M910" s="372"/>
      <c r="N910" s="460"/>
    </row>
    <row r="911" spans="1:14" ht="13.95" customHeight="1" x14ac:dyDescent="0.3">
      <c r="A911" s="495" t="s">
        <v>1474</v>
      </c>
      <c r="B911" s="478" t="s">
        <v>1723</v>
      </c>
      <c r="C911" s="480"/>
      <c r="D911" s="480"/>
      <c r="E911" s="493"/>
      <c r="F911" s="568"/>
      <c r="G911" s="568"/>
      <c r="H911" s="568"/>
      <c r="I911" s="483"/>
      <c r="J911" s="494"/>
      <c r="K911" s="494"/>
      <c r="L911" s="494"/>
      <c r="M911" s="494"/>
      <c r="N911" s="546"/>
    </row>
    <row r="912" spans="1:14" ht="13.2" customHeight="1" x14ac:dyDescent="0.3">
      <c r="A912" s="365">
        <v>1</v>
      </c>
      <c r="B912" s="370" t="s">
        <v>1973</v>
      </c>
      <c r="C912" s="362"/>
      <c r="D912" s="362"/>
      <c r="E912" s="367" t="s">
        <v>399</v>
      </c>
      <c r="F912" s="538"/>
      <c r="G912" s="538"/>
      <c r="H912" s="535"/>
      <c r="I912" s="369">
        <f t="shared" ref="I912:I931" si="155">SUM(F912:H912)</f>
        <v>0</v>
      </c>
      <c r="J912" s="369">
        <f>'D8 SRAPP'!K17</f>
        <v>277450</v>
      </c>
      <c r="K912" s="372">
        <v>82150</v>
      </c>
      <c r="L912" s="369">
        <f t="shared" ref="L912:L931" si="156">J912*I912</f>
        <v>0</v>
      </c>
      <c r="M912" s="369">
        <f t="shared" ref="M912:M931" si="157">K912*I912</f>
        <v>0</v>
      </c>
      <c r="N912" s="459">
        <f t="shared" ref="N912:N931" si="158">SUM(L912:M912)</f>
        <v>0</v>
      </c>
    </row>
    <row r="913" spans="1:14" ht="13.2" customHeight="1" x14ac:dyDescent="0.3">
      <c r="A913" s="365">
        <f>A912+1</f>
        <v>2</v>
      </c>
      <c r="B913" s="370" t="s">
        <v>1974</v>
      </c>
      <c r="C913" s="371"/>
      <c r="D913" s="371"/>
      <c r="E913" s="367" t="s">
        <v>399</v>
      </c>
      <c r="F913" s="539"/>
      <c r="G913" s="539"/>
      <c r="H913" s="527"/>
      <c r="I913" s="372">
        <f t="shared" si="155"/>
        <v>0</v>
      </c>
      <c r="J913" s="372">
        <f>'D8 SRAPP'!K28</f>
        <v>241010</v>
      </c>
      <c r="K913" s="372">
        <v>82150</v>
      </c>
      <c r="L913" s="369">
        <f t="shared" si="156"/>
        <v>0</v>
      </c>
      <c r="M913" s="369">
        <f t="shared" si="157"/>
        <v>0</v>
      </c>
      <c r="N913" s="459">
        <f t="shared" si="158"/>
        <v>0</v>
      </c>
    </row>
    <row r="914" spans="1:14" ht="13.2" customHeight="1" x14ac:dyDescent="0.3">
      <c r="A914" s="365">
        <f>A913+1</f>
        <v>3</v>
      </c>
      <c r="B914" s="370" t="s">
        <v>1975</v>
      </c>
      <c r="C914" s="371"/>
      <c r="D914" s="371"/>
      <c r="E914" s="367" t="s">
        <v>399</v>
      </c>
      <c r="F914" s="539"/>
      <c r="G914" s="539"/>
      <c r="H914" s="527"/>
      <c r="I914" s="372">
        <f t="shared" si="155"/>
        <v>0</v>
      </c>
      <c r="J914" s="372">
        <f>'D8 SRAPP'!K28</f>
        <v>241010</v>
      </c>
      <c r="K914" s="372">
        <v>82150</v>
      </c>
      <c r="L914" s="369">
        <f t="shared" si="156"/>
        <v>0</v>
      </c>
      <c r="M914" s="369">
        <f t="shared" si="157"/>
        <v>0</v>
      </c>
      <c r="N914" s="459">
        <f t="shared" si="158"/>
        <v>0</v>
      </c>
    </row>
    <row r="915" spans="1:14" ht="13.2" customHeight="1" x14ac:dyDescent="0.3">
      <c r="A915" s="365">
        <f t="shared" ref="A915:A931" si="159">A914+1</f>
        <v>4</v>
      </c>
      <c r="B915" s="370" t="s">
        <v>1976</v>
      </c>
      <c r="C915" s="371"/>
      <c r="D915" s="371"/>
      <c r="E915" s="367" t="s">
        <v>399</v>
      </c>
      <c r="F915" s="539"/>
      <c r="G915" s="539"/>
      <c r="H915" s="527"/>
      <c r="I915" s="372">
        <f t="shared" si="155"/>
        <v>0</v>
      </c>
      <c r="J915" s="372">
        <f>'D8 SRAPP'!K39</f>
        <v>228390</v>
      </c>
      <c r="K915" s="372">
        <v>82150</v>
      </c>
      <c r="L915" s="369">
        <f t="shared" si="156"/>
        <v>0</v>
      </c>
      <c r="M915" s="369">
        <f t="shared" si="157"/>
        <v>0</v>
      </c>
      <c r="N915" s="459">
        <f t="shared" si="158"/>
        <v>0</v>
      </c>
    </row>
    <row r="916" spans="1:14" ht="13.2" customHeight="1" x14ac:dyDescent="0.3">
      <c r="A916" s="365">
        <f t="shared" si="159"/>
        <v>5</v>
      </c>
      <c r="B916" s="370" t="s">
        <v>1977</v>
      </c>
      <c r="C916" s="371"/>
      <c r="D916" s="371"/>
      <c r="E916" s="367" t="s">
        <v>399</v>
      </c>
      <c r="F916" s="539"/>
      <c r="G916" s="539"/>
      <c r="H916" s="527"/>
      <c r="I916" s="372">
        <f t="shared" si="155"/>
        <v>0</v>
      </c>
      <c r="J916" s="372">
        <f>'D8 SRAPP'!K50</f>
        <v>328850</v>
      </c>
      <c r="K916" s="372">
        <v>131430</v>
      </c>
      <c r="L916" s="369">
        <f t="shared" si="156"/>
        <v>0</v>
      </c>
      <c r="M916" s="369">
        <f t="shared" si="157"/>
        <v>0</v>
      </c>
      <c r="N916" s="459">
        <f t="shared" si="158"/>
        <v>0</v>
      </c>
    </row>
    <row r="917" spans="1:14" ht="13.2" customHeight="1" x14ac:dyDescent="0.3">
      <c r="A917" s="365">
        <f t="shared" si="159"/>
        <v>6</v>
      </c>
      <c r="B917" s="370" t="s">
        <v>1978</v>
      </c>
      <c r="C917" s="371"/>
      <c r="D917" s="371"/>
      <c r="E917" s="367" t="s">
        <v>399</v>
      </c>
      <c r="F917" s="539"/>
      <c r="G917" s="539"/>
      <c r="H917" s="527"/>
      <c r="I917" s="372">
        <f t="shared" si="155"/>
        <v>0</v>
      </c>
      <c r="J917" s="372">
        <f>'D8 SRAPP'!K61</f>
        <v>292410</v>
      </c>
      <c r="K917" s="372">
        <v>131430</v>
      </c>
      <c r="L917" s="369">
        <f t="shared" si="156"/>
        <v>0</v>
      </c>
      <c r="M917" s="369">
        <f t="shared" si="157"/>
        <v>0</v>
      </c>
      <c r="N917" s="459">
        <f t="shared" si="158"/>
        <v>0</v>
      </c>
    </row>
    <row r="918" spans="1:14" ht="13.2" customHeight="1" x14ac:dyDescent="0.3">
      <c r="A918" s="365">
        <f t="shared" si="159"/>
        <v>7</v>
      </c>
      <c r="B918" s="370" t="s">
        <v>1979</v>
      </c>
      <c r="C918" s="371"/>
      <c r="D918" s="371"/>
      <c r="E918" s="367" t="s">
        <v>399</v>
      </c>
      <c r="F918" s="539"/>
      <c r="G918" s="539"/>
      <c r="H918" s="527"/>
      <c r="I918" s="372">
        <f t="shared" si="155"/>
        <v>0</v>
      </c>
      <c r="J918" s="372">
        <f>'D8 SRAPP'!K61</f>
        <v>292410</v>
      </c>
      <c r="K918" s="372">
        <v>131430</v>
      </c>
      <c r="L918" s="369">
        <f t="shared" si="156"/>
        <v>0</v>
      </c>
      <c r="M918" s="369">
        <f t="shared" si="157"/>
        <v>0</v>
      </c>
      <c r="N918" s="459">
        <f t="shared" si="158"/>
        <v>0</v>
      </c>
    </row>
    <row r="919" spans="1:14" ht="13.2" customHeight="1" x14ac:dyDescent="0.3">
      <c r="A919" s="365">
        <f t="shared" si="159"/>
        <v>8</v>
      </c>
      <c r="B919" s="370" t="s">
        <v>1980</v>
      </c>
      <c r="C919" s="371"/>
      <c r="D919" s="371"/>
      <c r="E919" s="367" t="s">
        <v>399</v>
      </c>
      <c r="F919" s="539"/>
      <c r="G919" s="539"/>
      <c r="H919" s="527"/>
      <c r="I919" s="372">
        <f t="shared" si="155"/>
        <v>0</v>
      </c>
      <c r="J919" s="372">
        <f>'D8 SRAPP'!K72</f>
        <v>279800</v>
      </c>
      <c r="K919" s="372">
        <v>131430</v>
      </c>
      <c r="L919" s="369">
        <f t="shared" si="156"/>
        <v>0</v>
      </c>
      <c r="M919" s="369">
        <f t="shared" si="157"/>
        <v>0</v>
      </c>
      <c r="N919" s="459">
        <f t="shared" si="158"/>
        <v>0</v>
      </c>
    </row>
    <row r="920" spans="1:14" ht="13.2" customHeight="1" x14ac:dyDescent="0.3">
      <c r="A920" s="365">
        <f t="shared" si="159"/>
        <v>9</v>
      </c>
      <c r="B920" s="370" t="s">
        <v>1748</v>
      </c>
      <c r="C920" s="371"/>
      <c r="D920" s="371"/>
      <c r="E920" s="367" t="s">
        <v>399</v>
      </c>
      <c r="F920" s="584"/>
      <c r="G920" s="584"/>
      <c r="H920" s="585"/>
      <c r="I920" s="372">
        <f t="shared" si="155"/>
        <v>0</v>
      </c>
      <c r="J920" s="372">
        <f>'D8 SRAPP'!K81</f>
        <v>3545910</v>
      </c>
      <c r="K920" s="372">
        <v>246430</v>
      </c>
      <c r="L920" s="369">
        <f t="shared" si="156"/>
        <v>0</v>
      </c>
      <c r="M920" s="369">
        <f t="shared" si="157"/>
        <v>0</v>
      </c>
      <c r="N920" s="459">
        <f t="shared" si="158"/>
        <v>0</v>
      </c>
    </row>
    <row r="921" spans="1:14" ht="13.2" customHeight="1" x14ac:dyDescent="0.3">
      <c r="A921" s="365">
        <f t="shared" si="159"/>
        <v>10</v>
      </c>
      <c r="B921" s="370" t="s">
        <v>1750</v>
      </c>
      <c r="C921" s="371"/>
      <c r="D921" s="371"/>
      <c r="E921" s="367" t="s">
        <v>399</v>
      </c>
      <c r="F921" s="584"/>
      <c r="G921" s="584"/>
      <c r="H921" s="585"/>
      <c r="I921" s="372">
        <f t="shared" si="155"/>
        <v>0</v>
      </c>
      <c r="J921" s="372">
        <f>'D8 SRAPP'!K90</f>
        <v>3533260</v>
      </c>
      <c r="K921" s="372">
        <v>246430</v>
      </c>
      <c r="L921" s="369">
        <f t="shared" si="156"/>
        <v>0</v>
      </c>
      <c r="M921" s="369">
        <f t="shared" si="157"/>
        <v>0</v>
      </c>
      <c r="N921" s="459">
        <f t="shared" si="158"/>
        <v>0</v>
      </c>
    </row>
    <row r="922" spans="1:14" ht="13.2" customHeight="1" x14ac:dyDescent="0.3">
      <c r="A922" s="365">
        <f t="shared" si="159"/>
        <v>11</v>
      </c>
      <c r="B922" s="370" t="s">
        <v>1754</v>
      </c>
      <c r="C922" s="371"/>
      <c r="D922" s="371"/>
      <c r="E922" s="367" t="s">
        <v>399</v>
      </c>
      <c r="F922" s="584"/>
      <c r="G922" s="584"/>
      <c r="H922" s="585"/>
      <c r="I922" s="372">
        <f t="shared" si="155"/>
        <v>0</v>
      </c>
      <c r="J922" s="372">
        <f>'D8 SRAPP'!K99</f>
        <v>3522910</v>
      </c>
      <c r="K922" s="372">
        <v>246430</v>
      </c>
      <c r="L922" s="369">
        <f t="shared" si="156"/>
        <v>0</v>
      </c>
      <c r="M922" s="369">
        <f t="shared" si="157"/>
        <v>0</v>
      </c>
      <c r="N922" s="459">
        <f t="shared" si="158"/>
        <v>0</v>
      </c>
    </row>
    <row r="923" spans="1:14" ht="13.2" customHeight="1" x14ac:dyDescent="0.3">
      <c r="A923" s="365">
        <f t="shared" si="159"/>
        <v>12</v>
      </c>
      <c r="B923" s="370" t="s">
        <v>1739</v>
      </c>
      <c r="C923" s="371"/>
      <c r="D923" s="371"/>
      <c r="E923" s="367" t="s">
        <v>399</v>
      </c>
      <c r="F923" s="584"/>
      <c r="G923" s="584"/>
      <c r="H923" s="585"/>
      <c r="I923" s="372">
        <f t="shared" si="155"/>
        <v>0</v>
      </c>
      <c r="J923" s="372">
        <f>'D8 SRAPP'!K108</f>
        <v>3465410</v>
      </c>
      <c r="K923" s="372">
        <v>246430</v>
      </c>
      <c r="L923" s="369">
        <f t="shared" si="156"/>
        <v>0</v>
      </c>
      <c r="M923" s="369">
        <f t="shared" si="157"/>
        <v>0</v>
      </c>
      <c r="N923" s="459">
        <f t="shared" si="158"/>
        <v>0</v>
      </c>
    </row>
    <row r="924" spans="1:14" ht="13.2" customHeight="1" x14ac:dyDescent="0.3">
      <c r="A924" s="365">
        <f t="shared" si="159"/>
        <v>13</v>
      </c>
      <c r="B924" s="370" t="s">
        <v>1761</v>
      </c>
      <c r="C924" s="371"/>
      <c r="D924" s="371"/>
      <c r="E924" s="367" t="s">
        <v>399</v>
      </c>
      <c r="F924" s="586"/>
      <c r="G924" s="586"/>
      <c r="H924" s="587"/>
      <c r="I924" s="369">
        <f t="shared" si="155"/>
        <v>0</v>
      </c>
      <c r="J924" s="369">
        <f>'D8 SRAPP'!K117</f>
        <v>3533260</v>
      </c>
      <c r="K924" s="372">
        <v>246430</v>
      </c>
      <c r="L924" s="369">
        <f t="shared" si="156"/>
        <v>0</v>
      </c>
      <c r="M924" s="369">
        <f t="shared" si="157"/>
        <v>0</v>
      </c>
      <c r="N924" s="459">
        <f t="shared" si="158"/>
        <v>0</v>
      </c>
    </row>
    <row r="925" spans="1:14" ht="13.2" customHeight="1" x14ac:dyDescent="0.3">
      <c r="A925" s="365">
        <f t="shared" si="159"/>
        <v>14</v>
      </c>
      <c r="B925" s="370" t="s">
        <v>1762</v>
      </c>
      <c r="C925" s="371"/>
      <c r="D925" s="371"/>
      <c r="E925" s="367" t="s">
        <v>399</v>
      </c>
      <c r="F925" s="586"/>
      <c r="G925" s="586"/>
      <c r="H925" s="587"/>
      <c r="I925" s="369">
        <f t="shared" si="155"/>
        <v>0</v>
      </c>
      <c r="J925" s="369">
        <f>'D8 SRAPP'!K126</f>
        <v>3488410</v>
      </c>
      <c r="K925" s="372">
        <v>246430</v>
      </c>
      <c r="L925" s="369">
        <f t="shared" si="156"/>
        <v>0</v>
      </c>
      <c r="M925" s="369">
        <f t="shared" si="157"/>
        <v>0</v>
      </c>
      <c r="N925" s="459">
        <f t="shared" si="158"/>
        <v>0</v>
      </c>
    </row>
    <row r="926" spans="1:14" ht="13.2" customHeight="1" x14ac:dyDescent="0.3">
      <c r="A926" s="365">
        <f t="shared" si="159"/>
        <v>15</v>
      </c>
      <c r="B926" s="370" t="s">
        <v>1763</v>
      </c>
      <c r="C926" s="371"/>
      <c r="D926" s="371"/>
      <c r="E926" s="367" t="s">
        <v>399</v>
      </c>
      <c r="F926" s="586"/>
      <c r="G926" s="586"/>
      <c r="H926" s="587"/>
      <c r="I926" s="369">
        <f t="shared" si="155"/>
        <v>0</v>
      </c>
      <c r="J926" s="369">
        <f>'D8 SRAPP'!K126</f>
        <v>3488410</v>
      </c>
      <c r="K926" s="372">
        <v>246430</v>
      </c>
      <c r="L926" s="369">
        <f t="shared" si="156"/>
        <v>0</v>
      </c>
      <c r="M926" s="369">
        <f t="shared" si="157"/>
        <v>0</v>
      </c>
      <c r="N926" s="459">
        <f t="shared" si="158"/>
        <v>0</v>
      </c>
    </row>
    <row r="927" spans="1:14" ht="13.2" customHeight="1" x14ac:dyDescent="0.3">
      <c r="A927" s="365">
        <f t="shared" si="159"/>
        <v>16</v>
      </c>
      <c r="B927" s="370" t="s">
        <v>1766</v>
      </c>
      <c r="C927" s="371"/>
      <c r="D927" s="371"/>
      <c r="E927" s="367" t="s">
        <v>399</v>
      </c>
      <c r="F927" s="586"/>
      <c r="G927" s="586"/>
      <c r="H927" s="587"/>
      <c r="I927" s="369">
        <f t="shared" si="155"/>
        <v>0</v>
      </c>
      <c r="J927" s="369">
        <f>'D8 SRAPP'!K135</f>
        <v>3448160</v>
      </c>
      <c r="K927" s="372">
        <v>246430</v>
      </c>
      <c r="L927" s="369">
        <f t="shared" si="156"/>
        <v>0</v>
      </c>
      <c r="M927" s="369">
        <f t="shared" si="157"/>
        <v>0</v>
      </c>
      <c r="N927" s="459">
        <f t="shared" si="158"/>
        <v>0</v>
      </c>
    </row>
    <row r="928" spans="1:14" ht="13.2" customHeight="1" x14ac:dyDescent="0.3">
      <c r="A928" s="365">
        <f t="shared" si="159"/>
        <v>17</v>
      </c>
      <c r="B928" s="370" t="s">
        <v>1744</v>
      </c>
      <c r="C928" s="371"/>
      <c r="D928" s="371"/>
      <c r="E928" s="367" t="s">
        <v>399</v>
      </c>
      <c r="F928" s="586"/>
      <c r="G928" s="586"/>
      <c r="H928" s="587"/>
      <c r="I928" s="369">
        <f t="shared" si="155"/>
        <v>0</v>
      </c>
      <c r="J928" s="369">
        <f>'D8 SRAPP'!K144</f>
        <v>3426310</v>
      </c>
      <c r="K928" s="372">
        <v>246430</v>
      </c>
      <c r="L928" s="369">
        <f t="shared" si="156"/>
        <v>0</v>
      </c>
      <c r="M928" s="369">
        <f t="shared" si="157"/>
        <v>0</v>
      </c>
      <c r="N928" s="459">
        <f t="shared" si="158"/>
        <v>0</v>
      </c>
    </row>
    <row r="929" spans="1:14" ht="13.2" customHeight="1" x14ac:dyDescent="0.3">
      <c r="A929" s="365">
        <f t="shared" si="159"/>
        <v>18</v>
      </c>
      <c r="B929" s="370" t="s">
        <v>1758</v>
      </c>
      <c r="C929" s="371"/>
      <c r="D929" s="371"/>
      <c r="E929" s="367" t="s">
        <v>399</v>
      </c>
      <c r="F929" s="586"/>
      <c r="G929" s="586"/>
      <c r="H929" s="587"/>
      <c r="I929" s="369">
        <f t="shared" si="155"/>
        <v>0</v>
      </c>
      <c r="J929" s="369">
        <f>'D8 SRAPP'!K144</f>
        <v>3426310</v>
      </c>
      <c r="K929" s="372">
        <v>246430</v>
      </c>
      <c r="L929" s="369">
        <f t="shared" si="156"/>
        <v>0</v>
      </c>
      <c r="M929" s="369">
        <f t="shared" si="157"/>
        <v>0</v>
      </c>
      <c r="N929" s="459">
        <f t="shared" si="158"/>
        <v>0</v>
      </c>
    </row>
    <row r="930" spans="1:14" ht="13.2" customHeight="1" x14ac:dyDescent="0.3">
      <c r="A930" s="365">
        <f t="shared" si="159"/>
        <v>19</v>
      </c>
      <c r="B930" s="370" t="s">
        <v>1746</v>
      </c>
      <c r="C930" s="371"/>
      <c r="D930" s="371"/>
      <c r="E930" s="367" t="s">
        <v>399</v>
      </c>
      <c r="F930" s="586"/>
      <c r="G930" s="586"/>
      <c r="H930" s="587"/>
      <c r="I930" s="369">
        <f t="shared" si="155"/>
        <v>0</v>
      </c>
      <c r="J930" s="369">
        <f>'D8 SRAPP'!K153</f>
        <v>3414240</v>
      </c>
      <c r="K930" s="372">
        <v>246430</v>
      </c>
      <c r="L930" s="369">
        <f t="shared" si="156"/>
        <v>0</v>
      </c>
      <c r="M930" s="369">
        <f t="shared" si="157"/>
        <v>0</v>
      </c>
      <c r="N930" s="459">
        <f t="shared" si="158"/>
        <v>0</v>
      </c>
    </row>
    <row r="931" spans="1:14" ht="13.2" customHeight="1" x14ac:dyDescent="0.3">
      <c r="A931" s="365">
        <f t="shared" si="159"/>
        <v>20</v>
      </c>
      <c r="B931" s="370" t="s">
        <v>1768</v>
      </c>
      <c r="C931" s="362"/>
      <c r="D931" s="362"/>
      <c r="E931" s="367" t="s">
        <v>399</v>
      </c>
      <c r="F931" s="586"/>
      <c r="G931" s="586"/>
      <c r="H931" s="587"/>
      <c r="I931" s="369">
        <f t="shared" si="155"/>
        <v>0</v>
      </c>
      <c r="J931" s="369">
        <f>'D8 SRAPP'!K160</f>
        <v>86020</v>
      </c>
      <c r="K931" s="369">
        <v>123220</v>
      </c>
      <c r="L931" s="369">
        <f t="shared" si="156"/>
        <v>0</v>
      </c>
      <c r="M931" s="369">
        <f t="shared" si="157"/>
        <v>0</v>
      </c>
      <c r="N931" s="459">
        <f t="shared" si="158"/>
        <v>0</v>
      </c>
    </row>
    <row r="932" spans="1:14" ht="13.95" customHeight="1" x14ac:dyDescent="0.3">
      <c r="A932" s="485"/>
      <c r="B932" s="497" t="s">
        <v>1724</v>
      </c>
      <c r="C932" s="487"/>
      <c r="D932" s="487"/>
      <c r="E932" s="488"/>
      <c r="F932" s="540"/>
      <c r="G932" s="540"/>
      <c r="H932" s="540"/>
      <c r="I932" s="489"/>
      <c r="J932" s="492"/>
      <c r="K932" s="492"/>
      <c r="L932" s="543">
        <f t="shared" ref="L932:N932" si="160">SUM(L912:L931)</f>
        <v>0</v>
      </c>
      <c r="M932" s="543">
        <f t="shared" si="160"/>
        <v>0</v>
      </c>
      <c r="N932" s="544">
        <f t="shared" si="160"/>
        <v>0</v>
      </c>
    </row>
    <row r="933" spans="1:14" ht="7.2" customHeight="1" x14ac:dyDescent="0.3">
      <c r="A933" s="365"/>
      <c r="B933" s="366"/>
      <c r="C933" s="362"/>
      <c r="D933" s="362"/>
      <c r="E933" s="368"/>
      <c r="F933" s="529"/>
      <c r="G933" s="529"/>
      <c r="H933" s="529"/>
      <c r="I933" s="461"/>
      <c r="J933" s="369"/>
      <c r="K933" s="369"/>
      <c r="L933" s="369"/>
      <c r="M933" s="369"/>
      <c r="N933" s="459"/>
    </row>
    <row r="934" spans="1:14" ht="13.95" customHeight="1" x14ac:dyDescent="0.3">
      <c r="A934" s="495" t="s">
        <v>1637</v>
      </c>
      <c r="B934" s="478" t="s">
        <v>1454</v>
      </c>
      <c r="C934" s="480"/>
      <c r="D934" s="480"/>
      <c r="E934" s="493"/>
      <c r="F934" s="568"/>
      <c r="G934" s="568"/>
      <c r="H934" s="568"/>
      <c r="I934" s="483"/>
      <c r="J934" s="494"/>
      <c r="K934" s="494"/>
      <c r="L934" s="494"/>
      <c r="M934" s="494"/>
      <c r="N934" s="546"/>
    </row>
    <row r="935" spans="1:14" ht="13.2" customHeight="1" x14ac:dyDescent="0.3">
      <c r="A935" s="365">
        <v>1</v>
      </c>
      <c r="B935" s="370" t="s">
        <v>2109</v>
      </c>
      <c r="C935" s="371"/>
      <c r="D935" s="371"/>
      <c r="E935" s="367" t="s">
        <v>399</v>
      </c>
      <c r="F935" s="527"/>
      <c r="G935" s="539"/>
      <c r="H935" s="539"/>
      <c r="I935" s="466">
        <f t="shared" ref="I935:I982" si="161">SUM(F935:H935)</f>
        <v>0</v>
      </c>
      <c r="J935" s="372">
        <f>'D9 Arde'!K19</f>
        <v>2415980</v>
      </c>
      <c r="K935" s="372">
        <v>379060</v>
      </c>
      <c r="L935" s="372">
        <f t="shared" ref="L935:L982" si="162">J935*I935</f>
        <v>0</v>
      </c>
      <c r="M935" s="372">
        <f t="shared" ref="M935:M982" si="163">K935*I935</f>
        <v>0</v>
      </c>
      <c r="N935" s="460">
        <f t="shared" ref="N935:N982" si="164">SUM(L935:M935)</f>
        <v>0</v>
      </c>
    </row>
    <row r="936" spans="1:14" ht="13.2" customHeight="1" x14ac:dyDescent="0.3">
      <c r="A936" s="365">
        <f>A935+1</f>
        <v>2</v>
      </c>
      <c r="B936" s="370" t="s">
        <v>2110</v>
      </c>
      <c r="C936" s="371"/>
      <c r="D936" s="371"/>
      <c r="E936" s="367" t="s">
        <v>399</v>
      </c>
      <c r="F936" s="527"/>
      <c r="G936" s="539"/>
      <c r="H936" s="539"/>
      <c r="I936" s="466">
        <f t="shared" si="161"/>
        <v>0</v>
      </c>
      <c r="J936" s="372">
        <f>'D9 Arde'!K32</f>
        <v>2289480</v>
      </c>
      <c r="K936" s="372">
        <v>379060</v>
      </c>
      <c r="L936" s="372">
        <f t="shared" si="162"/>
        <v>0</v>
      </c>
      <c r="M936" s="372">
        <f t="shared" si="163"/>
        <v>0</v>
      </c>
      <c r="N936" s="460">
        <f t="shared" si="164"/>
        <v>0</v>
      </c>
    </row>
    <row r="937" spans="1:14" ht="13.2" customHeight="1" x14ac:dyDescent="0.3">
      <c r="A937" s="365">
        <f>A936+1</f>
        <v>3</v>
      </c>
      <c r="B937" s="370" t="s">
        <v>2111</v>
      </c>
      <c r="C937" s="371"/>
      <c r="D937" s="371"/>
      <c r="E937" s="367" t="s">
        <v>399</v>
      </c>
      <c r="F937" s="527"/>
      <c r="G937" s="539"/>
      <c r="H937" s="539"/>
      <c r="I937" s="466">
        <f t="shared" si="161"/>
        <v>0</v>
      </c>
      <c r="J937" s="372">
        <f>'D9 Arde'!K45</f>
        <v>2226230</v>
      </c>
      <c r="K937" s="372">
        <v>379060</v>
      </c>
      <c r="L937" s="372">
        <f t="shared" si="162"/>
        <v>0</v>
      </c>
      <c r="M937" s="372">
        <f t="shared" si="163"/>
        <v>0</v>
      </c>
      <c r="N937" s="460">
        <f t="shared" si="164"/>
        <v>0</v>
      </c>
    </row>
    <row r="938" spans="1:14" ht="13.2" customHeight="1" x14ac:dyDescent="0.3">
      <c r="A938" s="365">
        <f>A937+1</f>
        <v>4</v>
      </c>
      <c r="B938" s="370" t="s">
        <v>2112</v>
      </c>
      <c r="C938" s="371"/>
      <c r="D938" s="371"/>
      <c r="E938" s="367" t="s">
        <v>399</v>
      </c>
      <c r="F938" s="527"/>
      <c r="G938" s="539"/>
      <c r="H938" s="539"/>
      <c r="I938" s="466">
        <f t="shared" si="161"/>
        <v>0</v>
      </c>
      <c r="J938" s="372">
        <f>'D9 Arde'!K45</f>
        <v>2226230</v>
      </c>
      <c r="K938" s="372">
        <v>379060</v>
      </c>
      <c r="L938" s="372">
        <f t="shared" si="162"/>
        <v>0</v>
      </c>
      <c r="M938" s="372">
        <f t="shared" si="163"/>
        <v>0</v>
      </c>
      <c r="N938" s="460">
        <f t="shared" si="164"/>
        <v>0</v>
      </c>
    </row>
    <row r="939" spans="1:14" ht="13.2" customHeight="1" x14ac:dyDescent="0.3">
      <c r="A939" s="365">
        <f t="shared" ref="A939:A951" si="165">A938+1</f>
        <v>5</v>
      </c>
      <c r="B939" s="370" t="s">
        <v>2113</v>
      </c>
      <c r="C939" s="371"/>
      <c r="D939" s="371"/>
      <c r="E939" s="367" t="s">
        <v>399</v>
      </c>
      <c r="F939" s="527"/>
      <c r="G939" s="539"/>
      <c r="H939" s="539"/>
      <c r="I939" s="466">
        <f t="shared" si="161"/>
        <v>0</v>
      </c>
      <c r="J939" s="372">
        <f>'D9 Arde'!K58</f>
        <v>2415980</v>
      </c>
      <c r="K939" s="372">
        <v>379060</v>
      </c>
      <c r="L939" s="372">
        <f t="shared" si="162"/>
        <v>0</v>
      </c>
      <c r="M939" s="372">
        <f t="shared" si="163"/>
        <v>0</v>
      </c>
      <c r="N939" s="460">
        <f t="shared" si="164"/>
        <v>0</v>
      </c>
    </row>
    <row r="940" spans="1:14" ht="13.2" customHeight="1" x14ac:dyDescent="0.3">
      <c r="A940" s="365">
        <f t="shared" si="165"/>
        <v>6</v>
      </c>
      <c r="B940" s="370" t="s">
        <v>2114</v>
      </c>
      <c r="C940" s="371"/>
      <c r="D940" s="371"/>
      <c r="E940" s="367" t="s">
        <v>399</v>
      </c>
      <c r="F940" s="527"/>
      <c r="G940" s="539"/>
      <c r="H940" s="539"/>
      <c r="I940" s="466">
        <f t="shared" si="161"/>
        <v>0</v>
      </c>
      <c r="J940" s="372">
        <f>'D9 Arde'!K71</f>
        <v>2289480</v>
      </c>
      <c r="K940" s="372">
        <v>379060</v>
      </c>
      <c r="L940" s="372">
        <f t="shared" si="162"/>
        <v>0</v>
      </c>
      <c r="M940" s="372">
        <f t="shared" si="163"/>
        <v>0</v>
      </c>
      <c r="N940" s="460">
        <f t="shared" si="164"/>
        <v>0</v>
      </c>
    </row>
    <row r="941" spans="1:14" ht="13.2" customHeight="1" x14ac:dyDescent="0.3">
      <c r="A941" s="365">
        <f t="shared" si="165"/>
        <v>7</v>
      </c>
      <c r="B941" s="370" t="s">
        <v>2115</v>
      </c>
      <c r="C941" s="371"/>
      <c r="D941" s="371"/>
      <c r="E941" s="367" t="s">
        <v>399</v>
      </c>
      <c r="F941" s="527"/>
      <c r="G941" s="539"/>
      <c r="H941" s="539"/>
      <c r="I941" s="466">
        <f t="shared" si="161"/>
        <v>0</v>
      </c>
      <c r="J941" s="372">
        <f>'D9 Arde'!K84</f>
        <v>2226230</v>
      </c>
      <c r="K941" s="372">
        <v>379060</v>
      </c>
      <c r="L941" s="372">
        <f t="shared" si="162"/>
        <v>0</v>
      </c>
      <c r="M941" s="372">
        <f t="shared" si="163"/>
        <v>0</v>
      </c>
      <c r="N941" s="460">
        <f t="shared" si="164"/>
        <v>0</v>
      </c>
    </row>
    <row r="942" spans="1:14" ht="13.2" customHeight="1" x14ac:dyDescent="0.3">
      <c r="A942" s="365">
        <f t="shared" si="165"/>
        <v>8</v>
      </c>
      <c r="B942" s="370" t="s">
        <v>2116</v>
      </c>
      <c r="C942" s="371"/>
      <c r="D942" s="371"/>
      <c r="E942" s="367" t="s">
        <v>399</v>
      </c>
      <c r="F942" s="527"/>
      <c r="G942" s="539"/>
      <c r="H942" s="539"/>
      <c r="I942" s="466">
        <f t="shared" si="161"/>
        <v>0</v>
      </c>
      <c r="J942" s="372">
        <f>'D9 Arde'!K84</f>
        <v>2226230</v>
      </c>
      <c r="K942" s="372">
        <v>379060</v>
      </c>
      <c r="L942" s="372">
        <f t="shared" si="162"/>
        <v>0</v>
      </c>
      <c r="M942" s="372">
        <f t="shared" si="163"/>
        <v>0</v>
      </c>
      <c r="N942" s="460">
        <f t="shared" si="164"/>
        <v>0</v>
      </c>
    </row>
    <row r="943" spans="1:14" ht="13.2" customHeight="1" x14ac:dyDescent="0.3">
      <c r="A943" s="365">
        <f t="shared" si="165"/>
        <v>9</v>
      </c>
      <c r="B943" s="370" t="s">
        <v>2117</v>
      </c>
      <c r="C943" s="371"/>
      <c r="D943" s="371"/>
      <c r="E943" s="367" t="s">
        <v>399</v>
      </c>
      <c r="F943" s="527"/>
      <c r="G943" s="539"/>
      <c r="H943" s="539"/>
      <c r="I943" s="466">
        <f t="shared" si="161"/>
        <v>0</v>
      </c>
      <c r="J943" s="372">
        <f>'D9 Arde'!K97</f>
        <v>661880</v>
      </c>
      <c r="K943" s="372">
        <v>379060</v>
      </c>
      <c r="L943" s="372">
        <f t="shared" si="162"/>
        <v>0</v>
      </c>
      <c r="M943" s="372">
        <f t="shared" si="163"/>
        <v>0</v>
      </c>
      <c r="N943" s="460">
        <f t="shared" si="164"/>
        <v>0</v>
      </c>
    </row>
    <row r="944" spans="1:14" ht="13.2" customHeight="1" x14ac:dyDescent="0.3">
      <c r="A944" s="365">
        <f t="shared" si="165"/>
        <v>10</v>
      </c>
      <c r="B944" s="370" t="s">
        <v>2118</v>
      </c>
      <c r="C944" s="371"/>
      <c r="D944" s="371"/>
      <c r="E944" s="367" t="s">
        <v>399</v>
      </c>
      <c r="F944" s="527"/>
      <c r="G944" s="539"/>
      <c r="H944" s="539"/>
      <c r="I944" s="466">
        <f t="shared" si="161"/>
        <v>0</v>
      </c>
      <c r="J944" s="372">
        <f>'D9 Arde'!K110</f>
        <v>644980</v>
      </c>
      <c r="K944" s="372">
        <v>379060</v>
      </c>
      <c r="L944" s="372">
        <f t="shared" si="162"/>
        <v>0</v>
      </c>
      <c r="M944" s="372">
        <f t="shared" si="163"/>
        <v>0</v>
      </c>
      <c r="N944" s="460">
        <f t="shared" si="164"/>
        <v>0</v>
      </c>
    </row>
    <row r="945" spans="1:14" ht="13.2" customHeight="1" x14ac:dyDescent="0.3">
      <c r="A945" s="365">
        <f t="shared" si="165"/>
        <v>11</v>
      </c>
      <c r="B945" s="370" t="s">
        <v>2119</v>
      </c>
      <c r="C945" s="371"/>
      <c r="D945" s="371"/>
      <c r="E945" s="367" t="s">
        <v>399</v>
      </c>
      <c r="F945" s="527"/>
      <c r="G945" s="539"/>
      <c r="H945" s="539"/>
      <c r="I945" s="466">
        <f t="shared" si="161"/>
        <v>0</v>
      </c>
      <c r="J945" s="372">
        <f>'D9 Arde'!K123</f>
        <v>636530</v>
      </c>
      <c r="K945" s="372">
        <v>379060</v>
      </c>
      <c r="L945" s="372">
        <f t="shared" si="162"/>
        <v>0</v>
      </c>
      <c r="M945" s="372">
        <f t="shared" si="163"/>
        <v>0</v>
      </c>
      <c r="N945" s="460">
        <f t="shared" si="164"/>
        <v>0</v>
      </c>
    </row>
    <row r="946" spans="1:14" ht="13.2" customHeight="1" x14ac:dyDescent="0.3">
      <c r="A946" s="365">
        <f t="shared" si="165"/>
        <v>12</v>
      </c>
      <c r="B946" s="370" t="s">
        <v>2120</v>
      </c>
      <c r="C946" s="371"/>
      <c r="D946" s="371"/>
      <c r="E946" s="367" t="s">
        <v>399</v>
      </c>
      <c r="F946" s="527"/>
      <c r="G946" s="539"/>
      <c r="H946" s="539"/>
      <c r="I946" s="466">
        <f t="shared" si="161"/>
        <v>0</v>
      </c>
      <c r="J946" s="372">
        <f>'D9 Arde'!K123</f>
        <v>636530</v>
      </c>
      <c r="K946" s="372">
        <v>379060</v>
      </c>
      <c r="L946" s="372">
        <f t="shared" si="162"/>
        <v>0</v>
      </c>
      <c r="M946" s="372">
        <f t="shared" si="163"/>
        <v>0</v>
      </c>
      <c r="N946" s="460">
        <f t="shared" si="164"/>
        <v>0</v>
      </c>
    </row>
    <row r="947" spans="1:14" ht="13.2" customHeight="1" x14ac:dyDescent="0.3">
      <c r="A947" s="365">
        <f t="shared" si="165"/>
        <v>13</v>
      </c>
      <c r="B947" s="370" t="s">
        <v>2121</v>
      </c>
      <c r="C947" s="371"/>
      <c r="D947" s="371"/>
      <c r="E947" s="367" t="s">
        <v>399</v>
      </c>
      <c r="F947" s="527"/>
      <c r="G947" s="539"/>
      <c r="H947" s="539"/>
      <c r="I947" s="466">
        <f t="shared" si="161"/>
        <v>0</v>
      </c>
      <c r="J947" s="372">
        <f>'D9 Arde'!K136</f>
        <v>661880</v>
      </c>
      <c r="K947" s="372">
        <v>379060</v>
      </c>
      <c r="L947" s="372">
        <f t="shared" si="162"/>
        <v>0</v>
      </c>
      <c r="M947" s="372">
        <f t="shared" si="163"/>
        <v>0</v>
      </c>
      <c r="N947" s="460">
        <f t="shared" si="164"/>
        <v>0</v>
      </c>
    </row>
    <row r="948" spans="1:14" ht="13.2" customHeight="1" x14ac:dyDescent="0.3">
      <c r="A948" s="365">
        <f t="shared" si="165"/>
        <v>14</v>
      </c>
      <c r="B948" s="370" t="s">
        <v>2122</v>
      </c>
      <c r="C948" s="371"/>
      <c r="D948" s="371"/>
      <c r="E948" s="367" t="s">
        <v>399</v>
      </c>
      <c r="F948" s="527"/>
      <c r="G948" s="539"/>
      <c r="H948" s="539"/>
      <c r="I948" s="466">
        <f t="shared" si="161"/>
        <v>0</v>
      </c>
      <c r="J948" s="372">
        <f>'D9 Arde'!K149</f>
        <v>644980</v>
      </c>
      <c r="K948" s="372">
        <v>379060</v>
      </c>
      <c r="L948" s="372">
        <f t="shared" si="162"/>
        <v>0</v>
      </c>
      <c r="M948" s="372">
        <f t="shared" si="163"/>
        <v>0</v>
      </c>
      <c r="N948" s="460">
        <f t="shared" si="164"/>
        <v>0</v>
      </c>
    </row>
    <row r="949" spans="1:14" ht="13.2" customHeight="1" x14ac:dyDescent="0.3">
      <c r="A949" s="365">
        <f t="shared" si="165"/>
        <v>15</v>
      </c>
      <c r="B949" s="370" t="s">
        <v>2123</v>
      </c>
      <c r="C949" s="371"/>
      <c r="D949" s="371"/>
      <c r="E949" s="367" t="s">
        <v>399</v>
      </c>
      <c r="F949" s="527"/>
      <c r="G949" s="539"/>
      <c r="H949" s="539"/>
      <c r="I949" s="466">
        <f t="shared" si="161"/>
        <v>0</v>
      </c>
      <c r="J949" s="372">
        <f>'D9 Arde'!K162</f>
        <v>636530</v>
      </c>
      <c r="K949" s="372">
        <v>379060</v>
      </c>
      <c r="L949" s="372">
        <f t="shared" si="162"/>
        <v>0</v>
      </c>
      <c r="M949" s="372">
        <f t="shared" si="163"/>
        <v>0</v>
      </c>
      <c r="N949" s="460">
        <f t="shared" si="164"/>
        <v>0</v>
      </c>
    </row>
    <row r="950" spans="1:14" ht="13.2" customHeight="1" x14ac:dyDescent="0.3">
      <c r="A950" s="365">
        <f t="shared" si="165"/>
        <v>16</v>
      </c>
      <c r="B950" s="370" t="s">
        <v>2124</v>
      </c>
      <c r="C950" s="371"/>
      <c r="D950" s="371"/>
      <c r="E950" s="367" t="s">
        <v>399</v>
      </c>
      <c r="F950" s="527"/>
      <c r="G950" s="539"/>
      <c r="H950" s="539"/>
      <c r="I950" s="466">
        <f t="shared" si="161"/>
        <v>0</v>
      </c>
      <c r="J950" s="372">
        <f>'D9 Arde'!K162</f>
        <v>636530</v>
      </c>
      <c r="K950" s="372">
        <v>379060</v>
      </c>
      <c r="L950" s="372">
        <f t="shared" si="162"/>
        <v>0</v>
      </c>
      <c r="M950" s="372">
        <f t="shared" si="163"/>
        <v>0</v>
      </c>
      <c r="N950" s="460">
        <f t="shared" si="164"/>
        <v>0</v>
      </c>
    </row>
    <row r="951" spans="1:14" ht="13.2" customHeight="1" x14ac:dyDescent="0.3">
      <c r="A951" s="365">
        <f t="shared" si="165"/>
        <v>17</v>
      </c>
      <c r="B951" s="370" t="s">
        <v>2125</v>
      </c>
      <c r="C951" s="371"/>
      <c r="D951" s="371"/>
      <c r="E951" s="367" t="s">
        <v>399</v>
      </c>
      <c r="F951" s="539"/>
      <c r="G951" s="527"/>
      <c r="H951" s="539"/>
      <c r="I951" s="466">
        <f t="shared" si="161"/>
        <v>0</v>
      </c>
      <c r="J951" s="372">
        <f>'D9 Arde'!K176</f>
        <v>3022030</v>
      </c>
      <c r="K951" s="372">
        <v>433820</v>
      </c>
      <c r="L951" s="372">
        <f t="shared" si="162"/>
        <v>0</v>
      </c>
      <c r="M951" s="372">
        <f t="shared" si="163"/>
        <v>0</v>
      </c>
      <c r="N951" s="460">
        <f t="shared" si="164"/>
        <v>0</v>
      </c>
    </row>
    <row r="952" spans="1:14" ht="13.2" customHeight="1" x14ac:dyDescent="0.3">
      <c r="A952" s="365">
        <f t="shared" ref="A952:A982" si="166">A951+1</f>
        <v>18</v>
      </c>
      <c r="B952" s="370" t="s">
        <v>2126</v>
      </c>
      <c r="C952" s="371"/>
      <c r="D952" s="371"/>
      <c r="E952" s="367" t="s">
        <v>399</v>
      </c>
      <c r="F952" s="539"/>
      <c r="G952" s="527"/>
      <c r="H952" s="539"/>
      <c r="I952" s="466">
        <f t="shared" si="161"/>
        <v>0</v>
      </c>
      <c r="J952" s="372">
        <f>'D9 Arde'!K190</f>
        <v>2895530</v>
      </c>
      <c r="K952" s="372">
        <v>433820</v>
      </c>
      <c r="L952" s="372">
        <f t="shared" si="162"/>
        <v>0</v>
      </c>
      <c r="M952" s="372">
        <f t="shared" si="163"/>
        <v>0</v>
      </c>
      <c r="N952" s="460">
        <f t="shared" si="164"/>
        <v>0</v>
      </c>
    </row>
    <row r="953" spans="1:14" ht="13.2" customHeight="1" x14ac:dyDescent="0.3">
      <c r="A953" s="365">
        <f t="shared" si="166"/>
        <v>19</v>
      </c>
      <c r="B953" s="370" t="s">
        <v>2127</v>
      </c>
      <c r="C953" s="371"/>
      <c r="D953" s="371"/>
      <c r="E953" s="367" t="s">
        <v>399</v>
      </c>
      <c r="F953" s="539"/>
      <c r="G953" s="527"/>
      <c r="H953" s="539"/>
      <c r="I953" s="466">
        <f t="shared" si="161"/>
        <v>0</v>
      </c>
      <c r="J953" s="372">
        <f>'D9 Arde'!K204</f>
        <v>2832280</v>
      </c>
      <c r="K953" s="372">
        <v>433820</v>
      </c>
      <c r="L953" s="372">
        <f t="shared" si="162"/>
        <v>0</v>
      </c>
      <c r="M953" s="372">
        <f t="shared" si="163"/>
        <v>0</v>
      </c>
      <c r="N953" s="460">
        <f t="shared" si="164"/>
        <v>0</v>
      </c>
    </row>
    <row r="954" spans="1:14" ht="13.2" customHeight="1" x14ac:dyDescent="0.3">
      <c r="A954" s="365">
        <f t="shared" si="166"/>
        <v>20</v>
      </c>
      <c r="B954" s="370" t="s">
        <v>2128</v>
      </c>
      <c r="C954" s="371"/>
      <c r="D954" s="371"/>
      <c r="E954" s="367" t="s">
        <v>399</v>
      </c>
      <c r="F954" s="539"/>
      <c r="G954" s="527"/>
      <c r="H954" s="539"/>
      <c r="I954" s="466">
        <f t="shared" si="161"/>
        <v>0</v>
      </c>
      <c r="J954" s="372">
        <f>'D9 Arde'!K204</f>
        <v>2832280</v>
      </c>
      <c r="K954" s="372">
        <v>433820</v>
      </c>
      <c r="L954" s="372">
        <f t="shared" si="162"/>
        <v>0</v>
      </c>
      <c r="M954" s="372">
        <f t="shared" si="163"/>
        <v>0</v>
      </c>
      <c r="N954" s="460">
        <f t="shared" si="164"/>
        <v>0</v>
      </c>
    </row>
    <row r="955" spans="1:14" ht="13.2" customHeight="1" x14ac:dyDescent="0.3">
      <c r="A955" s="365">
        <f t="shared" si="166"/>
        <v>21</v>
      </c>
      <c r="B955" s="370" t="s">
        <v>2129</v>
      </c>
      <c r="C955" s="371"/>
      <c r="D955" s="371"/>
      <c r="E955" s="367" t="s">
        <v>399</v>
      </c>
      <c r="F955" s="539"/>
      <c r="G955" s="527"/>
      <c r="H955" s="539"/>
      <c r="I955" s="466">
        <f t="shared" si="161"/>
        <v>0</v>
      </c>
      <c r="J955" s="372">
        <f>'D9 Arde'!K218</f>
        <v>3022030</v>
      </c>
      <c r="K955" s="372">
        <v>433820</v>
      </c>
      <c r="L955" s="372">
        <f t="shared" si="162"/>
        <v>0</v>
      </c>
      <c r="M955" s="372">
        <f t="shared" si="163"/>
        <v>0</v>
      </c>
      <c r="N955" s="460">
        <f t="shared" si="164"/>
        <v>0</v>
      </c>
    </row>
    <row r="956" spans="1:14" ht="13.2" customHeight="1" x14ac:dyDescent="0.3">
      <c r="A956" s="365">
        <f t="shared" si="166"/>
        <v>22</v>
      </c>
      <c r="B956" s="370" t="s">
        <v>2130</v>
      </c>
      <c r="C956" s="371"/>
      <c r="D956" s="371"/>
      <c r="E956" s="367" t="s">
        <v>399</v>
      </c>
      <c r="F956" s="539"/>
      <c r="G956" s="527"/>
      <c r="H956" s="539"/>
      <c r="I956" s="466">
        <f t="shared" si="161"/>
        <v>0</v>
      </c>
      <c r="J956" s="372">
        <f>'D9 Arde'!K232</f>
        <v>2895530</v>
      </c>
      <c r="K956" s="372">
        <v>433820</v>
      </c>
      <c r="L956" s="372">
        <f t="shared" si="162"/>
        <v>0</v>
      </c>
      <c r="M956" s="372">
        <f t="shared" si="163"/>
        <v>0</v>
      </c>
      <c r="N956" s="460">
        <f t="shared" si="164"/>
        <v>0</v>
      </c>
    </row>
    <row r="957" spans="1:14" ht="13.2" customHeight="1" x14ac:dyDescent="0.3">
      <c r="A957" s="365">
        <f t="shared" si="166"/>
        <v>23</v>
      </c>
      <c r="B957" s="370" t="s">
        <v>2131</v>
      </c>
      <c r="C957" s="371"/>
      <c r="D957" s="371"/>
      <c r="E957" s="367" t="s">
        <v>399</v>
      </c>
      <c r="F957" s="539"/>
      <c r="G957" s="527"/>
      <c r="H957" s="539"/>
      <c r="I957" s="466">
        <f t="shared" si="161"/>
        <v>0</v>
      </c>
      <c r="J957" s="372">
        <f>'D9 Arde'!K246</f>
        <v>2832280</v>
      </c>
      <c r="K957" s="372">
        <v>433820</v>
      </c>
      <c r="L957" s="372">
        <f t="shared" si="162"/>
        <v>0</v>
      </c>
      <c r="M957" s="372">
        <f t="shared" si="163"/>
        <v>0</v>
      </c>
      <c r="N957" s="460">
        <f t="shared" si="164"/>
        <v>0</v>
      </c>
    </row>
    <row r="958" spans="1:14" ht="13.2" customHeight="1" x14ac:dyDescent="0.3">
      <c r="A958" s="365">
        <f t="shared" si="166"/>
        <v>24</v>
      </c>
      <c r="B958" s="370" t="s">
        <v>2132</v>
      </c>
      <c r="C958" s="371"/>
      <c r="D958" s="371"/>
      <c r="E958" s="367" t="s">
        <v>399</v>
      </c>
      <c r="F958" s="539"/>
      <c r="G958" s="527"/>
      <c r="H958" s="539"/>
      <c r="I958" s="466">
        <f t="shared" si="161"/>
        <v>0</v>
      </c>
      <c r="J958" s="372">
        <f>'D9 Arde'!K246</f>
        <v>2832280</v>
      </c>
      <c r="K958" s="372">
        <v>433820</v>
      </c>
      <c r="L958" s="372">
        <f t="shared" si="162"/>
        <v>0</v>
      </c>
      <c r="M958" s="372">
        <f t="shared" si="163"/>
        <v>0</v>
      </c>
      <c r="N958" s="460">
        <f t="shared" si="164"/>
        <v>0</v>
      </c>
    </row>
    <row r="959" spans="1:14" ht="13.2" customHeight="1" x14ac:dyDescent="0.3">
      <c r="A959" s="365">
        <f t="shared" si="166"/>
        <v>25</v>
      </c>
      <c r="B959" s="370" t="s">
        <v>2133</v>
      </c>
      <c r="C959" s="371"/>
      <c r="D959" s="371"/>
      <c r="E959" s="367" t="s">
        <v>399</v>
      </c>
      <c r="F959" s="539"/>
      <c r="G959" s="527"/>
      <c r="H959" s="539"/>
      <c r="I959" s="466">
        <f t="shared" si="161"/>
        <v>0</v>
      </c>
      <c r="J959" s="372">
        <f>'D9 Arde'!K260</f>
        <v>1251030</v>
      </c>
      <c r="K959" s="372">
        <v>433820</v>
      </c>
      <c r="L959" s="372">
        <f t="shared" si="162"/>
        <v>0</v>
      </c>
      <c r="M959" s="372">
        <f t="shared" si="163"/>
        <v>0</v>
      </c>
      <c r="N959" s="460">
        <f t="shared" si="164"/>
        <v>0</v>
      </c>
    </row>
    <row r="960" spans="1:14" ht="13.2" customHeight="1" x14ac:dyDescent="0.3">
      <c r="A960" s="365">
        <f t="shared" si="166"/>
        <v>26</v>
      </c>
      <c r="B960" s="370" t="s">
        <v>2134</v>
      </c>
      <c r="C960" s="371"/>
      <c r="D960" s="371"/>
      <c r="E960" s="367" t="s">
        <v>399</v>
      </c>
      <c r="F960" s="539"/>
      <c r="G960" s="527"/>
      <c r="H960" s="539"/>
      <c r="I960" s="466">
        <f t="shared" si="161"/>
        <v>0</v>
      </c>
      <c r="J960" s="372">
        <f>'D9 Arde'!K274</f>
        <v>1251030</v>
      </c>
      <c r="K960" s="372">
        <v>433820</v>
      </c>
      <c r="L960" s="372">
        <f t="shared" si="162"/>
        <v>0</v>
      </c>
      <c r="M960" s="372">
        <f t="shared" si="163"/>
        <v>0</v>
      </c>
      <c r="N960" s="460">
        <f t="shared" si="164"/>
        <v>0</v>
      </c>
    </row>
    <row r="961" spans="1:14" ht="13.2" customHeight="1" x14ac:dyDescent="0.3">
      <c r="A961" s="365">
        <f t="shared" si="166"/>
        <v>27</v>
      </c>
      <c r="B961" s="370" t="s">
        <v>2135</v>
      </c>
      <c r="C961" s="371"/>
      <c r="D961" s="371"/>
      <c r="E961" s="367" t="s">
        <v>399</v>
      </c>
      <c r="F961" s="539"/>
      <c r="G961" s="527"/>
      <c r="H961" s="539"/>
      <c r="I961" s="466">
        <f t="shared" si="161"/>
        <v>0</v>
      </c>
      <c r="J961" s="372">
        <f>'D9 Arde'!K288</f>
        <v>1251030</v>
      </c>
      <c r="K961" s="372">
        <v>433820</v>
      </c>
      <c r="L961" s="372">
        <f t="shared" si="162"/>
        <v>0</v>
      </c>
      <c r="M961" s="372">
        <f t="shared" si="163"/>
        <v>0</v>
      </c>
      <c r="N961" s="460">
        <f t="shared" si="164"/>
        <v>0</v>
      </c>
    </row>
    <row r="962" spans="1:14" ht="13.2" customHeight="1" x14ac:dyDescent="0.3">
      <c r="A962" s="365">
        <f t="shared" si="166"/>
        <v>28</v>
      </c>
      <c r="B962" s="370" t="s">
        <v>2136</v>
      </c>
      <c r="C962" s="371"/>
      <c r="D962" s="371"/>
      <c r="E962" s="367" t="s">
        <v>399</v>
      </c>
      <c r="F962" s="539"/>
      <c r="G962" s="527"/>
      <c r="H962" s="539"/>
      <c r="I962" s="466">
        <f t="shared" si="161"/>
        <v>0</v>
      </c>
      <c r="J962" s="372">
        <f>'D9 Arde'!K288</f>
        <v>1251030</v>
      </c>
      <c r="K962" s="372">
        <v>433820</v>
      </c>
      <c r="L962" s="372">
        <f t="shared" si="162"/>
        <v>0</v>
      </c>
      <c r="M962" s="372">
        <f t="shared" si="163"/>
        <v>0</v>
      </c>
      <c r="N962" s="460">
        <f t="shared" si="164"/>
        <v>0</v>
      </c>
    </row>
    <row r="963" spans="1:14" ht="13.2" customHeight="1" x14ac:dyDescent="0.3">
      <c r="A963" s="365">
        <f t="shared" si="166"/>
        <v>29</v>
      </c>
      <c r="B963" s="370" t="s">
        <v>2137</v>
      </c>
      <c r="C963" s="371"/>
      <c r="D963" s="371"/>
      <c r="E963" s="367" t="s">
        <v>399</v>
      </c>
      <c r="F963" s="539"/>
      <c r="G963" s="527"/>
      <c r="H963" s="539"/>
      <c r="I963" s="466">
        <f t="shared" si="161"/>
        <v>0</v>
      </c>
      <c r="J963" s="372">
        <f>'D9 Arde'!K302</f>
        <v>1251030</v>
      </c>
      <c r="K963" s="372">
        <v>433820</v>
      </c>
      <c r="L963" s="372">
        <f t="shared" si="162"/>
        <v>0</v>
      </c>
      <c r="M963" s="372">
        <f t="shared" si="163"/>
        <v>0</v>
      </c>
      <c r="N963" s="460">
        <f t="shared" si="164"/>
        <v>0</v>
      </c>
    </row>
    <row r="964" spans="1:14" ht="13.2" customHeight="1" x14ac:dyDescent="0.3">
      <c r="A964" s="365">
        <f t="shared" si="166"/>
        <v>30</v>
      </c>
      <c r="B964" s="370" t="s">
        <v>2138</v>
      </c>
      <c r="C964" s="371"/>
      <c r="D964" s="371"/>
      <c r="E964" s="367" t="s">
        <v>399</v>
      </c>
      <c r="F964" s="539"/>
      <c r="G964" s="527"/>
      <c r="H964" s="539"/>
      <c r="I964" s="466">
        <f t="shared" si="161"/>
        <v>0</v>
      </c>
      <c r="J964" s="372">
        <f>'D9 Arde'!K316</f>
        <v>1251030</v>
      </c>
      <c r="K964" s="372">
        <v>433820</v>
      </c>
      <c r="L964" s="372">
        <f t="shared" si="162"/>
        <v>0</v>
      </c>
      <c r="M964" s="372">
        <f t="shared" si="163"/>
        <v>0</v>
      </c>
      <c r="N964" s="460">
        <f t="shared" si="164"/>
        <v>0</v>
      </c>
    </row>
    <row r="965" spans="1:14" ht="13.2" customHeight="1" x14ac:dyDescent="0.3">
      <c r="A965" s="365">
        <f t="shared" si="166"/>
        <v>31</v>
      </c>
      <c r="B965" s="370" t="s">
        <v>2139</v>
      </c>
      <c r="C965" s="371"/>
      <c r="D965" s="371"/>
      <c r="E965" s="367" t="s">
        <v>399</v>
      </c>
      <c r="F965" s="539"/>
      <c r="G965" s="527"/>
      <c r="H965" s="539"/>
      <c r="I965" s="466">
        <f t="shared" si="161"/>
        <v>0</v>
      </c>
      <c r="J965" s="372">
        <f>'D9 Arde'!K330</f>
        <v>1251030</v>
      </c>
      <c r="K965" s="372">
        <v>433820</v>
      </c>
      <c r="L965" s="372">
        <f t="shared" si="162"/>
        <v>0</v>
      </c>
      <c r="M965" s="372">
        <f t="shared" si="163"/>
        <v>0</v>
      </c>
      <c r="N965" s="460">
        <f t="shared" si="164"/>
        <v>0</v>
      </c>
    </row>
    <row r="966" spans="1:14" ht="13.2" customHeight="1" x14ac:dyDescent="0.3">
      <c r="A966" s="365">
        <f t="shared" si="166"/>
        <v>32</v>
      </c>
      <c r="B966" s="370" t="s">
        <v>2140</v>
      </c>
      <c r="C966" s="371"/>
      <c r="D966" s="371"/>
      <c r="E966" s="367" t="s">
        <v>399</v>
      </c>
      <c r="F966" s="539"/>
      <c r="G966" s="527"/>
      <c r="H966" s="539"/>
      <c r="I966" s="466">
        <f t="shared" si="161"/>
        <v>0</v>
      </c>
      <c r="J966" s="372">
        <f>'D9 Arde'!K330</f>
        <v>1251030</v>
      </c>
      <c r="K966" s="372">
        <v>433820</v>
      </c>
      <c r="L966" s="372">
        <f t="shared" si="162"/>
        <v>0</v>
      </c>
      <c r="M966" s="372">
        <f t="shared" si="163"/>
        <v>0</v>
      </c>
      <c r="N966" s="460">
        <f t="shared" si="164"/>
        <v>0</v>
      </c>
    </row>
    <row r="967" spans="1:14" ht="13.2" customHeight="1" x14ac:dyDescent="0.3">
      <c r="A967" s="365">
        <f t="shared" si="166"/>
        <v>33</v>
      </c>
      <c r="B967" s="370" t="s">
        <v>1439</v>
      </c>
      <c r="C967" s="371"/>
      <c r="D967" s="371"/>
      <c r="E967" s="367" t="s">
        <v>399</v>
      </c>
      <c r="F967" s="539"/>
      <c r="G967" s="527"/>
      <c r="H967" s="539"/>
      <c r="I967" s="466">
        <f t="shared" si="161"/>
        <v>0</v>
      </c>
      <c r="J967" s="372">
        <f>'D9 Arde'!K338</f>
        <v>1635300</v>
      </c>
      <c r="K967" s="372">
        <v>246430</v>
      </c>
      <c r="L967" s="372">
        <f t="shared" si="162"/>
        <v>0</v>
      </c>
      <c r="M967" s="372">
        <f t="shared" si="163"/>
        <v>0</v>
      </c>
      <c r="N967" s="460">
        <f t="shared" si="164"/>
        <v>0</v>
      </c>
    </row>
    <row r="968" spans="1:14" ht="13.2" customHeight="1" x14ac:dyDescent="0.3">
      <c r="A968" s="365">
        <f t="shared" si="166"/>
        <v>34</v>
      </c>
      <c r="B968" s="370" t="s">
        <v>1910</v>
      </c>
      <c r="C968" s="371"/>
      <c r="D968" s="371"/>
      <c r="E968" s="367" t="s">
        <v>399</v>
      </c>
      <c r="F968" s="527"/>
      <c r="G968" s="539"/>
      <c r="H968" s="539"/>
      <c r="I968" s="466">
        <f t="shared" si="161"/>
        <v>0</v>
      </c>
      <c r="J968" s="372">
        <f>'D9 Arde'!K349</f>
        <v>797630</v>
      </c>
      <c r="K968" s="372">
        <v>326010</v>
      </c>
      <c r="L968" s="372">
        <f t="shared" si="162"/>
        <v>0</v>
      </c>
      <c r="M968" s="372">
        <f t="shared" si="163"/>
        <v>0</v>
      </c>
      <c r="N968" s="460">
        <f t="shared" si="164"/>
        <v>0</v>
      </c>
    </row>
    <row r="969" spans="1:14" ht="13.2" customHeight="1" x14ac:dyDescent="0.3">
      <c r="A969" s="365">
        <f t="shared" si="166"/>
        <v>35</v>
      </c>
      <c r="B969" s="370" t="s">
        <v>1911</v>
      </c>
      <c r="C969" s="371"/>
      <c r="D969" s="371"/>
      <c r="E969" s="367" t="s">
        <v>399</v>
      </c>
      <c r="F969" s="527"/>
      <c r="G969" s="539"/>
      <c r="H969" s="539"/>
      <c r="I969" s="466">
        <f t="shared" si="161"/>
        <v>0</v>
      </c>
      <c r="J969" s="372">
        <f>'D9 Arde'!K360</f>
        <v>782220</v>
      </c>
      <c r="K969" s="372">
        <v>326010</v>
      </c>
      <c r="L969" s="372">
        <f t="shared" si="162"/>
        <v>0</v>
      </c>
      <c r="M969" s="372">
        <f t="shared" si="163"/>
        <v>0</v>
      </c>
      <c r="N969" s="460">
        <f t="shared" si="164"/>
        <v>0</v>
      </c>
    </row>
    <row r="970" spans="1:14" ht="13.2" customHeight="1" x14ac:dyDescent="0.3">
      <c r="A970" s="365">
        <f t="shared" si="166"/>
        <v>36</v>
      </c>
      <c r="B970" s="370" t="s">
        <v>1912</v>
      </c>
      <c r="C970" s="371"/>
      <c r="D970" s="371"/>
      <c r="E970" s="367" t="s">
        <v>399</v>
      </c>
      <c r="F970" s="527"/>
      <c r="G970" s="539"/>
      <c r="H970" s="539"/>
      <c r="I970" s="466">
        <f t="shared" si="161"/>
        <v>0</v>
      </c>
      <c r="J970" s="372">
        <f>'D9 Arde'!K371</f>
        <v>766810</v>
      </c>
      <c r="K970" s="372">
        <v>326010</v>
      </c>
      <c r="L970" s="372">
        <f t="shared" si="162"/>
        <v>0</v>
      </c>
      <c r="M970" s="372">
        <f t="shared" si="163"/>
        <v>0</v>
      </c>
      <c r="N970" s="460">
        <f t="shared" si="164"/>
        <v>0</v>
      </c>
    </row>
    <row r="971" spans="1:14" ht="13.2" customHeight="1" x14ac:dyDescent="0.3">
      <c r="A971" s="365">
        <f t="shared" si="166"/>
        <v>37</v>
      </c>
      <c r="B971" s="370" t="s">
        <v>2141</v>
      </c>
      <c r="C971" s="371"/>
      <c r="D971" s="371"/>
      <c r="E971" s="367" t="s">
        <v>399</v>
      </c>
      <c r="F971" s="539"/>
      <c r="G971" s="527"/>
      <c r="H971" s="539"/>
      <c r="I971" s="466">
        <f t="shared" si="161"/>
        <v>0</v>
      </c>
      <c r="J971" s="372">
        <f>'D9 Arde'!K381</f>
        <v>908500</v>
      </c>
      <c r="K971" s="372">
        <v>246430</v>
      </c>
      <c r="L971" s="372">
        <f t="shared" si="162"/>
        <v>0</v>
      </c>
      <c r="M971" s="372">
        <f t="shared" si="163"/>
        <v>0</v>
      </c>
      <c r="N971" s="460">
        <f t="shared" si="164"/>
        <v>0</v>
      </c>
    </row>
    <row r="972" spans="1:14" ht="13.2" customHeight="1" x14ac:dyDescent="0.3">
      <c r="A972" s="365">
        <f t="shared" si="166"/>
        <v>38</v>
      </c>
      <c r="B972" s="370" t="s">
        <v>2142</v>
      </c>
      <c r="C972" s="371"/>
      <c r="D972" s="371"/>
      <c r="E972" s="367" t="s">
        <v>399</v>
      </c>
      <c r="F972" s="539"/>
      <c r="G972" s="527"/>
      <c r="H972" s="539"/>
      <c r="I972" s="466">
        <f t="shared" si="161"/>
        <v>0</v>
      </c>
      <c r="J972" s="372">
        <f>'D9 Arde'!K391</f>
        <v>655500</v>
      </c>
      <c r="K972" s="372">
        <v>246430</v>
      </c>
      <c r="L972" s="372">
        <f t="shared" si="162"/>
        <v>0</v>
      </c>
      <c r="M972" s="372">
        <f t="shared" si="163"/>
        <v>0</v>
      </c>
      <c r="N972" s="460">
        <f t="shared" si="164"/>
        <v>0</v>
      </c>
    </row>
    <row r="973" spans="1:14" ht="13.2" customHeight="1" x14ac:dyDescent="0.3">
      <c r="A973" s="365">
        <f t="shared" si="166"/>
        <v>39</v>
      </c>
      <c r="B973" s="370" t="s">
        <v>1631</v>
      </c>
      <c r="C973" s="371"/>
      <c r="D973" s="371"/>
      <c r="E973" s="367" t="s">
        <v>399</v>
      </c>
      <c r="F973" s="539"/>
      <c r="G973" s="539"/>
      <c r="H973" s="527"/>
      <c r="I973" s="466">
        <f t="shared" si="161"/>
        <v>0</v>
      </c>
      <c r="J973" s="372">
        <f>'D9 Arde'!K404</f>
        <v>1625040</v>
      </c>
      <c r="K973" s="372">
        <v>271670</v>
      </c>
      <c r="L973" s="372">
        <f t="shared" si="162"/>
        <v>0</v>
      </c>
      <c r="M973" s="372">
        <f t="shared" si="163"/>
        <v>0</v>
      </c>
      <c r="N973" s="460">
        <f t="shared" si="164"/>
        <v>0</v>
      </c>
    </row>
    <row r="974" spans="1:14" ht="13.2" customHeight="1" x14ac:dyDescent="0.3">
      <c r="A974" s="365">
        <f t="shared" si="166"/>
        <v>40</v>
      </c>
      <c r="B974" s="370" t="s">
        <v>1632</v>
      </c>
      <c r="C974" s="371"/>
      <c r="D974" s="371"/>
      <c r="E974" s="367" t="s">
        <v>399</v>
      </c>
      <c r="F974" s="539"/>
      <c r="G974" s="539"/>
      <c r="H974" s="527"/>
      <c r="I974" s="466">
        <f t="shared" si="161"/>
        <v>0</v>
      </c>
      <c r="J974" s="372">
        <f>'D9 Arde'!K404</f>
        <v>1625040</v>
      </c>
      <c r="K974" s="372">
        <v>271670</v>
      </c>
      <c r="L974" s="372">
        <f t="shared" si="162"/>
        <v>0</v>
      </c>
      <c r="M974" s="372">
        <f t="shared" si="163"/>
        <v>0</v>
      </c>
      <c r="N974" s="460">
        <f t="shared" si="164"/>
        <v>0</v>
      </c>
    </row>
    <row r="975" spans="1:14" ht="13.2" customHeight="1" x14ac:dyDescent="0.3">
      <c r="A975" s="365">
        <f t="shared" si="166"/>
        <v>41</v>
      </c>
      <c r="B975" s="370" t="s">
        <v>1633</v>
      </c>
      <c r="C975" s="371"/>
      <c r="D975" s="371"/>
      <c r="E975" s="367" t="s">
        <v>399</v>
      </c>
      <c r="F975" s="539"/>
      <c r="G975" s="539"/>
      <c r="H975" s="527"/>
      <c r="I975" s="466">
        <f t="shared" si="161"/>
        <v>0</v>
      </c>
      <c r="J975" s="372">
        <f>'D9 Arde'!K404</f>
        <v>1625040</v>
      </c>
      <c r="K975" s="372">
        <v>271670</v>
      </c>
      <c r="L975" s="372">
        <f t="shared" si="162"/>
        <v>0</v>
      </c>
      <c r="M975" s="372">
        <f t="shared" si="163"/>
        <v>0</v>
      </c>
      <c r="N975" s="460">
        <f t="shared" si="164"/>
        <v>0</v>
      </c>
    </row>
    <row r="976" spans="1:14" ht="13.2" customHeight="1" x14ac:dyDescent="0.3">
      <c r="A976" s="365">
        <f t="shared" si="166"/>
        <v>42</v>
      </c>
      <c r="B976" s="370" t="s">
        <v>1200</v>
      </c>
      <c r="C976" s="371"/>
      <c r="D976" s="371"/>
      <c r="E976" s="367" t="s">
        <v>399</v>
      </c>
      <c r="F976" s="539"/>
      <c r="G976" s="539"/>
      <c r="H976" s="527"/>
      <c r="I976" s="466">
        <f t="shared" si="161"/>
        <v>0</v>
      </c>
      <c r="J976" s="372">
        <f>'D9 Arde'!K417</f>
        <v>1929570</v>
      </c>
      <c r="K976" s="372">
        <v>271670</v>
      </c>
      <c r="L976" s="372">
        <f t="shared" si="162"/>
        <v>0</v>
      </c>
      <c r="M976" s="372">
        <f t="shared" si="163"/>
        <v>0</v>
      </c>
      <c r="N976" s="460">
        <f t="shared" si="164"/>
        <v>0</v>
      </c>
    </row>
    <row r="977" spans="1:14" ht="13.2" customHeight="1" x14ac:dyDescent="0.3">
      <c r="A977" s="365">
        <f t="shared" si="166"/>
        <v>43</v>
      </c>
      <c r="B977" s="370" t="s">
        <v>1201</v>
      </c>
      <c r="C977" s="371"/>
      <c r="D977" s="371"/>
      <c r="E977" s="367" t="s">
        <v>399</v>
      </c>
      <c r="F977" s="539"/>
      <c r="G977" s="539"/>
      <c r="H977" s="527"/>
      <c r="I977" s="466">
        <f t="shared" si="161"/>
        <v>0</v>
      </c>
      <c r="J977" s="372">
        <f>'D9 Arde'!K430</f>
        <v>1340420</v>
      </c>
      <c r="K977" s="372">
        <v>271670</v>
      </c>
      <c r="L977" s="372">
        <f t="shared" si="162"/>
        <v>0</v>
      </c>
      <c r="M977" s="372">
        <f t="shared" si="163"/>
        <v>0</v>
      </c>
      <c r="N977" s="460">
        <f t="shared" si="164"/>
        <v>0</v>
      </c>
    </row>
    <row r="978" spans="1:14" ht="13.2" customHeight="1" x14ac:dyDescent="0.3">
      <c r="A978" s="365">
        <f t="shared" si="166"/>
        <v>44</v>
      </c>
      <c r="B978" s="370" t="s">
        <v>1634</v>
      </c>
      <c r="C978" s="371"/>
      <c r="D978" s="371"/>
      <c r="E978" s="367" t="s">
        <v>399</v>
      </c>
      <c r="F978" s="539"/>
      <c r="G978" s="539"/>
      <c r="H978" s="527"/>
      <c r="I978" s="466">
        <f t="shared" si="161"/>
        <v>0</v>
      </c>
      <c r="J978" s="372">
        <f>'D9 Arde'!K443</f>
        <v>621490</v>
      </c>
      <c r="K978" s="372">
        <v>271670</v>
      </c>
      <c r="L978" s="372">
        <f t="shared" si="162"/>
        <v>0</v>
      </c>
      <c r="M978" s="372">
        <f t="shared" si="163"/>
        <v>0</v>
      </c>
      <c r="N978" s="460">
        <f t="shared" si="164"/>
        <v>0</v>
      </c>
    </row>
    <row r="979" spans="1:14" ht="13.2" customHeight="1" x14ac:dyDescent="0.3">
      <c r="A979" s="365">
        <f t="shared" si="166"/>
        <v>45</v>
      </c>
      <c r="B979" s="370" t="s">
        <v>1635</v>
      </c>
      <c r="C979" s="371"/>
      <c r="D979" s="371"/>
      <c r="E979" s="367" t="s">
        <v>399</v>
      </c>
      <c r="F979" s="539"/>
      <c r="G979" s="539"/>
      <c r="H979" s="527"/>
      <c r="I979" s="466">
        <f t="shared" si="161"/>
        <v>0</v>
      </c>
      <c r="J979" s="372">
        <f>'D9 Arde'!K443</f>
        <v>621490</v>
      </c>
      <c r="K979" s="372">
        <v>271670</v>
      </c>
      <c r="L979" s="372">
        <f t="shared" si="162"/>
        <v>0</v>
      </c>
      <c r="M979" s="372">
        <f t="shared" si="163"/>
        <v>0</v>
      </c>
      <c r="N979" s="460">
        <f t="shared" si="164"/>
        <v>0</v>
      </c>
    </row>
    <row r="980" spans="1:14" ht="13.2" customHeight="1" x14ac:dyDescent="0.3">
      <c r="A980" s="365">
        <f t="shared" si="166"/>
        <v>46</v>
      </c>
      <c r="B980" s="370" t="s">
        <v>1636</v>
      </c>
      <c r="C980" s="371"/>
      <c r="D980" s="371"/>
      <c r="E980" s="367" t="s">
        <v>399</v>
      </c>
      <c r="F980" s="539"/>
      <c r="G980" s="539"/>
      <c r="H980" s="527"/>
      <c r="I980" s="466">
        <f t="shared" si="161"/>
        <v>0</v>
      </c>
      <c r="J980" s="372">
        <f>'D9 Arde'!K443</f>
        <v>621490</v>
      </c>
      <c r="K980" s="372">
        <v>271670</v>
      </c>
      <c r="L980" s="372">
        <f t="shared" si="162"/>
        <v>0</v>
      </c>
      <c r="M980" s="372">
        <f t="shared" si="163"/>
        <v>0</v>
      </c>
      <c r="N980" s="460">
        <f t="shared" si="164"/>
        <v>0</v>
      </c>
    </row>
    <row r="981" spans="1:14" ht="13.2" customHeight="1" x14ac:dyDescent="0.3">
      <c r="A981" s="365">
        <f t="shared" si="166"/>
        <v>47</v>
      </c>
      <c r="B981" s="370" t="s">
        <v>1208</v>
      </c>
      <c r="C981" s="371"/>
      <c r="D981" s="371"/>
      <c r="E981" s="367" t="s">
        <v>399</v>
      </c>
      <c r="F981" s="539"/>
      <c r="G981" s="539"/>
      <c r="H981" s="527"/>
      <c r="I981" s="466">
        <f t="shared" si="161"/>
        <v>0</v>
      </c>
      <c r="J981" s="372">
        <f>'D9 Arde'!K456</f>
        <v>664570</v>
      </c>
      <c r="K981" s="372">
        <v>271670</v>
      </c>
      <c r="L981" s="372">
        <f t="shared" si="162"/>
        <v>0</v>
      </c>
      <c r="M981" s="372">
        <f t="shared" si="163"/>
        <v>0</v>
      </c>
      <c r="N981" s="460">
        <f t="shared" si="164"/>
        <v>0</v>
      </c>
    </row>
    <row r="982" spans="1:14" ht="13.2" customHeight="1" x14ac:dyDescent="0.3">
      <c r="A982" s="365">
        <f t="shared" si="166"/>
        <v>48</v>
      </c>
      <c r="B982" s="370" t="s">
        <v>1209</v>
      </c>
      <c r="C982" s="371"/>
      <c r="D982" s="371"/>
      <c r="E982" s="367" t="s">
        <v>399</v>
      </c>
      <c r="F982" s="539"/>
      <c r="G982" s="539"/>
      <c r="H982" s="527"/>
      <c r="I982" s="466">
        <f t="shared" si="161"/>
        <v>0</v>
      </c>
      <c r="J982" s="372">
        <f>'D9 Arde'!K469</f>
        <v>581420</v>
      </c>
      <c r="K982" s="372">
        <v>271670</v>
      </c>
      <c r="L982" s="372">
        <f t="shared" si="162"/>
        <v>0</v>
      </c>
      <c r="M982" s="372">
        <f t="shared" si="163"/>
        <v>0</v>
      </c>
      <c r="N982" s="460">
        <f t="shared" si="164"/>
        <v>0</v>
      </c>
    </row>
    <row r="983" spans="1:14" ht="15.6" customHeight="1" x14ac:dyDescent="0.3">
      <c r="A983" s="485"/>
      <c r="B983" s="497" t="s">
        <v>2214</v>
      </c>
      <c r="C983" s="487"/>
      <c r="D983" s="487"/>
      <c r="E983" s="488"/>
      <c r="F983" s="540"/>
      <c r="G983" s="540"/>
      <c r="H983" s="540"/>
      <c r="I983" s="489"/>
      <c r="J983" s="492"/>
      <c r="K983" s="492"/>
      <c r="L983" s="543">
        <f t="shared" ref="L983:N983" si="167">SUM(L935:L982)</f>
        <v>0</v>
      </c>
      <c r="M983" s="543">
        <f t="shared" si="167"/>
        <v>0</v>
      </c>
      <c r="N983" s="544">
        <f t="shared" si="167"/>
        <v>0</v>
      </c>
    </row>
    <row r="984" spans="1:14" ht="7.95" customHeight="1" x14ac:dyDescent="0.3">
      <c r="A984" s="365"/>
      <c r="B984" s="370"/>
      <c r="C984" s="371"/>
      <c r="D984" s="371"/>
      <c r="E984" s="367"/>
      <c r="F984" s="537"/>
      <c r="G984" s="537"/>
      <c r="H984" s="537"/>
      <c r="I984" s="466"/>
      <c r="J984" s="372"/>
      <c r="K984" s="372"/>
      <c r="L984" s="372"/>
      <c r="M984" s="372"/>
      <c r="N984" s="460"/>
    </row>
    <row r="985" spans="1:14" ht="14.4" customHeight="1" x14ac:dyDescent="0.3">
      <c r="A985" s="495" t="s">
        <v>615</v>
      </c>
      <c r="B985" s="499" t="s">
        <v>1790</v>
      </c>
      <c r="C985" s="500"/>
      <c r="D985" s="500"/>
      <c r="E985" s="501"/>
      <c r="F985" s="570"/>
      <c r="G985" s="570"/>
      <c r="H985" s="570"/>
      <c r="I985" s="502"/>
      <c r="J985" s="503"/>
      <c r="K985" s="503"/>
      <c r="L985" s="503"/>
      <c r="M985" s="503"/>
      <c r="N985" s="552"/>
    </row>
    <row r="986" spans="1:14" ht="13.2" customHeight="1" x14ac:dyDescent="0.3">
      <c r="A986" s="365">
        <v>1</v>
      </c>
      <c r="B986" s="370" t="s">
        <v>1791</v>
      </c>
      <c r="C986" s="371"/>
      <c r="D986" s="371"/>
      <c r="E986" s="367" t="s">
        <v>399</v>
      </c>
      <c r="F986" s="527"/>
      <c r="G986" s="527"/>
      <c r="H986" s="539"/>
      <c r="I986" s="372">
        <f t="shared" ref="I986:I1004" si="168">SUM(F986:H986)</f>
        <v>0</v>
      </c>
      <c r="J986" s="372">
        <f>'Harga Satuan Dasar mat'!G795</f>
        <v>6200000</v>
      </c>
      <c r="K986" s="372">
        <v>1630030</v>
      </c>
      <c r="L986" s="372">
        <f t="shared" ref="L986:L1004" si="169">J986*I986</f>
        <v>0</v>
      </c>
      <c r="M986" s="372">
        <f t="shared" ref="M986:M1004" si="170">K986*I986</f>
        <v>0</v>
      </c>
      <c r="N986" s="460">
        <f t="shared" ref="N986:N1004" si="171">SUM(L986:M986)</f>
        <v>0</v>
      </c>
    </row>
    <row r="987" spans="1:14" ht="13.2" customHeight="1" x14ac:dyDescent="0.3">
      <c r="A987" s="365">
        <f>A986+1</f>
        <v>2</v>
      </c>
      <c r="B987" s="370" t="s">
        <v>1792</v>
      </c>
      <c r="C987" s="371"/>
      <c r="D987" s="371"/>
      <c r="E987" s="367" t="s">
        <v>399</v>
      </c>
      <c r="F987" s="527"/>
      <c r="G987" s="527"/>
      <c r="H987" s="539"/>
      <c r="I987" s="372">
        <f t="shared" si="168"/>
        <v>0</v>
      </c>
      <c r="J987" s="372">
        <f>'Harga Satuan Dasar mat'!G796</f>
        <v>6435000</v>
      </c>
      <c r="K987" s="372">
        <v>1630030</v>
      </c>
      <c r="L987" s="372">
        <f t="shared" si="169"/>
        <v>0</v>
      </c>
      <c r="M987" s="372">
        <f t="shared" si="170"/>
        <v>0</v>
      </c>
      <c r="N987" s="460">
        <f t="shared" si="171"/>
        <v>0</v>
      </c>
    </row>
    <row r="988" spans="1:14" ht="13.2" customHeight="1" x14ac:dyDescent="0.3">
      <c r="A988" s="365">
        <f t="shared" ref="A988:A1004" si="172">A987+1</f>
        <v>3</v>
      </c>
      <c r="B988" s="370" t="s">
        <v>1793</v>
      </c>
      <c r="C988" s="371"/>
      <c r="D988" s="371"/>
      <c r="E988" s="367" t="s">
        <v>399</v>
      </c>
      <c r="F988" s="527"/>
      <c r="G988" s="527"/>
      <c r="H988" s="539"/>
      <c r="I988" s="372">
        <f t="shared" si="168"/>
        <v>0</v>
      </c>
      <c r="J988" s="372">
        <f>'Harga Satuan Dasar mat'!G797</f>
        <v>6975000</v>
      </c>
      <c r="K988" s="372">
        <v>1630030</v>
      </c>
      <c r="L988" s="372">
        <f t="shared" si="169"/>
        <v>0</v>
      </c>
      <c r="M988" s="372">
        <f t="shared" si="170"/>
        <v>0</v>
      </c>
      <c r="N988" s="460">
        <f t="shared" si="171"/>
        <v>0</v>
      </c>
    </row>
    <row r="989" spans="1:14" ht="13.2" customHeight="1" x14ac:dyDescent="0.3">
      <c r="A989" s="365">
        <f t="shared" si="172"/>
        <v>4</v>
      </c>
      <c r="B989" s="370" t="s">
        <v>1794</v>
      </c>
      <c r="C989" s="371"/>
      <c r="D989" s="371"/>
      <c r="E989" s="367" t="s">
        <v>399</v>
      </c>
      <c r="F989" s="527"/>
      <c r="G989" s="527"/>
      <c r="H989" s="539"/>
      <c r="I989" s="372">
        <f t="shared" si="168"/>
        <v>0</v>
      </c>
      <c r="J989" s="372">
        <f>'Harga Satuan Dasar mat'!G798</f>
        <v>6975000</v>
      </c>
      <c r="K989" s="372">
        <v>1630030</v>
      </c>
      <c r="L989" s="372">
        <f t="shared" si="169"/>
        <v>0</v>
      </c>
      <c r="M989" s="372">
        <f t="shared" si="170"/>
        <v>0</v>
      </c>
      <c r="N989" s="460">
        <f t="shared" si="171"/>
        <v>0</v>
      </c>
    </row>
    <row r="990" spans="1:14" ht="13.2" customHeight="1" x14ac:dyDescent="0.3">
      <c r="A990" s="365">
        <f t="shared" si="172"/>
        <v>5</v>
      </c>
      <c r="B990" s="370" t="s">
        <v>1795</v>
      </c>
      <c r="C990" s="371"/>
      <c r="D990" s="371"/>
      <c r="E990" s="367" t="s">
        <v>399</v>
      </c>
      <c r="F990" s="527"/>
      <c r="G990" s="527"/>
      <c r="H990" s="539"/>
      <c r="I990" s="372">
        <f t="shared" si="168"/>
        <v>0</v>
      </c>
      <c r="J990" s="372">
        <f>'Harga Satuan Dasar mat'!G799</f>
        <v>7590000</v>
      </c>
      <c r="K990" s="372">
        <v>2274330</v>
      </c>
      <c r="L990" s="372">
        <f t="shared" si="169"/>
        <v>0</v>
      </c>
      <c r="M990" s="372">
        <f t="shared" si="170"/>
        <v>0</v>
      </c>
      <c r="N990" s="460">
        <f t="shared" si="171"/>
        <v>0</v>
      </c>
    </row>
    <row r="991" spans="1:14" ht="13.2" customHeight="1" x14ac:dyDescent="0.3">
      <c r="A991" s="365">
        <f t="shared" si="172"/>
        <v>6</v>
      </c>
      <c r="B991" s="370" t="s">
        <v>1796</v>
      </c>
      <c r="C991" s="371"/>
      <c r="D991" s="371"/>
      <c r="E991" s="367" t="s">
        <v>399</v>
      </c>
      <c r="F991" s="527"/>
      <c r="G991" s="527"/>
      <c r="H991" s="539"/>
      <c r="I991" s="372">
        <f t="shared" si="168"/>
        <v>0</v>
      </c>
      <c r="J991" s="372">
        <f>'Harga Satuan Dasar mat'!G800</f>
        <v>7679000</v>
      </c>
      <c r="K991" s="372">
        <v>2274330</v>
      </c>
      <c r="L991" s="372">
        <f t="shared" si="169"/>
        <v>0</v>
      </c>
      <c r="M991" s="372">
        <f t="shared" si="170"/>
        <v>0</v>
      </c>
      <c r="N991" s="460">
        <f t="shared" si="171"/>
        <v>0</v>
      </c>
    </row>
    <row r="992" spans="1:14" ht="13.2" customHeight="1" x14ac:dyDescent="0.3">
      <c r="A992" s="365">
        <f t="shared" si="172"/>
        <v>7</v>
      </c>
      <c r="B992" s="370" t="s">
        <v>1797</v>
      </c>
      <c r="C992" s="371"/>
      <c r="D992" s="371"/>
      <c r="E992" s="367" t="s">
        <v>399</v>
      </c>
      <c r="F992" s="527"/>
      <c r="G992" s="527"/>
      <c r="H992" s="539"/>
      <c r="I992" s="372">
        <f t="shared" si="168"/>
        <v>0</v>
      </c>
      <c r="J992" s="372">
        <f>'Harga Satuan Dasar mat'!G801</f>
        <v>7950000</v>
      </c>
      <c r="K992" s="372">
        <v>2274330</v>
      </c>
      <c r="L992" s="372">
        <f t="shared" si="169"/>
        <v>0</v>
      </c>
      <c r="M992" s="372">
        <f t="shared" si="170"/>
        <v>0</v>
      </c>
      <c r="N992" s="460">
        <f t="shared" si="171"/>
        <v>0</v>
      </c>
    </row>
    <row r="993" spans="1:14" ht="13.2" customHeight="1" x14ac:dyDescent="0.3">
      <c r="A993" s="365">
        <f t="shared" si="172"/>
        <v>8</v>
      </c>
      <c r="B993" s="370" t="s">
        <v>1798</v>
      </c>
      <c r="C993" s="371"/>
      <c r="D993" s="371"/>
      <c r="E993" s="367" t="s">
        <v>399</v>
      </c>
      <c r="F993" s="527"/>
      <c r="G993" s="527"/>
      <c r="H993" s="539"/>
      <c r="I993" s="372">
        <f t="shared" si="168"/>
        <v>0</v>
      </c>
      <c r="J993" s="372">
        <f>'Harga Satuan Dasar mat'!G802</f>
        <v>8080000</v>
      </c>
      <c r="K993" s="372">
        <v>2274330</v>
      </c>
      <c r="L993" s="372">
        <f t="shared" si="169"/>
        <v>0</v>
      </c>
      <c r="M993" s="372">
        <f t="shared" si="170"/>
        <v>0</v>
      </c>
      <c r="N993" s="460">
        <f t="shared" si="171"/>
        <v>0</v>
      </c>
    </row>
    <row r="994" spans="1:14" ht="13.2" customHeight="1" x14ac:dyDescent="0.3">
      <c r="A994" s="365">
        <f t="shared" si="172"/>
        <v>9</v>
      </c>
      <c r="B994" s="370" t="s">
        <v>1799</v>
      </c>
      <c r="C994" s="371"/>
      <c r="D994" s="371"/>
      <c r="E994" s="367" t="s">
        <v>399</v>
      </c>
      <c r="F994" s="527"/>
      <c r="G994" s="527"/>
      <c r="H994" s="539"/>
      <c r="I994" s="372">
        <f t="shared" si="168"/>
        <v>0</v>
      </c>
      <c r="J994" s="372">
        <f>'Harga Satuan Dasar mat'!G804</f>
        <v>10179000</v>
      </c>
      <c r="K994" s="372">
        <v>1314340</v>
      </c>
      <c r="L994" s="372">
        <f t="shared" si="169"/>
        <v>0</v>
      </c>
      <c r="M994" s="372">
        <f t="shared" si="170"/>
        <v>0</v>
      </c>
      <c r="N994" s="460">
        <f t="shared" si="171"/>
        <v>0</v>
      </c>
    </row>
    <row r="995" spans="1:14" ht="13.2" customHeight="1" x14ac:dyDescent="0.3">
      <c r="A995" s="365">
        <f t="shared" si="172"/>
        <v>10</v>
      </c>
      <c r="B995" s="370" t="s">
        <v>1800</v>
      </c>
      <c r="C995" s="371"/>
      <c r="D995" s="371"/>
      <c r="E995" s="367" t="s">
        <v>399</v>
      </c>
      <c r="F995" s="527"/>
      <c r="G995" s="527"/>
      <c r="H995" s="539"/>
      <c r="I995" s="372">
        <f t="shared" si="168"/>
        <v>0</v>
      </c>
      <c r="J995" s="372">
        <f>'Harga Satuan Dasar mat'!G805</f>
        <v>10300000</v>
      </c>
      <c r="K995" s="372">
        <v>1314340</v>
      </c>
      <c r="L995" s="372">
        <f t="shared" si="169"/>
        <v>0</v>
      </c>
      <c r="M995" s="372">
        <f t="shared" si="170"/>
        <v>0</v>
      </c>
      <c r="N995" s="460">
        <f t="shared" si="171"/>
        <v>0</v>
      </c>
    </row>
    <row r="996" spans="1:14" ht="13.2" customHeight="1" x14ac:dyDescent="0.3">
      <c r="A996" s="365">
        <f t="shared" si="172"/>
        <v>11</v>
      </c>
      <c r="B996" s="370" t="s">
        <v>1801</v>
      </c>
      <c r="C996" s="371"/>
      <c r="D996" s="371"/>
      <c r="E996" s="367" t="s">
        <v>399</v>
      </c>
      <c r="F996" s="527"/>
      <c r="G996" s="527"/>
      <c r="H996" s="539"/>
      <c r="I996" s="372">
        <f t="shared" si="168"/>
        <v>0</v>
      </c>
      <c r="J996" s="372">
        <f>'Harga Satuan Dasar mat'!G806</f>
        <v>11800000</v>
      </c>
      <c r="K996" s="372">
        <v>1314340</v>
      </c>
      <c r="L996" s="372">
        <f t="shared" si="169"/>
        <v>0</v>
      </c>
      <c r="M996" s="372">
        <f t="shared" si="170"/>
        <v>0</v>
      </c>
      <c r="N996" s="460">
        <f t="shared" si="171"/>
        <v>0</v>
      </c>
    </row>
    <row r="997" spans="1:14" ht="13.2" customHeight="1" x14ac:dyDescent="0.3">
      <c r="A997" s="365">
        <f t="shared" si="172"/>
        <v>12</v>
      </c>
      <c r="B997" s="370" t="s">
        <v>1802</v>
      </c>
      <c r="C997" s="371"/>
      <c r="D997" s="371"/>
      <c r="E997" s="367" t="s">
        <v>399</v>
      </c>
      <c r="F997" s="527"/>
      <c r="G997" s="527"/>
      <c r="H997" s="539"/>
      <c r="I997" s="372">
        <f t="shared" si="168"/>
        <v>0</v>
      </c>
      <c r="J997" s="372">
        <f>'Harga Satuan Dasar mat'!G807</f>
        <v>12950000</v>
      </c>
      <c r="K997" s="372">
        <v>2274330</v>
      </c>
      <c r="L997" s="372">
        <f t="shared" si="169"/>
        <v>0</v>
      </c>
      <c r="M997" s="372">
        <f t="shared" si="170"/>
        <v>0</v>
      </c>
      <c r="N997" s="460">
        <f t="shared" si="171"/>
        <v>0</v>
      </c>
    </row>
    <row r="998" spans="1:14" ht="13.2" customHeight="1" x14ac:dyDescent="0.3">
      <c r="A998" s="365">
        <f t="shared" si="172"/>
        <v>13</v>
      </c>
      <c r="B998" s="370" t="s">
        <v>1803</v>
      </c>
      <c r="C998" s="371"/>
      <c r="D998" s="371"/>
      <c r="E998" s="367" t="s">
        <v>399</v>
      </c>
      <c r="F998" s="527"/>
      <c r="G998" s="527"/>
      <c r="H998" s="539"/>
      <c r="I998" s="372">
        <f t="shared" si="168"/>
        <v>0</v>
      </c>
      <c r="J998" s="372">
        <f>'Harga Satuan Dasar mat'!G808</f>
        <v>13075000</v>
      </c>
      <c r="K998" s="372">
        <v>2274330</v>
      </c>
      <c r="L998" s="372">
        <f t="shared" si="169"/>
        <v>0</v>
      </c>
      <c r="M998" s="372">
        <f t="shared" si="170"/>
        <v>0</v>
      </c>
      <c r="N998" s="460">
        <f t="shared" si="171"/>
        <v>0</v>
      </c>
    </row>
    <row r="999" spans="1:14" ht="13.2" customHeight="1" x14ac:dyDescent="0.3">
      <c r="A999" s="365">
        <f t="shared" si="172"/>
        <v>14</v>
      </c>
      <c r="B999" s="370" t="s">
        <v>1804</v>
      </c>
      <c r="C999" s="371"/>
      <c r="D999" s="371"/>
      <c r="E999" s="367" t="s">
        <v>399</v>
      </c>
      <c r="F999" s="527"/>
      <c r="G999" s="527"/>
      <c r="H999" s="539"/>
      <c r="I999" s="372">
        <f t="shared" si="168"/>
        <v>0</v>
      </c>
      <c r="J999" s="372">
        <f>'Harga Satuan Dasar mat'!G809</f>
        <v>14000000</v>
      </c>
      <c r="K999" s="372">
        <v>2274330</v>
      </c>
      <c r="L999" s="372">
        <f t="shared" si="169"/>
        <v>0</v>
      </c>
      <c r="M999" s="372">
        <f t="shared" si="170"/>
        <v>0</v>
      </c>
      <c r="N999" s="460">
        <f t="shared" si="171"/>
        <v>0</v>
      </c>
    </row>
    <row r="1000" spans="1:14" ht="13.2" customHeight="1" x14ac:dyDescent="0.3">
      <c r="A1000" s="365">
        <f t="shared" si="172"/>
        <v>15</v>
      </c>
      <c r="B1000" s="370" t="s">
        <v>1829</v>
      </c>
      <c r="C1000" s="371"/>
      <c r="D1000" s="371"/>
      <c r="E1000" s="367" t="s">
        <v>399</v>
      </c>
      <c r="F1000" s="527"/>
      <c r="G1000" s="527"/>
      <c r="H1000" s="539"/>
      <c r="I1000" s="372">
        <f t="shared" si="168"/>
        <v>0</v>
      </c>
      <c r="J1000" s="372">
        <f>'Harga Satuan Dasar mat'!G811</f>
        <v>14475000</v>
      </c>
      <c r="K1000" s="372">
        <v>1630030</v>
      </c>
      <c r="L1000" s="372">
        <f t="shared" si="169"/>
        <v>0</v>
      </c>
      <c r="M1000" s="372">
        <f t="shared" si="170"/>
        <v>0</v>
      </c>
      <c r="N1000" s="460">
        <f t="shared" si="171"/>
        <v>0</v>
      </c>
    </row>
    <row r="1001" spans="1:14" ht="13.2" customHeight="1" x14ac:dyDescent="0.3">
      <c r="A1001" s="365">
        <f t="shared" si="172"/>
        <v>16</v>
      </c>
      <c r="B1001" s="370" t="s">
        <v>1830</v>
      </c>
      <c r="C1001" s="371"/>
      <c r="D1001" s="371"/>
      <c r="E1001" s="367" t="s">
        <v>399</v>
      </c>
      <c r="F1001" s="527"/>
      <c r="G1001" s="527"/>
      <c r="H1001" s="539"/>
      <c r="I1001" s="372">
        <f t="shared" si="168"/>
        <v>0</v>
      </c>
      <c r="J1001" s="372">
        <f>'Harga Satuan Dasar mat'!G812</f>
        <v>14130000</v>
      </c>
      <c r="K1001" s="372">
        <v>1630030</v>
      </c>
      <c r="L1001" s="372">
        <f t="shared" si="169"/>
        <v>0</v>
      </c>
      <c r="M1001" s="372">
        <f t="shared" si="170"/>
        <v>0</v>
      </c>
      <c r="N1001" s="460">
        <f t="shared" si="171"/>
        <v>0</v>
      </c>
    </row>
    <row r="1002" spans="1:14" ht="13.2" customHeight="1" x14ac:dyDescent="0.3">
      <c r="A1002" s="365">
        <f t="shared" si="172"/>
        <v>17</v>
      </c>
      <c r="B1002" s="370" t="s">
        <v>1831</v>
      </c>
      <c r="C1002" s="371"/>
      <c r="D1002" s="371"/>
      <c r="E1002" s="367" t="s">
        <v>399</v>
      </c>
      <c r="F1002" s="527"/>
      <c r="G1002" s="527"/>
      <c r="H1002" s="539"/>
      <c r="I1002" s="372">
        <f t="shared" si="168"/>
        <v>0</v>
      </c>
      <c r="J1002" s="372">
        <f>'Harga Satuan Dasar mat'!G813</f>
        <v>14475000</v>
      </c>
      <c r="K1002" s="372">
        <v>2274330</v>
      </c>
      <c r="L1002" s="372">
        <f t="shared" si="169"/>
        <v>0</v>
      </c>
      <c r="M1002" s="372">
        <f t="shared" si="170"/>
        <v>0</v>
      </c>
      <c r="N1002" s="460">
        <f t="shared" si="171"/>
        <v>0</v>
      </c>
    </row>
    <row r="1003" spans="1:14" ht="13.2" customHeight="1" x14ac:dyDescent="0.3">
      <c r="A1003" s="365">
        <f t="shared" si="172"/>
        <v>18</v>
      </c>
      <c r="B1003" s="370" t="s">
        <v>416</v>
      </c>
      <c r="C1003" s="371"/>
      <c r="D1003" s="371"/>
      <c r="E1003" s="367" t="s">
        <v>399</v>
      </c>
      <c r="F1003" s="527"/>
      <c r="G1003" s="527"/>
      <c r="H1003" s="539"/>
      <c r="I1003" s="372">
        <f t="shared" si="168"/>
        <v>0</v>
      </c>
      <c r="J1003" s="372">
        <f>'Harga Satuan Dasar mat'!G814</f>
        <v>14130000</v>
      </c>
      <c r="K1003" s="372">
        <v>2274330</v>
      </c>
      <c r="L1003" s="372">
        <f t="shared" si="169"/>
        <v>0</v>
      </c>
      <c r="M1003" s="372">
        <f t="shared" si="170"/>
        <v>0</v>
      </c>
      <c r="N1003" s="460">
        <f t="shared" si="171"/>
        <v>0</v>
      </c>
    </row>
    <row r="1004" spans="1:14" ht="13.2" customHeight="1" x14ac:dyDescent="0.3">
      <c r="A1004" s="365">
        <f t="shared" si="172"/>
        <v>19</v>
      </c>
      <c r="B1004" s="370" t="s">
        <v>1805</v>
      </c>
      <c r="C1004" s="371"/>
      <c r="D1004" s="371"/>
      <c r="E1004" s="367" t="s">
        <v>203</v>
      </c>
      <c r="F1004" s="527"/>
      <c r="G1004" s="527"/>
      <c r="H1004" s="539"/>
      <c r="I1004" s="372">
        <f t="shared" si="168"/>
        <v>0</v>
      </c>
      <c r="J1004" s="372">
        <f>'Harga Satuan Dasar mat'!G815</f>
        <v>1690000</v>
      </c>
      <c r="K1004" s="372">
        <v>47860</v>
      </c>
      <c r="L1004" s="372">
        <f t="shared" si="169"/>
        <v>0</v>
      </c>
      <c r="M1004" s="372">
        <f t="shared" si="170"/>
        <v>0</v>
      </c>
      <c r="N1004" s="460">
        <f t="shared" si="171"/>
        <v>0</v>
      </c>
    </row>
    <row r="1005" spans="1:14" ht="13.95" customHeight="1" x14ac:dyDescent="0.3">
      <c r="A1005" s="485"/>
      <c r="B1005" s="497" t="s">
        <v>1806</v>
      </c>
      <c r="C1005" s="487"/>
      <c r="D1005" s="487"/>
      <c r="E1005" s="488"/>
      <c r="F1005" s="540"/>
      <c r="G1005" s="540"/>
      <c r="H1005" s="540"/>
      <c r="I1005" s="489"/>
      <c r="J1005" s="492"/>
      <c r="K1005" s="492"/>
      <c r="L1005" s="543">
        <f t="shared" ref="L1005:N1005" si="173">SUM(L986:L1004)</f>
        <v>0</v>
      </c>
      <c r="M1005" s="543">
        <f t="shared" si="173"/>
        <v>0</v>
      </c>
      <c r="N1005" s="544">
        <f t="shared" si="173"/>
        <v>0</v>
      </c>
    </row>
    <row r="1006" spans="1:14" ht="7.95" customHeight="1" x14ac:dyDescent="0.3">
      <c r="A1006" s="365"/>
      <c r="B1006" s="370"/>
      <c r="C1006" s="371"/>
      <c r="D1006" s="371"/>
      <c r="E1006" s="367"/>
      <c r="F1006" s="537"/>
      <c r="G1006" s="537"/>
      <c r="H1006" s="537"/>
      <c r="I1006" s="466"/>
      <c r="J1006" s="372"/>
      <c r="K1006" s="372"/>
      <c r="L1006" s="372"/>
      <c r="M1006" s="372"/>
      <c r="N1006" s="460"/>
    </row>
    <row r="1007" spans="1:14" ht="13.95" customHeight="1" x14ac:dyDescent="0.3">
      <c r="A1007" s="495" t="s">
        <v>616</v>
      </c>
      <c r="B1007" s="478" t="s">
        <v>1638</v>
      </c>
      <c r="C1007" s="480"/>
      <c r="D1007" s="480"/>
      <c r="E1007" s="493"/>
      <c r="F1007" s="568"/>
      <c r="G1007" s="568"/>
      <c r="H1007" s="568"/>
      <c r="I1007" s="483"/>
      <c r="J1007" s="494"/>
      <c r="K1007" s="494"/>
      <c r="L1007" s="494"/>
      <c r="M1007" s="494"/>
      <c r="N1007" s="546"/>
    </row>
    <row r="1008" spans="1:14" ht="13.2" customHeight="1" x14ac:dyDescent="0.3">
      <c r="A1008" s="365">
        <v>1</v>
      </c>
      <c r="B1008" s="366" t="s">
        <v>1955</v>
      </c>
      <c r="C1008" s="362"/>
      <c r="D1008" s="362"/>
      <c r="E1008" s="368" t="s">
        <v>235</v>
      </c>
      <c r="F1008" s="535"/>
      <c r="G1008" s="535"/>
      <c r="H1008" s="538"/>
      <c r="I1008" s="369">
        <f t="shared" ref="I1008:I1055" si="174">SUM(F1008:H1008)</f>
        <v>0</v>
      </c>
      <c r="J1008" s="369">
        <f>'D 10 Finishing'!K17</f>
        <v>219030</v>
      </c>
      <c r="K1008" s="369">
        <v>197150</v>
      </c>
      <c r="L1008" s="369">
        <f t="shared" ref="L1008:L1055" si="175">J1008*I1008</f>
        <v>0</v>
      </c>
      <c r="M1008" s="369">
        <f t="shared" ref="M1008:M1055" si="176">K1008*I1008</f>
        <v>0</v>
      </c>
      <c r="N1008" s="459">
        <f t="shared" ref="N1008:N1055" si="177">SUM(L1008:M1008)</f>
        <v>0</v>
      </c>
    </row>
    <row r="1009" spans="1:14" ht="13.2" customHeight="1" x14ac:dyDescent="0.3">
      <c r="A1009" s="365">
        <f>A1008+1</f>
        <v>2</v>
      </c>
      <c r="B1009" s="366" t="s">
        <v>1956</v>
      </c>
      <c r="C1009" s="362"/>
      <c r="D1009" s="362"/>
      <c r="E1009" s="368" t="s">
        <v>235</v>
      </c>
      <c r="F1009" s="535"/>
      <c r="G1009" s="535"/>
      <c r="H1009" s="538"/>
      <c r="I1009" s="369">
        <f t="shared" si="174"/>
        <v>0</v>
      </c>
      <c r="J1009" s="369">
        <f>'D 10 Finishing'!K21</f>
        <v>143360</v>
      </c>
      <c r="K1009" s="369">
        <v>197150</v>
      </c>
      <c r="L1009" s="369">
        <f t="shared" si="175"/>
        <v>0</v>
      </c>
      <c r="M1009" s="369">
        <f t="shared" si="176"/>
        <v>0</v>
      </c>
      <c r="N1009" s="459">
        <f t="shared" si="177"/>
        <v>0</v>
      </c>
    </row>
    <row r="1010" spans="1:14" ht="13.2" customHeight="1" x14ac:dyDescent="0.3">
      <c r="A1010" s="365">
        <f t="shared" ref="A1010:A1055" si="178">A1009+1</f>
        <v>3</v>
      </c>
      <c r="B1010" s="366" t="s">
        <v>1957</v>
      </c>
      <c r="C1010" s="362"/>
      <c r="D1010" s="362"/>
      <c r="E1010" s="368" t="s">
        <v>235</v>
      </c>
      <c r="F1010" s="535"/>
      <c r="G1010" s="535"/>
      <c r="H1010" s="538"/>
      <c r="I1010" s="369">
        <f t="shared" si="174"/>
        <v>0</v>
      </c>
      <c r="J1010" s="369">
        <f>'D 10 Finishing'!K25</f>
        <v>132330</v>
      </c>
      <c r="K1010" s="369">
        <v>197150</v>
      </c>
      <c r="L1010" s="369">
        <f t="shared" si="175"/>
        <v>0</v>
      </c>
      <c r="M1010" s="369">
        <f t="shared" si="176"/>
        <v>0</v>
      </c>
      <c r="N1010" s="459">
        <f t="shared" si="177"/>
        <v>0</v>
      </c>
    </row>
    <row r="1011" spans="1:14" ht="13.2" customHeight="1" x14ac:dyDescent="0.3">
      <c r="A1011" s="365">
        <f t="shared" si="178"/>
        <v>4</v>
      </c>
      <c r="B1011" s="366" t="s">
        <v>1958</v>
      </c>
      <c r="C1011" s="362"/>
      <c r="D1011" s="362"/>
      <c r="E1011" s="368" t="s">
        <v>235</v>
      </c>
      <c r="F1011" s="535"/>
      <c r="G1011" s="535"/>
      <c r="H1011" s="538"/>
      <c r="I1011" s="369">
        <f t="shared" si="174"/>
        <v>0</v>
      </c>
      <c r="J1011" s="369">
        <f>'D 10 Finishing'!K29</f>
        <v>86580</v>
      </c>
      <c r="K1011" s="369">
        <v>197150</v>
      </c>
      <c r="L1011" s="369">
        <f t="shared" si="175"/>
        <v>0</v>
      </c>
      <c r="M1011" s="369">
        <f t="shared" si="176"/>
        <v>0</v>
      </c>
      <c r="N1011" s="459">
        <f t="shared" si="177"/>
        <v>0</v>
      </c>
    </row>
    <row r="1012" spans="1:14" ht="13.2" customHeight="1" x14ac:dyDescent="0.3">
      <c r="A1012" s="365">
        <f t="shared" si="178"/>
        <v>5</v>
      </c>
      <c r="B1012" s="366" t="s">
        <v>1959</v>
      </c>
      <c r="C1012" s="362"/>
      <c r="D1012" s="362"/>
      <c r="E1012" s="368" t="s">
        <v>235</v>
      </c>
      <c r="F1012" s="538"/>
      <c r="G1012" s="538"/>
      <c r="H1012" s="535"/>
      <c r="I1012" s="369">
        <f t="shared" si="174"/>
        <v>0</v>
      </c>
      <c r="J1012" s="369">
        <f>'D 10 Finishing'!K33</f>
        <v>61690</v>
      </c>
      <c r="K1012" s="369">
        <v>197150</v>
      </c>
      <c r="L1012" s="369">
        <f t="shared" si="175"/>
        <v>0</v>
      </c>
      <c r="M1012" s="369">
        <f t="shared" si="176"/>
        <v>0</v>
      </c>
      <c r="N1012" s="459">
        <f t="shared" si="177"/>
        <v>0</v>
      </c>
    </row>
    <row r="1013" spans="1:14" ht="13.2" customHeight="1" x14ac:dyDescent="0.3">
      <c r="A1013" s="365">
        <f t="shared" si="178"/>
        <v>6</v>
      </c>
      <c r="B1013" s="366" t="s">
        <v>1960</v>
      </c>
      <c r="C1013" s="362"/>
      <c r="D1013" s="362"/>
      <c r="E1013" s="368" t="s">
        <v>235</v>
      </c>
      <c r="F1013" s="538"/>
      <c r="G1013" s="538"/>
      <c r="H1013" s="535"/>
      <c r="I1013" s="369">
        <f t="shared" si="174"/>
        <v>0</v>
      </c>
      <c r="J1013" s="369">
        <f>'D 10 Finishing'!K37</f>
        <v>50480</v>
      </c>
      <c r="K1013" s="369">
        <v>197150</v>
      </c>
      <c r="L1013" s="369">
        <f t="shared" si="175"/>
        <v>0</v>
      </c>
      <c r="M1013" s="369">
        <f t="shared" si="176"/>
        <v>0</v>
      </c>
      <c r="N1013" s="459">
        <f t="shared" si="177"/>
        <v>0</v>
      </c>
    </row>
    <row r="1014" spans="1:14" ht="13.2" customHeight="1" x14ac:dyDescent="0.3">
      <c r="A1014" s="365">
        <f t="shared" si="178"/>
        <v>7</v>
      </c>
      <c r="B1014" s="366" t="s">
        <v>2325</v>
      </c>
      <c r="C1014" s="362"/>
      <c r="D1014" s="362"/>
      <c r="E1014" s="368" t="s">
        <v>235</v>
      </c>
      <c r="F1014" s="535"/>
      <c r="G1014" s="535"/>
      <c r="H1014" s="538"/>
      <c r="I1014" s="369">
        <f t="shared" si="174"/>
        <v>0</v>
      </c>
      <c r="J1014" s="369">
        <f>'D 10 Finishing'!K41</f>
        <v>333190</v>
      </c>
      <c r="K1014" s="369">
        <v>197150</v>
      </c>
      <c r="L1014" s="369">
        <f t="shared" si="175"/>
        <v>0</v>
      </c>
      <c r="M1014" s="369">
        <f t="shared" si="176"/>
        <v>0</v>
      </c>
      <c r="N1014" s="459">
        <f t="shared" si="177"/>
        <v>0</v>
      </c>
    </row>
    <row r="1015" spans="1:14" ht="13.2" customHeight="1" x14ac:dyDescent="0.3">
      <c r="A1015" s="365">
        <f t="shared" si="178"/>
        <v>8</v>
      </c>
      <c r="B1015" s="366" t="s">
        <v>1961</v>
      </c>
      <c r="C1015" s="362"/>
      <c r="D1015" s="362"/>
      <c r="E1015" s="368" t="s">
        <v>235</v>
      </c>
      <c r="F1015" s="535"/>
      <c r="G1015" s="535"/>
      <c r="H1015" s="538"/>
      <c r="I1015" s="369">
        <f t="shared" si="174"/>
        <v>0</v>
      </c>
      <c r="J1015" s="369">
        <f>'D 10 Finishing'!K45</f>
        <v>218080</v>
      </c>
      <c r="K1015" s="369">
        <v>197150</v>
      </c>
      <c r="L1015" s="369">
        <f t="shared" si="175"/>
        <v>0</v>
      </c>
      <c r="M1015" s="369">
        <f t="shared" si="176"/>
        <v>0</v>
      </c>
      <c r="N1015" s="459">
        <f t="shared" si="177"/>
        <v>0</v>
      </c>
    </row>
    <row r="1016" spans="1:14" ht="13.2" customHeight="1" x14ac:dyDescent="0.3">
      <c r="A1016" s="365">
        <f t="shared" si="178"/>
        <v>9</v>
      </c>
      <c r="B1016" s="366" t="s">
        <v>1962</v>
      </c>
      <c r="C1016" s="362"/>
      <c r="D1016" s="362"/>
      <c r="E1016" s="368" t="s">
        <v>235</v>
      </c>
      <c r="F1016" s="535"/>
      <c r="G1016" s="535"/>
      <c r="H1016" s="538"/>
      <c r="I1016" s="369">
        <f t="shared" si="174"/>
        <v>0</v>
      </c>
      <c r="J1016" s="369">
        <f>'D 10 Finishing'!K49</f>
        <v>201300</v>
      </c>
      <c r="K1016" s="369">
        <v>197150</v>
      </c>
      <c r="L1016" s="369">
        <f t="shared" si="175"/>
        <v>0</v>
      </c>
      <c r="M1016" s="369">
        <f t="shared" si="176"/>
        <v>0</v>
      </c>
      <c r="N1016" s="459">
        <f t="shared" si="177"/>
        <v>0</v>
      </c>
    </row>
    <row r="1017" spans="1:14" ht="13.2" customHeight="1" x14ac:dyDescent="0.3">
      <c r="A1017" s="365">
        <f t="shared" si="178"/>
        <v>10</v>
      </c>
      <c r="B1017" s="366" t="s">
        <v>1963</v>
      </c>
      <c r="C1017" s="362"/>
      <c r="D1017" s="362"/>
      <c r="E1017" s="368" t="s">
        <v>235</v>
      </c>
      <c r="F1017" s="535"/>
      <c r="G1017" s="535"/>
      <c r="H1017" s="538"/>
      <c r="I1017" s="369">
        <f t="shared" si="174"/>
        <v>0</v>
      </c>
      <c r="J1017" s="369">
        <f>'D 10 Finishing'!K53</f>
        <v>131720</v>
      </c>
      <c r="K1017" s="369">
        <v>197150</v>
      </c>
      <c r="L1017" s="369">
        <f t="shared" si="175"/>
        <v>0</v>
      </c>
      <c r="M1017" s="369">
        <f t="shared" si="176"/>
        <v>0</v>
      </c>
      <c r="N1017" s="459">
        <f t="shared" si="177"/>
        <v>0</v>
      </c>
    </row>
    <row r="1018" spans="1:14" ht="13.2" customHeight="1" x14ac:dyDescent="0.3">
      <c r="A1018" s="365">
        <f t="shared" si="178"/>
        <v>11</v>
      </c>
      <c r="B1018" s="366" t="s">
        <v>1964</v>
      </c>
      <c r="C1018" s="362"/>
      <c r="D1018" s="362"/>
      <c r="E1018" s="368" t="s">
        <v>235</v>
      </c>
      <c r="F1018" s="538"/>
      <c r="G1018" s="538"/>
      <c r="H1018" s="535"/>
      <c r="I1018" s="369">
        <f t="shared" si="174"/>
        <v>0</v>
      </c>
      <c r="J1018" s="369">
        <f>'D 10 Finishing'!K57</f>
        <v>93850</v>
      </c>
      <c r="K1018" s="369">
        <v>197150</v>
      </c>
      <c r="L1018" s="369">
        <f t="shared" si="175"/>
        <v>0</v>
      </c>
      <c r="M1018" s="369">
        <f t="shared" si="176"/>
        <v>0</v>
      </c>
      <c r="N1018" s="459">
        <f t="shared" si="177"/>
        <v>0</v>
      </c>
    </row>
    <row r="1019" spans="1:14" ht="13.2" customHeight="1" x14ac:dyDescent="0.3">
      <c r="A1019" s="365">
        <f t="shared" si="178"/>
        <v>12</v>
      </c>
      <c r="B1019" s="366" t="s">
        <v>1965</v>
      </c>
      <c r="C1019" s="362"/>
      <c r="D1019" s="362"/>
      <c r="E1019" s="368" t="s">
        <v>235</v>
      </c>
      <c r="F1019" s="538"/>
      <c r="G1019" s="538"/>
      <c r="H1019" s="535"/>
      <c r="I1019" s="369">
        <f t="shared" si="174"/>
        <v>0</v>
      </c>
      <c r="J1019" s="369">
        <f>'D 10 Finishing'!K61</f>
        <v>76790</v>
      </c>
      <c r="K1019" s="369">
        <v>197150</v>
      </c>
      <c r="L1019" s="369">
        <f t="shared" si="175"/>
        <v>0</v>
      </c>
      <c r="M1019" s="369">
        <f t="shared" si="176"/>
        <v>0</v>
      </c>
      <c r="N1019" s="459">
        <f t="shared" si="177"/>
        <v>0</v>
      </c>
    </row>
    <row r="1020" spans="1:14" ht="13.2" customHeight="1" x14ac:dyDescent="0.3">
      <c r="A1020" s="365">
        <f t="shared" si="178"/>
        <v>13</v>
      </c>
      <c r="B1020" s="366" t="s">
        <v>2326</v>
      </c>
      <c r="C1020" s="362"/>
      <c r="D1020" s="362"/>
      <c r="E1020" s="368" t="s">
        <v>235</v>
      </c>
      <c r="F1020" s="535"/>
      <c r="G1020" s="535"/>
      <c r="H1020" s="538"/>
      <c r="I1020" s="369">
        <f t="shared" si="174"/>
        <v>0</v>
      </c>
      <c r="J1020" s="369">
        <f>'D 10 Finishing'!K65</f>
        <v>745180</v>
      </c>
      <c r="K1020" s="369">
        <v>197150</v>
      </c>
      <c r="L1020" s="369">
        <f t="shared" si="175"/>
        <v>0</v>
      </c>
      <c r="M1020" s="369">
        <f t="shared" si="176"/>
        <v>0</v>
      </c>
      <c r="N1020" s="459">
        <f t="shared" si="177"/>
        <v>0</v>
      </c>
    </row>
    <row r="1021" spans="1:14" ht="13.2" customHeight="1" x14ac:dyDescent="0.3">
      <c r="A1021" s="365">
        <f t="shared" si="178"/>
        <v>14</v>
      </c>
      <c r="B1021" s="366" t="s">
        <v>1966</v>
      </c>
      <c r="C1021" s="362"/>
      <c r="D1021" s="362"/>
      <c r="E1021" s="368" t="s">
        <v>235</v>
      </c>
      <c r="F1021" s="535"/>
      <c r="G1021" s="535"/>
      <c r="H1021" s="538"/>
      <c r="I1021" s="369">
        <f t="shared" si="174"/>
        <v>0</v>
      </c>
      <c r="J1021" s="369">
        <f>'D 10 Finishing'!K69</f>
        <v>487730</v>
      </c>
      <c r="K1021" s="369">
        <v>197150</v>
      </c>
      <c r="L1021" s="369">
        <f t="shared" si="175"/>
        <v>0</v>
      </c>
      <c r="M1021" s="369">
        <f t="shared" si="176"/>
        <v>0</v>
      </c>
      <c r="N1021" s="459">
        <f t="shared" si="177"/>
        <v>0</v>
      </c>
    </row>
    <row r="1022" spans="1:14" ht="13.2" customHeight="1" x14ac:dyDescent="0.3">
      <c r="A1022" s="365">
        <f t="shared" si="178"/>
        <v>15</v>
      </c>
      <c r="B1022" s="366" t="s">
        <v>1967</v>
      </c>
      <c r="C1022" s="362"/>
      <c r="D1022" s="362"/>
      <c r="E1022" s="368" t="s">
        <v>235</v>
      </c>
      <c r="F1022" s="535"/>
      <c r="G1022" s="535"/>
      <c r="H1022" s="538"/>
      <c r="I1022" s="369">
        <f t="shared" si="174"/>
        <v>0</v>
      </c>
      <c r="J1022" s="369">
        <f>'D 10 Finishing'!K73</f>
        <v>450210</v>
      </c>
      <c r="K1022" s="369">
        <v>197150</v>
      </c>
      <c r="L1022" s="369">
        <f t="shared" si="175"/>
        <v>0</v>
      </c>
      <c r="M1022" s="369">
        <f t="shared" si="176"/>
        <v>0</v>
      </c>
      <c r="N1022" s="459">
        <f t="shared" si="177"/>
        <v>0</v>
      </c>
    </row>
    <row r="1023" spans="1:14" ht="13.2" customHeight="1" x14ac:dyDescent="0.3">
      <c r="A1023" s="365">
        <f t="shared" si="178"/>
        <v>16</v>
      </c>
      <c r="B1023" s="366" t="s">
        <v>1968</v>
      </c>
      <c r="C1023" s="362"/>
      <c r="D1023" s="362"/>
      <c r="E1023" s="368" t="s">
        <v>235</v>
      </c>
      <c r="F1023" s="535"/>
      <c r="G1023" s="535"/>
      <c r="H1023" s="538"/>
      <c r="I1023" s="369">
        <f t="shared" si="174"/>
        <v>0</v>
      </c>
      <c r="J1023" s="369">
        <f>'D 10 Finishing'!K77</f>
        <v>294580</v>
      </c>
      <c r="K1023" s="369">
        <v>197150</v>
      </c>
      <c r="L1023" s="369">
        <f t="shared" si="175"/>
        <v>0</v>
      </c>
      <c r="M1023" s="369">
        <f t="shared" si="176"/>
        <v>0</v>
      </c>
      <c r="N1023" s="459">
        <f t="shared" si="177"/>
        <v>0</v>
      </c>
    </row>
    <row r="1024" spans="1:14" ht="13.2" customHeight="1" x14ac:dyDescent="0.3">
      <c r="A1024" s="365">
        <f t="shared" si="178"/>
        <v>17</v>
      </c>
      <c r="B1024" s="366" t="s">
        <v>1969</v>
      </c>
      <c r="C1024" s="362"/>
      <c r="D1024" s="362"/>
      <c r="E1024" s="368" t="s">
        <v>235</v>
      </c>
      <c r="F1024" s="538"/>
      <c r="G1024" s="538"/>
      <c r="H1024" s="535"/>
      <c r="I1024" s="369">
        <f t="shared" si="174"/>
        <v>0</v>
      </c>
      <c r="J1024" s="369">
        <f>'D 10 Finishing'!K81</f>
        <v>209900</v>
      </c>
      <c r="K1024" s="369">
        <v>197150</v>
      </c>
      <c r="L1024" s="369">
        <f t="shared" si="175"/>
        <v>0</v>
      </c>
      <c r="M1024" s="369">
        <f t="shared" si="176"/>
        <v>0</v>
      </c>
      <c r="N1024" s="459">
        <f t="shared" si="177"/>
        <v>0</v>
      </c>
    </row>
    <row r="1025" spans="1:14" ht="13.2" customHeight="1" x14ac:dyDescent="0.3">
      <c r="A1025" s="365">
        <f t="shared" si="178"/>
        <v>18</v>
      </c>
      <c r="B1025" s="366" t="s">
        <v>1970</v>
      </c>
      <c r="C1025" s="362"/>
      <c r="D1025" s="362"/>
      <c r="E1025" s="368" t="s">
        <v>235</v>
      </c>
      <c r="F1025" s="538"/>
      <c r="G1025" s="538"/>
      <c r="H1025" s="535"/>
      <c r="I1025" s="369">
        <f t="shared" si="174"/>
        <v>0</v>
      </c>
      <c r="J1025" s="369">
        <f>'D 10 Finishing'!K85</f>
        <v>171730</v>
      </c>
      <c r="K1025" s="369">
        <v>197150</v>
      </c>
      <c r="L1025" s="369">
        <f t="shared" si="175"/>
        <v>0</v>
      </c>
      <c r="M1025" s="369">
        <f t="shared" si="176"/>
        <v>0</v>
      </c>
      <c r="N1025" s="459">
        <f t="shared" si="177"/>
        <v>0</v>
      </c>
    </row>
    <row r="1026" spans="1:14" ht="13.2" customHeight="1" x14ac:dyDescent="0.3">
      <c r="A1026" s="365">
        <f t="shared" si="178"/>
        <v>19</v>
      </c>
      <c r="B1026" s="366" t="s">
        <v>2327</v>
      </c>
      <c r="C1026" s="362"/>
      <c r="D1026" s="362"/>
      <c r="E1026" s="368" t="s">
        <v>235</v>
      </c>
      <c r="F1026" s="535"/>
      <c r="G1026" s="535"/>
      <c r="H1026" s="538"/>
      <c r="I1026" s="369">
        <f t="shared" si="174"/>
        <v>0</v>
      </c>
      <c r="J1026" s="369">
        <f>'D 10 Finishing'!K65</f>
        <v>745180</v>
      </c>
      <c r="K1026" s="369">
        <v>197150</v>
      </c>
      <c r="L1026" s="372">
        <f t="shared" si="175"/>
        <v>0</v>
      </c>
      <c r="M1026" s="372">
        <f t="shared" si="176"/>
        <v>0</v>
      </c>
      <c r="N1026" s="460">
        <f t="shared" si="177"/>
        <v>0</v>
      </c>
    </row>
    <row r="1027" spans="1:14" ht="13.2" customHeight="1" x14ac:dyDescent="0.3">
      <c r="A1027" s="365">
        <f t="shared" si="178"/>
        <v>20</v>
      </c>
      <c r="B1027" s="366" t="s">
        <v>2328</v>
      </c>
      <c r="C1027" s="362"/>
      <c r="D1027" s="362"/>
      <c r="E1027" s="368" t="s">
        <v>235</v>
      </c>
      <c r="F1027" s="535"/>
      <c r="G1027" s="535"/>
      <c r="H1027" s="538"/>
      <c r="I1027" s="369">
        <f t="shared" si="174"/>
        <v>0</v>
      </c>
      <c r="J1027" s="369">
        <f>'D 10 Finishing'!K69</f>
        <v>487730</v>
      </c>
      <c r="K1027" s="369">
        <v>197150</v>
      </c>
      <c r="L1027" s="372">
        <f t="shared" si="175"/>
        <v>0</v>
      </c>
      <c r="M1027" s="372">
        <f t="shared" si="176"/>
        <v>0</v>
      </c>
      <c r="N1027" s="460">
        <f t="shared" si="177"/>
        <v>0</v>
      </c>
    </row>
    <row r="1028" spans="1:14" ht="13.2" customHeight="1" x14ac:dyDescent="0.3">
      <c r="A1028" s="365">
        <f t="shared" si="178"/>
        <v>21</v>
      </c>
      <c r="B1028" s="366" t="s">
        <v>2329</v>
      </c>
      <c r="C1028" s="362"/>
      <c r="D1028" s="362"/>
      <c r="E1028" s="368" t="s">
        <v>235</v>
      </c>
      <c r="F1028" s="535"/>
      <c r="G1028" s="535"/>
      <c r="H1028" s="538"/>
      <c r="I1028" s="369">
        <f t="shared" si="174"/>
        <v>0</v>
      </c>
      <c r="J1028" s="369">
        <f>'D 10 Finishing'!K73</f>
        <v>450210</v>
      </c>
      <c r="K1028" s="369">
        <v>197150</v>
      </c>
      <c r="L1028" s="372">
        <f t="shared" si="175"/>
        <v>0</v>
      </c>
      <c r="M1028" s="372">
        <f t="shared" si="176"/>
        <v>0</v>
      </c>
      <c r="N1028" s="460">
        <f t="shared" si="177"/>
        <v>0</v>
      </c>
    </row>
    <row r="1029" spans="1:14" ht="13.2" customHeight="1" x14ac:dyDescent="0.3">
      <c r="A1029" s="365">
        <f t="shared" si="178"/>
        <v>22</v>
      </c>
      <c r="B1029" s="366" t="s">
        <v>2330</v>
      </c>
      <c r="C1029" s="362"/>
      <c r="D1029" s="362"/>
      <c r="E1029" s="368" t="s">
        <v>235</v>
      </c>
      <c r="F1029" s="535"/>
      <c r="G1029" s="535"/>
      <c r="H1029" s="538"/>
      <c r="I1029" s="369">
        <f t="shared" si="174"/>
        <v>0</v>
      </c>
      <c r="J1029" s="369">
        <f>'D 10 Finishing'!K77</f>
        <v>294580</v>
      </c>
      <c r="K1029" s="369">
        <v>197150</v>
      </c>
      <c r="L1029" s="372">
        <f t="shared" si="175"/>
        <v>0</v>
      </c>
      <c r="M1029" s="372">
        <f t="shared" si="176"/>
        <v>0</v>
      </c>
      <c r="N1029" s="460">
        <f t="shared" si="177"/>
        <v>0</v>
      </c>
    </row>
    <row r="1030" spans="1:14" ht="13.2" customHeight="1" x14ac:dyDescent="0.3">
      <c r="A1030" s="365">
        <f t="shared" si="178"/>
        <v>23</v>
      </c>
      <c r="B1030" s="366" t="s">
        <v>2331</v>
      </c>
      <c r="C1030" s="362"/>
      <c r="D1030" s="362"/>
      <c r="E1030" s="368" t="s">
        <v>235</v>
      </c>
      <c r="F1030" s="538"/>
      <c r="G1030" s="538"/>
      <c r="H1030" s="535"/>
      <c r="I1030" s="369">
        <f t="shared" si="174"/>
        <v>0</v>
      </c>
      <c r="J1030" s="369">
        <f>'D 10 Finishing'!K81</f>
        <v>209900</v>
      </c>
      <c r="K1030" s="369">
        <v>197150</v>
      </c>
      <c r="L1030" s="372">
        <f t="shared" si="175"/>
        <v>0</v>
      </c>
      <c r="M1030" s="372">
        <f t="shared" si="176"/>
        <v>0</v>
      </c>
      <c r="N1030" s="460">
        <f t="shared" si="177"/>
        <v>0</v>
      </c>
    </row>
    <row r="1031" spans="1:14" ht="13.2" customHeight="1" x14ac:dyDescent="0.3">
      <c r="A1031" s="365">
        <f t="shared" si="178"/>
        <v>24</v>
      </c>
      <c r="B1031" s="366" t="s">
        <v>2332</v>
      </c>
      <c r="C1031" s="362"/>
      <c r="D1031" s="362"/>
      <c r="E1031" s="368" t="s">
        <v>235</v>
      </c>
      <c r="F1031" s="538"/>
      <c r="G1031" s="538"/>
      <c r="H1031" s="535"/>
      <c r="I1031" s="369">
        <f t="shared" si="174"/>
        <v>0</v>
      </c>
      <c r="J1031" s="369">
        <f>'D 10 Finishing'!K85</f>
        <v>171730</v>
      </c>
      <c r="K1031" s="369">
        <v>197150</v>
      </c>
      <c r="L1031" s="372">
        <f t="shared" si="175"/>
        <v>0</v>
      </c>
      <c r="M1031" s="372">
        <f t="shared" si="176"/>
        <v>0</v>
      </c>
      <c r="N1031" s="460">
        <f t="shared" si="177"/>
        <v>0</v>
      </c>
    </row>
    <row r="1032" spans="1:14" ht="13.2" customHeight="1" x14ac:dyDescent="0.3">
      <c r="A1032" s="365">
        <f t="shared" si="178"/>
        <v>25</v>
      </c>
      <c r="B1032" s="366" t="s">
        <v>1971</v>
      </c>
      <c r="C1032" s="362"/>
      <c r="D1032" s="362"/>
      <c r="E1032" s="368" t="s">
        <v>203</v>
      </c>
      <c r="F1032" s="538"/>
      <c r="G1032" s="535"/>
      <c r="H1032" s="538"/>
      <c r="I1032" s="369">
        <f t="shared" si="174"/>
        <v>0</v>
      </c>
      <c r="J1032" s="369">
        <f>'D 10 Finishing'!K89</f>
        <v>320680</v>
      </c>
      <c r="K1032" s="369">
        <v>650720</v>
      </c>
      <c r="L1032" s="369">
        <f t="shared" si="175"/>
        <v>0</v>
      </c>
      <c r="M1032" s="369">
        <f t="shared" si="176"/>
        <v>0</v>
      </c>
      <c r="N1032" s="459">
        <f t="shared" si="177"/>
        <v>0</v>
      </c>
    </row>
    <row r="1033" spans="1:14" ht="13.2" customHeight="1" x14ac:dyDescent="0.3">
      <c r="A1033" s="365">
        <f t="shared" si="178"/>
        <v>26</v>
      </c>
      <c r="B1033" s="366" t="s">
        <v>1972</v>
      </c>
      <c r="C1033" s="362"/>
      <c r="D1033" s="362"/>
      <c r="E1033" s="368" t="s">
        <v>203</v>
      </c>
      <c r="F1033" s="538"/>
      <c r="G1033" s="535"/>
      <c r="H1033" s="538"/>
      <c r="I1033" s="369">
        <f t="shared" si="174"/>
        <v>0</v>
      </c>
      <c r="J1033" s="369">
        <f>'D 10 Finishing'!K93</f>
        <v>668080</v>
      </c>
      <c r="K1033" s="369">
        <v>1130710</v>
      </c>
      <c r="L1033" s="369">
        <f t="shared" si="175"/>
        <v>0</v>
      </c>
      <c r="M1033" s="369">
        <f t="shared" si="176"/>
        <v>0</v>
      </c>
      <c r="N1033" s="459">
        <f t="shared" si="177"/>
        <v>0</v>
      </c>
    </row>
    <row r="1034" spans="1:14" ht="13.2" customHeight="1" x14ac:dyDescent="0.3">
      <c r="A1034" s="365">
        <f t="shared" si="178"/>
        <v>27</v>
      </c>
      <c r="B1034" s="366" t="s">
        <v>1810</v>
      </c>
      <c r="C1034" s="362"/>
      <c r="D1034" s="362"/>
      <c r="E1034" s="368" t="s">
        <v>235</v>
      </c>
      <c r="F1034" s="535"/>
      <c r="G1034" s="535"/>
      <c r="H1034" s="538"/>
      <c r="I1034" s="369">
        <f t="shared" si="174"/>
        <v>0</v>
      </c>
      <c r="J1034" s="369">
        <f>'D 10 Finishing'!K108</f>
        <v>391870</v>
      </c>
      <c r="K1034" s="369">
        <v>166440</v>
      </c>
      <c r="L1034" s="369">
        <f t="shared" si="175"/>
        <v>0</v>
      </c>
      <c r="M1034" s="369">
        <f t="shared" si="176"/>
        <v>0</v>
      </c>
      <c r="N1034" s="459">
        <f t="shared" si="177"/>
        <v>0</v>
      </c>
    </row>
    <row r="1035" spans="1:14" ht="13.2" customHeight="1" x14ac:dyDescent="0.3">
      <c r="A1035" s="365">
        <f t="shared" si="178"/>
        <v>28</v>
      </c>
      <c r="B1035" s="366" t="s">
        <v>1811</v>
      </c>
      <c r="C1035" s="362"/>
      <c r="D1035" s="362"/>
      <c r="E1035" s="368" t="s">
        <v>235</v>
      </c>
      <c r="F1035" s="535"/>
      <c r="G1035" s="535"/>
      <c r="H1035" s="538"/>
      <c r="I1035" s="369">
        <f t="shared" si="174"/>
        <v>0</v>
      </c>
      <c r="J1035" s="369">
        <f>'D 10 Finishing'!K117</f>
        <v>306280</v>
      </c>
      <c r="K1035" s="369">
        <v>142660</v>
      </c>
      <c r="L1035" s="369">
        <f t="shared" si="175"/>
        <v>0</v>
      </c>
      <c r="M1035" s="369">
        <f t="shared" si="176"/>
        <v>0</v>
      </c>
      <c r="N1035" s="459">
        <f t="shared" si="177"/>
        <v>0</v>
      </c>
    </row>
    <row r="1036" spans="1:14" ht="13.2" customHeight="1" x14ac:dyDescent="0.3">
      <c r="A1036" s="365">
        <f t="shared" si="178"/>
        <v>29</v>
      </c>
      <c r="B1036" s="366" t="s">
        <v>1812</v>
      </c>
      <c r="C1036" s="362"/>
      <c r="D1036" s="362"/>
      <c r="E1036" s="368" t="s">
        <v>235</v>
      </c>
      <c r="F1036" s="535"/>
      <c r="G1036" s="535"/>
      <c r="H1036" s="538"/>
      <c r="I1036" s="369">
        <f t="shared" si="174"/>
        <v>0</v>
      </c>
      <c r="J1036" s="369">
        <f>'D 10 Finishing'!K126</f>
        <v>283370</v>
      </c>
      <c r="K1036" s="369">
        <v>124830</v>
      </c>
      <c r="L1036" s="369">
        <f t="shared" si="175"/>
        <v>0</v>
      </c>
      <c r="M1036" s="369">
        <f t="shared" si="176"/>
        <v>0</v>
      </c>
      <c r="N1036" s="459">
        <f t="shared" si="177"/>
        <v>0</v>
      </c>
    </row>
    <row r="1037" spans="1:14" ht="13.2" customHeight="1" x14ac:dyDescent="0.3">
      <c r="A1037" s="365">
        <f t="shared" si="178"/>
        <v>30</v>
      </c>
      <c r="B1037" s="366" t="s">
        <v>1813</v>
      </c>
      <c r="C1037" s="362"/>
      <c r="D1037" s="362"/>
      <c r="E1037" s="368" t="s">
        <v>235</v>
      </c>
      <c r="F1037" s="535"/>
      <c r="G1037" s="535"/>
      <c r="H1037" s="538"/>
      <c r="I1037" s="369">
        <f t="shared" si="174"/>
        <v>0</v>
      </c>
      <c r="J1037" s="369">
        <f>'D 10 Finishing'!K135</f>
        <v>237310</v>
      </c>
      <c r="K1037" s="369">
        <v>124830</v>
      </c>
      <c r="L1037" s="369">
        <f t="shared" si="175"/>
        <v>0</v>
      </c>
      <c r="M1037" s="369">
        <f t="shared" si="176"/>
        <v>0</v>
      </c>
      <c r="N1037" s="459">
        <f t="shared" si="177"/>
        <v>0</v>
      </c>
    </row>
    <row r="1038" spans="1:14" ht="13.2" customHeight="1" x14ac:dyDescent="0.3">
      <c r="A1038" s="365">
        <f t="shared" si="178"/>
        <v>31</v>
      </c>
      <c r="B1038" s="366" t="s">
        <v>1814</v>
      </c>
      <c r="C1038" s="362"/>
      <c r="D1038" s="362"/>
      <c r="E1038" s="368" t="s">
        <v>235</v>
      </c>
      <c r="F1038" s="538"/>
      <c r="G1038" s="538"/>
      <c r="H1038" s="535"/>
      <c r="I1038" s="369">
        <f t="shared" si="174"/>
        <v>0</v>
      </c>
      <c r="J1038" s="369">
        <f>'D 10 Finishing'!K144</f>
        <v>185730</v>
      </c>
      <c r="K1038" s="369">
        <v>99860</v>
      </c>
      <c r="L1038" s="369">
        <f t="shared" si="175"/>
        <v>0</v>
      </c>
      <c r="M1038" s="369">
        <f t="shared" si="176"/>
        <v>0</v>
      </c>
      <c r="N1038" s="459">
        <f t="shared" si="177"/>
        <v>0</v>
      </c>
    </row>
    <row r="1039" spans="1:14" ht="13.2" customHeight="1" x14ac:dyDescent="0.3">
      <c r="A1039" s="365">
        <f t="shared" si="178"/>
        <v>32</v>
      </c>
      <c r="B1039" s="366" t="s">
        <v>1815</v>
      </c>
      <c r="C1039" s="362"/>
      <c r="D1039" s="362"/>
      <c r="E1039" s="368" t="s">
        <v>235</v>
      </c>
      <c r="F1039" s="538"/>
      <c r="G1039" s="538"/>
      <c r="H1039" s="535"/>
      <c r="I1039" s="369">
        <f t="shared" si="174"/>
        <v>0</v>
      </c>
      <c r="J1039" s="369">
        <f>'D 10 Finishing'!K153</f>
        <v>146230</v>
      </c>
      <c r="K1039" s="369">
        <v>76820</v>
      </c>
      <c r="L1039" s="369">
        <f t="shared" si="175"/>
        <v>0</v>
      </c>
      <c r="M1039" s="369">
        <f t="shared" si="176"/>
        <v>0</v>
      </c>
      <c r="N1039" s="459">
        <f t="shared" si="177"/>
        <v>0</v>
      </c>
    </row>
    <row r="1040" spans="1:14" ht="13.2" customHeight="1" x14ac:dyDescent="0.3">
      <c r="A1040" s="365">
        <f t="shared" si="178"/>
        <v>33</v>
      </c>
      <c r="B1040" s="366" t="s">
        <v>1889</v>
      </c>
      <c r="C1040" s="362"/>
      <c r="D1040" s="362"/>
      <c r="E1040" s="368" t="s">
        <v>203</v>
      </c>
      <c r="F1040" s="538"/>
      <c r="G1040" s="535"/>
      <c r="H1040" s="538"/>
      <c r="I1040" s="369">
        <f t="shared" si="174"/>
        <v>0</v>
      </c>
      <c r="J1040" s="369">
        <f>'D 10 Finishing'!K158</f>
        <v>133040</v>
      </c>
      <c r="K1040" s="369">
        <v>142660</v>
      </c>
      <c r="L1040" s="369">
        <f t="shared" si="175"/>
        <v>0</v>
      </c>
      <c r="M1040" s="369">
        <f t="shared" si="176"/>
        <v>0</v>
      </c>
      <c r="N1040" s="459">
        <f t="shared" si="177"/>
        <v>0</v>
      </c>
    </row>
    <row r="1041" spans="1:14" ht="13.2" customHeight="1" x14ac:dyDescent="0.3">
      <c r="A1041" s="365">
        <f t="shared" si="178"/>
        <v>34</v>
      </c>
      <c r="B1041" s="366" t="s">
        <v>1890</v>
      </c>
      <c r="C1041" s="362"/>
      <c r="D1041" s="362"/>
      <c r="E1041" s="368" t="s">
        <v>203</v>
      </c>
      <c r="F1041" s="538"/>
      <c r="G1041" s="535"/>
      <c r="H1041" s="538"/>
      <c r="I1041" s="369">
        <f t="shared" si="174"/>
        <v>0</v>
      </c>
      <c r="J1041" s="369">
        <f>'D 10 Finishing'!K163</f>
        <v>94080</v>
      </c>
      <c r="K1041" s="369">
        <v>110960</v>
      </c>
      <c r="L1041" s="369">
        <f t="shared" si="175"/>
        <v>0</v>
      </c>
      <c r="M1041" s="369">
        <f t="shared" si="176"/>
        <v>0</v>
      </c>
      <c r="N1041" s="459">
        <f t="shared" si="177"/>
        <v>0</v>
      </c>
    </row>
    <row r="1042" spans="1:14" ht="13.2" customHeight="1" x14ac:dyDescent="0.3">
      <c r="A1042" s="365">
        <f t="shared" si="178"/>
        <v>35</v>
      </c>
      <c r="B1042" s="366" t="s">
        <v>1816</v>
      </c>
      <c r="C1042" s="362"/>
      <c r="D1042" s="362"/>
      <c r="E1042" s="368" t="s">
        <v>203</v>
      </c>
      <c r="F1042" s="538"/>
      <c r="G1042" s="538"/>
      <c r="H1042" s="535"/>
      <c r="I1042" s="369">
        <f t="shared" si="174"/>
        <v>0</v>
      </c>
      <c r="J1042" s="369">
        <v>0</v>
      </c>
      <c r="K1042" s="369">
        <v>13960</v>
      </c>
      <c r="L1042" s="369">
        <f t="shared" si="175"/>
        <v>0</v>
      </c>
      <c r="M1042" s="369">
        <f t="shared" si="176"/>
        <v>0</v>
      </c>
      <c r="N1042" s="459">
        <f t="shared" si="177"/>
        <v>0</v>
      </c>
    </row>
    <row r="1043" spans="1:14" ht="13.2" customHeight="1" x14ac:dyDescent="0.3">
      <c r="A1043" s="365">
        <f t="shared" si="178"/>
        <v>36</v>
      </c>
      <c r="B1043" s="366" t="s">
        <v>1817</v>
      </c>
      <c r="C1043" s="362"/>
      <c r="D1043" s="362"/>
      <c r="E1043" s="368" t="s">
        <v>203</v>
      </c>
      <c r="F1043" s="538"/>
      <c r="G1043" s="535"/>
      <c r="H1043" s="538"/>
      <c r="I1043" s="369">
        <f t="shared" si="174"/>
        <v>0</v>
      </c>
      <c r="J1043" s="369">
        <v>0</v>
      </c>
      <c r="K1043" s="369">
        <v>20940</v>
      </c>
      <c r="L1043" s="369">
        <f t="shared" si="175"/>
        <v>0</v>
      </c>
      <c r="M1043" s="369">
        <f t="shared" si="176"/>
        <v>0</v>
      </c>
      <c r="N1043" s="459">
        <f t="shared" si="177"/>
        <v>0</v>
      </c>
    </row>
    <row r="1044" spans="1:14" ht="13.2" customHeight="1" x14ac:dyDescent="0.3">
      <c r="A1044" s="365">
        <f t="shared" si="178"/>
        <v>37</v>
      </c>
      <c r="B1044" s="366" t="s">
        <v>1808</v>
      </c>
      <c r="C1044" s="362"/>
      <c r="D1044" s="362"/>
      <c r="E1044" s="368" t="s">
        <v>1888</v>
      </c>
      <c r="F1044" s="535"/>
      <c r="G1044" s="535"/>
      <c r="H1044" s="535"/>
      <c r="I1044" s="369">
        <f t="shared" si="174"/>
        <v>0</v>
      </c>
      <c r="J1044" s="369">
        <v>0</v>
      </c>
      <c r="K1044" s="369">
        <v>161074.75</v>
      </c>
      <c r="L1044" s="369">
        <f t="shared" si="175"/>
        <v>0</v>
      </c>
      <c r="M1044" s="369">
        <f t="shared" si="176"/>
        <v>0</v>
      </c>
      <c r="N1044" s="459">
        <f t="shared" si="177"/>
        <v>0</v>
      </c>
    </row>
    <row r="1045" spans="1:14" ht="13.2" customHeight="1" x14ac:dyDescent="0.3">
      <c r="A1045" s="365">
        <f t="shared" si="178"/>
        <v>38</v>
      </c>
      <c r="B1045" s="366" t="s">
        <v>1809</v>
      </c>
      <c r="C1045" s="362"/>
      <c r="D1045" s="362"/>
      <c r="E1045" s="368" t="s">
        <v>1888</v>
      </c>
      <c r="F1045" s="535"/>
      <c r="G1045" s="535"/>
      <c r="H1045" s="535"/>
      <c r="I1045" s="369">
        <f t="shared" si="174"/>
        <v>0</v>
      </c>
      <c r="J1045" s="369">
        <v>0</v>
      </c>
      <c r="K1045" s="369">
        <v>107380</v>
      </c>
      <c r="L1045" s="369">
        <f t="shared" si="175"/>
        <v>0</v>
      </c>
      <c r="M1045" s="369">
        <f t="shared" si="176"/>
        <v>0</v>
      </c>
      <c r="N1045" s="459">
        <f t="shared" si="177"/>
        <v>0</v>
      </c>
    </row>
    <row r="1046" spans="1:14" ht="13.2" customHeight="1" x14ac:dyDescent="0.3">
      <c r="A1046" s="365">
        <f t="shared" si="178"/>
        <v>39</v>
      </c>
      <c r="B1046" s="366" t="s">
        <v>1818</v>
      </c>
      <c r="C1046" s="362"/>
      <c r="D1046" s="362"/>
      <c r="E1046" s="368" t="s">
        <v>399</v>
      </c>
      <c r="F1046" s="538"/>
      <c r="G1046" s="535"/>
      <c r="H1046" s="538"/>
      <c r="I1046" s="369">
        <f t="shared" si="174"/>
        <v>0</v>
      </c>
      <c r="J1046" s="369">
        <v>0</v>
      </c>
      <c r="K1046" s="369">
        <v>161070</v>
      </c>
      <c r="L1046" s="369">
        <f t="shared" si="175"/>
        <v>0</v>
      </c>
      <c r="M1046" s="369">
        <f t="shared" si="176"/>
        <v>0</v>
      </c>
      <c r="N1046" s="459">
        <f t="shared" si="177"/>
        <v>0</v>
      </c>
    </row>
    <row r="1047" spans="1:14" ht="13.2" customHeight="1" x14ac:dyDescent="0.3">
      <c r="A1047" s="365">
        <f t="shared" si="178"/>
        <v>40</v>
      </c>
      <c r="B1047" s="366" t="s">
        <v>1891</v>
      </c>
      <c r="C1047" s="362"/>
      <c r="D1047" s="362"/>
      <c r="E1047" s="368" t="s">
        <v>1888</v>
      </c>
      <c r="F1047" s="535"/>
      <c r="G1047" s="535"/>
      <c r="H1047" s="535"/>
      <c r="I1047" s="369">
        <f t="shared" si="174"/>
        <v>0</v>
      </c>
      <c r="J1047" s="369">
        <v>0</v>
      </c>
      <c r="K1047" s="369">
        <v>34230</v>
      </c>
      <c r="L1047" s="369">
        <f t="shared" si="175"/>
        <v>0</v>
      </c>
      <c r="M1047" s="369">
        <f t="shared" si="176"/>
        <v>0</v>
      </c>
      <c r="N1047" s="459">
        <f t="shared" si="177"/>
        <v>0</v>
      </c>
    </row>
    <row r="1048" spans="1:14" ht="13.2" customHeight="1" x14ac:dyDescent="0.3">
      <c r="A1048" s="365">
        <f t="shared" si="178"/>
        <v>41</v>
      </c>
      <c r="B1048" s="366" t="s">
        <v>1894</v>
      </c>
      <c r="C1048" s="362"/>
      <c r="D1048" s="362"/>
      <c r="E1048" s="368" t="s">
        <v>1639</v>
      </c>
      <c r="F1048" s="535"/>
      <c r="G1048" s="535"/>
      <c r="H1048" s="535"/>
      <c r="I1048" s="369">
        <f t="shared" si="174"/>
        <v>0</v>
      </c>
      <c r="J1048" s="369">
        <v>0</v>
      </c>
      <c r="K1048" s="369">
        <v>233300</v>
      </c>
      <c r="L1048" s="369">
        <f t="shared" si="175"/>
        <v>0</v>
      </c>
      <c r="M1048" s="369">
        <f t="shared" si="176"/>
        <v>0</v>
      </c>
      <c r="N1048" s="459">
        <f t="shared" si="177"/>
        <v>0</v>
      </c>
    </row>
    <row r="1049" spans="1:14" ht="13.2" customHeight="1" x14ac:dyDescent="0.3">
      <c r="A1049" s="365">
        <f t="shared" si="178"/>
        <v>42</v>
      </c>
      <c r="B1049" s="366" t="s">
        <v>1893</v>
      </c>
      <c r="C1049" s="362"/>
      <c r="D1049" s="362"/>
      <c r="E1049" s="368" t="s">
        <v>1639</v>
      </c>
      <c r="F1049" s="535"/>
      <c r="G1049" s="535"/>
      <c r="H1049" s="535"/>
      <c r="I1049" s="369">
        <f t="shared" si="174"/>
        <v>0</v>
      </c>
      <c r="J1049" s="369">
        <v>0</v>
      </c>
      <c r="K1049" s="369">
        <v>164300</v>
      </c>
      <c r="L1049" s="369">
        <f t="shared" si="175"/>
        <v>0</v>
      </c>
      <c r="M1049" s="369">
        <f t="shared" si="176"/>
        <v>0</v>
      </c>
      <c r="N1049" s="459">
        <f t="shared" si="177"/>
        <v>0</v>
      </c>
    </row>
    <row r="1050" spans="1:14" ht="13.2" customHeight="1" x14ac:dyDescent="0.3">
      <c r="A1050" s="365">
        <f t="shared" si="178"/>
        <v>43</v>
      </c>
      <c r="B1050" s="366" t="s">
        <v>1819</v>
      </c>
      <c r="C1050" s="362"/>
      <c r="D1050" s="362"/>
      <c r="E1050" s="368" t="s">
        <v>642</v>
      </c>
      <c r="F1050" s="529">
        <f>SUM(F47:F75)/1000</f>
        <v>0</v>
      </c>
      <c r="G1050" s="534"/>
      <c r="H1050" s="534"/>
      <c r="I1050" s="461">
        <f t="shared" si="174"/>
        <v>0</v>
      </c>
      <c r="J1050" s="369">
        <v>0</v>
      </c>
      <c r="K1050" s="369">
        <v>1314340</v>
      </c>
      <c r="L1050" s="369">
        <f t="shared" si="175"/>
        <v>0</v>
      </c>
      <c r="M1050" s="369">
        <f t="shared" si="176"/>
        <v>0</v>
      </c>
      <c r="N1050" s="459">
        <f t="shared" si="177"/>
        <v>0</v>
      </c>
    </row>
    <row r="1051" spans="1:14" ht="13.2" customHeight="1" x14ac:dyDescent="0.3">
      <c r="A1051" s="365">
        <f t="shared" si="178"/>
        <v>44</v>
      </c>
      <c r="B1051" s="366" t="s">
        <v>1820</v>
      </c>
      <c r="C1051" s="362"/>
      <c r="D1051" s="362"/>
      <c r="E1051" s="368" t="s">
        <v>642</v>
      </c>
      <c r="F1051" s="534"/>
      <c r="G1051" s="534"/>
      <c r="H1051" s="529">
        <f>SUM(H81:H92)/1000</f>
        <v>0</v>
      </c>
      <c r="I1051" s="461">
        <f t="shared" si="174"/>
        <v>0</v>
      </c>
      <c r="J1051" s="369">
        <v>0</v>
      </c>
      <c r="K1051" s="369">
        <v>1314340</v>
      </c>
      <c r="L1051" s="369">
        <f t="shared" si="175"/>
        <v>0</v>
      </c>
      <c r="M1051" s="369">
        <f t="shared" si="176"/>
        <v>0</v>
      </c>
      <c r="N1051" s="459">
        <f t="shared" si="177"/>
        <v>0</v>
      </c>
    </row>
    <row r="1052" spans="1:14" ht="13.2" customHeight="1" x14ac:dyDescent="0.3">
      <c r="A1052" s="365">
        <f t="shared" si="178"/>
        <v>45</v>
      </c>
      <c r="B1052" s="370" t="s">
        <v>1821</v>
      </c>
      <c r="C1052" s="371"/>
      <c r="D1052" s="371"/>
      <c r="E1052" s="367" t="s">
        <v>1896</v>
      </c>
      <c r="F1052" s="538"/>
      <c r="G1052" s="535">
        <f>SUM(G38:G41,G43:G46,G99:G110)</f>
        <v>0</v>
      </c>
      <c r="H1052" s="538"/>
      <c r="I1052" s="372">
        <f t="shared" si="174"/>
        <v>0</v>
      </c>
      <c r="J1052" s="372">
        <v>0</v>
      </c>
      <c r="K1052" s="372">
        <v>1314340</v>
      </c>
      <c r="L1052" s="369">
        <f t="shared" si="175"/>
        <v>0</v>
      </c>
      <c r="M1052" s="369">
        <f t="shared" si="176"/>
        <v>0</v>
      </c>
      <c r="N1052" s="459">
        <f t="shared" si="177"/>
        <v>0</v>
      </c>
    </row>
    <row r="1053" spans="1:14" ht="13.2" customHeight="1" x14ac:dyDescent="0.3">
      <c r="A1053" s="365">
        <f t="shared" si="178"/>
        <v>46</v>
      </c>
      <c r="B1053" s="370" t="s">
        <v>1897</v>
      </c>
      <c r="C1053" s="371"/>
      <c r="D1053" s="371"/>
      <c r="E1053" s="367" t="s">
        <v>1639</v>
      </c>
      <c r="F1053" s="527"/>
      <c r="G1053" s="527"/>
      <c r="H1053" s="527"/>
      <c r="I1053" s="372">
        <f t="shared" si="174"/>
        <v>0</v>
      </c>
      <c r="J1053" s="372">
        <v>0</v>
      </c>
      <c r="K1053" s="372">
        <v>22180</v>
      </c>
      <c r="L1053" s="369">
        <f t="shared" si="175"/>
        <v>0</v>
      </c>
      <c r="M1053" s="369">
        <f t="shared" si="176"/>
        <v>0</v>
      </c>
      <c r="N1053" s="459">
        <f t="shared" si="177"/>
        <v>0</v>
      </c>
    </row>
    <row r="1054" spans="1:14" ht="13.2" customHeight="1" x14ac:dyDescent="0.3">
      <c r="A1054" s="365">
        <f t="shared" si="178"/>
        <v>47</v>
      </c>
      <c r="B1054" s="370" t="s">
        <v>1898</v>
      </c>
      <c r="C1054" s="371"/>
      <c r="D1054" s="371"/>
      <c r="E1054" s="367" t="s">
        <v>235</v>
      </c>
      <c r="F1054" s="527"/>
      <c r="G1054" s="527"/>
      <c r="H1054" s="527"/>
      <c r="I1054" s="372">
        <f t="shared" si="174"/>
        <v>0</v>
      </c>
      <c r="J1054" s="372">
        <v>0</v>
      </c>
      <c r="K1054" s="372">
        <v>27930</v>
      </c>
      <c r="L1054" s="369">
        <f t="shared" si="175"/>
        <v>0</v>
      </c>
      <c r="M1054" s="369">
        <f t="shared" si="176"/>
        <v>0</v>
      </c>
      <c r="N1054" s="459">
        <f t="shared" si="177"/>
        <v>0</v>
      </c>
    </row>
    <row r="1055" spans="1:14" ht="13.2" customHeight="1" x14ac:dyDescent="0.3">
      <c r="A1055" s="365">
        <f t="shared" si="178"/>
        <v>48</v>
      </c>
      <c r="B1055" s="389" t="s">
        <v>1899</v>
      </c>
      <c r="C1055" s="390"/>
      <c r="D1055" s="390"/>
      <c r="E1055" s="391" t="s">
        <v>399</v>
      </c>
      <c r="F1055" s="577"/>
      <c r="G1055" s="573"/>
      <c r="H1055" s="577"/>
      <c r="I1055" s="409">
        <f t="shared" si="174"/>
        <v>0</v>
      </c>
      <c r="J1055" s="409">
        <v>0</v>
      </c>
      <c r="K1055" s="409">
        <v>147860</v>
      </c>
      <c r="L1055" s="369">
        <f t="shared" si="175"/>
        <v>0</v>
      </c>
      <c r="M1055" s="369">
        <f t="shared" si="176"/>
        <v>0</v>
      </c>
      <c r="N1055" s="459">
        <f t="shared" si="177"/>
        <v>0</v>
      </c>
    </row>
    <row r="1056" spans="1:14" ht="14.4" customHeight="1" x14ac:dyDescent="0.3">
      <c r="A1056" s="485"/>
      <c r="B1056" s="486" t="s">
        <v>1823</v>
      </c>
      <c r="C1056" s="487"/>
      <c r="D1056" s="487"/>
      <c r="E1056" s="487"/>
      <c r="F1056" s="487"/>
      <c r="G1056" s="487"/>
      <c r="H1056" s="487"/>
      <c r="I1056" s="511"/>
      <c r="J1056" s="553"/>
      <c r="K1056" s="554"/>
      <c r="L1056" s="543">
        <f t="shared" ref="L1056:N1056" si="179">SUM(L1008:L1055)</f>
        <v>0</v>
      </c>
      <c r="M1056" s="543">
        <f t="shared" si="179"/>
        <v>0</v>
      </c>
      <c r="N1056" s="544">
        <f t="shared" si="179"/>
        <v>0</v>
      </c>
    </row>
    <row r="1057" spans="1:14" ht="13.2" customHeight="1" x14ac:dyDescent="0.3">
      <c r="A1057" s="365" t="s">
        <v>610</v>
      </c>
      <c r="B1057" s="370" t="s">
        <v>1981</v>
      </c>
      <c r="C1057" s="371"/>
      <c r="D1057" s="371"/>
      <c r="E1057" s="506"/>
      <c r="F1057" s="506"/>
      <c r="G1057" s="506"/>
      <c r="H1057" s="506"/>
      <c r="I1057" s="512"/>
      <c r="J1057" s="513"/>
      <c r="K1057" s="555"/>
      <c r="L1057" s="372"/>
      <c r="M1057" s="372"/>
      <c r="N1057" s="460"/>
    </row>
    <row r="1058" spans="1:14" ht="13.2" customHeight="1" x14ac:dyDescent="0.3">
      <c r="A1058" s="365" t="s">
        <v>611</v>
      </c>
      <c r="B1058" s="370" t="s">
        <v>1901</v>
      </c>
      <c r="C1058" s="371"/>
      <c r="D1058" s="371"/>
      <c r="E1058" s="506"/>
      <c r="F1058" s="506"/>
      <c r="G1058" s="506"/>
      <c r="H1058" s="506"/>
      <c r="I1058" s="513"/>
      <c r="J1058" s="513"/>
      <c r="K1058" s="555"/>
      <c r="L1058" s="372"/>
      <c r="M1058" s="372"/>
      <c r="N1058" s="460"/>
    </row>
    <row r="1059" spans="1:14" ht="13.2" customHeight="1" x14ac:dyDescent="0.3">
      <c r="A1059" s="365" t="s">
        <v>612</v>
      </c>
      <c r="B1059" s="370" t="s">
        <v>1902</v>
      </c>
      <c r="C1059" s="371"/>
      <c r="D1059" s="371"/>
      <c r="E1059" s="506"/>
      <c r="F1059" s="506"/>
      <c r="G1059" s="506"/>
      <c r="H1059" s="506"/>
      <c r="I1059" s="513"/>
      <c r="J1059" s="513"/>
      <c r="K1059" s="555"/>
      <c r="L1059" s="372"/>
      <c r="M1059" s="372"/>
      <c r="N1059" s="460"/>
    </row>
    <row r="1060" spans="1:14" ht="13.2" customHeight="1" x14ac:dyDescent="0.3">
      <c r="A1060" s="365" t="s">
        <v>613</v>
      </c>
      <c r="B1060" s="370" t="s">
        <v>1822</v>
      </c>
      <c r="C1060" s="371"/>
      <c r="D1060" s="371"/>
      <c r="E1060" s="506"/>
      <c r="F1060" s="506"/>
      <c r="G1060" s="506"/>
      <c r="H1060" s="506"/>
      <c r="I1060" s="513"/>
      <c r="J1060" s="513"/>
      <c r="K1060" s="555"/>
      <c r="L1060" s="372"/>
      <c r="M1060" s="372"/>
      <c r="N1060" s="460"/>
    </row>
    <row r="1061" spans="1:14" ht="13.2" customHeight="1" thickBot="1" x14ac:dyDescent="0.35">
      <c r="A1061" s="365" t="s">
        <v>614</v>
      </c>
      <c r="B1061" s="370" t="s">
        <v>1903</v>
      </c>
      <c r="C1061" s="371"/>
      <c r="D1061" s="371"/>
      <c r="E1061" s="507"/>
      <c r="F1061" s="507"/>
      <c r="G1061" s="507"/>
      <c r="H1061" s="507"/>
      <c r="I1061" s="514"/>
      <c r="J1061" s="514"/>
      <c r="K1061" s="556"/>
      <c r="L1061" s="557"/>
      <c r="M1061" s="557"/>
      <c r="N1061" s="558"/>
    </row>
    <row r="1062" spans="1:14" ht="13.2" customHeight="1" x14ac:dyDescent="0.3">
      <c r="A1062" s="589" t="s">
        <v>606</v>
      </c>
      <c r="B1062" s="434" t="str">
        <f>B125</f>
        <v>JUMLAH MATERIAL UTAMA  (A)</v>
      </c>
      <c r="C1062" s="434"/>
      <c r="D1062" s="434"/>
      <c r="E1062" s="434"/>
      <c r="F1062" s="434"/>
      <c r="G1062" s="434"/>
      <c r="H1062" s="434"/>
      <c r="I1062" s="434"/>
      <c r="J1062" s="434"/>
      <c r="K1062" s="435"/>
      <c r="L1062" s="436">
        <f>L125</f>
        <v>0</v>
      </c>
      <c r="M1062" s="436">
        <f>M125</f>
        <v>0</v>
      </c>
      <c r="N1062" s="437">
        <f>N125</f>
        <v>0</v>
      </c>
    </row>
    <row r="1063" spans="1:14" ht="13.2" customHeight="1" x14ac:dyDescent="0.3">
      <c r="A1063" s="590" t="s">
        <v>607</v>
      </c>
      <c r="B1063" s="438" t="str">
        <f>B264</f>
        <v>JUMLAH MATERIAL NON UTAMA  (B)</v>
      </c>
      <c r="C1063" s="438"/>
      <c r="D1063" s="438"/>
      <c r="E1063" s="438"/>
      <c r="F1063" s="438"/>
      <c r="G1063" s="438"/>
      <c r="H1063" s="438"/>
      <c r="I1063" s="438"/>
      <c r="J1063" s="438"/>
      <c r="K1063" s="439"/>
      <c r="L1063" s="440">
        <f>L264</f>
        <v>0</v>
      </c>
      <c r="M1063" s="440">
        <f>M264</f>
        <v>0</v>
      </c>
      <c r="N1063" s="441">
        <f>N264</f>
        <v>0</v>
      </c>
    </row>
    <row r="1064" spans="1:14" ht="13.2" customHeight="1" x14ac:dyDescent="0.3">
      <c r="A1064" s="590" t="s">
        <v>608</v>
      </c>
      <c r="B1064" s="438" t="str">
        <f>B539</f>
        <v>JUMLAH PEKERJAAN PERSIAPAN (C)</v>
      </c>
      <c r="C1064" s="438"/>
      <c r="D1064" s="438"/>
      <c r="E1064" s="438"/>
      <c r="F1064" s="438"/>
      <c r="G1064" s="438"/>
      <c r="H1064" s="438"/>
      <c r="I1064" s="438"/>
      <c r="J1064" s="438"/>
      <c r="K1064" s="439"/>
      <c r="L1064" s="440">
        <f>L539</f>
        <v>0</v>
      </c>
      <c r="M1064" s="440">
        <f>M539</f>
        <v>0</v>
      </c>
      <c r="N1064" s="441">
        <f>N539</f>
        <v>0</v>
      </c>
    </row>
    <row r="1065" spans="1:14" ht="13.2" customHeight="1" x14ac:dyDescent="0.3">
      <c r="A1065" s="590" t="s">
        <v>2351</v>
      </c>
      <c r="B1065" s="438" t="str">
        <f>B622</f>
        <v>JUMLAH KONSTRUKSI PENOPANG TIANG DAN KELENGKAPANNYA (D-I)</v>
      </c>
      <c r="C1065" s="438"/>
      <c r="D1065" s="438"/>
      <c r="E1065" s="438"/>
      <c r="F1065" s="438"/>
      <c r="G1065" s="438"/>
      <c r="H1065" s="438"/>
      <c r="I1065" s="438"/>
      <c r="J1065" s="438"/>
      <c r="K1065" s="439"/>
      <c r="L1065" s="440">
        <f>L622</f>
        <v>0</v>
      </c>
      <c r="M1065" s="440">
        <f>M622</f>
        <v>0</v>
      </c>
      <c r="N1065" s="441">
        <f>N622</f>
        <v>0</v>
      </c>
    </row>
    <row r="1066" spans="1:14" ht="13.2" customHeight="1" x14ac:dyDescent="0.3">
      <c r="A1066" s="590" t="s">
        <v>2352</v>
      </c>
      <c r="B1066" s="438" t="str">
        <f>B655</f>
        <v>JUMLAH KONSTRUKSI SALURAN UDARA TEGANGAN MENENGAH (SUTM) - (D-II)</v>
      </c>
      <c r="C1066" s="438"/>
      <c r="D1066" s="438"/>
      <c r="E1066" s="438"/>
      <c r="F1066" s="438"/>
      <c r="G1066" s="438"/>
      <c r="H1066" s="438"/>
      <c r="I1066" s="438"/>
      <c r="J1066" s="438"/>
      <c r="K1066" s="439"/>
      <c r="L1066" s="440">
        <f>L655</f>
        <v>0</v>
      </c>
      <c r="M1066" s="440">
        <f>M655</f>
        <v>0</v>
      </c>
      <c r="N1066" s="441">
        <f>N655</f>
        <v>0</v>
      </c>
    </row>
    <row r="1067" spans="1:14" ht="13.2" customHeight="1" x14ac:dyDescent="0.3">
      <c r="A1067" s="590" t="s">
        <v>2353</v>
      </c>
      <c r="B1067" s="438" t="str">
        <f>B743</f>
        <v>JUMLAH KONSTRUKSI SALURAN KABEL UDARA TEGANGAN MENENGAH (SKUTM) - (D-III)</v>
      </c>
      <c r="C1067" s="438"/>
      <c r="D1067" s="438"/>
      <c r="E1067" s="438"/>
      <c r="F1067" s="438"/>
      <c r="G1067" s="438"/>
      <c r="H1067" s="438"/>
      <c r="I1067" s="438"/>
      <c r="J1067" s="438"/>
      <c r="K1067" s="439"/>
      <c r="L1067" s="440">
        <f>L743</f>
        <v>0</v>
      </c>
      <c r="M1067" s="440">
        <f>M743</f>
        <v>0</v>
      </c>
      <c r="N1067" s="441">
        <f>N743</f>
        <v>0</v>
      </c>
    </row>
    <row r="1068" spans="1:14" ht="13.2" customHeight="1" x14ac:dyDescent="0.3">
      <c r="A1068" s="590" t="s">
        <v>2354</v>
      </c>
      <c r="B1068" s="438" t="str">
        <f>B770</f>
        <v>JUMLAH KONSTRUKSI SALURAN KABEL TANAH TEGANGAN MENENGAH (SKTM) - (D-IV)</v>
      </c>
      <c r="C1068" s="438"/>
      <c r="D1068" s="438"/>
      <c r="E1068" s="438"/>
      <c r="F1068" s="438"/>
      <c r="G1068" s="438"/>
      <c r="H1068" s="438"/>
      <c r="I1068" s="438"/>
      <c r="J1068" s="438"/>
      <c r="K1068" s="439"/>
      <c r="L1068" s="440">
        <f>L770</f>
        <v>0</v>
      </c>
      <c r="M1068" s="440">
        <f>M770</f>
        <v>0</v>
      </c>
      <c r="N1068" s="441">
        <f>N770</f>
        <v>0</v>
      </c>
    </row>
    <row r="1069" spans="1:14" ht="13.2" customHeight="1" x14ac:dyDescent="0.3">
      <c r="A1069" s="590" t="s">
        <v>2355</v>
      </c>
      <c r="B1069" s="438" t="str">
        <f>B882</f>
        <v>JUMLAH KONSTRUKSI GARDU DISTRIBUSI TEGANGAN MENENGAH  (D-V)</v>
      </c>
      <c r="C1069" s="438"/>
      <c r="D1069" s="438"/>
      <c r="E1069" s="438"/>
      <c r="F1069" s="438"/>
      <c r="G1069" s="438"/>
      <c r="H1069" s="438"/>
      <c r="I1069" s="438"/>
      <c r="J1069" s="438"/>
      <c r="K1069" s="439"/>
      <c r="L1069" s="440">
        <f>L882</f>
        <v>0</v>
      </c>
      <c r="M1069" s="440">
        <f t="shared" ref="M1069:N1069" si="180">M882</f>
        <v>0</v>
      </c>
      <c r="N1069" s="441">
        <f t="shared" si="180"/>
        <v>0</v>
      </c>
    </row>
    <row r="1070" spans="1:14" ht="13.2" customHeight="1" x14ac:dyDescent="0.3">
      <c r="A1070" s="590" t="s">
        <v>2356</v>
      </c>
      <c r="B1070" s="438" t="str">
        <f>B894</f>
        <v>JUMLAH KONSTRUKSI SALURAN KABEL UDARA TEGANGAN RENDAH (SKUTR)  (D-VI)</v>
      </c>
      <c r="C1070" s="438"/>
      <c r="D1070" s="438"/>
      <c r="E1070" s="438"/>
      <c r="F1070" s="438"/>
      <c r="G1070" s="438"/>
      <c r="H1070" s="438"/>
      <c r="I1070" s="438"/>
      <c r="J1070" s="438"/>
      <c r="K1070" s="439"/>
      <c r="L1070" s="440">
        <f>L894</f>
        <v>0</v>
      </c>
      <c r="M1070" s="440">
        <f t="shared" ref="M1070:N1070" si="181">M894</f>
        <v>0</v>
      </c>
      <c r="N1070" s="441">
        <f t="shared" si="181"/>
        <v>0</v>
      </c>
    </row>
    <row r="1071" spans="1:14" ht="13.2" customHeight="1" x14ac:dyDescent="0.3">
      <c r="A1071" s="590" t="s">
        <v>2357</v>
      </c>
      <c r="B1071" s="438" t="str">
        <f>B909</f>
        <v>JUMLAH KONSTRUKSI SALURAN KABEL TANAH TEGANGAN RENDAH (SKTR)  (D-VII)</v>
      </c>
      <c r="C1071" s="438"/>
      <c r="D1071" s="438"/>
      <c r="E1071" s="438"/>
      <c r="F1071" s="438"/>
      <c r="G1071" s="438"/>
      <c r="H1071" s="438"/>
      <c r="I1071" s="438"/>
      <c r="J1071" s="438"/>
      <c r="K1071" s="439"/>
      <c r="L1071" s="440">
        <f>L909</f>
        <v>0</v>
      </c>
      <c r="M1071" s="440">
        <f t="shared" ref="M1071:N1071" si="182">M909</f>
        <v>0</v>
      </c>
      <c r="N1071" s="441">
        <f t="shared" si="182"/>
        <v>0</v>
      </c>
    </row>
    <row r="1072" spans="1:14" ht="13.2" customHeight="1" x14ac:dyDescent="0.3">
      <c r="A1072" s="590" t="s">
        <v>2358</v>
      </c>
      <c r="B1072" s="438" t="str">
        <f>B932</f>
        <v>JUMLAH KONSTRUKSI SAMBUNGAN RUMAH (SR) DAN ALAT PEMBATAS &amp; PENGUKUR (APP)  (D-VIII)</v>
      </c>
      <c r="C1072" s="438"/>
      <c r="D1072" s="438"/>
      <c r="E1072" s="438"/>
      <c r="F1072" s="438"/>
      <c r="G1072" s="438"/>
      <c r="H1072" s="438"/>
      <c r="I1072" s="438"/>
      <c r="J1072" s="438"/>
      <c r="K1072" s="439"/>
      <c r="L1072" s="440">
        <f>L932</f>
        <v>0</v>
      </c>
      <c r="M1072" s="440">
        <f t="shared" ref="M1072:N1072" si="183">M932</f>
        <v>0</v>
      </c>
      <c r="N1072" s="441">
        <f t="shared" si="183"/>
        <v>0</v>
      </c>
    </row>
    <row r="1073" spans="1:14" ht="13.2" customHeight="1" x14ac:dyDescent="0.3">
      <c r="A1073" s="590" t="s">
        <v>2359</v>
      </c>
      <c r="B1073" s="438" t="str">
        <f>B983</f>
        <v>JUMLAH KONSTRUKSI PENTANAHAN (GROUNDING)  (D-IX)</v>
      </c>
      <c r="C1073" s="438"/>
      <c r="D1073" s="438"/>
      <c r="E1073" s="438"/>
      <c r="F1073" s="438"/>
      <c r="G1073" s="438"/>
      <c r="H1073" s="438"/>
      <c r="I1073" s="438"/>
      <c r="J1073" s="438"/>
      <c r="K1073" s="439"/>
      <c r="L1073" s="440">
        <f>L983</f>
        <v>0</v>
      </c>
      <c r="M1073" s="440">
        <f t="shared" ref="M1073:N1073" si="184">M983</f>
        <v>0</v>
      </c>
      <c r="N1073" s="441">
        <f t="shared" si="184"/>
        <v>0</v>
      </c>
    </row>
    <row r="1074" spans="1:14" ht="13.2" customHeight="1" x14ac:dyDescent="0.3">
      <c r="A1074" s="590" t="s">
        <v>615</v>
      </c>
      <c r="B1074" s="438" t="str">
        <f>B1005</f>
        <v>JUMLAH TERMINATING DAN JOINTING (E)</v>
      </c>
      <c r="C1074" s="438"/>
      <c r="D1074" s="438"/>
      <c r="E1074" s="438"/>
      <c r="F1074" s="438"/>
      <c r="G1074" s="438"/>
      <c r="H1074" s="438"/>
      <c r="I1074" s="438"/>
      <c r="J1074" s="438"/>
      <c r="K1074" s="439"/>
      <c r="L1074" s="440">
        <f>L1005</f>
        <v>0</v>
      </c>
      <c r="M1074" s="440">
        <f t="shared" ref="M1074:N1074" si="185">M1005</f>
        <v>0</v>
      </c>
      <c r="N1074" s="441">
        <f t="shared" si="185"/>
        <v>0</v>
      </c>
    </row>
    <row r="1075" spans="1:14" ht="13.2" customHeight="1" thickBot="1" x14ac:dyDescent="0.35">
      <c r="A1075" s="591" t="s">
        <v>616</v>
      </c>
      <c r="B1075" s="442" t="str">
        <f>B1056</f>
        <v>JUMLAH PEKERJAAN FINISHING (F)</v>
      </c>
      <c r="C1075" s="442"/>
      <c r="D1075" s="442"/>
      <c r="E1075" s="442"/>
      <c r="F1075" s="442"/>
      <c r="G1075" s="442"/>
      <c r="H1075" s="442"/>
      <c r="I1075" s="442"/>
      <c r="J1075" s="442"/>
      <c r="K1075" s="443"/>
      <c r="L1075" s="444">
        <f>L1056</f>
        <v>0</v>
      </c>
      <c r="M1075" s="444">
        <f t="shared" ref="M1075:N1075" si="186">M1056</f>
        <v>0</v>
      </c>
      <c r="N1075" s="445">
        <f t="shared" si="186"/>
        <v>0</v>
      </c>
    </row>
    <row r="1076" spans="1:14" ht="13.2" customHeight="1" x14ac:dyDescent="0.3">
      <c r="A1076" s="508"/>
      <c r="B1076" s="446" t="s">
        <v>1929</v>
      </c>
      <c r="C1076" s="446"/>
      <c r="D1076" s="446"/>
      <c r="E1076" s="446"/>
      <c r="F1076" s="446"/>
      <c r="G1076" s="446"/>
      <c r="H1076" s="446"/>
      <c r="I1076" s="446"/>
      <c r="J1076" s="446"/>
      <c r="K1076" s="447"/>
      <c r="L1076" s="448">
        <f>SUM(L1062:L1075)</f>
        <v>0</v>
      </c>
      <c r="M1076" s="448">
        <f t="shared" ref="M1076:N1076" si="187">SUM(M1062:M1075)</f>
        <v>0</v>
      </c>
      <c r="N1076" s="449">
        <f t="shared" si="187"/>
        <v>0</v>
      </c>
    </row>
    <row r="1077" spans="1:14" ht="13.2" customHeight="1" x14ac:dyDescent="0.3">
      <c r="A1077" s="509"/>
      <c r="B1077" s="450" t="s">
        <v>1926</v>
      </c>
      <c r="C1077" s="450"/>
      <c r="D1077" s="450"/>
      <c r="E1077" s="450"/>
      <c r="F1077" s="450"/>
      <c r="G1077" s="450"/>
      <c r="H1077" s="450"/>
      <c r="I1077" s="450"/>
      <c r="J1077" s="450"/>
      <c r="K1077" s="451"/>
      <c r="L1077" s="452">
        <f>(L1076*(11/12))</f>
        <v>0</v>
      </c>
      <c r="M1077" s="452">
        <f t="shared" ref="M1077:N1077" si="188">(M1076*(11/12))</f>
        <v>0</v>
      </c>
      <c r="N1077" s="453">
        <f t="shared" si="188"/>
        <v>0</v>
      </c>
    </row>
    <row r="1078" spans="1:14" ht="13.2" customHeight="1" x14ac:dyDescent="0.3">
      <c r="A1078" s="509"/>
      <c r="B1078" s="450" t="s">
        <v>1927</v>
      </c>
      <c r="C1078" s="450"/>
      <c r="D1078" s="450"/>
      <c r="E1078" s="450"/>
      <c r="F1078" s="450"/>
      <c r="G1078" s="450"/>
      <c r="H1078" s="450"/>
      <c r="I1078" s="450"/>
      <c r="J1078" s="450"/>
      <c r="K1078" s="451"/>
      <c r="L1078" s="452">
        <f>ROUND((12%*L1077),-1)</f>
        <v>0</v>
      </c>
      <c r="M1078" s="452">
        <f>ROUND((12%*M1077),-1)</f>
        <v>0</v>
      </c>
      <c r="N1078" s="453">
        <f>ROUND((12%*N1077),-1)</f>
        <v>0</v>
      </c>
    </row>
    <row r="1079" spans="1:14" ht="13.2" customHeight="1" thickBot="1" x14ac:dyDescent="0.35">
      <c r="A1079" s="510"/>
      <c r="B1079" s="454" t="s">
        <v>1928</v>
      </c>
      <c r="C1079" s="454"/>
      <c r="D1079" s="454"/>
      <c r="E1079" s="454"/>
      <c r="F1079" s="454"/>
      <c r="G1079" s="454"/>
      <c r="H1079" s="454"/>
      <c r="I1079" s="454"/>
      <c r="J1079" s="454"/>
      <c r="K1079" s="455"/>
      <c r="L1079" s="456">
        <f>ROUND((L1078+L1076),-3)</f>
        <v>0</v>
      </c>
      <c r="M1079" s="456">
        <f>ROUND((M1078+M1076),-3)</f>
        <v>0</v>
      </c>
      <c r="N1079" s="457">
        <f>ROUND((N1078+N1076),-3)</f>
        <v>0</v>
      </c>
    </row>
    <row r="1080" spans="1:14" ht="7.95" customHeight="1" x14ac:dyDescent="0.3">
      <c r="A1080" s="296"/>
      <c r="B1080" s="296"/>
      <c r="C1080" s="296"/>
      <c r="D1080" s="296"/>
      <c r="E1080" s="296"/>
      <c r="F1080" s="296"/>
      <c r="G1080" s="296"/>
      <c r="H1080" s="296"/>
      <c r="I1080" s="296"/>
      <c r="J1080" s="296"/>
      <c r="K1080" s="296"/>
      <c r="L1080" s="296"/>
      <c r="M1080" s="296"/>
      <c r="N1080" s="296"/>
    </row>
    <row r="1081" spans="1:14" x14ac:dyDescent="0.3">
      <c r="A1081" s="296"/>
      <c r="B1081" s="296"/>
      <c r="C1081" s="296"/>
      <c r="D1081" s="296"/>
      <c r="E1081" s="296"/>
      <c r="F1081" s="296"/>
      <c r="G1081" s="296"/>
      <c r="H1081" s="296"/>
      <c r="I1081" s="296"/>
      <c r="J1081" s="296"/>
      <c r="K1081" s="296"/>
      <c r="L1081" s="296"/>
      <c r="M1081" s="296"/>
      <c r="N1081" s="296"/>
    </row>
    <row r="1082" spans="1:14" x14ac:dyDescent="0.3">
      <c r="A1082" s="297" t="s">
        <v>2349</v>
      </c>
    </row>
  </sheetData>
  <mergeCells count="14">
    <mergeCell ref="A13:A15"/>
    <mergeCell ref="B13:D15"/>
    <mergeCell ref="P13:R13"/>
    <mergeCell ref="T13:T14"/>
    <mergeCell ref="S13:S14"/>
    <mergeCell ref="L13:M13"/>
    <mergeCell ref="N13:N14"/>
    <mergeCell ref="E13:E15"/>
    <mergeCell ref="F13:I13"/>
    <mergeCell ref="I14:I15"/>
    <mergeCell ref="H14:H15"/>
    <mergeCell ref="G14:G15"/>
    <mergeCell ref="F14:F15"/>
    <mergeCell ref="J13:K13"/>
  </mergeCells>
  <phoneticPr fontId="10" type="noConversion"/>
  <conditionalFormatting sqref="Q1:Q12 Q14:Q1048576">
    <cfRule type="containsText" dxfId="5" priority="3" operator="containsText" text="false">
      <formula>NOT(ISERROR(SEARCH("false",Q1)))</formula>
    </cfRule>
  </conditionalFormatting>
  <conditionalFormatting sqref="T1:T13 T15:T1048576">
    <cfRule type="containsText" dxfId="4" priority="2" operator="containsText" text="FALSE">
      <formula>NOT(ISERROR(SEARCH("FALSE",T1)))</formula>
    </cfRule>
  </conditionalFormatting>
  <pageMargins left="0.39370078740157483" right="0.39370078740157483" top="0.39370078740157483" bottom="0.39370078740157483" header="0.31496062992125984" footer="0.31496062992125984"/>
  <pageSetup paperSize="9" scale="51" orientation="portrait" horizontalDpi="0" verticalDpi="0" r:id="rId1"/>
  <headerFooter>
    <oddFooter>&amp;R1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928A-A83E-49C6-A415-F63C23732C0C}">
  <sheetPr>
    <tabColor rgb="FF00B0F0"/>
  </sheetPr>
  <dimension ref="A4:U1082"/>
  <sheetViews>
    <sheetView zoomScale="90" zoomScaleNormal="90" zoomScaleSheetLayoutView="90" workbookViewId="0">
      <pane xSplit="9" ySplit="16" topLeftCell="M1052" activePane="bottomRight" state="frozen"/>
      <selection pane="topRight" activeCell="J1" sqref="J1"/>
      <selection pane="bottomLeft" activeCell="A17" sqref="A17"/>
      <selection pane="bottomRight" activeCell="P1079" sqref="P1079:U1079"/>
    </sheetView>
  </sheetViews>
  <sheetFormatPr defaultColWidth="8.69921875" defaultRowHeight="14.4" x14ac:dyDescent="0.3"/>
  <cols>
    <col min="1" max="1" width="5.19921875" style="297" customWidth="1"/>
    <col min="2" max="2" width="17.69921875" style="297" customWidth="1"/>
    <col min="3" max="3" width="3.3984375" style="297" customWidth="1"/>
    <col min="4" max="4" width="35.5" style="297" customWidth="1"/>
    <col min="5" max="5" width="9.5" style="297" customWidth="1"/>
    <col min="6" max="6" width="7.3984375" style="297" bestFit="1" customWidth="1"/>
    <col min="7" max="8" width="6.19921875" style="297" customWidth="1"/>
    <col min="9" max="9" width="9.3984375" style="297" customWidth="1"/>
    <col min="10" max="10" width="11.5" style="297" bestFit="1" customWidth="1"/>
    <col min="11" max="11" width="12.3984375" style="297" bestFit="1" customWidth="1"/>
    <col min="12" max="14" width="15.3984375" style="297" bestFit="1" customWidth="1"/>
    <col min="15" max="15" width="8.69921875" style="297"/>
    <col min="16" max="19" width="8.19921875" style="297" customWidth="1"/>
    <col min="20" max="20" width="18.8984375" style="297" bestFit="1" customWidth="1"/>
    <col min="21" max="16384" width="8.69921875" style="297"/>
  </cols>
  <sheetData>
    <row r="4" spans="1:20" ht="18" x14ac:dyDescent="0.35">
      <c r="A4" s="458" t="s">
        <v>2350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</row>
    <row r="5" spans="1:20" ht="19.2" customHeight="1" x14ac:dyDescent="0.3">
      <c r="A5" s="352"/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</row>
    <row r="6" spans="1:20" ht="19.2" customHeight="1" x14ac:dyDescent="0.3">
      <c r="A6" s="295" t="str">
        <f>REKAP!B8&amp;REKAP!E8&amp;REKAP!F8</f>
        <v xml:space="preserve">NAMA PEKERJAAN :  UNTUK  LOKASI 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</row>
    <row r="7" spans="1:20" ht="13.95" customHeight="1" x14ac:dyDescent="0.3">
      <c r="A7" s="295" t="str">
        <f>REKAP!B9&amp;REKAP!E9&amp;REKAP!F9</f>
        <v>UNIT : ULP KUPANG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</row>
    <row r="8" spans="1:20" x14ac:dyDescent="0.3">
      <c r="A8" s="298"/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</row>
    <row r="9" spans="1:20" x14ac:dyDescent="0.3">
      <c r="A9" s="298"/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</row>
    <row r="10" spans="1:20" x14ac:dyDescent="0.3">
      <c r="A10" s="298"/>
      <c r="B10" s="298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</row>
    <row r="11" spans="1:20" x14ac:dyDescent="0.3">
      <c r="A11" s="298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</row>
    <row r="12" spans="1:20" ht="15" thickBot="1" x14ac:dyDescent="0.35">
      <c r="A12" s="297" t="s">
        <v>1919</v>
      </c>
    </row>
    <row r="13" spans="1:20" x14ac:dyDescent="0.3">
      <c r="A13" s="593" t="s">
        <v>631</v>
      </c>
      <c r="B13" s="596" t="s">
        <v>632</v>
      </c>
      <c r="C13" s="597"/>
      <c r="D13" s="598"/>
      <c r="E13" s="611" t="s">
        <v>633</v>
      </c>
      <c r="F13" s="614" t="s">
        <v>635</v>
      </c>
      <c r="G13" s="614"/>
      <c r="H13" s="614"/>
      <c r="I13" s="614"/>
      <c r="J13" s="608" t="s">
        <v>634</v>
      </c>
      <c r="K13" s="608"/>
      <c r="L13" s="608" t="s">
        <v>636</v>
      </c>
      <c r="M13" s="608"/>
      <c r="N13" s="609" t="s">
        <v>637</v>
      </c>
      <c r="P13" s="605" t="s">
        <v>2337</v>
      </c>
      <c r="Q13" s="605"/>
      <c r="R13" s="605"/>
      <c r="S13" s="606" t="s">
        <v>2340</v>
      </c>
      <c r="T13" s="605" t="s">
        <v>2338</v>
      </c>
    </row>
    <row r="14" spans="1:20" x14ac:dyDescent="0.3">
      <c r="A14" s="594"/>
      <c r="B14" s="599"/>
      <c r="C14" s="600"/>
      <c r="D14" s="601"/>
      <c r="E14" s="612"/>
      <c r="F14" s="617" t="s">
        <v>2290</v>
      </c>
      <c r="G14" s="617" t="s">
        <v>2291</v>
      </c>
      <c r="H14" s="617" t="s">
        <v>2292</v>
      </c>
      <c r="I14" s="615" t="s">
        <v>604</v>
      </c>
      <c r="J14" s="353" t="s">
        <v>638</v>
      </c>
      <c r="K14" s="353" t="s">
        <v>639</v>
      </c>
      <c r="L14" s="353" t="s">
        <v>638</v>
      </c>
      <c r="M14" s="353" t="s">
        <v>639</v>
      </c>
      <c r="N14" s="610"/>
      <c r="P14" s="521" t="s">
        <v>2333</v>
      </c>
      <c r="Q14" s="521" t="s">
        <v>2335</v>
      </c>
      <c r="R14" s="521" t="s">
        <v>2336</v>
      </c>
      <c r="S14" s="607"/>
      <c r="T14" s="605"/>
    </row>
    <row r="15" spans="1:20" x14ac:dyDescent="0.3">
      <c r="A15" s="595"/>
      <c r="B15" s="602"/>
      <c r="C15" s="603"/>
      <c r="D15" s="604"/>
      <c r="E15" s="613"/>
      <c r="F15" s="613"/>
      <c r="G15" s="613"/>
      <c r="H15" s="613"/>
      <c r="I15" s="616"/>
      <c r="J15" s="353" t="s">
        <v>640</v>
      </c>
      <c r="K15" s="353" t="s">
        <v>640</v>
      </c>
      <c r="L15" s="353" t="s">
        <v>640</v>
      </c>
      <c r="M15" s="353" t="s">
        <v>640</v>
      </c>
      <c r="N15" s="354" t="s">
        <v>640</v>
      </c>
      <c r="P15" s="521" t="s">
        <v>2334</v>
      </c>
      <c r="Q15" s="521" t="s">
        <v>2334</v>
      </c>
      <c r="R15" s="521" t="s">
        <v>2334</v>
      </c>
      <c r="S15" s="521" t="s">
        <v>2341</v>
      </c>
      <c r="T15" s="521" t="s">
        <v>2339</v>
      </c>
    </row>
    <row r="16" spans="1:20" ht="15" thickBot="1" x14ac:dyDescent="0.35">
      <c r="A16" s="355">
        <v>1</v>
      </c>
      <c r="B16" s="356">
        <v>2</v>
      </c>
      <c r="C16" s="357"/>
      <c r="D16" s="357"/>
      <c r="E16" s="358">
        <v>3</v>
      </c>
      <c r="F16" s="358">
        <v>4</v>
      </c>
      <c r="G16" s="358">
        <v>5</v>
      </c>
      <c r="H16" s="358">
        <v>6</v>
      </c>
      <c r="I16" s="358" t="s">
        <v>2296</v>
      </c>
      <c r="J16" s="358">
        <v>8</v>
      </c>
      <c r="K16" s="358">
        <v>9</v>
      </c>
      <c r="L16" s="358" t="s">
        <v>2293</v>
      </c>
      <c r="M16" s="358" t="s">
        <v>2294</v>
      </c>
      <c r="N16" s="359" t="s">
        <v>2295</v>
      </c>
      <c r="P16" s="521">
        <v>13</v>
      </c>
      <c r="Q16" s="521">
        <v>14</v>
      </c>
      <c r="R16" s="521">
        <v>15</v>
      </c>
      <c r="S16" s="521">
        <v>16</v>
      </c>
      <c r="T16" s="521" t="s">
        <v>2342</v>
      </c>
    </row>
    <row r="18" spans="1:20" ht="13.95" customHeight="1" x14ac:dyDescent="0.3">
      <c r="A18" s="477" t="s">
        <v>606</v>
      </c>
      <c r="B18" s="478" t="s">
        <v>641</v>
      </c>
      <c r="C18" s="479"/>
      <c r="D18" s="480"/>
      <c r="E18" s="481"/>
      <c r="F18" s="481"/>
      <c r="G18" s="481"/>
      <c r="H18" s="481"/>
      <c r="I18" s="481"/>
      <c r="J18" s="481"/>
      <c r="K18" s="481"/>
      <c r="L18" s="481"/>
      <c r="M18" s="481"/>
      <c r="N18" s="482"/>
      <c r="P18" s="520"/>
      <c r="Q18" s="520"/>
      <c r="R18" s="520"/>
      <c r="S18" s="520"/>
      <c r="T18" s="520"/>
    </row>
    <row r="19" spans="1:20" ht="13.2" customHeight="1" x14ac:dyDescent="0.3">
      <c r="A19" s="365">
        <v>1</v>
      </c>
      <c r="B19" s="366" t="s">
        <v>1479</v>
      </c>
      <c r="C19" s="361"/>
      <c r="D19" s="362"/>
      <c r="E19" s="367" t="s">
        <v>235</v>
      </c>
      <c r="F19" s="538"/>
      <c r="G19" s="538"/>
      <c r="H19" s="535"/>
      <c r="I19" s="369">
        <f>SUM(F19:H19)</f>
        <v>0</v>
      </c>
      <c r="J19" s="369"/>
      <c r="K19" s="369">
        <f>'RAB Pasang'!K19*60%</f>
        <v>670692</v>
      </c>
      <c r="L19" s="372">
        <f t="shared" ref="L19:L82" si="0">J19*I19</f>
        <v>0</v>
      </c>
      <c r="M19" s="369">
        <f t="shared" ref="M19:M82" si="1">K19*I19</f>
        <v>0</v>
      </c>
      <c r="N19" s="459">
        <f t="shared" ref="N19:N82" si="2">SUM(L19:M19)</f>
        <v>0</v>
      </c>
      <c r="P19" s="522"/>
      <c r="Q19" s="523"/>
      <c r="R19" s="523"/>
      <c r="S19" s="523"/>
      <c r="T19" s="523"/>
    </row>
    <row r="20" spans="1:20" ht="13.2" customHeight="1" x14ac:dyDescent="0.3">
      <c r="A20" s="365">
        <f>A19+1</f>
        <v>2</v>
      </c>
      <c r="B20" s="366" t="s">
        <v>1480</v>
      </c>
      <c r="C20" s="361"/>
      <c r="D20" s="362"/>
      <c r="E20" s="367" t="s">
        <v>235</v>
      </c>
      <c r="F20" s="535"/>
      <c r="G20" s="535"/>
      <c r="H20" s="538"/>
      <c r="I20" s="369">
        <f t="shared" ref="I20:I83" si="3">SUM(F20:H20)</f>
        <v>0</v>
      </c>
      <c r="J20" s="369"/>
      <c r="K20" s="369">
        <f>'RAB Pasang'!K20*60%</f>
        <v>958686</v>
      </c>
      <c r="L20" s="372">
        <f t="shared" si="0"/>
        <v>0</v>
      </c>
      <c r="M20" s="369">
        <f t="shared" si="1"/>
        <v>0</v>
      </c>
      <c r="N20" s="459">
        <f t="shared" si="2"/>
        <v>0</v>
      </c>
      <c r="P20" s="522"/>
      <c r="Q20" s="523"/>
      <c r="R20" s="523"/>
      <c r="S20" s="523"/>
      <c r="T20" s="523"/>
    </row>
    <row r="21" spans="1:20" ht="13.2" customHeight="1" x14ac:dyDescent="0.3">
      <c r="A21" s="365">
        <f t="shared" ref="A21:A84" si="4">A20+1</f>
        <v>3</v>
      </c>
      <c r="B21" s="366" t="s">
        <v>1481</v>
      </c>
      <c r="C21" s="361"/>
      <c r="D21" s="362"/>
      <c r="E21" s="367" t="s">
        <v>235</v>
      </c>
      <c r="F21" s="535"/>
      <c r="G21" s="535"/>
      <c r="H21" s="538"/>
      <c r="I21" s="369">
        <f t="shared" si="3"/>
        <v>0</v>
      </c>
      <c r="J21" s="369"/>
      <c r="K21" s="369">
        <f>'RAB Pasang'!K21*60%</f>
        <v>1102686</v>
      </c>
      <c r="L21" s="372">
        <f t="shared" si="0"/>
        <v>0</v>
      </c>
      <c r="M21" s="369">
        <f t="shared" si="1"/>
        <v>0</v>
      </c>
      <c r="N21" s="459">
        <f t="shared" si="2"/>
        <v>0</v>
      </c>
      <c r="P21" s="522"/>
      <c r="Q21" s="523"/>
      <c r="R21" s="523"/>
      <c r="S21" s="523"/>
      <c r="T21" s="523"/>
    </row>
    <row r="22" spans="1:20" ht="13.2" customHeight="1" x14ac:dyDescent="0.3">
      <c r="A22" s="365">
        <f t="shared" si="4"/>
        <v>4</v>
      </c>
      <c r="B22" s="366" t="s">
        <v>1482</v>
      </c>
      <c r="C22" s="361"/>
      <c r="D22" s="362"/>
      <c r="E22" s="367" t="s">
        <v>235</v>
      </c>
      <c r="F22" s="535"/>
      <c r="G22" s="535"/>
      <c r="H22" s="538"/>
      <c r="I22" s="369">
        <f t="shared" si="3"/>
        <v>0</v>
      </c>
      <c r="J22" s="369"/>
      <c r="K22" s="369">
        <f>'RAB Pasang'!K22*60%</f>
        <v>1278246</v>
      </c>
      <c r="L22" s="372">
        <f t="shared" si="0"/>
        <v>0</v>
      </c>
      <c r="M22" s="369">
        <f t="shared" si="1"/>
        <v>0</v>
      </c>
      <c r="N22" s="459">
        <f t="shared" si="2"/>
        <v>0</v>
      </c>
      <c r="P22" s="522"/>
      <c r="Q22" s="523"/>
      <c r="R22" s="523"/>
      <c r="S22" s="523"/>
      <c r="T22" s="523"/>
    </row>
    <row r="23" spans="1:20" ht="13.2" customHeight="1" x14ac:dyDescent="0.3">
      <c r="A23" s="365">
        <f t="shared" si="4"/>
        <v>5</v>
      </c>
      <c r="B23" s="366" t="s">
        <v>1483</v>
      </c>
      <c r="C23" s="361"/>
      <c r="D23" s="362"/>
      <c r="E23" s="367" t="s">
        <v>235</v>
      </c>
      <c r="F23" s="535"/>
      <c r="G23" s="535"/>
      <c r="H23" s="538"/>
      <c r="I23" s="369">
        <f t="shared" si="3"/>
        <v>0</v>
      </c>
      <c r="J23" s="369"/>
      <c r="K23" s="369">
        <f>'RAB Pasang'!K23*60%</f>
        <v>1917372</v>
      </c>
      <c r="L23" s="372">
        <f t="shared" si="0"/>
        <v>0</v>
      </c>
      <c r="M23" s="369">
        <f t="shared" si="1"/>
        <v>0</v>
      </c>
      <c r="N23" s="459">
        <f t="shared" si="2"/>
        <v>0</v>
      </c>
      <c r="P23" s="522"/>
      <c r="Q23" s="523"/>
      <c r="R23" s="523"/>
      <c r="S23" s="523"/>
      <c r="T23" s="523"/>
    </row>
    <row r="24" spans="1:20" ht="13.2" customHeight="1" x14ac:dyDescent="0.3">
      <c r="A24" s="365">
        <f t="shared" si="4"/>
        <v>6</v>
      </c>
      <c r="B24" s="370" t="s">
        <v>1484</v>
      </c>
      <c r="C24" s="371"/>
      <c r="D24" s="371"/>
      <c r="E24" s="367" t="s">
        <v>235</v>
      </c>
      <c r="F24" s="539"/>
      <c r="G24" s="539"/>
      <c r="H24" s="527"/>
      <c r="I24" s="369">
        <f t="shared" si="3"/>
        <v>0</v>
      </c>
      <c r="J24" s="372"/>
      <c r="K24" s="372">
        <f>'RAB Pasang'!K24*60%</f>
        <v>269826</v>
      </c>
      <c r="L24" s="372">
        <f t="shared" si="0"/>
        <v>0</v>
      </c>
      <c r="M24" s="372">
        <f t="shared" si="1"/>
        <v>0</v>
      </c>
      <c r="N24" s="460">
        <f t="shared" si="2"/>
        <v>0</v>
      </c>
      <c r="P24" s="522"/>
      <c r="Q24" s="523"/>
      <c r="R24" s="523"/>
      <c r="S24" s="523"/>
      <c r="T24" s="523"/>
    </row>
    <row r="25" spans="1:20" ht="13.2" customHeight="1" x14ac:dyDescent="0.3">
      <c r="A25" s="365">
        <f t="shared" si="4"/>
        <v>7</v>
      </c>
      <c r="B25" s="370" t="s">
        <v>1485</v>
      </c>
      <c r="C25" s="371"/>
      <c r="D25" s="371"/>
      <c r="E25" s="367" t="s">
        <v>235</v>
      </c>
      <c r="F25" s="539"/>
      <c r="G25" s="539"/>
      <c r="H25" s="527"/>
      <c r="I25" s="369">
        <f t="shared" si="3"/>
        <v>0</v>
      </c>
      <c r="J25" s="372"/>
      <c r="K25" s="372">
        <f>'RAB Pasang'!K25*60%</f>
        <v>426084</v>
      </c>
      <c r="L25" s="372">
        <f t="shared" si="0"/>
        <v>0</v>
      </c>
      <c r="M25" s="372">
        <f t="shared" si="1"/>
        <v>0</v>
      </c>
      <c r="N25" s="460">
        <f t="shared" si="2"/>
        <v>0</v>
      </c>
      <c r="P25" s="522"/>
      <c r="Q25" s="523"/>
      <c r="R25" s="523"/>
      <c r="S25" s="523"/>
      <c r="T25" s="523"/>
    </row>
    <row r="26" spans="1:20" ht="13.2" customHeight="1" x14ac:dyDescent="0.3">
      <c r="A26" s="365">
        <f t="shared" si="4"/>
        <v>8</v>
      </c>
      <c r="B26" s="370" t="s">
        <v>1486</v>
      </c>
      <c r="C26" s="371"/>
      <c r="D26" s="371"/>
      <c r="E26" s="367" t="s">
        <v>235</v>
      </c>
      <c r="F26" s="539"/>
      <c r="G26" s="539"/>
      <c r="H26" s="527"/>
      <c r="I26" s="369">
        <f t="shared" si="3"/>
        <v>0</v>
      </c>
      <c r="J26" s="372"/>
      <c r="K26" s="372">
        <f>'RAB Pasang'!K26*60%</f>
        <v>510270</v>
      </c>
      <c r="L26" s="372">
        <f t="shared" si="0"/>
        <v>0</v>
      </c>
      <c r="M26" s="372">
        <f t="shared" si="1"/>
        <v>0</v>
      </c>
      <c r="N26" s="460">
        <f t="shared" si="2"/>
        <v>0</v>
      </c>
      <c r="P26" s="522"/>
      <c r="Q26" s="523"/>
      <c r="R26" s="523"/>
      <c r="S26" s="523"/>
      <c r="T26" s="523"/>
    </row>
    <row r="27" spans="1:20" ht="13.2" customHeight="1" x14ac:dyDescent="0.3">
      <c r="A27" s="365">
        <f t="shared" si="4"/>
        <v>9</v>
      </c>
      <c r="B27" s="370" t="s">
        <v>1487</v>
      </c>
      <c r="C27" s="371"/>
      <c r="D27" s="371"/>
      <c r="E27" s="367" t="s">
        <v>235</v>
      </c>
      <c r="F27" s="539"/>
      <c r="G27" s="539"/>
      <c r="H27" s="527"/>
      <c r="I27" s="369">
        <f t="shared" si="3"/>
        <v>0</v>
      </c>
      <c r="J27" s="372"/>
      <c r="K27" s="372">
        <f>'RAB Pasang'!K27*60%</f>
        <v>597732</v>
      </c>
      <c r="L27" s="372">
        <f t="shared" si="0"/>
        <v>0</v>
      </c>
      <c r="M27" s="372">
        <f t="shared" si="1"/>
        <v>0</v>
      </c>
      <c r="N27" s="460">
        <f t="shared" si="2"/>
        <v>0</v>
      </c>
      <c r="P27" s="522"/>
      <c r="Q27" s="523"/>
      <c r="R27" s="523"/>
      <c r="S27" s="523"/>
      <c r="T27" s="523"/>
    </row>
    <row r="28" spans="1:20" ht="13.2" customHeight="1" x14ac:dyDescent="0.3">
      <c r="A28" s="365">
        <f t="shared" si="4"/>
        <v>10</v>
      </c>
      <c r="B28" s="370" t="s">
        <v>1488</v>
      </c>
      <c r="C28" s="371"/>
      <c r="D28" s="371"/>
      <c r="E28" s="367" t="s">
        <v>235</v>
      </c>
      <c r="F28" s="527"/>
      <c r="G28" s="527"/>
      <c r="H28" s="539"/>
      <c r="I28" s="369">
        <f t="shared" si="3"/>
        <v>0</v>
      </c>
      <c r="J28" s="372"/>
      <c r="K28" s="372">
        <f>'RAB Pasang'!K28*60%</f>
        <v>683118</v>
      </c>
      <c r="L28" s="372">
        <f t="shared" si="0"/>
        <v>0</v>
      </c>
      <c r="M28" s="372">
        <f t="shared" si="1"/>
        <v>0</v>
      </c>
      <c r="N28" s="460">
        <f t="shared" si="2"/>
        <v>0</v>
      </c>
      <c r="P28" s="522"/>
      <c r="Q28" s="523"/>
      <c r="R28" s="523"/>
      <c r="S28" s="523"/>
      <c r="T28" s="523"/>
    </row>
    <row r="29" spans="1:20" ht="13.2" customHeight="1" x14ac:dyDescent="0.3">
      <c r="A29" s="365">
        <f t="shared" si="4"/>
        <v>11</v>
      </c>
      <c r="B29" s="366" t="s">
        <v>1489</v>
      </c>
      <c r="C29" s="361"/>
      <c r="D29" s="362"/>
      <c r="E29" s="367" t="s">
        <v>235</v>
      </c>
      <c r="F29" s="535"/>
      <c r="G29" s="535"/>
      <c r="H29" s="538"/>
      <c r="I29" s="369">
        <f t="shared" si="3"/>
        <v>0</v>
      </c>
      <c r="J29" s="369"/>
      <c r="K29" s="369">
        <f>'RAB Pasang'!K29*60%</f>
        <v>796974</v>
      </c>
      <c r="L29" s="372">
        <f t="shared" si="0"/>
        <v>0</v>
      </c>
      <c r="M29" s="369">
        <f t="shared" si="1"/>
        <v>0</v>
      </c>
      <c r="N29" s="459">
        <f t="shared" si="2"/>
        <v>0</v>
      </c>
      <c r="P29" s="522"/>
      <c r="Q29" s="523"/>
      <c r="R29" s="523"/>
      <c r="S29" s="523"/>
      <c r="T29" s="523"/>
    </row>
    <row r="30" spans="1:20" ht="13.2" customHeight="1" x14ac:dyDescent="0.3">
      <c r="A30" s="365">
        <f t="shared" si="4"/>
        <v>12</v>
      </c>
      <c r="B30" s="366" t="s">
        <v>1490</v>
      </c>
      <c r="C30" s="361"/>
      <c r="D30" s="362"/>
      <c r="E30" s="367" t="s">
        <v>235</v>
      </c>
      <c r="F30" s="535"/>
      <c r="G30" s="535"/>
      <c r="H30" s="538"/>
      <c r="I30" s="369">
        <f t="shared" si="3"/>
        <v>0</v>
      </c>
      <c r="J30" s="369"/>
      <c r="K30" s="369">
        <f>'RAB Pasang'!K30*60%</f>
        <v>956370</v>
      </c>
      <c r="L30" s="372">
        <f t="shared" si="0"/>
        <v>0</v>
      </c>
      <c r="M30" s="369">
        <f t="shared" si="1"/>
        <v>0</v>
      </c>
      <c r="N30" s="459">
        <f t="shared" si="2"/>
        <v>0</v>
      </c>
      <c r="P30" s="522"/>
      <c r="Q30" s="523"/>
      <c r="R30" s="523"/>
      <c r="S30" s="523"/>
      <c r="T30" s="523"/>
    </row>
    <row r="31" spans="1:20" ht="13.2" customHeight="1" x14ac:dyDescent="0.3">
      <c r="A31" s="365">
        <f t="shared" si="4"/>
        <v>13</v>
      </c>
      <c r="B31" s="366" t="s">
        <v>1491</v>
      </c>
      <c r="C31" s="361"/>
      <c r="D31" s="362"/>
      <c r="E31" s="367" t="s">
        <v>235</v>
      </c>
      <c r="F31" s="535"/>
      <c r="G31" s="535"/>
      <c r="H31" s="538"/>
      <c r="I31" s="369">
        <f t="shared" si="3"/>
        <v>0</v>
      </c>
      <c r="J31" s="369"/>
      <c r="K31" s="369">
        <f>'RAB Pasang'!K31*60%</f>
        <v>1053396</v>
      </c>
      <c r="L31" s="372">
        <f t="shared" si="0"/>
        <v>0</v>
      </c>
      <c r="M31" s="369">
        <f t="shared" si="1"/>
        <v>0</v>
      </c>
      <c r="N31" s="459">
        <f t="shared" si="2"/>
        <v>0</v>
      </c>
      <c r="P31" s="522"/>
      <c r="Q31" s="523"/>
      <c r="R31" s="523"/>
      <c r="S31" s="523"/>
      <c r="T31" s="523"/>
    </row>
    <row r="32" spans="1:20" ht="13.2" customHeight="1" x14ac:dyDescent="0.3">
      <c r="A32" s="365">
        <f t="shared" si="4"/>
        <v>14</v>
      </c>
      <c r="B32" s="370" t="s">
        <v>1523</v>
      </c>
      <c r="C32" s="371"/>
      <c r="D32" s="371"/>
      <c r="E32" s="367" t="s">
        <v>203</v>
      </c>
      <c r="F32" s="527"/>
      <c r="G32" s="527"/>
      <c r="H32" s="539"/>
      <c r="I32" s="369">
        <f t="shared" si="3"/>
        <v>0</v>
      </c>
      <c r="J32" s="372"/>
      <c r="K32" s="372">
        <f>'RAB Pasang'!K32*60%</f>
        <v>41352</v>
      </c>
      <c r="L32" s="372">
        <f t="shared" si="0"/>
        <v>0</v>
      </c>
      <c r="M32" s="372">
        <f t="shared" si="1"/>
        <v>0</v>
      </c>
      <c r="N32" s="460">
        <f t="shared" si="2"/>
        <v>0</v>
      </c>
      <c r="P32" s="524">
        <v>15</v>
      </c>
      <c r="Q32" s="524">
        <v>15</v>
      </c>
      <c r="R32" s="524">
        <v>47</v>
      </c>
      <c r="S32" s="525">
        <v>0</v>
      </c>
      <c r="T32" s="526">
        <f t="shared" ref="T32:T95" si="5">IF(S32=0,P32*Q32*R32/10^6,P32*Q32*R32/10^6/S32)</f>
        <v>1.0574999999999999E-2</v>
      </c>
    </row>
    <row r="33" spans="1:21" ht="13.2" customHeight="1" x14ac:dyDescent="0.3">
      <c r="A33" s="365">
        <f t="shared" si="4"/>
        <v>15</v>
      </c>
      <c r="B33" s="370" t="s">
        <v>1524</v>
      </c>
      <c r="C33" s="371"/>
      <c r="D33" s="371"/>
      <c r="E33" s="367" t="s">
        <v>203</v>
      </c>
      <c r="F33" s="527"/>
      <c r="G33" s="527"/>
      <c r="H33" s="539"/>
      <c r="I33" s="369">
        <f t="shared" si="3"/>
        <v>0</v>
      </c>
      <c r="J33" s="372"/>
      <c r="K33" s="372">
        <f>'RAB Pasang'!K33*60%</f>
        <v>45486</v>
      </c>
      <c r="L33" s="372">
        <f t="shared" si="0"/>
        <v>0</v>
      </c>
      <c r="M33" s="372">
        <f t="shared" si="1"/>
        <v>0</v>
      </c>
      <c r="N33" s="460">
        <f t="shared" si="2"/>
        <v>0</v>
      </c>
      <c r="P33" s="524">
        <v>30</v>
      </c>
      <c r="Q33" s="524">
        <v>25.4</v>
      </c>
      <c r="R33" s="524">
        <v>25.4</v>
      </c>
      <c r="S33" s="525">
        <v>0</v>
      </c>
      <c r="T33" s="526">
        <f t="shared" si="5"/>
        <v>1.9354799999999998E-2</v>
      </c>
    </row>
    <row r="34" spans="1:21" ht="13.2" customHeight="1" x14ac:dyDescent="0.3">
      <c r="A34" s="365">
        <f t="shared" si="4"/>
        <v>16</v>
      </c>
      <c r="B34" s="370" t="s">
        <v>1525</v>
      </c>
      <c r="C34" s="371"/>
      <c r="D34" s="371"/>
      <c r="E34" s="367" t="s">
        <v>203</v>
      </c>
      <c r="F34" s="527"/>
      <c r="G34" s="527"/>
      <c r="H34" s="539"/>
      <c r="I34" s="369">
        <f t="shared" si="3"/>
        <v>0</v>
      </c>
      <c r="J34" s="372"/>
      <c r="K34" s="372">
        <f>'RAB Pasang'!K34*60%</f>
        <v>37908</v>
      </c>
      <c r="L34" s="372">
        <f t="shared" si="0"/>
        <v>0</v>
      </c>
      <c r="M34" s="372">
        <f t="shared" si="1"/>
        <v>0</v>
      </c>
      <c r="N34" s="460">
        <f t="shared" si="2"/>
        <v>0</v>
      </c>
      <c r="P34" s="524">
        <v>15</v>
      </c>
      <c r="Q34" s="524">
        <v>15</v>
      </c>
      <c r="R34" s="524">
        <v>47</v>
      </c>
      <c r="S34" s="525">
        <v>0</v>
      </c>
      <c r="T34" s="526">
        <f t="shared" si="5"/>
        <v>1.0574999999999999E-2</v>
      </c>
    </row>
    <row r="35" spans="1:21" ht="13.2" customHeight="1" x14ac:dyDescent="0.3">
      <c r="A35" s="365">
        <f t="shared" si="4"/>
        <v>17</v>
      </c>
      <c r="B35" s="370" t="s">
        <v>1526</v>
      </c>
      <c r="C35" s="371"/>
      <c r="D35" s="371"/>
      <c r="E35" s="367" t="s">
        <v>203</v>
      </c>
      <c r="F35" s="527"/>
      <c r="G35" s="527"/>
      <c r="H35" s="539"/>
      <c r="I35" s="369">
        <f t="shared" si="3"/>
        <v>0</v>
      </c>
      <c r="J35" s="372"/>
      <c r="K35" s="372">
        <f>'RAB Pasang'!K35*60%</f>
        <v>41352</v>
      </c>
      <c r="L35" s="372">
        <f t="shared" si="0"/>
        <v>0</v>
      </c>
      <c r="M35" s="372">
        <f t="shared" si="1"/>
        <v>0</v>
      </c>
      <c r="N35" s="460">
        <f t="shared" si="2"/>
        <v>0</v>
      </c>
      <c r="P35" s="524">
        <v>73</v>
      </c>
      <c r="Q35" s="524">
        <v>17</v>
      </c>
      <c r="R35" s="524">
        <v>11</v>
      </c>
      <c r="S35" s="525">
        <v>0</v>
      </c>
      <c r="T35" s="526">
        <f t="shared" si="5"/>
        <v>1.3651E-2</v>
      </c>
    </row>
    <row r="36" spans="1:21" ht="13.2" customHeight="1" x14ac:dyDescent="0.3">
      <c r="A36" s="365">
        <f t="shared" si="4"/>
        <v>18</v>
      </c>
      <c r="B36" s="370" t="s">
        <v>1527</v>
      </c>
      <c r="C36" s="371"/>
      <c r="D36" s="371"/>
      <c r="E36" s="367" t="s">
        <v>203</v>
      </c>
      <c r="F36" s="527"/>
      <c r="G36" s="527"/>
      <c r="H36" s="539"/>
      <c r="I36" s="369">
        <f t="shared" si="3"/>
        <v>0</v>
      </c>
      <c r="J36" s="372"/>
      <c r="K36" s="372">
        <f>'RAB Pasang'!K36*60%</f>
        <v>41352</v>
      </c>
      <c r="L36" s="372">
        <f t="shared" si="0"/>
        <v>0</v>
      </c>
      <c r="M36" s="372">
        <f t="shared" si="1"/>
        <v>0</v>
      </c>
      <c r="N36" s="460">
        <f t="shared" si="2"/>
        <v>0</v>
      </c>
      <c r="P36" s="524">
        <v>50</v>
      </c>
      <c r="Q36" s="524">
        <v>37</v>
      </c>
      <c r="R36" s="524">
        <v>14.5</v>
      </c>
      <c r="S36" s="525">
        <v>0</v>
      </c>
      <c r="T36" s="526">
        <f t="shared" si="5"/>
        <v>2.6825000000000002E-2</v>
      </c>
    </row>
    <row r="37" spans="1:21" ht="13.2" customHeight="1" x14ac:dyDescent="0.3">
      <c r="A37" s="365">
        <f t="shared" si="4"/>
        <v>19</v>
      </c>
      <c r="B37" s="370" t="s">
        <v>1528</v>
      </c>
      <c r="C37" s="371"/>
      <c r="D37" s="371"/>
      <c r="E37" s="367" t="s">
        <v>203</v>
      </c>
      <c r="F37" s="527"/>
      <c r="G37" s="527"/>
      <c r="H37" s="539"/>
      <c r="I37" s="369">
        <f t="shared" si="3"/>
        <v>0</v>
      </c>
      <c r="J37" s="372"/>
      <c r="K37" s="372">
        <f>'RAB Pasang'!K37*60%</f>
        <v>41352</v>
      </c>
      <c r="L37" s="372">
        <f t="shared" si="0"/>
        <v>0</v>
      </c>
      <c r="M37" s="372">
        <f t="shared" si="1"/>
        <v>0</v>
      </c>
      <c r="N37" s="460">
        <f t="shared" si="2"/>
        <v>0</v>
      </c>
      <c r="P37" s="524">
        <v>24</v>
      </c>
      <c r="Q37" s="524">
        <v>17</v>
      </c>
      <c r="R37" s="524">
        <v>26</v>
      </c>
      <c r="S37" s="525">
        <v>0</v>
      </c>
      <c r="T37" s="526">
        <f t="shared" si="5"/>
        <v>1.0607999999999999E-2</v>
      </c>
    </row>
    <row r="38" spans="1:21" ht="13.2" customHeight="1" x14ac:dyDescent="0.3">
      <c r="A38" s="365">
        <f t="shared" si="4"/>
        <v>20</v>
      </c>
      <c r="B38" s="370" t="s">
        <v>1529</v>
      </c>
      <c r="C38" s="371"/>
      <c r="D38" s="371"/>
      <c r="E38" s="367" t="s">
        <v>203</v>
      </c>
      <c r="F38" s="539"/>
      <c r="G38" s="527"/>
      <c r="H38" s="539"/>
      <c r="I38" s="369">
        <f t="shared" si="3"/>
        <v>0</v>
      </c>
      <c r="J38" s="372"/>
      <c r="K38" s="372">
        <f>'RAB Pasang'!K38*60%</f>
        <v>1064982</v>
      </c>
      <c r="L38" s="372">
        <f t="shared" si="0"/>
        <v>0</v>
      </c>
      <c r="M38" s="372">
        <f t="shared" si="1"/>
        <v>0</v>
      </c>
      <c r="N38" s="460">
        <f t="shared" si="2"/>
        <v>0</v>
      </c>
      <c r="P38" s="524">
        <v>76</v>
      </c>
      <c r="Q38" s="524">
        <v>51</v>
      </c>
      <c r="R38" s="524">
        <v>102</v>
      </c>
      <c r="S38" s="525">
        <v>0</v>
      </c>
      <c r="T38" s="526">
        <f t="shared" si="5"/>
        <v>0.39535199999999998</v>
      </c>
    </row>
    <row r="39" spans="1:21" ht="13.2" customHeight="1" x14ac:dyDescent="0.3">
      <c r="A39" s="365">
        <f t="shared" si="4"/>
        <v>21</v>
      </c>
      <c r="B39" s="370" t="s">
        <v>1530</v>
      </c>
      <c r="C39" s="371"/>
      <c r="D39" s="371"/>
      <c r="E39" s="367" t="s">
        <v>203</v>
      </c>
      <c r="F39" s="539"/>
      <c r="G39" s="527"/>
      <c r="H39" s="539"/>
      <c r="I39" s="369">
        <f t="shared" si="3"/>
        <v>0</v>
      </c>
      <c r="J39" s="372"/>
      <c r="K39" s="372">
        <f>'RAB Pasang'!K39*60%</f>
        <v>1161228</v>
      </c>
      <c r="L39" s="372">
        <f t="shared" si="0"/>
        <v>0</v>
      </c>
      <c r="M39" s="372">
        <f t="shared" si="1"/>
        <v>0</v>
      </c>
      <c r="N39" s="460">
        <f t="shared" si="2"/>
        <v>0</v>
      </c>
      <c r="P39" s="524">
        <v>88</v>
      </c>
      <c r="Q39" s="524">
        <v>54</v>
      </c>
      <c r="R39" s="524">
        <v>111</v>
      </c>
      <c r="S39" s="525">
        <v>0</v>
      </c>
      <c r="T39" s="526">
        <f t="shared" si="5"/>
        <v>0.52747200000000005</v>
      </c>
    </row>
    <row r="40" spans="1:21" ht="13.2" customHeight="1" x14ac:dyDescent="0.3">
      <c r="A40" s="365">
        <f t="shared" si="4"/>
        <v>22</v>
      </c>
      <c r="B40" s="370" t="s">
        <v>1531</v>
      </c>
      <c r="C40" s="371"/>
      <c r="D40" s="371"/>
      <c r="E40" s="367" t="s">
        <v>203</v>
      </c>
      <c r="F40" s="539"/>
      <c r="G40" s="527"/>
      <c r="H40" s="539"/>
      <c r="I40" s="369">
        <f t="shared" si="3"/>
        <v>0</v>
      </c>
      <c r="J40" s="372"/>
      <c r="K40" s="372">
        <f>'RAB Pasang'!K40*60%</f>
        <v>1305600</v>
      </c>
      <c r="L40" s="372">
        <f t="shared" si="0"/>
        <v>0</v>
      </c>
      <c r="M40" s="372">
        <f t="shared" si="1"/>
        <v>0</v>
      </c>
      <c r="N40" s="460">
        <f t="shared" si="2"/>
        <v>0</v>
      </c>
      <c r="P40" s="524">
        <v>96</v>
      </c>
      <c r="Q40" s="524">
        <v>65</v>
      </c>
      <c r="R40" s="524">
        <v>116</v>
      </c>
      <c r="S40" s="525">
        <v>0</v>
      </c>
      <c r="T40" s="526">
        <f t="shared" si="5"/>
        <v>0.72384000000000004</v>
      </c>
    </row>
    <row r="41" spans="1:21" ht="13.2" customHeight="1" x14ac:dyDescent="0.3">
      <c r="A41" s="365">
        <f t="shared" si="4"/>
        <v>23</v>
      </c>
      <c r="B41" s="370" t="s">
        <v>1532</v>
      </c>
      <c r="C41" s="371"/>
      <c r="D41" s="371"/>
      <c r="E41" s="367" t="s">
        <v>203</v>
      </c>
      <c r="F41" s="539"/>
      <c r="G41" s="527"/>
      <c r="H41" s="539"/>
      <c r="I41" s="369">
        <f t="shared" si="3"/>
        <v>0</v>
      </c>
      <c r="J41" s="372"/>
      <c r="K41" s="372">
        <f>'RAB Pasang'!K41*60%</f>
        <v>1495020</v>
      </c>
      <c r="L41" s="372">
        <f t="shared" si="0"/>
        <v>0</v>
      </c>
      <c r="M41" s="372">
        <f t="shared" si="1"/>
        <v>0</v>
      </c>
      <c r="N41" s="460">
        <f t="shared" si="2"/>
        <v>0</v>
      </c>
      <c r="P41" s="524">
        <v>103</v>
      </c>
      <c r="Q41" s="524">
        <v>74</v>
      </c>
      <c r="R41" s="524">
        <v>128</v>
      </c>
      <c r="S41" s="525">
        <v>0</v>
      </c>
      <c r="T41" s="526">
        <f t="shared" si="5"/>
        <v>0.97561600000000004</v>
      </c>
    </row>
    <row r="42" spans="1:21" ht="13.2" customHeight="1" x14ac:dyDescent="0.3">
      <c r="A42" s="365">
        <f t="shared" si="4"/>
        <v>24</v>
      </c>
      <c r="B42" s="370" t="s">
        <v>1533</v>
      </c>
      <c r="C42" s="371"/>
      <c r="D42" s="371"/>
      <c r="E42" s="367" t="s">
        <v>203</v>
      </c>
      <c r="F42" s="539"/>
      <c r="G42" s="527"/>
      <c r="H42" s="539"/>
      <c r="I42" s="369">
        <f t="shared" si="3"/>
        <v>0</v>
      </c>
      <c r="J42" s="372"/>
      <c r="K42" s="372">
        <f>'RAB Pasang'!K42*60%</f>
        <v>1830300</v>
      </c>
      <c r="L42" s="372">
        <f t="shared" si="0"/>
        <v>0</v>
      </c>
      <c r="M42" s="372">
        <f t="shared" si="1"/>
        <v>0</v>
      </c>
      <c r="N42" s="460">
        <f t="shared" si="2"/>
        <v>0</v>
      </c>
      <c r="P42" s="524">
        <v>107</v>
      </c>
      <c r="Q42" s="524">
        <v>81</v>
      </c>
      <c r="R42" s="524">
        <v>133</v>
      </c>
      <c r="S42" s="525">
        <v>0</v>
      </c>
      <c r="T42" s="526">
        <f t="shared" si="5"/>
        <v>1.152711</v>
      </c>
    </row>
    <row r="43" spans="1:21" ht="13.2" customHeight="1" x14ac:dyDescent="0.3">
      <c r="A43" s="365">
        <f t="shared" si="4"/>
        <v>25</v>
      </c>
      <c r="B43" s="370" t="s">
        <v>1534</v>
      </c>
      <c r="C43" s="371"/>
      <c r="D43" s="371"/>
      <c r="E43" s="367" t="s">
        <v>203</v>
      </c>
      <c r="F43" s="539"/>
      <c r="G43" s="527"/>
      <c r="H43" s="539"/>
      <c r="I43" s="369">
        <f t="shared" si="3"/>
        <v>0</v>
      </c>
      <c r="J43" s="372"/>
      <c r="K43" s="372">
        <f>'RAB Pasang'!K43*60%</f>
        <v>1928880</v>
      </c>
      <c r="L43" s="372">
        <f t="shared" si="0"/>
        <v>0</v>
      </c>
      <c r="M43" s="372">
        <f t="shared" si="1"/>
        <v>0</v>
      </c>
      <c r="N43" s="460">
        <f t="shared" si="2"/>
        <v>0</v>
      </c>
      <c r="P43" s="524">
        <v>114</v>
      </c>
      <c r="Q43" s="524">
        <v>84</v>
      </c>
      <c r="R43" s="524">
        <v>136</v>
      </c>
      <c r="S43" s="525">
        <v>0</v>
      </c>
      <c r="T43" s="526">
        <f t="shared" si="5"/>
        <v>1.3023359999999999</v>
      </c>
    </row>
    <row r="44" spans="1:21" ht="13.2" customHeight="1" x14ac:dyDescent="0.3">
      <c r="A44" s="365">
        <f t="shared" si="4"/>
        <v>26</v>
      </c>
      <c r="B44" s="370" t="s">
        <v>1535</v>
      </c>
      <c r="C44" s="371"/>
      <c r="D44" s="371"/>
      <c r="E44" s="367" t="s">
        <v>203</v>
      </c>
      <c r="F44" s="539"/>
      <c r="G44" s="527"/>
      <c r="H44" s="539"/>
      <c r="I44" s="369">
        <f t="shared" si="3"/>
        <v>0</v>
      </c>
      <c r="J44" s="372"/>
      <c r="K44" s="372">
        <f>'RAB Pasang'!K44*60%</f>
        <v>2023590</v>
      </c>
      <c r="L44" s="372">
        <f t="shared" si="0"/>
        <v>0</v>
      </c>
      <c r="M44" s="372">
        <f t="shared" si="1"/>
        <v>0</v>
      </c>
      <c r="N44" s="460">
        <f t="shared" si="2"/>
        <v>0</v>
      </c>
      <c r="P44" s="524">
        <v>132</v>
      </c>
      <c r="Q44" s="524">
        <v>91</v>
      </c>
      <c r="R44" s="524">
        <v>149</v>
      </c>
      <c r="S44" s="525">
        <v>0</v>
      </c>
      <c r="T44" s="526">
        <f t="shared" si="5"/>
        <v>1.7897879999999999</v>
      </c>
    </row>
    <row r="45" spans="1:21" ht="13.2" customHeight="1" x14ac:dyDescent="0.3">
      <c r="A45" s="365">
        <f t="shared" si="4"/>
        <v>27</v>
      </c>
      <c r="B45" s="370" t="s">
        <v>1549</v>
      </c>
      <c r="C45" s="371"/>
      <c r="D45" s="371"/>
      <c r="E45" s="367" t="s">
        <v>203</v>
      </c>
      <c r="F45" s="539"/>
      <c r="G45" s="527"/>
      <c r="H45" s="539"/>
      <c r="I45" s="369">
        <f t="shared" si="3"/>
        <v>0</v>
      </c>
      <c r="J45" s="372"/>
      <c r="K45" s="372">
        <f>'RAB Pasang'!K45*60%</f>
        <v>2122170</v>
      </c>
      <c r="L45" s="372">
        <f t="shared" si="0"/>
        <v>0</v>
      </c>
      <c r="M45" s="372">
        <f t="shared" si="1"/>
        <v>0</v>
      </c>
      <c r="N45" s="460">
        <f t="shared" si="2"/>
        <v>0</v>
      </c>
      <c r="P45" s="524">
        <v>145</v>
      </c>
      <c r="Q45" s="524">
        <v>104</v>
      </c>
      <c r="R45" s="524">
        <v>165</v>
      </c>
      <c r="S45" s="525">
        <v>0</v>
      </c>
      <c r="T45" s="526">
        <f t="shared" si="5"/>
        <v>2.4882</v>
      </c>
    </row>
    <row r="46" spans="1:21" ht="13.2" customHeight="1" x14ac:dyDescent="0.3">
      <c r="A46" s="365">
        <f t="shared" si="4"/>
        <v>28</v>
      </c>
      <c r="B46" s="370" t="s">
        <v>1550</v>
      </c>
      <c r="C46" s="371"/>
      <c r="D46" s="371"/>
      <c r="E46" s="367" t="s">
        <v>203</v>
      </c>
      <c r="F46" s="539"/>
      <c r="G46" s="527"/>
      <c r="H46" s="539"/>
      <c r="I46" s="369">
        <f t="shared" si="3"/>
        <v>0</v>
      </c>
      <c r="J46" s="372"/>
      <c r="K46" s="372">
        <f>'RAB Pasang'!K46*60%</f>
        <v>2216880</v>
      </c>
      <c r="L46" s="372">
        <f t="shared" si="0"/>
        <v>0</v>
      </c>
      <c r="M46" s="372">
        <f t="shared" si="1"/>
        <v>0</v>
      </c>
      <c r="N46" s="460">
        <f t="shared" si="2"/>
        <v>0</v>
      </c>
      <c r="P46" s="524">
        <v>166</v>
      </c>
      <c r="Q46" s="524">
        <v>112</v>
      </c>
      <c r="R46" s="524">
        <v>187</v>
      </c>
      <c r="S46" s="525">
        <v>0</v>
      </c>
      <c r="T46" s="526">
        <f t="shared" si="5"/>
        <v>3.4767039999999998</v>
      </c>
    </row>
    <row r="47" spans="1:21" ht="13.2" customHeight="1" x14ac:dyDescent="0.3">
      <c r="A47" s="365">
        <f t="shared" si="4"/>
        <v>29</v>
      </c>
      <c r="B47" s="370" t="s">
        <v>1536</v>
      </c>
      <c r="C47" s="371"/>
      <c r="D47" s="371"/>
      <c r="E47" s="367" t="s">
        <v>2348</v>
      </c>
      <c r="F47" s="527"/>
      <c r="G47" s="527"/>
      <c r="H47" s="539"/>
      <c r="I47" s="369">
        <f t="shared" si="3"/>
        <v>0</v>
      </c>
      <c r="J47" s="372"/>
      <c r="K47" s="372">
        <f>'RAB Pasang'!K47*60%</f>
        <v>3619.2899999999995</v>
      </c>
      <c r="L47" s="372">
        <f t="shared" si="0"/>
        <v>0</v>
      </c>
      <c r="M47" s="372">
        <f t="shared" si="1"/>
        <v>0</v>
      </c>
      <c r="N47" s="460">
        <f t="shared" si="2"/>
        <v>0</v>
      </c>
      <c r="P47" s="524">
        <v>145</v>
      </c>
      <c r="Q47" s="524">
        <v>145</v>
      </c>
      <c r="R47" s="524">
        <v>60</v>
      </c>
      <c r="S47" s="525">
        <v>3000</v>
      </c>
      <c r="T47" s="526">
        <f t="shared" si="5"/>
        <v>4.2050000000000003E-4</v>
      </c>
      <c r="U47" s="297" t="s">
        <v>2347</v>
      </c>
    </row>
    <row r="48" spans="1:21" ht="13.2" customHeight="1" x14ac:dyDescent="0.3">
      <c r="A48" s="365">
        <f t="shared" si="4"/>
        <v>30</v>
      </c>
      <c r="B48" s="370" t="s">
        <v>1537</v>
      </c>
      <c r="C48" s="371"/>
      <c r="D48" s="371"/>
      <c r="E48" s="367" t="s">
        <v>2348</v>
      </c>
      <c r="F48" s="527"/>
      <c r="G48" s="527"/>
      <c r="H48" s="539"/>
      <c r="I48" s="369">
        <f t="shared" si="3"/>
        <v>0</v>
      </c>
      <c r="J48" s="372"/>
      <c r="K48" s="372">
        <f>'RAB Pasang'!K48*60%</f>
        <v>4454.5139999999992</v>
      </c>
      <c r="L48" s="372">
        <f t="shared" si="0"/>
        <v>0</v>
      </c>
      <c r="M48" s="372">
        <f t="shared" si="1"/>
        <v>0</v>
      </c>
      <c r="N48" s="460">
        <f t="shared" si="2"/>
        <v>0</v>
      </c>
      <c r="P48" s="524">
        <v>145</v>
      </c>
      <c r="Q48" s="524">
        <v>145</v>
      </c>
      <c r="R48" s="524">
        <v>70</v>
      </c>
      <c r="S48" s="525">
        <v>3000</v>
      </c>
      <c r="T48" s="526">
        <f t="shared" si="5"/>
        <v>4.9058333333333332E-4</v>
      </c>
      <c r="U48" s="297" t="s">
        <v>2347</v>
      </c>
    </row>
    <row r="49" spans="1:21" ht="13.2" customHeight="1" x14ac:dyDescent="0.3">
      <c r="A49" s="365">
        <f t="shared" si="4"/>
        <v>31</v>
      </c>
      <c r="B49" s="370" t="s">
        <v>1538</v>
      </c>
      <c r="C49" s="371"/>
      <c r="D49" s="371"/>
      <c r="E49" s="367" t="s">
        <v>2348</v>
      </c>
      <c r="F49" s="527"/>
      <c r="G49" s="527"/>
      <c r="H49" s="539"/>
      <c r="I49" s="369">
        <f t="shared" si="3"/>
        <v>0</v>
      </c>
      <c r="J49" s="372"/>
      <c r="K49" s="372">
        <f>'RAB Pasang'!K49*60%</f>
        <v>5264.424</v>
      </c>
      <c r="L49" s="372">
        <f t="shared" si="0"/>
        <v>0</v>
      </c>
      <c r="M49" s="372">
        <f t="shared" si="1"/>
        <v>0</v>
      </c>
      <c r="N49" s="460">
        <f t="shared" si="2"/>
        <v>0</v>
      </c>
      <c r="P49" s="524">
        <v>145</v>
      </c>
      <c r="Q49" s="524">
        <v>145</v>
      </c>
      <c r="R49" s="524">
        <v>85</v>
      </c>
      <c r="S49" s="525">
        <v>3000</v>
      </c>
      <c r="T49" s="526">
        <f t="shared" si="5"/>
        <v>5.957083333333334E-4</v>
      </c>
      <c r="U49" s="297" t="s">
        <v>2347</v>
      </c>
    </row>
    <row r="50" spans="1:21" ht="13.2" customHeight="1" x14ac:dyDescent="0.3">
      <c r="A50" s="365">
        <f t="shared" si="4"/>
        <v>32</v>
      </c>
      <c r="B50" s="370" t="s">
        <v>1539</v>
      </c>
      <c r="C50" s="371"/>
      <c r="D50" s="371"/>
      <c r="E50" s="367" t="s">
        <v>2348</v>
      </c>
      <c r="F50" s="527"/>
      <c r="G50" s="527"/>
      <c r="H50" s="539"/>
      <c r="I50" s="369">
        <f t="shared" si="3"/>
        <v>0</v>
      </c>
      <c r="J50" s="372"/>
      <c r="K50" s="372">
        <f>'RAB Pasang'!K50*60%</f>
        <v>6434.2979999999998</v>
      </c>
      <c r="L50" s="372">
        <f t="shared" si="0"/>
        <v>0</v>
      </c>
      <c r="M50" s="372">
        <f t="shared" si="1"/>
        <v>0</v>
      </c>
      <c r="N50" s="460">
        <f t="shared" si="2"/>
        <v>0</v>
      </c>
      <c r="P50" s="524">
        <v>145</v>
      </c>
      <c r="Q50" s="524">
        <v>145</v>
      </c>
      <c r="R50" s="524">
        <v>95</v>
      </c>
      <c r="S50" s="525">
        <v>2000</v>
      </c>
      <c r="T50" s="526">
        <f t="shared" si="5"/>
        <v>9.9868750000000001E-4</v>
      </c>
      <c r="U50" s="297" t="s">
        <v>2347</v>
      </c>
    </row>
    <row r="51" spans="1:21" ht="13.2" customHeight="1" x14ac:dyDescent="0.3">
      <c r="A51" s="365">
        <f t="shared" si="4"/>
        <v>33</v>
      </c>
      <c r="B51" s="370" t="s">
        <v>1540</v>
      </c>
      <c r="C51" s="371"/>
      <c r="D51" s="371"/>
      <c r="E51" s="367" t="s">
        <v>2348</v>
      </c>
      <c r="F51" s="527"/>
      <c r="G51" s="527"/>
      <c r="H51" s="539"/>
      <c r="I51" s="369">
        <f t="shared" si="3"/>
        <v>0</v>
      </c>
      <c r="J51" s="372"/>
      <c r="K51" s="372">
        <f>'RAB Pasang'!K51*60%</f>
        <v>8272.6679999999997</v>
      </c>
      <c r="L51" s="372">
        <f t="shared" si="0"/>
        <v>0</v>
      </c>
      <c r="M51" s="372">
        <f t="shared" si="1"/>
        <v>0</v>
      </c>
      <c r="N51" s="460">
        <f t="shared" si="2"/>
        <v>0</v>
      </c>
      <c r="P51" s="524">
        <v>145</v>
      </c>
      <c r="Q51" s="524">
        <v>145</v>
      </c>
      <c r="R51" s="524">
        <v>100</v>
      </c>
      <c r="S51" s="525">
        <v>2000</v>
      </c>
      <c r="T51" s="526">
        <f t="shared" si="5"/>
        <v>1.0512500000000001E-3</v>
      </c>
      <c r="U51" s="297" t="s">
        <v>2347</v>
      </c>
    </row>
    <row r="52" spans="1:21" ht="13.2" customHeight="1" x14ac:dyDescent="0.3">
      <c r="A52" s="365">
        <f t="shared" si="4"/>
        <v>34</v>
      </c>
      <c r="B52" s="370" t="s">
        <v>1541</v>
      </c>
      <c r="C52" s="371"/>
      <c r="D52" s="371"/>
      <c r="E52" s="367" t="s">
        <v>2348</v>
      </c>
      <c r="F52" s="527"/>
      <c r="G52" s="527"/>
      <c r="H52" s="539"/>
      <c r="I52" s="369">
        <f t="shared" si="3"/>
        <v>0</v>
      </c>
      <c r="J52" s="372"/>
      <c r="K52" s="372">
        <f>'RAB Pasang'!K52*60%</f>
        <v>9651.4439999999995</v>
      </c>
      <c r="L52" s="372">
        <f t="shared" si="0"/>
        <v>0</v>
      </c>
      <c r="M52" s="372">
        <f t="shared" si="1"/>
        <v>0</v>
      </c>
      <c r="N52" s="460">
        <f t="shared" si="2"/>
        <v>0</v>
      </c>
      <c r="P52" s="524">
        <v>145</v>
      </c>
      <c r="Q52" s="524">
        <v>145</v>
      </c>
      <c r="R52" s="524">
        <v>110</v>
      </c>
      <c r="S52" s="525">
        <v>2000</v>
      </c>
      <c r="T52" s="526">
        <f t="shared" si="5"/>
        <v>1.1563749999999999E-3</v>
      </c>
      <c r="U52" s="297" t="s">
        <v>2347</v>
      </c>
    </row>
    <row r="53" spans="1:21" ht="13.2" customHeight="1" x14ac:dyDescent="0.3">
      <c r="A53" s="365">
        <f t="shared" si="4"/>
        <v>35</v>
      </c>
      <c r="B53" s="370" t="s">
        <v>1542</v>
      </c>
      <c r="C53" s="371"/>
      <c r="D53" s="371"/>
      <c r="E53" s="367" t="s">
        <v>2348</v>
      </c>
      <c r="F53" s="527"/>
      <c r="G53" s="527"/>
      <c r="H53" s="539"/>
      <c r="I53" s="369">
        <f t="shared" si="3"/>
        <v>0</v>
      </c>
      <c r="J53" s="372"/>
      <c r="K53" s="372">
        <f>'RAB Pasang'!K53*60%</f>
        <v>13161.06</v>
      </c>
      <c r="L53" s="372">
        <f t="shared" si="0"/>
        <v>0</v>
      </c>
      <c r="M53" s="372">
        <f t="shared" si="1"/>
        <v>0</v>
      </c>
      <c r="N53" s="460">
        <f t="shared" si="2"/>
        <v>0</v>
      </c>
      <c r="P53" s="524">
        <v>145</v>
      </c>
      <c r="Q53" s="524">
        <v>145</v>
      </c>
      <c r="R53" s="524">
        <v>120</v>
      </c>
      <c r="S53" s="525">
        <v>1000</v>
      </c>
      <c r="T53" s="526">
        <f t="shared" si="5"/>
        <v>2.5230000000000001E-3</v>
      </c>
      <c r="U53" s="297" t="s">
        <v>2347</v>
      </c>
    </row>
    <row r="54" spans="1:21" ht="13.2" customHeight="1" x14ac:dyDescent="0.3">
      <c r="A54" s="365">
        <f t="shared" si="4"/>
        <v>36</v>
      </c>
      <c r="B54" s="370" t="s">
        <v>1543</v>
      </c>
      <c r="C54" s="371"/>
      <c r="D54" s="371"/>
      <c r="E54" s="367" t="s">
        <v>2348</v>
      </c>
      <c r="F54" s="527"/>
      <c r="G54" s="527"/>
      <c r="H54" s="539"/>
      <c r="I54" s="369">
        <f t="shared" si="3"/>
        <v>0</v>
      </c>
      <c r="J54" s="372"/>
      <c r="K54" s="372">
        <f>'RAB Pasang'!K54*60%</f>
        <v>4524.1139999999996</v>
      </c>
      <c r="L54" s="372">
        <f t="shared" si="0"/>
        <v>0</v>
      </c>
      <c r="M54" s="372">
        <f t="shared" si="1"/>
        <v>0</v>
      </c>
      <c r="N54" s="460">
        <f t="shared" si="2"/>
        <v>0</v>
      </c>
      <c r="P54" s="524">
        <v>145</v>
      </c>
      <c r="Q54" s="524">
        <v>145</v>
      </c>
      <c r="R54" s="524">
        <v>70</v>
      </c>
      <c r="S54" s="525">
        <v>3000</v>
      </c>
      <c r="T54" s="526">
        <f t="shared" si="5"/>
        <v>4.9058333333333332E-4</v>
      </c>
      <c r="U54" s="297" t="s">
        <v>2347</v>
      </c>
    </row>
    <row r="55" spans="1:21" ht="13.2" customHeight="1" x14ac:dyDescent="0.3">
      <c r="A55" s="365">
        <f t="shared" si="4"/>
        <v>37</v>
      </c>
      <c r="B55" s="370" t="s">
        <v>1544</v>
      </c>
      <c r="C55" s="371"/>
      <c r="D55" s="371"/>
      <c r="E55" s="367" t="s">
        <v>2348</v>
      </c>
      <c r="F55" s="527"/>
      <c r="G55" s="527"/>
      <c r="H55" s="539"/>
      <c r="I55" s="369">
        <f t="shared" si="3"/>
        <v>0</v>
      </c>
      <c r="J55" s="372"/>
      <c r="K55" s="372">
        <f>'RAB Pasang'!K55*60%</f>
        <v>5361.9120000000003</v>
      </c>
      <c r="L55" s="372">
        <f t="shared" si="0"/>
        <v>0</v>
      </c>
      <c r="M55" s="372">
        <f t="shared" si="1"/>
        <v>0</v>
      </c>
      <c r="N55" s="460">
        <f t="shared" si="2"/>
        <v>0</v>
      </c>
      <c r="P55" s="524">
        <v>145</v>
      </c>
      <c r="Q55" s="524">
        <v>145</v>
      </c>
      <c r="R55" s="524">
        <v>85</v>
      </c>
      <c r="S55" s="525">
        <v>3000</v>
      </c>
      <c r="T55" s="526">
        <f t="shared" si="5"/>
        <v>5.957083333333334E-4</v>
      </c>
      <c r="U55" s="297" t="s">
        <v>2347</v>
      </c>
    </row>
    <row r="56" spans="1:21" ht="13.2" customHeight="1" x14ac:dyDescent="0.3">
      <c r="A56" s="365">
        <f t="shared" si="4"/>
        <v>38</v>
      </c>
      <c r="B56" s="370" t="s">
        <v>1545</v>
      </c>
      <c r="C56" s="371"/>
      <c r="D56" s="371"/>
      <c r="E56" s="367" t="s">
        <v>2348</v>
      </c>
      <c r="F56" s="527"/>
      <c r="G56" s="527"/>
      <c r="H56" s="539"/>
      <c r="I56" s="369">
        <f t="shared" si="3"/>
        <v>0</v>
      </c>
      <c r="J56" s="372"/>
      <c r="K56" s="372">
        <f>'RAB Pasang'!K56*60%</f>
        <v>6580.53</v>
      </c>
      <c r="L56" s="372">
        <f t="shared" si="0"/>
        <v>0</v>
      </c>
      <c r="M56" s="372">
        <f t="shared" si="1"/>
        <v>0</v>
      </c>
      <c r="N56" s="460">
        <f t="shared" si="2"/>
        <v>0</v>
      </c>
      <c r="P56" s="524">
        <v>145</v>
      </c>
      <c r="Q56" s="524">
        <v>145</v>
      </c>
      <c r="R56" s="524">
        <v>95</v>
      </c>
      <c r="S56" s="525">
        <v>2000</v>
      </c>
      <c r="T56" s="526">
        <f t="shared" si="5"/>
        <v>9.9868750000000001E-4</v>
      </c>
      <c r="U56" s="297" t="s">
        <v>2347</v>
      </c>
    </row>
    <row r="57" spans="1:21" ht="13.2" customHeight="1" x14ac:dyDescent="0.3">
      <c r="A57" s="365">
        <f t="shared" si="4"/>
        <v>39</v>
      </c>
      <c r="B57" s="370" t="s">
        <v>1546</v>
      </c>
      <c r="C57" s="371"/>
      <c r="D57" s="371"/>
      <c r="E57" s="367" t="s">
        <v>2348</v>
      </c>
      <c r="F57" s="527"/>
      <c r="G57" s="527"/>
      <c r="H57" s="539"/>
      <c r="I57" s="369">
        <f t="shared" si="3"/>
        <v>0</v>
      </c>
      <c r="J57" s="372"/>
      <c r="K57" s="372">
        <f>'RAB Pasang'!K57*60%</f>
        <v>8515.98</v>
      </c>
      <c r="L57" s="372">
        <f t="shared" si="0"/>
        <v>0</v>
      </c>
      <c r="M57" s="372">
        <f t="shared" si="1"/>
        <v>0</v>
      </c>
      <c r="N57" s="460">
        <f t="shared" si="2"/>
        <v>0</v>
      </c>
      <c r="P57" s="524">
        <v>145</v>
      </c>
      <c r="Q57" s="524">
        <v>145</v>
      </c>
      <c r="R57" s="524">
        <v>100</v>
      </c>
      <c r="S57" s="525">
        <v>2000</v>
      </c>
      <c r="T57" s="526">
        <f t="shared" si="5"/>
        <v>1.0512500000000001E-3</v>
      </c>
      <c r="U57" s="297" t="s">
        <v>2347</v>
      </c>
    </row>
    <row r="58" spans="1:21" ht="13.2" customHeight="1" x14ac:dyDescent="0.3">
      <c r="A58" s="365">
        <f t="shared" si="4"/>
        <v>40</v>
      </c>
      <c r="B58" s="370" t="s">
        <v>1547</v>
      </c>
      <c r="C58" s="371"/>
      <c r="D58" s="371"/>
      <c r="E58" s="367" t="s">
        <v>2348</v>
      </c>
      <c r="F58" s="527"/>
      <c r="G58" s="527"/>
      <c r="H58" s="539"/>
      <c r="I58" s="369">
        <f t="shared" si="3"/>
        <v>0</v>
      </c>
      <c r="J58" s="372"/>
      <c r="K58" s="372">
        <f>'RAB Pasang'!K58*60%</f>
        <v>9984.2519999999986</v>
      </c>
      <c r="L58" s="372">
        <f t="shared" si="0"/>
        <v>0</v>
      </c>
      <c r="M58" s="372">
        <f t="shared" si="1"/>
        <v>0</v>
      </c>
      <c r="N58" s="460">
        <f t="shared" si="2"/>
        <v>0</v>
      </c>
      <c r="P58" s="524">
        <v>145</v>
      </c>
      <c r="Q58" s="524">
        <v>145</v>
      </c>
      <c r="R58" s="524">
        <v>110</v>
      </c>
      <c r="S58" s="525">
        <v>2000</v>
      </c>
      <c r="T58" s="526">
        <f t="shared" si="5"/>
        <v>1.1563749999999999E-3</v>
      </c>
      <c r="U58" s="297" t="s">
        <v>2347</v>
      </c>
    </row>
    <row r="59" spans="1:21" ht="13.2" customHeight="1" x14ac:dyDescent="0.3">
      <c r="A59" s="365">
        <f t="shared" si="4"/>
        <v>41</v>
      </c>
      <c r="B59" s="370" t="s">
        <v>1548</v>
      </c>
      <c r="C59" s="371"/>
      <c r="D59" s="371"/>
      <c r="E59" s="367" t="s">
        <v>2348</v>
      </c>
      <c r="F59" s="527"/>
      <c r="G59" s="527"/>
      <c r="H59" s="539"/>
      <c r="I59" s="369">
        <f t="shared" si="3"/>
        <v>0</v>
      </c>
      <c r="J59" s="372"/>
      <c r="K59" s="372">
        <f>'RAB Pasang'!K59*60%</f>
        <v>13787.778</v>
      </c>
      <c r="L59" s="372">
        <f t="shared" si="0"/>
        <v>0</v>
      </c>
      <c r="M59" s="372">
        <f t="shared" si="1"/>
        <v>0</v>
      </c>
      <c r="N59" s="460">
        <f t="shared" si="2"/>
        <v>0</v>
      </c>
      <c r="P59" s="524">
        <v>145</v>
      </c>
      <c r="Q59" s="524">
        <v>145</v>
      </c>
      <c r="R59" s="524">
        <v>120</v>
      </c>
      <c r="S59" s="525">
        <v>1000</v>
      </c>
      <c r="T59" s="526">
        <f t="shared" si="5"/>
        <v>2.5230000000000001E-3</v>
      </c>
      <c r="U59" s="297" t="s">
        <v>2347</v>
      </c>
    </row>
    <row r="60" spans="1:21" ht="13.2" customHeight="1" x14ac:dyDescent="0.3">
      <c r="A60" s="365">
        <f t="shared" si="4"/>
        <v>42</v>
      </c>
      <c r="B60" s="370" t="s">
        <v>1938</v>
      </c>
      <c r="C60" s="371"/>
      <c r="D60" s="371"/>
      <c r="E60" s="367" t="s">
        <v>2348</v>
      </c>
      <c r="F60" s="527"/>
      <c r="G60" s="539"/>
      <c r="H60" s="539"/>
      <c r="I60" s="369">
        <f t="shared" si="3"/>
        <v>0</v>
      </c>
      <c r="J60" s="372"/>
      <c r="K60" s="372">
        <f>'RAB Pasang'!K60*60%</f>
        <v>5995.4459999999999</v>
      </c>
      <c r="L60" s="372">
        <f t="shared" si="0"/>
        <v>0</v>
      </c>
      <c r="M60" s="372">
        <f t="shared" si="1"/>
        <v>0</v>
      </c>
      <c r="N60" s="460">
        <f t="shared" si="2"/>
        <v>0</v>
      </c>
      <c r="P60" s="524">
        <v>205</v>
      </c>
      <c r="Q60" s="524">
        <v>205</v>
      </c>
      <c r="R60" s="524">
        <v>126</v>
      </c>
      <c r="S60" s="525">
        <v>1000</v>
      </c>
      <c r="T60" s="526">
        <f t="shared" si="5"/>
        <v>5.2951499999999993E-3</v>
      </c>
      <c r="U60" s="297" t="s">
        <v>2347</v>
      </c>
    </row>
    <row r="61" spans="1:21" ht="13.2" customHeight="1" x14ac:dyDescent="0.3">
      <c r="A61" s="365">
        <f t="shared" si="4"/>
        <v>43</v>
      </c>
      <c r="B61" s="370" t="s">
        <v>1939</v>
      </c>
      <c r="C61" s="371"/>
      <c r="D61" s="371"/>
      <c r="E61" s="367" t="s">
        <v>2348</v>
      </c>
      <c r="F61" s="527"/>
      <c r="G61" s="539"/>
      <c r="H61" s="539"/>
      <c r="I61" s="369">
        <f t="shared" si="3"/>
        <v>0</v>
      </c>
      <c r="J61" s="372"/>
      <c r="K61" s="372">
        <f>'RAB Pasang'!K61*60%</f>
        <v>7668.5939999999991</v>
      </c>
      <c r="L61" s="372">
        <f t="shared" si="0"/>
        <v>0</v>
      </c>
      <c r="M61" s="372">
        <f t="shared" si="1"/>
        <v>0</v>
      </c>
      <c r="N61" s="460">
        <f t="shared" si="2"/>
        <v>0</v>
      </c>
      <c r="P61" s="524">
        <v>205</v>
      </c>
      <c r="Q61" s="524">
        <v>205</v>
      </c>
      <c r="R61" s="524">
        <v>126</v>
      </c>
      <c r="S61" s="525">
        <v>500</v>
      </c>
      <c r="T61" s="526">
        <f t="shared" si="5"/>
        <v>1.0590299999999999E-2</v>
      </c>
      <c r="U61" s="297" t="s">
        <v>2347</v>
      </c>
    </row>
    <row r="62" spans="1:21" ht="13.2" customHeight="1" x14ac:dyDescent="0.3">
      <c r="A62" s="365">
        <f t="shared" si="4"/>
        <v>44</v>
      </c>
      <c r="B62" s="370" t="s">
        <v>1940</v>
      </c>
      <c r="C62" s="371"/>
      <c r="D62" s="371"/>
      <c r="E62" s="367" t="s">
        <v>2348</v>
      </c>
      <c r="F62" s="527"/>
      <c r="G62" s="539"/>
      <c r="H62" s="539"/>
      <c r="I62" s="369">
        <f t="shared" si="3"/>
        <v>0</v>
      </c>
      <c r="J62" s="372"/>
      <c r="K62" s="372">
        <f>'RAB Pasang'!K62*60%</f>
        <v>8042.6759999999995</v>
      </c>
      <c r="L62" s="372">
        <f t="shared" si="0"/>
        <v>0</v>
      </c>
      <c r="M62" s="372">
        <f t="shared" si="1"/>
        <v>0</v>
      </c>
      <c r="N62" s="460">
        <f t="shared" si="2"/>
        <v>0</v>
      </c>
      <c r="P62" s="524">
        <v>205</v>
      </c>
      <c r="Q62" s="524">
        <v>205</v>
      </c>
      <c r="R62" s="524">
        <v>126</v>
      </c>
      <c r="S62" s="525">
        <v>500</v>
      </c>
      <c r="T62" s="526">
        <f t="shared" si="5"/>
        <v>1.0590299999999999E-2</v>
      </c>
      <c r="U62" s="297" t="s">
        <v>2347</v>
      </c>
    </row>
    <row r="63" spans="1:21" ht="13.2" customHeight="1" x14ac:dyDescent="0.3">
      <c r="A63" s="365">
        <f t="shared" si="4"/>
        <v>45</v>
      </c>
      <c r="B63" s="370" t="s">
        <v>1941</v>
      </c>
      <c r="C63" s="371"/>
      <c r="D63" s="371"/>
      <c r="E63" s="367" t="s">
        <v>2348</v>
      </c>
      <c r="F63" s="527"/>
      <c r="G63" s="539"/>
      <c r="H63" s="539"/>
      <c r="I63" s="369">
        <f t="shared" si="3"/>
        <v>0</v>
      </c>
      <c r="J63" s="372"/>
      <c r="K63" s="372">
        <f>'RAB Pasang'!K63*60%</f>
        <v>8243.7420000000002</v>
      </c>
      <c r="L63" s="372">
        <f t="shared" si="0"/>
        <v>0</v>
      </c>
      <c r="M63" s="372">
        <f t="shared" si="1"/>
        <v>0</v>
      </c>
      <c r="N63" s="460">
        <f t="shared" si="2"/>
        <v>0</v>
      </c>
      <c r="P63" s="524">
        <v>220</v>
      </c>
      <c r="Q63" s="524">
        <v>220</v>
      </c>
      <c r="R63" s="524">
        <v>141</v>
      </c>
      <c r="S63" s="525">
        <v>300</v>
      </c>
      <c r="T63" s="526">
        <f t="shared" si="5"/>
        <v>2.2748000000000001E-2</v>
      </c>
      <c r="U63" s="297" t="s">
        <v>2347</v>
      </c>
    </row>
    <row r="64" spans="1:21" ht="13.2" customHeight="1" x14ac:dyDescent="0.3">
      <c r="A64" s="365">
        <f t="shared" si="4"/>
        <v>46</v>
      </c>
      <c r="B64" s="370" t="s">
        <v>1942</v>
      </c>
      <c r="C64" s="371"/>
      <c r="D64" s="371"/>
      <c r="E64" s="367" t="s">
        <v>264</v>
      </c>
      <c r="F64" s="527"/>
      <c r="G64" s="539"/>
      <c r="H64" s="539"/>
      <c r="I64" s="369">
        <f t="shared" si="3"/>
        <v>0</v>
      </c>
      <c r="J64" s="372"/>
      <c r="K64" s="372">
        <f>'RAB Pasang'!K64*60%</f>
        <v>13644</v>
      </c>
      <c r="L64" s="372">
        <f t="shared" si="0"/>
        <v>0</v>
      </c>
      <c r="M64" s="372">
        <f t="shared" si="1"/>
        <v>0</v>
      </c>
      <c r="N64" s="460">
        <f t="shared" si="2"/>
        <v>0</v>
      </c>
      <c r="P64" s="524">
        <v>220</v>
      </c>
      <c r="Q64" s="524">
        <v>220</v>
      </c>
      <c r="R64" s="524">
        <v>135</v>
      </c>
      <c r="S64" s="525">
        <v>400</v>
      </c>
      <c r="T64" s="526">
        <f t="shared" si="5"/>
        <v>1.6334999999999999E-2</v>
      </c>
    </row>
    <row r="65" spans="1:20" ht="13.2" customHeight="1" x14ac:dyDescent="0.3">
      <c r="A65" s="365">
        <f t="shared" si="4"/>
        <v>47</v>
      </c>
      <c r="B65" s="370" t="s">
        <v>1943</v>
      </c>
      <c r="C65" s="371"/>
      <c r="D65" s="371"/>
      <c r="E65" s="367" t="s">
        <v>264</v>
      </c>
      <c r="F65" s="527"/>
      <c r="G65" s="539"/>
      <c r="H65" s="539"/>
      <c r="I65" s="369">
        <f t="shared" si="3"/>
        <v>0</v>
      </c>
      <c r="J65" s="372"/>
      <c r="K65" s="372">
        <f>'RAB Pasang'!K65*60%</f>
        <v>15162</v>
      </c>
      <c r="L65" s="372">
        <f t="shared" si="0"/>
        <v>0</v>
      </c>
      <c r="M65" s="372">
        <f t="shared" si="1"/>
        <v>0</v>
      </c>
      <c r="N65" s="460">
        <f t="shared" si="2"/>
        <v>0</v>
      </c>
      <c r="P65" s="524">
        <v>220</v>
      </c>
      <c r="Q65" s="524">
        <v>220</v>
      </c>
      <c r="R65" s="524">
        <v>135</v>
      </c>
      <c r="S65" s="525">
        <v>350</v>
      </c>
      <c r="T65" s="526">
        <f t="shared" si="5"/>
        <v>1.8668571428571427E-2</v>
      </c>
    </row>
    <row r="66" spans="1:20" ht="13.2" customHeight="1" x14ac:dyDescent="0.3">
      <c r="A66" s="365">
        <f t="shared" si="4"/>
        <v>48</v>
      </c>
      <c r="B66" s="370" t="s">
        <v>1944</v>
      </c>
      <c r="C66" s="371"/>
      <c r="D66" s="371"/>
      <c r="E66" s="367" t="s">
        <v>264</v>
      </c>
      <c r="F66" s="527"/>
      <c r="G66" s="539"/>
      <c r="H66" s="539"/>
      <c r="I66" s="369">
        <f t="shared" si="3"/>
        <v>0</v>
      </c>
      <c r="J66" s="372"/>
      <c r="K66" s="372">
        <f>'RAB Pasang'!K66*60%</f>
        <v>19494</v>
      </c>
      <c r="L66" s="372">
        <f t="shared" si="0"/>
        <v>0</v>
      </c>
      <c r="M66" s="372">
        <f t="shared" si="1"/>
        <v>0</v>
      </c>
      <c r="N66" s="460">
        <f t="shared" si="2"/>
        <v>0</v>
      </c>
      <c r="P66" s="524">
        <v>220</v>
      </c>
      <c r="Q66" s="524">
        <v>220</v>
      </c>
      <c r="R66" s="524">
        <v>135</v>
      </c>
      <c r="S66" s="525">
        <v>300</v>
      </c>
      <c r="T66" s="526">
        <f t="shared" si="5"/>
        <v>2.1780000000000001E-2</v>
      </c>
    </row>
    <row r="67" spans="1:20" ht="13.2" customHeight="1" x14ac:dyDescent="0.3">
      <c r="A67" s="365">
        <f t="shared" si="4"/>
        <v>49</v>
      </c>
      <c r="B67" s="370" t="s">
        <v>1945</v>
      </c>
      <c r="C67" s="371"/>
      <c r="D67" s="371"/>
      <c r="E67" s="367" t="s">
        <v>264</v>
      </c>
      <c r="F67" s="527"/>
      <c r="G67" s="539"/>
      <c r="H67" s="539"/>
      <c r="I67" s="369">
        <f t="shared" si="3"/>
        <v>0</v>
      </c>
      <c r="J67" s="372"/>
      <c r="K67" s="372">
        <f>'RAB Pasang'!K67*60%</f>
        <v>27294</v>
      </c>
      <c r="L67" s="372">
        <f t="shared" si="0"/>
        <v>0</v>
      </c>
      <c r="M67" s="372">
        <f t="shared" si="1"/>
        <v>0</v>
      </c>
      <c r="N67" s="460">
        <f t="shared" si="2"/>
        <v>0</v>
      </c>
      <c r="P67" s="524">
        <v>220</v>
      </c>
      <c r="Q67" s="524">
        <v>220</v>
      </c>
      <c r="R67" s="524">
        <v>135</v>
      </c>
      <c r="S67" s="525">
        <v>250</v>
      </c>
      <c r="T67" s="526">
        <f t="shared" si="5"/>
        <v>2.6136E-2</v>
      </c>
    </row>
    <row r="68" spans="1:20" ht="13.2" customHeight="1" x14ac:dyDescent="0.3">
      <c r="A68" s="365">
        <f t="shared" si="4"/>
        <v>50</v>
      </c>
      <c r="B68" s="370" t="s">
        <v>1946</v>
      </c>
      <c r="C68" s="371"/>
      <c r="D68" s="371"/>
      <c r="E68" s="367" t="s">
        <v>264</v>
      </c>
      <c r="F68" s="527"/>
      <c r="G68" s="539"/>
      <c r="H68" s="539"/>
      <c r="I68" s="369">
        <f t="shared" si="3"/>
        <v>0</v>
      </c>
      <c r="J68" s="372"/>
      <c r="K68" s="372">
        <f>'RAB Pasang'!K68*60%</f>
        <v>34116</v>
      </c>
      <c r="L68" s="372">
        <f t="shared" si="0"/>
        <v>0</v>
      </c>
      <c r="M68" s="372">
        <f t="shared" si="1"/>
        <v>0</v>
      </c>
      <c r="N68" s="460">
        <f t="shared" si="2"/>
        <v>0</v>
      </c>
      <c r="P68" s="524">
        <v>220</v>
      </c>
      <c r="Q68" s="524">
        <v>220</v>
      </c>
      <c r="R68" s="524">
        <v>135</v>
      </c>
      <c r="S68" s="525">
        <v>200</v>
      </c>
      <c r="T68" s="526">
        <f t="shared" si="5"/>
        <v>3.2669999999999998E-2</v>
      </c>
    </row>
    <row r="69" spans="1:20" ht="13.2" customHeight="1" x14ac:dyDescent="0.3">
      <c r="A69" s="365">
        <f t="shared" si="4"/>
        <v>51</v>
      </c>
      <c r="B69" s="370" t="s">
        <v>1947</v>
      </c>
      <c r="C69" s="371"/>
      <c r="D69" s="371"/>
      <c r="E69" s="367" t="s">
        <v>264</v>
      </c>
      <c r="F69" s="527"/>
      <c r="G69" s="539"/>
      <c r="H69" s="539"/>
      <c r="I69" s="369">
        <f t="shared" si="3"/>
        <v>0</v>
      </c>
      <c r="J69" s="372"/>
      <c r="K69" s="372">
        <f>'RAB Pasang'!K69*60%</f>
        <v>8028</v>
      </c>
      <c r="L69" s="372">
        <f t="shared" si="0"/>
        <v>0</v>
      </c>
      <c r="M69" s="372">
        <f t="shared" si="1"/>
        <v>0</v>
      </c>
      <c r="N69" s="460">
        <f t="shared" si="2"/>
        <v>0</v>
      </c>
      <c r="P69" s="524">
        <v>220</v>
      </c>
      <c r="Q69" s="524">
        <v>220</v>
      </c>
      <c r="R69" s="524">
        <v>135</v>
      </c>
      <c r="S69" s="525">
        <v>500</v>
      </c>
      <c r="T69" s="526">
        <f t="shared" si="5"/>
        <v>1.3068E-2</v>
      </c>
    </row>
    <row r="70" spans="1:20" ht="13.2" customHeight="1" x14ac:dyDescent="0.3">
      <c r="A70" s="365">
        <f t="shared" si="4"/>
        <v>52</v>
      </c>
      <c r="B70" s="370" t="s">
        <v>1948</v>
      </c>
      <c r="C70" s="371"/>
      <c r="D70" s="371"/>
      <c r="E70" s="367" t="s">
        <v>264</v>
      </c>
      <c r="F70" s="527"/>
      <c r="G70" s="539"/>
      <c r="H70" s="539"/>
      <c r="I70" s="369">
        <f t="shared" si="3"/>
        <v>0</v>
      </c>
      <c r="J70" s="372"/>
      <c r="K70" s="372">
        <f>'RAB Pasang'!K70*60%</f>
        <v>9750</v>
      </c>
      <c r="L70" s="372">
        <f t="shared" si="0"/>
        <v>0</v>
      </c>
      <c r="M70" s="372">
        <f t="shared" si="1"/>
        <v>0</v>
      </c>
      <c r="N70" s="460">
        <f t="shared" si="2"/>
        <v>0</v>
      </c>
      <c r="P70" s="524">
        <v>220</v>
      </c>
      <c r="Q70" s="524">
        <v>220</v>
      </c>
      <c r="R70" s="524">
        <v>135</v>
      </c>
      <c r="S70" s="525">
        <v>450</v>
      </c>
      <c r="T70" s="526">
        <f t="shared" si="5"/>
        <v>1.452E-2</v>
      </c>
    </row>
    <row r="71" spans="1:20" ht="13.2" customHeight="1" x14ac:dyDescent="0.3">
      <c r="A71" s="365">
        <f t="shared" si="4"/>
        <v>53</v>
      </c>
      <c r="B71" s="370" t="s">
        <v>1949</v>
      </c>
      <c r="C71" s="371"/>
      <c r="D71" s="371"/>
      <c r="E71" s="367" t="s">
        <v>264</v>
      </c>
      <c r="F71" s="527"/>
      <c r="G71" s="539"/>
      <c r="H71" s="539"/>
      <c r="I71" s="369">
        <f t="shared" si="3"/>
        <v>0</v>
      </c>
      <c r="J71" s="372"/>
      <c r="K71" s="372">
        <f>'RAB Pasang'!K71*60%</f>
        <v>11370</v>
      </c>
      <c r="L71" s="372">
        <f t="shared" si="0"/>
        <v>0</v>
      </c>
      <c r="M71" s="372">
        <f t="shared" si="1"/>
        <v>0</v>
      </c>
      <c r="N71" s="460">
        <f t="shared" si="2"/>
        <v>0</v>
      </c>
      <c r="P71" s="524">
        <v>220</v>
      </c>
      <c r="Q71" s="524">
        <v>220</v>
      </c>
      <c r="R71" s="524">
        <v>135</v>
      </c>
      <c r="S71" s="525">
        <v>400</v>
      </c>
      <c r="T71" s="526">
        <f t="shared" si="5"/>
        <v>1.6334999999999999E-2</v>
      </c>
    </row>
    <row r="72" spans="1:20" ht="13.2" customHeight="1" x14ac:dyDescent="0.3">
      <c r="A72" s="365">
        <f t="shared" si="4"/>
        <v>54</v>
      </c>
      <c r="B72" s="370" t="s">
        <v>1950</v>
      </c>
      <c r="C72" s="371"/>
      <c r="D72" s="371"/>
      <c r="E72" s="367" t="s">
        <v>264</v>
      </c>
      <c r="F72" s="527"/>
      <c r="G72" s="539"/>
      <c r="H72" s="539"/>
      <c r="I72" s="369">
        <f t="shared" si="3"/>
        <v>0</v>
      </c>
      <c r="J72" s="372"/>
      <c r="K72" s="372">
        <f>'RAB Pasang'!K72*60%</f>
        <v>13644</v>
      </c>
      <c r="L72" s="372">
        <f t="shared" si="0"/>
        <v>0</v>
      </c>
      <c r="M72" s="372">
        <f t="shared" si="1"/>
        <v>0</v>
      </c>
      <c r="N72" s="460">
        <f t="shared" si="2"/>
        <v>0</v>
      </c>
      <c r="P72" s="524">
        <v>220</v>
      </c>
      <c r="Q72" s="524">
        <v>220</v>
      </c>
      <c r="R72" s="524">
        <v>135</v>
      </c>
      <c r="S72" s="525">
        <v>350</v>
      </c>
      <c r="T72" s="526">
        <f t="shared" si="5"/>
        <v>1.8668571428571427E-2</v>
      </c>
    </row>
    <row r="73" spans="1:20" ht="13.2" customHeight="1" x14ac:dyDescent="0.3">
      <c r="A73" s="365">
        <f t="shared" si="4"/>
        <v>55</v>
      </c>
      <c r="B73" s="370" t="s">
        <v>1951</v>
      </c>
      <c r="C73" s="371"/>
      <c r="D73" s="371"/>
      <c r="E73" s="367" t="s">
        <v>264</v>
      </c>
      <c r="F73" s="527"/>
      <c r="G73" s="539"/>
      <c r="H73" s="539"/>
      <c r="I73" s="369">
        <f t="shared" si="3"/>
        <v>0</v>
      </c>
      <c r="J73" s="372"/>
      <c r="K73" s="372">
        <f>'RAB Pasang'!K73*60%</f>
        <v>16056</v>
      </c>
      <c r="L73" s="372">
        <f t="shared" si="0"/>
        <v>0</v>
      </c>
      <c r="M73" s="372">
        <f t="shared" si="1"/>
        <v>0</v>
      </c>
      <c r="N73" s="460">
        <f t="shared" si="2"/>
        <v>0</v>
      </c>
      <c r="P73" s="524">
        <v>220</v>
      </c>
      <c r="Q73" s="524">
        <v>220</v>
      </c>
      <c r="R73" s="524">
        <v>135</v>
      </c>
      <c r="S73" s="525">
        <v>300</v>
      </c>
      <c r="T73" s="526">
        <f t="shared" si="5"/>
        <v>2.1780000000000001E-2</v>
      </c>
    </row>
    <row r="74" spans="1:20" ht="13.2" customHeight="1" x14ac:dyDescent="0.3">
      <c r="A74" s="365">
        <f t="shared" si="4"/>
        <v>56</v>
      </c>
      <c r="B74" s="370" t="s">
        <v>1952</v>
      </c>
      <c r="C74" s="371"/>
      <c r="D74" s="371"/>
      <c r="E74" s="367" t="s">
        <v>264</v>
      </c>
      <c r="F74" s="527"/>
      <c r="G74" s="539"/>
      <c r="H74" s="539"/>
      <c r="I74" s="369">
        <f t="shared" si="3"/>
        <v>0</v>
      </c>
      <c r="J74" s="372"/>
      <c r="K74" s="372">
        <f>'RAB Pasang'!K74*60%</f>
        <v>20994</v>
      </c>
      <c r="L74" s="372">
        <f t="shared" si="0"/>
        <v>0</v>
      </c>
      <c r="M74" s="372">
        <f t="shared" si="1"/>
        <v>0</v>
      </c>
      <c r="N74" s="460">
        <f t="shared" si="2"/>
        <v>0</v>
      </c>
      <c r="P74" s="524">
        <v>220</v>
      </c>
      <c r="Q74" s="524">
        <v>220</v>
      </c>
      <c r="R74" s="524">
        <v>135</v>
      </c>
      <c r="S74" s="525">
        <v>250</v>
      </c>
      <c r="T74" s="526">
        <f t="shared" si="5"/>
        <v>2.6136E-2</v>
      </c>
    </row>
    <row r="75" spans="1:20" ht="13.2" customHeight="1" x14ac:dyDescent="0.3">
      <c r="A75" s="365">
        <f t="shared" si="4"/>
        <v>57</v>
      </c>
      <c r="B75" s="370" t="s">
        <v>1953</v>
      </c>
      <c r="C75" s="371"/>
      <c r="D75" s="371"/>
      <c r="E75" s="367" t="s">
        <v>264</v>
      </c>
      <c r="F75" s="527"/>
      <c r="G75" s="539"/>
      <c r="H75" s="539"/>
      <c r="I75" s="369">
        <f t="shared" si="3"/>
        <v>0</v>
      </c>
      <c r="J75" s="372"/>
      <c r="K75" s="372">
        <f>'RAB Pasang'!K75*60%</f>
        <v>27294</v>
      </c>
      <c r="L75" s="372">
        <f t="shared" si="0"/>
        <v>0</v>
      </c>
      <c r="M75" s="372">
        <f t="shared" si="1"/>
        <v>0</v>
      </c>
      <c r="N75" s="460">
        <f t="shared" si="2"/>
        <v>0</v>
      </c>
      <c r="P75" s="524">
        <v>220</v>
      </c>
      <c r="Q75" s="524">
        <v>220</v>
      </c>
      <c r="R75" s="524">
        <v>135</v>
      </c>
      <c r="S75" s="525">
        <v>200</v>
      </c>
      <c r="T75" s="526">
        <f t="shared" si="5"/>
        <v>3.2669999999999998E-2</v>
      </c>
    </row>
    <row r="76" spans="1:20" ht="13.2" customHeight="1" x14ac:dyDescent="0.3">
      <c r="A76" s="365">
        <f t="shared" si="4"/>
        <v>58</v>
      </c>
      <c r="B76" s="370" t="s">
        <v>1551</v>
      </c>
      <c r="C76" s="371"/>
      <c r="D76" s="371"/>
      <c r="E76" s="367" t="s">
        <v>264</v>
      </c>
      <c r="F76" s="539"/>
      <c r="G76" s="527"/>
      <c r="H76" s="539"/>
      <c r="I76" s="369">
        <f t="shared" si="3"/>
        <v>0</v>
      </c>
      <c r="J76" s="372"/>
      <c r="K76" s="372">
        <f>'RAB Pasang'!K76*60%</f>
        <v>5208</v>
      </c>
      <c r="L76" s="372">
        <f t="shared" si="0"/>
        <v>0</v>
      </c>
      <c r="M76" s="372">
        <f t="shared" si="1"/>
        <v>0</v>
      </c>
      <c r="N76" s="460">
        <f t="shared" si="2"/>
        <v>0</v>
      </c>
      <c r="P76" s="524">
        <v>151</v>
      </c>
      <c r="Q76" s="524">
        <v>151</v>
      </c>
      <c r="R76" s="524">
        <v>104</v>
      </c>
      <c r="S76" s="525">
        <v>1000</v>
      </c>
      <c r="T76" s="526">
        <f t="shared" si="5"/>
        <v>2.3713039999999999E-3</v>
      </c>
    </row>
    <row r="77" spans="1:20" ht="13.2" customHeight="1" x14ac:dyDescent="0.3">
      <c r="A77" s="365">
        <f t="shared" si="4"/>
        <v>59</v>
      </c>
      <c r="B77" s="370" t="s">
        <v>1552</v>
      </c>
      <c r="C77" s="371"/>
      <c r="D77" s="371"/>
      <c r="E77" s="367" t="s">
        <v>264</v>
      </c>
      <c r="F77" s="539"/>
      <c r="G77" s="527"/>
      <c r="H77" s="539"/>
      <c r="I77" s="369">
        <f t="shared" si="3"/>
        <v>0</v>
      </c>
      <c r="J77" s="372"/>
      <c r="K77" s="372">
        <f>'RAB Pasang'!K77*60%</f>
        <v>5994</v>
      </c>
      <c r="L77" s="372">
        <f t="shared" si="0"/>
        <v>0</v>
      </c>
      <c r="M77" s="372">
        <f t="shared" si="1"/>
        <v>0</v>
      </c>
      <c r="N77" s="460">
        <f t="shared" si="2"/>
        <v>0</v>
      </c>
      <c r="P77" s="524">
        <v>151</v>
      </c>
      <c r="Q77" s="524">
        <v>151</v>
      </c>
      <c r="R77" s="524">
        <v>104</v>
      </c>
      <c r="S77" s="525">
        <v>1000</v>
      </c>
      <c r="T77" s="526">
        <f t="shared" si="5"/>
        <v>2.3713039999999999E-3</v>
      </c>
    </row>
    <row r="78" spans="1:20" ht="13.2" customHeight="1" x14ac:dyDescent="0.3">
      <c r="A78" s="365">
        <f t="shared" si="4"/>
        <v>60</v>
      </c>
      <c r="B78" s="370" t="s">
        <v>1553</v>
      </c>
      <c r="C78" s="371"/>
      <c r="D78" s="371"/>
      <c r="E78" s="367" t="s">
        <v>264</v>
      </c>
      <c r="F78" s="539"/>
      <c r="G78" s="527"/>
      <c r="H78" s="539"/>
      <c r="I78" s="369">
        <f t="shared" si="3"/>
        <v>0</v>
      </c>
      <c r="J78" s="372"/>
      <c r="K78" s="372">
        <f>'RAB Pasang'!K78*60%</f>
        <v>7488</v>
      </c>
      <c r="L78" s="372">
        <f t="shared" si="0"/>
        <v>0</v>
      </c>
      <c r="M78" s="372">
        <f t="shared" si="1"/>
        <v>0</v>
      </c>
      <c r="N78" s="460">
        <f t="shared" si="2"/>
        <v>0</v>
      </c>
      <c r="P78" s="524">
        <v>151</v>
      </c>
      <c r="Q78" s="524">
        <v>151</v>
      </c>
      <c r="R78" s="524">
        <v>104</v>
      </c>
      <c r="S78" s="525">
        <v>1000</v>
      </c>
      <c r="T78" s="526">
        <f t="shared" si="5"/>
        <v>2.3713039999999999E-3</v>
      </c>
    </row>
    <row r="79" spans="1:20" ht="13.2" customHeight="1" x14ac:dyDescent="0.3">
      <c r="A79" s="365">
        <f t="shared" si="4"/>
        <v>61</v>
      </c>
      <c r="B79" s="370" t="s">
        <v>1554</v>
      </c>
      <c r="C79" s="371"/>
      <c r="D79" s="371"/>
      <c r="E79" s="367" t="s">
        <v>264</v>
      </c>
      <c r="F79" s="539"/>
      <c r="G79" s="527"/>
      <c r="H79" s="539"/>
      <c r="I79" s="369">
        <f t="shared" si="3"/>
        <v>0</v>
      </c>
      <c r="J79" s="372"/>
      <c r="K79" s="372">
        <f>'RAB Pasang'!K79*60%</f>
        <v>8562</v>
      </c>
      <c r="L79" s="372">
        <f t="shared" si="0"/>
        <v>0</v>
      </c>
      <c r="M79" s="372">
        <f t="shared" si="1"/>
        <v>0</v>
      </c>
      <c r="N79" s="460">
        <f t="shared" si="2"/>
        <v>0</v>
      </c>
      <c r="P79" s="524">
        <v>151</v>
      </c>
      <c r="Q79" s="524">
        <v>151</v>
      </c>
      <c r="R79" s="524">
        <v>104</v>
      </c>
      <c r="S79" s="525">
        <v>1000</v>
      </c>
      <c r="T79" s="526">
        <f t="shared" si="5"/>
        <v>2.3713039999999999E-3</v>
      </c>
    </row>
    <row r="80" spans="1:20" ht="13.2" customHeight="1" x14ac:dyDescent="0.3">
      <c r="A80" s="365">
        <f t="shared" si="4"/>
        <v>62</v>
      </c>
      <c r="B80" s="370" t="s">
        <v>1555</v>
      </c>
      <c r="C80" s="371"/>
      <c r="D80" s="371"/>
      <c r="E80" s="367" t="s">
        <v>264</v>
      </c>
      <c r="F80" s="539"/>
      <c r="G80" s="527"/>
      <c r="H80" s="539"/>
      <c r="I80" s="369">
        <f t="shared" si="3"/>
        <v>0</v>
      </c>
      <c r="J80" s="372"/>
      <c r="K80" s="372">
        <f>'RAB Pasang'!K80*60%</f>
        <v>9984</v>
      </c>
      <c r="L80" s="372">
        <f t="shared" si="0"/>
        <v>0</v>
      </c>
      <c r="M80" s="372">
        <f t="shared" si="1"/>
        <v>0</v>
      </c>
      <c r="N80" s="460">
        <f t="shared" si="2"/>
        <v>0</v>
      </c>
      <c r="P80" s="524">
        <v>151</v>
      </c>
      <c r="Q80" s="524">
        <v>151</v>
      </c>
      <c r="R80" s="524">
        <v>104</v>
      </c>
      <c r="S80" s="525">
        <v>1000</v>
      </c>
      <c r="T80" s="526">
        <f t="shared" si="5"/>
        <v>2.3713039999999999E-3</v>
      </c>
    </row>
    <row r="81" spans="1:21" ht="13.2" customHeight="1" x14ac:dyDescent="0.3">
      <c r="A81" s="365">
        <f t="shared" si="4"/>
        <v>63</v>
      </c>
      <c r="B81" s="370" t="s">
        <v>1559</v>
      </c>
      <c r="C81" s="371"/>
      <c r="D81" s="371"/>
      <c r="E81" s="367" t="s">
        <v>2348</v>
      </c>
      <c r="F81" s="539"/>
      <c r="G81" s="539"/>
      <c r="H81" s="527"/>
      <c r="I81" s="369">
        <f t="shared" si="3"/>
        <v>0</v>
      </c>
      <c r="J81" s="372"/>
      <c r="K81" s="372">
        <f>'RAB Pasang'!K81*60%</f>
        <v>2804.8199999999997</v>
      </c>
      <c r="L81" s="372">
        <f t="shared" si="0"/>
        <v>0</v>
      </c>
      <c r="M81" s="372">
        <f t="shared" si="1"/>
        <v>0</v>
      </c>
      <c r="N81" s="460">
        <f t="shared" si="2"/>
        <v>0</v>
      </c>
      <c r="P81" s="524">
        <v>151</v>
      </c>
      <c r="Q81" s="524">
        <v>151</v>
      </c>
      <c r="R81" s="524">
        <v>104</v>
      </c>
      <c r="S81" s="525">
        <v>1000</v>
      </c>
      <c r="T81" s="526">
        <f t="shared" si="5"/>
        <v>2.3713039999999999E-3</v>
      </c>
      <c r="U81" s="297" t="s">
        <v>2347</v>
      </c>
    </row>
    <row r="82" spans="1:21" ht="13.2" customHeight="1" x14ac:dyDescent="0.3">
      <c r="A82" s="365">
        <f t="shared" si="4"/>
        <v>64</v>
      </c>
      <c r="B82" s="370" t="s">
        <v>1560</v>
      </c>
      <c r="C82" s="371"/>
      <c r="D82" s="371"/>
      <c r="E82" s="367" t="s">
        <v>2348</v>
      </c>
      <c r="F82" s="539"/>
      <c r="G82" s="539"/>
      <c r="H82" s="527"/>
      <c r="I82" s="369">
        <f t="shared" si="3"/>
        <v>0</v>
      </c>
      <c r="J82" s="372"/>
      <c r="K82" s="372">
        <f>'RAB Pasang'!K82*60%</f>
        <v>3883.5959999999995</v>
      </c>
      <c r="L82" s="372">
        <f t="shared" si="0"/>
        <v>0</v>
      </c>
      <c r="M82" s="372">
        <f t="shared" si="1"/>
        <v>0</v>
      </c>
      <c r="N82" s="460">
        <f t="shared" si="2"/>
        <v>0</v>
      </c>
      <c r="P82" s="524">
        <v>151</v>
      </c>
      <c r="Q82" s="524">
        <v>151</v>
      </c>
      <c r="R82" s="524">
        <v>104</v>
      </c>
      <c r="S82" s="525">
        <v>1000</v>
      </c>
      <c r="T82" s="526">
        <f t="shared" si="5"/>
        <v>2.3713039999999999E-3</v>
      </c>
      <c r="U82" s="297" t="s">
        <v>2347</v>
      </c>
    </row>
    <row r="83" spans="1:21" ht="13.2" customHeight="1" x14ac:dyDescent="0.3">
      <c r="A83" s="365">
        <f t="shared" si="4"/>
        <v>65</v>
      </c>
      <c r="B83" s="370" t="s">
        <v>1561</v>
      </c>
      <c r="C83" s="371"/>
      <c r="D83" s="371"/>
      <c r="E83" s="367" t="s">
        <v>2348</v>
      </c>
      <c r="F83" s="539"/>
      <c r="G83" s="539"/>
      <c r="H83" s="527"/>
      <c r="I83" s="369">
        <f t="shared" si="3"/>
        <v>0</v>
      </c>
      <c r="J83" s="372"/>
      <c r="K83" s="372">
        <f>'RAB Pasang'!K83*60%</f>
        <v>5048.6759999999995</v>
      </c>
      <c r="L83" s="372">
        <f t="shared" ref="L83:L124" si="6">J83*I83</f>
        <v>0</v>
      </c>
      <c r="M83" s="372">
        <f t="shared" ref="M83:M124" si="7">K83*I83</f>
        <v>0</v>
      </c>
      <c r="N83" s="460">
        <f t="shared" ref="N83:N124" si="8">SUM(L83:M83)</f>
        <v>0</v>
      </c>
      <c r="P83" s="524">
        <v>151</v>
      </c>
      <c r="Q83" s="524">
        <v>151</v>
      </c>
      <c r="R83" s="524">
        <v>104</v>
      </c>
      <c r="S83" s="525">
        <v>1000</v>
      </c>
      <c r="T83" s="526">
        <f t="shared" si="5"/>
        <v>2.3713039999999999E-3</v>
      </c>
      <c r="U83" s="297" t="s">
        <v>2347</v>
      </c>
    </row>
    <row r="84" spans="1:21" ht="13.2" customHeight="1" x14ac:dyDescent="0.3">
      <c r="A84" s="365">
        <f t="shared" si="4"/>
        <v>66</v>
      </c>
      <c r="B84" s="370" t="s">
        <v>1562</v>
      </c>
      <c r="C84" s="371"/>
      <c r="D84" s="371"/>
      <c r="E84" s="367" t="s">
        <v>2348</v>
      </c>
      <c r="F84" s="539"/>
      <c r="G84" s="539"/>
      <c r="H84" s="527"/>
      <c r="I84" s="369">
        <f t="shared" ref="I84:I124" si="9">SUM(F84:H84)</f>
        <v>0</v>
      </c>
      <c r="J84" s="372"/>
      <c r="K84" s="372">
        <f>'RAB Pasang'!K84*60%</f>
        <v>6310.8419999999996</v>
      </c>
      <c r="L84" s="372">
        <f t="shared" si="6"/>
        <v>0</v>
      </c>
      <c r="M84" s="372">
        <f t="shared" si="7"/>
        <v>0</v>
      </c>
      <c r="N84" s="460">
        <f t="shared" si="8"/>
        <v>0</v>
      </c>
      <c r="P84" s="524">
        <v>151</v>
      </c>
      <c r="Q84" s="524">
        <v>151</v>
      </c>
      <c r="R84" s="524">
        <v>104</v>
      </c>
      <c r="S84" s="525">
        <v>1000</v>
      </c>
      <c r="T84" s="526">
        <f t="shared" si="5"/>
        <v>2.3713039999999999E-3</v>
      </c>
      <c r="U84" s="297" t="s">
        <v>2347</v>
      </c>
    </row>
    <row r="85" spans="1:21" ht="13.2" customHeight="1" x14ac:dyDescent="0.3">
      <c r="A85" s="365">
        <f t="shared" ref="A85:A124" si="10">A84+1</f>
        <v>67</v>
      </c>
      <c r="B85" s="370" t="s">
        <v>1557</v>
      </c>
      <c r="C85" s="373"/>
      <c r="D85" s="373"/>
      <c r="E85" s="374" t="s">
        <v>264</v>
      </c>
      <c r="F85" s="571"/>
      <c r="G85" s="571"/>
      <c r="H85" s="528"/>
      <c r="I85" s="369">
        <f t="shared" si="9"/>
        <v>0</v>
      </c>
      <c r="J85" s="375"/>
      <c r="K85" s="375">
        <f>'RAB Pasang'!K85*60%</f>
        <v>3396</v>
      </c>
      <c r="L85" s="372">
        <f t="shared" si="6"/>
        <v>0</v>
      </c>
      <c r="M85" s="375">
        <f t="shared" si="7"/>
        <v>0</v>
      </c>
      <c r="N85" s="462">
        <f t="shared" si="8"/>
        <v>0</v>
      </c>
      <c r="P85" s="524">
        <v>151</v>
      </c>
      <c r="Q85" s="524">
        <v>151</v>
      </c>
      <c r="R85" s="524">
        <v>104</v>
      </c>
      <c r="S85" s="525">
        <v>3000</v>
      </c>
      <c r="T85" s="526">
        <f t="shared" si="5"/>
        <v>7.9043466666666666E-4</v>
      </c>
    </row>
    <row r="86" spans="1:21" ht="13.2" customHeight="1" x14ac:dyDescent="0.3">
      <c r="A86" s="365">
        <f t="shared" si="10"/>
        <v>68</v>
      </c>
      <c r="B86" s="370" t="s">
        <v>1558</v>
      </c>
      <c r="C86" s="373"/>
      <c r="D86" s="373"/>
      <c r="E86" s="374" t="s">
        <v>264</v>
      </c>
      <c r="F86" s="571"/>
      <c r="G86" s="571"/>
      <c r="H86" s="528"/>
      <c r="I86" s="369">
        <f t="shared" si="9"/>
        <v>0</v>
      </c>
      <c r="J86" s="375"/>
      <c r="K86" s="375">
        <f>'RAB Pasang'!K86*60%</f>
        <v>3906</v>
      </c>
      <c r="L86" s="372">
        <f t="shared" si="6"/>
        <v>0</v>
      </c>
      <c r="M86" s="375">
        <f t="shared" si="7"/>
        <v>0</v>
      </c>
      <c r="N86" s="462">
        <f t="shared" si="8"/>
        <v>0</v>
      </c>
      <c r="P86" s="524">
        <v>151</v>
      </c>
      <c r="Q86" s="524">
        <v>151</v>
      </c>
      <c r="R86" s="524">
        <v>104</v>
      </c>
      <c r="S86" s="525">
        <v>2000</v>
      </c>
      <c r="T86" s="526">
        <f t="shared" si="5"/>
        <v>1.1856519999999999E-3</v>
      </c>
    </row>
    <row r="87" spans="1:21" ht="13.2" customHeight="1" x14ac:dyDescent="0.3">
      <c r="A87" s="365">
        <f t="shared" si="10"/>
        <v>69</v>
      </c>
      <c r="B87" s="370" t="s">
        <v>1567</v>
      </c>
      <c r="C87" s="373"/>
      <c r="D87" s="373"/>
      <c r="E87" s="374" t="s">
        <v>264</v>
      </c>
      <c r="F87" s="571"/>
      <c r="G87" s="571"/>
      <c r="H87" s="528"/>
      <c r="I87" s="369">
        <f t="shared" si="9"/>
        <v>0</v>
      </c>
      <c r="J87" s="375"/>
      <c r="K87" s="375">
        <f>'RAB Pasang'!K87*60%</f>
        <v>7806</v>
      </c>
      <c r="L87" s="372">
        <f t="shared" si="6"/>
        <v>0</v>
      </c>
      <c r="M87" s="375">
        <f t="shared" si="7"/>
        <v>0</v>
      </c>
      <c r="N87" s="462">
        <f t="shared" si="8"/>
        <v>0</v>
      </c>
      <c r="P87" s="524">
        <v>151</v>
      </c>
      <c r="Q87" s="524">
        <v>151</v>
      </c>
      <c r="R87" s="524">
        <v>104</v>
      </c>
      <c r="S87" s="525">
        <v>1000</v>
      </c>
      <c r="T87" s="526">
        <f t="shared" si="5"/>
        <v>2.3713039999999999E-3</v>
      </c>
    </row>
    <row r="88" spans="1:21" ht="13.2" customHeight="1" x14ac:dyDescent="0.3">
      <c r="A88" s="365">
        <f t="shared" si="10"/>
        <v>70</v>
      </c>
      <c r="B88" s="370" t="s">
        <v>1556</v>
      </c>
      <c r="C88" s="373"/>
      <c r="D88" s="373"/>
      <c r="E88" s="374" t="s">
        <v>264</v>
      </c>
      <c r="F88" s="571"/>
      <c r="G88" s="571"/>
      <c r="H88" s="528"/>
      <c r="I88" s="369">
        <f t="shared" si="9"/>
        <v>0</v>
      </c>
      <c r="J88" s="375"/>
      <c r="K88" s="375">
        <f>'RAB Pasang'!K88*60%</f>
        <v>3006</v>
      </c>
      <c r="L88" s="372">
        <f t="shared" si="6"/>
        <v>0</v>
      </c>
      <c r="M88" s="375">
        <f t="shared" si="7"/>
        <v>0</v>
      </c>
      <c r="N88" s="462">
        <f t="shared" si="8"/>
        <v>0</v>
      </c>
      <c r="P88" s="524">
        <v>151</v>
      </c>
      <c r="Q88" s="524">
        <v>151</v>
      </c>
      <c r="R88" s="524">
        <v>104</v>
      </c>
      <c r="S88" s="525">
        <v>3000</v>
      </c>
      <c r="T88" s="526">
        <f t="shared" si="5"/>
        <v>7.9043466666666666E-4</v>
      </c>
    </row>
    <row r="89" spans="1:21" ht="13.2" customHeight="1" x14ac:dyDescent="0.3">
      <c r="A89" s="365">
        <f t="shared" si="10"/>
        <v>71</v>
      </c>
      <c r="B89" s="370" t="s">
        <v>1563</v>
      </c>
      <c r="C89" s="373"/>
      <c r="D89" s="373"/>
      <c r="E89" s="374" t="s">
        <v>264</v>
      </c>
      <c r="F89" s="571"/>
      <c r="G89" s="571"/>
      <c r="H89" s="528"/>
      <c r="I89" s="369">
        <f t="shared" si="9"/>
        <v>0</v>
      </c>
      <c r="J89" s="375"/>
      <c r="K89" s="375">
        <f>'RAB Pasang'!K89*60%</f>
        <v>3552</v>
      </c>
      <c r="L89" s="372">
        <f t="shared" si="6"/>
        <v>0</v>
      </c>
      <c r="M89" s="375">
        <f t="shared" si="7"/>
        <v>0</v>
      </c>
      <c r="N89" s="462">
        <f t="shared" si="8"/>
        <v>0</v>
      </c>
      <c r="P89" s="524">
        <v>151</v>
      </c>
      <c r="Q89" s="524">
        <v>151</v>
      </c>
      <c r="R89" s="524">
        <v>104</v>
      </c>
      <c r="S89" s="525">
        <v>2000</v>
      </c>
      <c r="T89" s="526">
        <f t="shared" si="5"/>
        <v>1.1856519999999999E-3</v>
      </c>
    </row>
    <row r="90" spans="1:21" ht="13.2" customHeight="1" x14ac:dyDescent="0.3">
      <c r="A90" s="365">
        <f t="shared" si="10"/>
        <v>72</v>
      </c>
      <c r="B90" s="370" t="s">
        <v>1564</v>
      </c>
      <c r="C90" s="373"/>
      <c r="D90" s="373"/>
      <c r="E90" s="374" t="s">
        <v>264</v>
      </c>
      <c r="F90" s="571"/>
      <c r="G90" s="571"/>
      <c r="H90" s="528"/>
      <c r="I90" s="369">
        <f t="shared" si="9"/>
        <v>0</v>
      </c>
      <c r="J90" s="375"/>
      <c r="K90" s="375">
        <f>'RAB Pasang'!K90*60%</f>
        <v>11676</v>
      </c>
      <c r="L90" s="372">
        <f t="shared" si="6"/>
        <v>0</v>
      </c>
      <c r="M90" s="375">
        <f t="shared" si="7"/>
        <v>0</v>
      </c>
      <c r="N90" s="462">
        <f t="shared" si="8"/>
        <v>0</v>
      </c>
      <c r="P90" s="524">
        <v>151</v>
      </c>
      <c r="Q90" s="524">
        <v>151</v>
      </c>
      <c r="R90" s="524">
        <v>104</v>
      </c>
      <c r="S90" s="525">
        <v>500</v>
      </c>
      <c r="T90" s="526">
        <f t="shared" si="5"/>
        <v>4.7426079999999997E-3</v>
      </c>
    </row>
    <row r="91" spans="1:21" ht="13.2" customHeight="1" x14ac:dyDescent="0.3">
      <c r="A91" s="365">
        <f t="shared" si="10"/>
        <v>73</v>
      </c>
      <c r="B91" s="370" t="s">
        <v>1565</v>
      </c>
      <c r="C91" s="373"/>
      <c r="D91" s="373"/>
      <c r="E91" s="374" t="s">
        <v>264</v>
      </c>
      <c r="F91" s="571"/>
      <c r="G91" s="571"/>
      <c r="H91" s="528"/>
      <c r="I91" s="369">
        <f t="shared" si="9"/>
        <v>0</v>
      </c>
      <c r="J91" s="375"/>
      <c r="K91" s="375">
        <f>'RAB Pasang'!K91*60%</f>
        <v>17514</v>
      </c>
      <c r="L91" s="372">
        <f t="shared" si="6"/>
        <v>0</v>
      </c>
      <c r="M91" s="375">
        <f t="shared" si="7"/>
        <v>0</v>
      </c>
      <c r="N91" s="462">
        <f t="shared" si="8"/>
        <v>0</v>
      </c>
      <c r="P91" s="524">
        <v>151</v>
      </c>
      <c r="Q91" s="524">
        <v>151</v>
      </c>
      <c r="R91" s="524">
        <v>104</v>
      </c>
      <c r="S91" s="525">
        <v>450</v>
      </c>
      <c r="T91" s="526">
        <f t="shared" si="5"/>
        <v>5.2695644444444439E-3</v>
      </c>
    </row>
    <row r="92" spans="1:21" ht="13.2" customHeight="1" x14ac:dyDescent="0.3">
      <c r="A92" s="365">
        <f t="shared" si="10"/>
        <v>74</v>
      </c>
      <c r="B92" s="370" t="s">
        <v>1566</v>
      </c>
      <c r="C92" s="373"/>
      <c r="D92" s="373"/>
      <c r="E92" s="374" t="s">
        <v>264</v>
      </c>
      <c r="F92" s="571"/>
      <c r="G92" s="571"/>
      <c r="H92" s="528"/>
      <c r="I92" s="369">
        <f t="shared" si="9"/>
        <v>0</v>
      </c>
      <c r="J92" s="375"/>
      <c r="K92" s="375">
        <f>'RAB Pasang'!K92*60%</f>
        <v>23352</v>
      </c>
      <c r="L92" s="372">
        <f t="shared" si="6"/>
        <v>0</v>
      </c>
      <c r="M92" s="375">
        <f t="shared" si="7"/>
        <v>0</v>
      </c>
      <c r="N92" s="462">
        <f t="shared" si="8"/>
        <v>0</v>
      </c>
      <c r="P92" s="524">
        <v>151</v>
      </c>
      <c r="Q92" s="524">
        <v>151</v>
      </c>
      <c r="R92" s="524">
        <v>104</v>
      </c>
      <c r="S92" s="525">
        <v>400</v>
      </c>
      <c r="T92" s="526">
        <f t="shared" si="5"/>
        <v>5.9282599999999994E-3</v>
      </c>
    </row>
    <row r="93" spans="1:21" ht="13.2" customHeight="1" x14ac:dyDescent="0.3">
      <c r="A93" s="365">
        <f t="shared" si="10"/>
        <v>75</v>
      </c>
      <c r="B93" s="376" t="s">
        <v>1492</v>
      </c>
      <c r="C93" s="373"/>
      <c r="D93" s="373"/>
      <c r="E93" s="374" t="s">
        <v>399</v>
      </c>
      <c r="F93" s="528"/>
      <c r="G93" s="571"/>
      <c r="H93" s="571"/>
      <c r="I93" s="369">
        <f t="shared" si="9"/>
        <v>0</v>
      </c>
      <c r="J93" s="375"/>
      <c r="K93" s="375">
        <f>'RAB Pasang'!K93*60%</f>
        <v>2344878</v>
      </c>
      <c r="L93" s="372">
        <f t="shared" si="6"/>
        <v>0</v>
      </c>
      <c r="M93" s="375">
        <f t="shared" si="7"/>
        <v>0</v>
      </c>
      <c r="N93" s="462">
        <f t="shared" si="8"/>
        <v>0</v>
      </c>
      <c r="P93" s="524">
        <v>120</v>
      </c>
      <c r="Q93" s="524">
        <v>115</v>
      </c>
      <c r="R93" s="524">
        <v>76</v>
      </c>
      <c r="S93" s="525">
        <v>0</v>
      </c>
      <c r="T93" s="526">
        <f t="shared" si="5"/>
        <v>1.0488</v>
      </c>
    </row>
    <row r="94" spans="1:21" ht="13.2" customHeight="1" x14ac:dyDescent="0.3">
      <c r="A94" s="365">
        <f t="shared" si="10"/>
        <v>76</v>
      </c>
      <c r="B94" s="376" t="s">
        <v>1493</v>
      </c>
      <c r="C94" s="373"/>
      <c r="D94" s="373"/>
      <c r="E94" s="374" t="s">
        <v>399</v>
      </c>
      <c r="F94" s="528"/>
      <c r="G94" s="571"/>
      <c r="H94" s="571"/>
      <c r="I94" s="369">
        <f t="shared" si="9"/>
        <v>0</v>
      </c>
      <c r="J94" s="375"/>
      <c r="K94" s="375">
        <f>'RAB Pasang'!K94*60%</f>
        <v>2344878</v>
      </c>
      <c r="L94" s="372">
        <f t="shared" si="6"/>
        <v>0</v>
      </c>
      <c r="M94" s="375">
        <f t="shared" si="7"/>
        <v>0</v>
      </c>
      <c r="N94" s="462">
        <f t="shared" si="8"/>
        <v>0</v>
      </c>
      <c r="P94" s="524">
        <v>120</v>
      </c>
      <c r="Q94" s="524">
        <v>115</v>
      </c>
      <c r="R94" s="524">
        <v>75.5</v>
      </c>
      <c r="S94" s="525">
        <v>0</v>
      </c>
      <c r="T94" s="526">
        <f t="shared" si="5"/>
        <v>1.0419</v>
      </c>
    </row>
    <row r="95" spans="1:21" ht="13.2" customHeight="1" x14ac:dyDescent="0.3">
      <c r="A95" s="365">
        <f t="shared" si="10"/>
        <v>77</v>
      </c>
      <c r="B95" s="376" t="s">
        <v>1494</v>
      </c>
      <c r="C95" s="373"/>
      <c r="D95" s="373"/>
      <c r="E95" s="374" t="s">
        <v>399</v>
      </c>
      <c r="F95" s="528"/>
      <c r="G95" s="571"/>
      <c r="H95" s="571"/>
      <c r="I95" s="369">
        <f t="shared" si="9"/>
        <v>0</v>
      </c>
      <c r="J95" s="375"/>
      <c r="K95" s="375">
        <f>'RAB Pasang'!K95*60%</f>
        <v>2542038</v>
      </c>
      <c r="L95" s="372">
        <f t="shared" si="6"/>
        <v>0</v>
      </c>
      <c r="M95" s="375">
        <f t="shared" si="7"/>
        <v>0</v>
      </c>
      <c r="N95" s="462">
        <f t="shared" si="8"/>
        <v>0</v>
      </c>
      <c r="P95" s="524">
        <v>120</v>
      </c>
      <c r="Q95" s="524">
        <v>115</v>
      </c>
      <c r="R95" s="524">
        <v>75.5</v>
      </c>
      <c r="S95" s="525">
        <v>0</v>
      </c>
      <c r="T95" s="526">
        <f t="shared" si="5"/>
        <v>1.0419</v>
      </c>
    </row>
    <row r="96" spans="1:21" ht="13.2" customHeight="1" x14ac:dyDescent="0.3">
      <c r="A96" s="365">
        <f t="shared" si="10"/>
        <v>78</v>
      </c>
      <c r="B96" s="376" t="s">
        <v>1495</v>
      </c>
      <c r="C96" s="373"/>
      <c r="D96" s="373"/>
      <c r="E96" s="374" t="s">
        <v>399</v>
      </c>
      <c r="F96" s="528"/>
      <c r="G96" s="571"/>
      <c r="H96" s="571"/>
      <c r="I96" s="369">
        <f t="shared" si="9"/>
        <v>0</v>
      </c>
      <c r="J96" s="375"/>
      <c r="K96" s="375">
        <f>'RAB Pasang'!K96*60%</f>
        <v>2739198</v>
      </c>
      <c r="L96" s="372">
        <f t="shared" si="6"/>
        <v>0</v>
      </c>
      <c r="M96" s="375">
        <f t="shared" si="7"/>
        <v>0</v>
      </c>
      <c r="N96" s="462">
        <f t="shared" si="8"/>
        <v>0</v>
      </c>
      <c r="P96" s="524">
        <v>120</v>
      </c>
      <c r="Q96" s="524">
        <v>115</v>
      </c>
      <c r="R96" s="524">
        <v>75.5</v>
      </c>
      <c r="S96" s="525">
        <v>0</v>
      </c>
      <c r="T96" s="526">
        <f t="shared" ref="T96:T124" si="11">IF(S96=0,P96*Q96*R96/10^6,P96*Q96*R96/10^6/S96)</f>
        <v>1.0419</v>
      </c>
    </row>
    <row r="97" spans="1:21" ht="13.2" customHeight="1" x14ac:dyDescent="0.3">
      <c r="A97" s="365">
        <f t="shared" si="10"/>
        <v>79</v>
      </c>
      <c r="B97" s="376" t="s">
        <v>1496</v>
      </c>
      <c r="C97" s="373"/>
      <c r="D97" s="373"/>
      <c r="E97" s="374" t="s">
        <v>399</v>
      </c>
      <c r="F97" s="528"/>
      <c r="G97" s="571"/>
      <c r="H97" s="571"/>
      <c r="I97" s="369">
        <f t="shared" si="9"/>
        <v>0</v>
      </c>
      <c r="J97" s="375"/>
      <c r="K97" s="375">
        <f>'RAB Pasang'!K97*60%</f>
        <v>2936358</v>
      </c>
      <c r="L97" s="372">
        <f t="shared" si="6"/>
        <v>0</v>
      </c>
      <c r="M97" s="375">
        <f t="shared" si="7"/>
        <v>0</v>
      </c>
      <c r="N97" s="462">
        <f t="shared" si="8"/>
        <v>0</v>
      </c>
      <c r="P97" s="524">
        <v>122</v>
      </c>
      <c r="Q97" s="524">
        <v>128</v>
      </c>
      <c r="R97" s="524">
        <v>160</v>
      </c>
      <c r="S97" s="525">
        <v>0</v>
      </c>
      <c r="T97" s="526">
        <f t="shared" si="11"/>
        <v>2.4985599999999999</v>
      </c>
    </row>
    <row r="98" spans="1:21" ht="13.2" customHeight="1" x14ac:dyDescent="0.3">
      <c r="A98" s="365">
        <f t="shared" si="10"/>
        <v>80</v>
      </c>
      <c r="B98" s="376" t="s">
        <v>1497</v>
      </c>
      <c r="C98" s="373"/>
      <c r="D98" s="373"/>
      <c r="E98" s="374" t="s">
        <v>399</v>
      </c>
      <c r="F98" s="528"/>
      <c r="G98" s="528"/>
      <c r="H98" s="571"/>
      <c r="I98" s="369">
        <f t="shared" si="9"/>
        <v>0</v>
      </c>
      <c r="J98" s="375"/>
      <c r="K98" s="375">
        <f>'RAB Pasang'!K98*60%</f>
        <v>1768878</v>
      </c>
      <c r="L98" s="372">
        <f t="shared" si="6"/>
        <v>0</v>
      </c>
      <c r="M98" s="375">
        <f t="shared" si="7"/>
        <v>0</v>
      </c>
      <c r="N98" s="462">
        <f t="shared" si="8"/>
        <v>0</v>
      </c>
      <c r="P98" s="524">
        <v>50</v>
      </c>
      <c r="Q98" s="524">
        <v>37</v>
      </c>
      <c r="R98" s="524">
        <v>14.5</v>
      </c>
      <c r="S98" s="525">
        <v>0</v>
      </c>
      <c r="T98" s="526">
        <f>IF(S98=0,P98*Q98*R98/10^6,P98*Q98*R98/10^6/S98)*3</f>
        <v>8.0475000000000005E-2</v>
      </c>
      <c r="U98" s="297" t="s">
        <v>2343</v>
      </c>
    </row>
    <row r="99" spans="1:21" ht="13.2" customHeight="1" x14ac:dyDescent="0.3">
      <c r="A99" s="365">
        <f t="shared" si="10"/>
        <v>81</v>
      </c>
      <c r="B99" s="376" t="s">
        <v>1498</v>
      </c>
      <c r="C99" s="373"/>
      <c r="D99" s="373"/>
      <c r="E99" s="374" t="s">
        <v>399</v>
      </c>
      <c r="F99" s="571"/>
      <c r="G99" s="528"/>
      <c r="H99" s="571"/>
      <c r="I99" s="369">
        <f t="shared" si="9"/>
        <v>0</v>
      </c>
      <c r="J99" s="375"/>
      <c r="K99" s="375">
        <f>'RAB Pasang'!K99*60%</f>
        <v>4952982</v>
      </c>
      <c r="L99" s="372">
        <f t="shared" si="6"/>
        <v>0</v>
      </c>
      <c r="M99" s="375">
        <f t="shared" si="7"/>
        <v>0</v>
      </c>
      <c r="N99" s="462">
        <f t="shared" si="8"/>
        <v>0</v>
      </c>
      <c r="P99" s="524">
        <v>95</v>
      </c>
      <c r="Q99" s="524">
        <v>75</v>
      </c>
      <c r="R99" s="524">
        <v>190</v>
      </c>
      <c r="S99" s="525">
        <v>0</v>
      </c>
      <c r="T99" s="526">
        <f t="shared" si="11"/>
        <v>1.35375</v>
      </c>
    </row>
    <row r="100" spans="1:21" ht="13.2" customHeight="1" x14ac:dyDescent="0.3">
      <c r="A100" s="365">
        <f t="shared" si="10"/>
        <v>82</v>
      </c>
      <c r="B100" s="376" t="s">
        <v>1499</v>
      </c>
      <c r="C100" s="373"/>
      <c r="D100" s="373"/>
      <c r="E100" s="374" t="s">
        <v>399</v>
      </c>
      <c r="F100" s="571"/>
      <c r="G100" s="528"/>
      <c r="H100" s="571"/>
      <c r="I100" s="369">
        <f t="shared" si="9"/>
        <v>0</v>
      </c>
      <c r="J100" s="375"/>
      <c r="K100" s="375">
        <f>'RAB Pasang'!K100*60%</f>
        <v>4952982</v>
      </c>
      <c r="L100" s="372">
        <f t="shared" si="6"/>
        <v>0</v>
      </c>
      <c r="M100" s="375">
        <f t="shared" si="7"/>
        <v>0</v>
      </c>
      <c r="N100" s="462">
        <f t="shared" si="8"/>
        <v>0</v>
      </c>
      <c r="P100" s="524">
        <v>95</v>
      </c>
      <c r="Q100" s="524">
        <v>75</v>
      </c>
      <c r="R100" s="524">
        <v>190</v>
      </c>
      <c r="S100" s="525">
        <v>0</v>
      </c>
      <c r="T100" s="526">
        <f t="shared" si="11"/>
        <v>1.35375</v>
      </c>
    </row>
    <row r="101" spans="1:21" ht="13.2" customHeight="1" x14ac:dyDescent="0.3">
      <c r="A101" s="365">
        <f t="shared" si="10"/>
        <v>83</v>
      </c>
      <c r="B101" s="376" t="s">
        <v>1500</v>
      </c>
      <c r="C101" s="373"/>
      <c r="D101" s="373"/>
      <c r="E101" s="374" t="s">
        <v>399</v>
      </c>
      <c r="F101" s="571"/>
      <c r="G101" s="528"/>
      <c r="H101" s="571"/>
      <c r="I101" s="369">
        <f t="shared" si="9"/>
        <v>0</v>
      </c>
      <c r="J101" s="375"/>
      <c r="K101" s="375">
        <f>'RAB Pasang'!K101*60%</f>
        <v>4952982</v>
      </c>
      <c r="L101" s="372">
        <f t="shared" si="6"/>
        <v>0</v>
      </c>
      <c r="M101" s="375">
        <f t="shared" si="7"/>
        <v>0</v>
      </c>
      <c r="N101" s="462">
        <f t="shared" si="8"/>
        <v>0</v>
      </c>
      <c r="P101" s="524">
        <v>95</v>
      </c>
      <c r="Q101" s="524">
        <v>60</v>
      </c>
      <c r="R101" s="524">
        <v>190</v>
      </c>
      <c r="S101" s="525">
        <v>0</v>
      </c>
      <c r="T101" s="526">
        <f t="shared" si="11"/>
        <v>1.083</v>
      </c>
    </row>
    <row r="102" spans="1:21" ht="13.2" customHeight="1" x14ac:dyDescent="0.3">
      <c r="A102" s="365">
        <f t="shared" si="10"/>
        <v>84</v>
      </c>
      <c r="B102" s="376" t="s">
        <v>1501</v>
      </c>
      <c r="C102" s="373"/>
      <c r="D102" s="373"/>
      <c r="E102" s="374" t="s">
        <v>399</v>
      </c>
      <c r="F102" s="571"/>
      <c r="G102" s="528"/>
      <c r="H102" s="571"/>
      <c r="I102" s="369">
        <f t="shared" si="9"/>
        <v>0</v>
      </c>
      <c r="J102" s="375"/>
      <c r="K102" s="375">
        <f>'RAB Pasang'!K102*60%</f>
        <v>4952982</v>
      </c>
      <c r="L102" s="372">
        <f t="shared" si="6"/>
        <v>0</v>
      </c>
      <c r="M102" s="375">
        <f t="shared" si="7"/>
        <v>0</v>
      </c>
      <c r="N102" s="462">
        <f t="shared" si="8"/>
        <v>0</v>
      </c>
      <c r="P102" s="524">
        <v>100</v>
      </c>
      <c r="Q102" s="524">
        <v>100</v>
      </c>
      <c r="R102" s="524">
        <v>190</v>
      </c>
      <c r="S102" s="525">
        <v>0</v>
      </c>
      <c r="T102" s="526">
        <f t="shared" si="11"/>
        <v>1.9</v>
      </c>
    </row>
    <row r="103" spans="1:21" ht="13.2" customHeight="1" x14ac:dyDescent="0.3">
      <c r="A103" s="365">
        <f t="shared" si="10"/>
        <v>85</v>
      </c>
      <c r="B103" s="376" t="s">
        <v>1502</v>
      </c>
      <c r="C103" s="373"/>
      <c r="D103" s="373"/>
      <c r="E103" s="374" t="s">
        <v>399</v>
      </c>
      <c r="F103" s="571"/>
      <c r="G103" s="528"/>
      <c r="H103" s="571"/>
      <c r="I103" s="369">
        <f t="shared" si="9"/>
        <v>0</v>
      </c>
      <c r="J103" s="375"/>
      <c r="K103" s="375">
        <f>'RAB Pasang'!K103*60%</f>
        <v>4952982</v>
      </c>
      <c r="L103" s="372">
        <f t="shared" si="6"/>
        <v>0</v>
      </c>
      <c r="M103" s="375">
        <f t="shared" si="7"/>
        <v>0</v>
      </c>
      <c r="N103" s="462">
        <f t="shared" si="8"/>
        <v>0</v>
      </c>
      <c r="P103" s="524">
        <v>100</v>
      </c>
      <c r="Q103" s="524">
        <v>100</v>
      </c>
      <c r="R103" s="524">
        <v>190</v>
      </c>
      <c r="S103" s="525">
        <v>0</v>
      </c>
      <c r="T103" s="526">
        <f t="shared" si="11"/>
        <v>1.9</v>
      </c>
    </row>
    <row r="104" spans="1:21" ht="13.2" customHeight="1" x14ac:dyDescent="0.3">
      <c r="A104" s="365">
        <f t="shared" si="10"/>
        <v>86</v>
      </c>
      <c r="B104" s="376" t="s">
        <v>1503</v>
      </c>
      <c r="C104" s="373"/>
      <c r="D104" s="373"/>
      <c r="E104" s="374" t="s">
        <v>399</v>
      </c>
      <c r="F104" s="571"/>
      <c r="G104" s="528"/>
      <c r="H104" s="571"/>
      <c r="I104" s="369">
        <f t="shared" si="9"/>
        <v>0</v>
      </c>
      <c r="J104" s="375"/>
      <c r="K104" s="375">
        <f>'RAB Pasang'!K104*60%</f>
        <v>4952982</v>
      </c>
      <c r="L104" s="372">
        <f t="shared" si="6"/>
        <v>0</v>
      </c>
      <c r="M104" s="375">
        <f t="shared" si="7"/>
        <v>0</v>
      </c>
      <c r="N104" s="462">
        <f t="shared" si="8"/>
        <v>0</v>
      </c>
      <c r="P104" s="524">
        <v>100</v>
      </c>
      <c r="Q104" s="524">
        <v>100</v>
      </c>
      <c r="R104" s="524">
        <v>190</v>
      </c>
      <c r="S104" s="525">
        <v>0</v>
      </c>
      <c r="T104" s="526">
        <f t="shared" si="11"/>
        <v>1.9</v>
      </c>
    </row>
    <row r="105" spans="1:21" ht="13.2" customHeight="1" x14ac:dyDescent="0.3">
      <c r="A105" s="365">
        <f t="shared" si="10"/>
        <v>87</v>
      </c>
      <c r="B105" s="376" t="s">
        <v>1504</v>
      </c>
      <c r="C105" s="373"/>
      <c r="D105" s="373"/>
      <c r="E105" s="374" t="s">
        <v>399</v>
      </c>
      <c r="F105" s="571"/>
      <c r="G105" s="528"/>
      <c r="H105" s="571"/>
      <c r="I105" s="369">
        <f t="shared" si="9"/>
        <v>0</v>
      </c>
      <c r="J105" s="375"/>
      <c r="K105" s="375">
        <f>'RAB Pasang'!K105*60%</f>
        <v>4952982</v>
      </c>
      <c r="L105" s="372">
        <f t="shared" si="6"/>
        <v>0</v>
      </c>
      <c r="M105" s="375">
        <f t="shared" si="7"/>
        <v>0</v>
      </c>
      <c r="N105" s="462">
        <f t="shared" si="8"/>
        <v>0</v>
      </c>
      <c r="P105" s="524">
        <v>90</v>
      </c>
      <c r="Q105" s="524">
        <v>50</v>
      </c>
      <c r="R105" s="524">
        <v>165</v>
      </c>
      <c r="S105" s="525">
        <v>0</v>
      </c>
      <c r="T105" s="526">
        <f t="shared" si="11"/>
        <v>0.74250000000000005</v>
      </c>
    </row>
    <row r="106" spans="1:21" ht="13.2" customHeight="1" x14ac:dyDescent="0.3">
      <c r="A106" s="365">
        <f t="shared" si="10"/>
        <v>88</v>
      </c>
      <c r="B106" s="376" t="s">
        <v>1505</v>
      </c>
      <c r="C106" s="373"/>
      <c r="D106" s="373"/>
      <c r="E106" s="374" t="s">
        <v>399</v>
      </c>
      <c r="F106" s="571"/>
      <c r="G106" s="528"/>
      <c r="H106" s="571"/>
      <c r="I106" s="369">
        <f t="shared" si="9"/>
        <v>0</v>
      </c>
      <c r="J106" s="375"/>
      <c r="K106" s="375">
        <f>'RAB Pasang'!K106*60%</f>
        <v>4952982</v>
      </c>
      <c r="L106" s="372">
        <f t="shared" si="6"/>
        <v>0</v>
      </c>
      <c r="M106" s="375">
        <f t="shared" si="7"/>
        <v>0</v>
      </c>
      <c r="N106" s="462">
        <f t="shared" si="8"/>
        <v>0</v>
      </c>
      <c r="P106" s="524">
        <v>90</v>
      </c>
      <c r="Q106" s="524">
        <v>50</v>
      </c>
      <c r="R106" s="524">
        <v>165</v>
      </c>
      <c r="S106" s="525">
        <v>0</v>
      </c>
      <c r="T106" s="526">
        <f t="shared" si="11"/>
        <v>0.74250000000000005</v>
      </c>
    </row>
    <row r="107" spans="1:21" ht="13.2" customHeight="1" x14ac:dyDescent="0.3">
      <c r="A107" s="365">
        <f t="shared" si="10"/>
        <v>89</v>
      </c>
      <c r="B107" s="376" t="s">
        <v>1506</v>
      </c>
      <c r="C107" s="373"/>
      <c r="D107" s="373"/>
      <c r="E107" s="374" t="s">
        <v>399</v>
      </c>
      <c r="F107" s="571"/>
      <c r="G107" s="528"/>
      <c r="H107" s="571"/>
      <c r="I107" s="369">
        <f t="shared" si="9"/>
        <v>0</v>
      </c>
      <c r="J107" s="375"/>
      <c r="K107" s="375">
        <f>'RAB Pasang'!K107*60%</f>
        <v>4952982</v>
      </c>
      <c r="L107" s="372">
        <f t="shared" si="6"/>
        <v>0</v>
      </c>
      <c r="M107" s="375">
        <f t="shared" si="7"/>
        <v>0</v>
      </c>
      <c r="N107" s="462">
        <f t="shared" si="8"/>
        <v>0</v>
      </c>
      <c r="P107" s="524">
        <v>90</v>
      </c>
      <c r="Q107" s="524">
        <v>50</v>
      </c>
      <c r="R107" s="524">
        <v>165</v>
      </c>
      <c r="S107" s="525">
        <v>0</v>
      </c>
      <c r="T107" s="526">
        <f t="shared" si="11"/>
        <v>0.74250000000000005</v>
      </c>
    </row>
    <row r="108" spans="1:21" ht="13.2" customHeight="1" x14ac:dyDescent="0.3">
      <c r="A108" s="365">
        <f t="shared" si="10"/>
        <v>90</v>
      </c>
      <c r="B108" s="376" t="s">
        <v>1507</v>
      </c>
      <c r="C108" s="373"/>
      <c r="D108" s="373"/>
      <c r="E108" s="374" t="s">
        <v>399</v>
      </c>
      <c r="F108" s="571"/>
      <c r="G108" s="528"/>
      <c r="H108" s="571"/>
      <c r="I108" s="369">
        <f t="shared" si="9"/>
        <v>0</v>
      </c>
      <c r="J108" s="375"/>
      <c r="K108" s="375">
        <f>'RAB Pasang'!K108*60%</f>
        <v>4952982</v>
      </c>
      <c r="L108" s="372">
        <f t="shared" si="6"/>
        <v>0</v>
      </c>
      <c r="M108" s="375">
        <f t="shared" si="7"/>
        <v>0</v>
      </c>
      <c r="N108" s="462">
        <f t="shared" si="8"/>
        <v>0</v>
      </c>
      <c r="P108" s="524">
        <v>95</v>
      </c>
      <c r="Q108" s="524">
        <v>75</v>
      </c>
      <c r="R108" s="524">
        <v>180</v>
      </c>
      <c r="S108" s="525">
        <v>0</v>
      </c>
      <c r="T108" s="526">
        <f t="shared" si="11"/>
        <v>1.2825</v>
      </c>
    </row>
    <row r="109" spans="1:21" ht="13.2" customHeight="1" x14ac:dyDescent="0.3">
      <c r="A109" s="365">
        <f t="shared" si="10"/>
        <v>91</v>
      </c>
      <c r="B109" s="376" t="s">
        <v>1508</v>
      </c>
      <c r="C109" s="373"/>
      <c r="D109" s="373"/>
      <c r="E109" s="374" t="s">
        <v>399</v>
      </c>
      <c r="F109" s="571"/>
      <c r="G109" s="528"/>
      <c r="H109" s="571"/>
      <c r="I109" s="369">
        <f t="shared" si="9"/>
        <v>0</v>
      </c>
      <c r="J109" s="375"/>
      <c r="K109" s="375">
        <f>'RAB Pasang'!K109*60%</f>
        <v>4952982</v>
      </c>
      <c r="L109" s="372">
        <f t="shared" si="6"/>
        <v>0</v>
      </c>
      <c r="M109" s="375">
        <f t="shared" si="7"/>
        <v>0</v>
      </c>
      <c r="N109" s="462">
        <f t="shared" si="8"/>
        <v>0</v>
      </c>
      <c r="P109" s="524">
        <v>95</v>
      </c>
      <c r="Q109" s="524">
        <v>75</v>
      </c>
      <c r="R109" s="524">
        <v>180</v>
      </c>
      <c r="S109" s="525">
        <v>0</v>
      </c>
      <c r="T109" s="526">
        <f t="shared" si="11"/>
        <v>1.2825</v>
      </c>
    </row>
    <row r="110" spans="1:21" ht="13.2" customHeight="1" x14ac:dyDescent="0.3">
      <c r="A110" s="365">
        <f t="shared" si="10"/>
        <v>92</v>
      </c>
      <c r="B110" s="376" t="s">
        <v>1509</v>
      </c>
      <c r="C110" s="373"/>
      <c r="D110" s="373"/>
      <c r="E110" s="374" t="s">
        <v>399</v>
      </c>
      <c r="F110" s="571"/>
      <c r="G110" s="528"/>
      <c r="H110" s="571"/>
      <c r="I110" s="369">
        <f t="shared" si="9"/>
        <v>0</v>
      </c>
      <c r="J110" s="375"/>
      <c r="K110" s="375">
        <f>'RAB Pasang'!K110*60%</f>
        <v>4952982</v>
      </c>
      <c r="L110" s="372">
        <f t="shared" si="6"/>
        <v>0</v>
      </c>
      <c r="M110" s="375">
        <f t="shared" si="7"/>
        <v>0</v>
      </c>
      <c r="N110" s="462">
        <f t="shared" si="8"/>
        <v>0</v>
      </c>
      <c r="P110" s="524">
        <v>95</v>
      </c>
      <c r="Q110" s="524">
        <v>75</v>
      </c>
      <c r="R110" s="524">
        <v>180</v>
      </c>
      <c r="S110" s="525">
        <v>0</v>
      </c>
      <c r="T110" s="526">
        <f t="shared" si="11"/>
        <v>1.2825</v>
      </c>
    </row>
    <row r="111" spans="1:21" ht="13.2" customHeight="1" x14ac:dyDescent="0.3">
      <c r="A111" s="365">
        <f t="shared" si="10"/>
        <v>93</v>
      </c>
      <c r="B111" s="376" t="s">
        <v>1510</v>
      </c>
      <c r="C111" s="373"/>
      <c r="D111" s="373"/>
      <c r="E111" s="374" t="s">
        <v>399</v>
      </c>
      <c r="F111" s="571"/>
      <c r="G111" s="528"/>
      <c r="H111" s="571"/>
      <c r="I111" s="369">
        <f t="shared" si="9"/>
        <v>0</v>
      </c>
      <c r="J111" s="375"/>
      <c r="K111" s="375">
        <f>'RAB Pasang'!K111*60%</f>
        <v>1364598</v>
      </c>
      <c r="L111" s="372">
        <f t="shared" si="6"/>
        <v>0</v>
      </c>
      <c r="M111" s="375">
        <f t="shared" si="7"/>
        <v>0</v>
      </c>
      <c r="N111" s="462">
        <f t="shared" si="8"/>
        <v>0</v>
      </c>
      <c r="P111" s="524">
        <v>50</v>
      </c>
      <c r="Q111" s="524">
        <v>60</v>
      </c>
      <c r="R111" s="524">
        <v>120</v>
      </c>
      <c r="S111" s="525">
        <v>0</v>
      </c>
      <c r="T111" s="526">
        <f t="shared" si="11"/>
        <v>0.36</v>
      </c>
    </row>
    <row r="112" spans="1:21" ht="13.2" customHeight="1" x14ac:dyDescent="0.3">
      <c r="A112" s="365">
        <f t="shared" si="10"/>
        <v>94</v>
      </c>
      <c r="B112" s="376" t="s">
        <v>1511</v>
      </c>
      <c r="C112" s="373"/>
      <c r="D112" s="373"/>
      <c r="E112" s="367" t="s">
        <v>203</v>
      </c>
      <c r="F112" s="528"/>
      <c r="G112" s="528"/>
      <c r="H112" s="571"/>
      <c r="I112" s="369">
        <f t="shared" si="9"/>
        <v>0</v>
      </c>
      <c r="J112" s="375"/>
      <c r="K112" s="375">
        <f>'RAB Pasang'!K112*60%</f>
        <v>326016</v>
      </c>
      <c r="L112" s="372">
        <f t="shared" si="6"/>
        <v>0</v>
      </c>
      <c r="M112" s="375">
        <f t="shared" si="7"/>
        <v>0</v>
      </c>
      <c r="N112" s="462">
        <f t="shared" si="8"/>
        <v>0</v>
      </c>
      <c r="P112" s="524">
        <v>28</v>
      </c>
      <c r="Q112" s="524">
        <v>18</v>
      </c>
      <c r="R112" s="524">
        <v>26</v>
      </c>
      <c r="S112" s="525">
        <v>0</v>
      </c>
      <c r="T112" s="526">
        <f t="shared" si="11"/>
        <v>1.3103999999999999E-2</v>
      </c>
    </row>
    <row r="113" spans="1:21" ht="13.2" customHeight="1" x14ac:dyDescent="0.3">
      <c r="A113" s="365">
        <f t="shared" si="10"/>
        <v>95</v>
      </c>
      <c r="B113" s="376" t="s">
        <v>1512</v>
      </c>
      <c r="C113" s="373"/>
      <c r="D113" s="373"/>
      <c r="E113" s="367" t="s">
        <v>203</v>
      </c>
      <c r="F113" s="528"/>
      <c r="G113" s="528"/>
      <c r="H113" s="571"/>
      <c r="I113" s="369">
        <f t="shared" si="9"/>
        <v>0</v>
      </c>
      <c r="J113" s="375"/>
      <c r="K113" s="375">
        <f>'RAB Pasang'!K113*60%</f>
        <v>326016</v>
      </c>
      <c r="L113" s="372">
        <f t="shared" si="6"/>
        <v>0</v>
      </c>
      <c r="M113" s="375">
        <f t="shared" si="7"/>
        <v>0</v>
      </c>
      <c r="N113" s="462">
        <f t="shared" si="8"/>
        <v>0</v>
      </c>
      <c r="P113" s="524">
        <v>30</v>
      </c>
      <c r="Q113" s="524">
        <v>20</v>
      </c>
      <c r="R113" s="524">
        <v>28</v>
      </c>
      <c r="S113" s="525">
        <v>0</v>
      </c>
      <c r="T113" s="526">
        <f t="shared" si="11"/>
        <v>1.6799999999999999E-2</v>
      </c>
    </row>
    <row r="114" spans="1:21" ht="13.2" customHeight="1" x14ac:dyDescent="0.3">
      <c r="A114" s="365">
        <f t="shared" si="10"/>
        <v>96</v>
      </c>
      <c r="B114" s="376" t="s">
        <v>1513</v>
      </c>
      <c r="C114" s="373"/>
      <c r="D114" s="373"/>
      <c r="E114" s="367" t="s">
        <v>203</v>
      </c>
      <c r="F114" s="528"/>
      <c r="G114" s="528"/>
      <c r="H114" s="571"/>
      <c r="I114" s="369">
        <f t="shared" si="9"/>
        <v>0</v>
      </c>
      <c r="J114" s="375"/>
      <c r="K114" s="375">
        <f>'RAB Pasang'!K114*60%</f>
        <v>293154</v>
      </c>
      <c r="L114" s="372">
        <f t="shared" si="6"/>
        <v>0</v>
      </c>
      <c r="M114" s="375">
        <f t="shared" si="7"/>
        <v>0</v>
      </c>
      <c r="N114" s="462">
        <f t="shared" si="8"/>
        <v>0</v>
      </c>
      <c r="P114" s="524">
        <v>30</v>
      </c>
      <c r="Q114" s="524">
        <v>25</v>
      </c>
      <c r="R114" s="524">
        <v>50</v>
      </c>
      <c r="S114" s="525">
        <v>0</v>
      </c>
      <c r="T114" s="526">
        <f t="shared" si="11"/>
        <v>3.7499999999999999E-2</v>
      </c>
    </row>
    <row r="115" spans="1:21" ht="13.2" customHeight="1" x14ac:dyDescent="0.3">
      <c r="A115" s="365">
        <f t="shared" si="10"/>
        <v>97</v>
      </c>
      <c r="B115" s="376" t="s">
        <v>1514</v>
      </c>
      <c r="C115" s="373"/>
      <c r="D115" s="373"/>
      <c r="E115" s="367" t="s">
        <v>203</v>
      </c>
      <c r="F115" s="528"/>
      <c r="G115" s="528"/>
      <c r="H115" s="571"/>
      <c r="I115" s="369">
        <f t="shared" si="9"/>
        <v>0</v>
      </c>
      <c r="J115" s="375"/>
      <c r="K115" s="375">
        <f>'RAB Pasang'!K115*60%</f>
        <v>293154</v>
      </c>
      <c r="L115" s="372">
        <f t="shared" si="6"/>
        <v>0</v>
      </c>
      <c r="M115" s="375">
        <f t="shared" si="7"/>
        <v>0</v>
      </c>
      <c r="N115" s="462">
        <f t="shared" si="8"/>
        <v>0</v>
      </c>
      <c r="P115" s="524">
        <v>35</v>
      </c>
      <c r="Q115" s="524">
        <v>28</v>
      </c>
      <c r="R115" s="524">
        <v>55</v>
      </c>
      <c r="S115" s="525">
        <v>0</v>
      </c>
      <c r="T115" s="526">
        <f t="shared" si="11"/>
        <v>5.3900000000000003E-2</v>
      </c>
    </row>
    <row r="116" spans="1:21" ht="13.2" customHeight="1" x14ac:dyDescent="0.3">
      <c r="A116" s="365">
        <f t="shared" si="10"/>
        <v>98</v>
      </c>
      <c r="B116" s="370" t="s">
        <v>1515</v>
      </c>
      <c r="C116" s="371"/>
      <c r="D116" s="371"/>
      <c r="E116" s="367" t="s">
        <v>203</v>
      </c>
      <c r="F116" s="571"/>
      <c r="G116" s="527"/>
      <c r="H116" s="571"/>
      <c r="I116" s="369">
        <f t="shared" si="9"/>
        <v>0</v>
      </c>
      <c r="J116" s="372"/>
      <c r="K116" s="372">
        <f>'RAB Pasang'!K116*60%</f>
        <v>454866</v>
      </c>
      <c r="L116" s="372">
        <f t="shared" si="6"/>
        <v>0</v>
      </c>
      <c r="M116" s="372">
        <f t="shared" si="7"/>
        <v>0</v>
      </c>
      <c r="N116" s="460">
        <f t="shared" si="8"/>
        <v>0</v>
      </c>
      <c r="P116" s="524">
        <v>68</v>
      </c>
      <c r="Q116" s="524">
        <v>53</v>
      </c>
      <c r="R116" s="524">
        <v>130</v>
      </c>
      <c r="S116" s="525">
        <v>0</v>
      </c>
      <c r="T116" s="526">
        <f t="shared" si="11"/>
        <v>0.46851999999999999</v>
      </c>
    </row>
    <row r="117" spans="1:21" ht="13.2" customHeight="1" x14ac:dyDescent="0.3">
      <c r="A117" s="365">
        <f t="shared" si="10"/>
        <v>99</v>
      </c>
      <c r="B117" s="370" t="s">
        <v>1516</v>
      </c>
      <c r="C117" s="371"/>
      <c r="D117" s="371"/>
      <c r="E117" s="367" t="s">
        <v>203</v>
      </c>
      <c r="F117" s="571"/>
      <c r="G117" s="527"/>
      <c r="H117" s="571"/>
      <c r="I117" s="369">
        <f t="shared" si="9"/>
        <v>0</v>
      </c>
      <c r="J117" s="372"/>
      <c r="K117" s="372">
        <f>'RAB Pasang'!K117*60%</f>
        <v>644286</v>
      </c>
      <c r="L117" s="372">
        <f t="shared" si="6"/>
        <v>0</v>
      </c>
      <c r="M117" s="372">
        <f t="shared" si="7"/>
        <v>0</v>
      </c>
      <c r="N117" s="460">
        <f t="shared" si="8"/>
        <v>0</v>
      </c>
      <c r="P117" s="524">
        <v>104</v>
      </c>
      <c r="Q117" s="524">
        <v>53</v>
      </c>
      <c r="R117" s="524">
        <v>130</v>
      </c>
      <c r="S117" s="525">
        <v>0</v>
      </c>
      <c r="T117" s="526">
        <f t="shared" si="11"/>
        <v>0.71655999999999997</v>
      </c>
    </row>
    <row r="118" spans="1:21" ht="13.2" customHeight="1" x14ac:dyDescent="0.3">
      <c r="A118" s="365">
        <f t="shared" si="10"/>
        <v>100</v>
      </c>
      <c r="B118" s="370" t="s">
        <v>1517</v>
      </c>
      <c r="C118" s="371"/>
      <c r="D118" s="371"/>
      <c r="E118" s="367" t="s">
        <v>399</v>
      </c>
      <c r="F118" s="571"/>
      <c r="G118" s="527"/>
      <c r="H118" s="527"/>
      <c r="I118" s="369">
        <f t="shared" si="9"/>
        <v>0</v>
      </c>
      <c r="J118" s="372"/>
      <c r="K118" s="372">
        <f>'RAB Pasang'!K118*60%</f>
        <v>591438</v>
      </c>
      <c r="L118" s="372">
        <f t="shared" si="6"/>
        <v>0</v>
      </c>
      <c r="M118" s="372">
        <f t="shared" si="7"/>
        <v>0</v>
      </c>
      <c r="N118" s="460">
        <f t="shared" si="8"/>
        <v>0</v>
      </c>
      <c r="P118" s="524">
        <v>120</v>
      </c>
      <c r="Q118" s="524">
        <v>80</v>
      </c>
      <c r="R118" s="524">
        <v>60</v>
      </c>
      <c r="S118" s="525">
        <v>0</v>
      </c>
      <c r="T118" s="526">
        <f t="shared" si="11"/>
        <v>0.57599999999999996</v>
      </c>
    </row>
    <row r="119" spans="1:21" ht="13.2" customHeight="1" x14ac:dyDescent="0.3">
      <c r="A119" s="365">
        <f t="shared" si="10"/>
        <v>101</v>
      </c>
      <c r="B119" s="370" t="s">
        <v>1518</v>
      </c>
      <c r="C119" s="371"/>
      <c r="D119" s="371"/>
      <c r="E119" s="367" t="s">
        <v>399</v>
      </c>
      <c r="F119" s="571"/>
      <c r="G119" s="527"/>
      <c r="H119" s="527"/>
      <c r="I119" s="369">
        <f t="shared" si="9"/>
        <v>0</v>
      </c>
      <c r="J119" s="372"/>
      <c r="K119" s="372">
        <f>'RAB Pasang'!K119*60%</f>
        <v>291858</v>
      </c>
      <c r="L119" s="372">
        <f t="shared" si="6"/>
        <v>0</v>
      </c>
      <c r="M119" s="372">
        <f t="shared" si="7"/>
        <v>0</v>
      </c>
      <c r="N119" s="460">
        <f t="shared" si="8"/>
        <v>0</v>
      </c>
      <c r="P119" s="524">
        <v>40</v>
      </c>
      <c r="Q119" s="524">
        <v>20</v>
      </c>
      <c r="R119" s="524">
        <v>65</v>
      </c>
      <c r="S119" s="525">
        <v>0</v>
      </c>
      <c r="T119" s="526">
        <f t="shared" si="11"/>
        <v>5.1999999999999998E-2</v>
      </c>
    </row>
    <row r="120" spans="1:21" ht="13.2" customHeight="1" x14ac:dyDescent="0.3">
      <c r="A120" s="365">
        <f t="shared" si="10"/>
        <v>102</v>
      </c>
      <c r="B120" s="370" t="s">
        <v>1519</v>
      </c>
      <c r="C120" s="371"/>
      <c r="D120" s="371"/>
      <c r="E120" s="367" t="s">
        <v>399</v>
      </c>
      <c r="F120" s="571"/>
      <c r="G120" s="527"/>
      <c r="H120" s="527"/>
      <c r="I120" s="369">
        <f t="shared" si="9"/>
        <v>0</v>
      </c>
      <c r="J120" s="372"/>
      <c r="K120" s="372">
        <f>'RAB Pasang'!K120*60%</f>
        <v>339216</v>
      </c>
      <c r="L120" s="372">
        <f t="shared" si="6"/>
        <v>0</v>
      </c>
      <c r="M120" s="372">
        <f t="shared" si="7"/>
        <v>0</v>
      </c>
      <c r="N120" s="460">
        <f t="shared" si="8"/>
        <v>0</v>
      </c>
      <c r="P120" s="524">
        <v>40</v>
      </c>
      <c r="Q120" s="524">
        <v>20</v>
      </c>
      <c r="R120" s="524">
        <v>65</v>
      </c>
      <c r="S120" s="525">
        <v>0</v>
      </c>
      <c r="T120" s="526">
        <f t="shared" si="11"/>
        <v>5.1999999999999998E-2</v>
      </c>
    </row>
    <row r="121" spans="1:21" ht="13.2" customHeight="1" x14ac:dyDescent="0.3">
      <c r="A121" s="365">
        <f t="shared" si="10"/>
        <v>103</v>
      </c>
      <c r="B121" s="370" t="s">
        <v>1520</v>
      </c>
      <c r="C121" s="371"/>
      <c r="D121" s="371"/>
      <c r="E121" s="367" t="s">
        <v>399</v>
      </c>
      <c r="F121" s="571"/>
      <c r="G121" s="527"/>
      <c r="H121" s="527"/>
      <c r="I121" s="369">
        <f t="shared" si="9"/>
        <v>0</v>
      </c>
      <c r="J121" s="372"/>
      <c r="K121" s="372">
        <f>'RAB Pasang'!K121*60%</f>
        <v>978018</v>
      </c>
      <c r="L121" s="372">
        <f t="shared" si="6"/>
        <v>0</v>
      </c>
      <c r="M121" s="372">
        <f t="shared" si="7"/>
        <v>0</v>
      </c>
      <c r="N121" s="460">
        <f t="shared" si="8"/>
        <v>0</v>
      </c>
      <c r="P121" s="524">
        <v>42</v>
      </c>
      <c r="Q121" s="524">
        <v>25</v>
      </c>
      <c r="R121" s="524">
        <v>121</v>
      </c>
      <c r="S121" s="525">
        <v>0</v>
      </c>
      <c r="T121" s="526">
        <f t="shared" si="11"/>
        <v>0.12705</v>
      </c>
    </row>
    <row r="122" spans="1:21" ht="13.2" customHeight="1" x14ac:dyDescent="0.3">
      <c r="A122" s="365">
        <f t="shared" si="10"/>
        <v>104</v>
      </c>
      <c r="B122" s="370" t="s">
        <v>1521</v>
      </c>
      <c r="C122" s="371"/>
      <c r="D122" s="371"/>
      <c r="E122" s="367" t="s">
        <v>399</v>
      </c>
      <c r="F122" s="571"/>
      <c r="G122" s="527"/>
      <c r="H122" s="539"/>
      <c r="I122" s="369">
        <f t="shared" si="9"/>
        <v>0</v>
      </c>
      <c r="J122" s="372"/>
      <c r="K122" s="372">
        <f>'RAB Pasang'!K122*60%</f>
        <v>978018</v>
      </c>
      <c r="L122" s="372">
        <f t="shared" si="6"/>
        <v>0</v>
      </c>
      <c r="M122" s="372">
        <f t="shared" si="7"/>
        <v>0</v>
      </c>
      <c r="N122" s="460">
        <f t="shared" si="8"/>
        <v>0</v>
      </c>
      <c r="P122" s="524">
        <v>46</v>
      </c>
      <c r="Q122" s="524">
        <v>37</v>
      </c>
      <c r="R122" s="524">
        <v>70</v>
      </c>
      <c r="S122" s="525">
        <v>0</v>
      </c>
      <c r="T122" s="526">
        <f t="shared" si="11"/>
        <v>0.11914</v>
      </c>
    </row>
    <row r="123" spans="1:21" ht="13.2" customHeight="1" x14ac:dyDescent="0.3">
      <c r="A123" s="365">
        <f t="shared" si="10"/>
        <v>105</v>
      </c>
      <c r="B123" s="370" t="s">
        <v>1522</v>
      </c>
      <c r="C123" s="371"/>
      <c r="D123" s="371"/>
      <c r="E123" s="367" t="s">
        <v>399</v>
      </c>
      <c r="F123" s="571"/>
      <c r="G123" s="527"/>
      <c r="H123" s="528"/>
      <c r="I123" s="369">
        <f t="shared" si="9"/>
        <v>0</v>
      </c>
      <c r="J123" s="372"/>
      <c r="K123" s="372">
        <f>'RAB Pasang'!K123*60%</f>
        <v>978018</v>
      </c>
      <c r="L123" s="372">
        <f t="shared" si="6"/>
        <v>0</v>
      </c>
      <c r="M123" s="372">
        <f t="shared" si="7"/>
        <v>0</v>
      </c>
      <c r="N123" s="460">
        <f t="shared" si="8"/>
        <v>0</v>
      </c>
      <c r="P123" s="524">
        <v>100</v>
      </c>
      <c r="Q123" s="524">
        <v>40</v>
      </c>
      <c r="R123" s="524">
        <v>120</v>
      </c>
      <c r="S123" s="525">
        <v>0</v>
      </c>
      <c r="T123" s="526">
        <f t="shared" si="11"/>
        <v>0.48</v>
      </c>
    </row>
    <row r="124" spans="1:21" ht="13.2" customHeight="1" x14ac:dyDescent="0.3">
      <c r="A124" s="365">
        <f t="shared" si="10"/>
        <v>106</v>
      </c>
      <c r="B124" s="370" t="s">
        <v>1937</v>
      </c>
      <c r="C124" s="371"/>
      <c r="D124" s="371"/>
      <c r="E124" s="367" t="s">
        <v>399</v>
      </c>
      <c r="F124" s="539"/>
      <c r="G124" s="539"/>
      <c r="H124" s="527"/>
      <c r="I124" s="369">
        <f t="shared" si="9"/>
        <v>0</v>
      </c>
      <c r="J124" s="372"/>
      <c r="K124" s="372">
        <f>'RAB Pasang'!K124*60%</f>
        <v>1309566</v>
      </c>
      <c r="L124" s="372">
        <f t="shared" si="6"/>
        <v>0</v>
      </c>
      <c r="M124" s="372">
        <f t="shared" si="7"/>
        <v>0</v>
      </c>
      <c r="N124" s="460">
        <f t="shared" si="8"/>
        <v>0</v>
      </c>
      <c r="P124" s="524">
        <v>230</v>
      </c>
      <c r="Q124" s="524">
        <v>113</v>
      </c>
      <c r="R124" s="524">
        <v>3.5</v>
      </c>
      <c r="S124" s="525">
        <v>0</v>
      </c>
      <c r="T124" s="526">
        <f t="shared" si="11"/>
        <v>9.0965000000000004E-2</v>
      </c>
      <c r="U124" s="297" t="s">
        <v>2344</v>
      </c>
    </row>
    <row r="125" spans="1:21" ht="13.95" customHeight="1" x14ac:dyDescent="0.3">
      <c r="A125" s="485"/>
      <c r="B125" s="486" t="s">
        <v>643</v>
      </c>
      <c r="C125" s="487"/>
      <c r="D125" s="487"/>
      <c r="E125" s="488"/>
      <c r="F125" s="540"/>
      <c r="G125" s="540"/>
      <c r="H125" s="540"/>
      <c r="I125" s="489"/>
      <c r="J125" s="488"/>
      <c r="K125" s="488"/>
      <c r="L125" s="490">
        <f t="shared" ref="L125:N125" si="12">SUM(L19:L124)</f>
        <v>0</v>
      </c>
      <c r="M125" s="490">
        <f t="shared" si="12"/>
        <v>0</v>
      </c>
      <c r="N125" s="491">
        <f t="shared" si="12"/>
        <v>0</v>
      </c>
    </row>
    <row r="126" spans="1:21" ht="7.95" customHeight="1" x14ac:dyDescent="0.3">
      <c r="A126" s="378"/>
      <c r="B126" s="379"/>
      <c r="C126" s="380"/>
      <c r="D126" s="380"/>
      <c r="E126" s="381"/>
      <c r="F126" s="561"/>
      <c r="G126" s="561"/>
      <c r="H126" s="561"/>
      <c r="I126" s="465"/>
      <c r="J126" s="382"/>
      <c r="K126" s="382"/>
      <c r="L126" s="383"/>
      <c r="M126" s="382"/>
      <c r="N126" s="384"/>
    </row>
    <row r="127" spans="1:21" ht="13.2" customHeight="1" x14ac:dyDescent="0.3">
      <c r="A127" s="477" t="s">
        <v>607</v>
      </c>
      <c r="B127" s="478" t="s">
        <v>644</v>
      </c>
      <c r="C127" s="479"/>
      <c r="D127" s="480"/>
      <c r="E127" s="481"/>
      <c r="F127" s="483"/>
      <c r="G127" s="483"/>
      <c r="H127" s="483"/>
      <c r="I127" s="483"/>
      <c r="J127" s="481"/>
      <c r="K127" s="481"/>
      <c r="L127" s="484"/>
      <c r="M127" s="481"/>
      <c r="N127" s="482"/>
    </row>
    <row r="128" spans="1:21" ht="13.2" customHeight="1" x14ac:dyDescent="0.3">
      <c r="A128" s="386">
        <v>1</v>
      </c>
      <c r="B128" s="370" t="s">
        <v>1568</v>
      </c>
      <c r="C128" s="371"/>
      <c r="D128" s="371"/>
      <c r="E128" s="367" t="s">
        <v>203</v>
      </c>
      <c r="F128" s="527"/>
      <c r="G128" s="527"/>
      <c r="H128" s="539"/>
      <c r="I128" s="372">
        <f t="shared" ref="I128:I191" si="13">SUM(F128:H128)</f>
        <v>0</v>
      </c>
      <c r="J128" s="372"/>
      <c r="K128" s="372">
        <f>'RAB Pasang'!K128*60%</f>
        <v>8214</v>
      </c>
      <c r="L128" s="387">
        <f t="shared" ref="L128:L191" si="14">J128*I128</f>
        <v>0</v>
      </c>
      <c r="M128" s="387">
        <f t="shared" ref="M128:M191" si="15">K128*I128</f>
        <v>0</v>
      </c>
      <c r="N128" s="422">
        <f t="shared" ref="N128:N191" si="16">SUM(L128:M128)</f>
        <v>0</v>
      </c>
      <c r="P128" s="299"/>
      <c r="R128" s="299"/>
      <c r="S128" s="299"/>
    </row>
    <row r="129" spans="1:14" ht="13.2" customHeight="1" x14ac:dyDescent="0.3">
      <c r="A129" s="386">
        <f>A128+1</f>
        <v>2</v>
      </c>
      <c r="B129" s="366" t="s">
        <v>645</v>
      </c>
      <c r="C129" s="362"/>
      <c r="D129" s="362"/>
      <c r="E129" s="368" t="s">
        <v>203</v>
      </c>
      <c r="F129" s="535"/>
      <c r="G129" s="535"/>
      <c r="H129" s="538"/>
      <c r="I129" s="372">
        <f t="shared" si="13"/>
        <v>0</v>
      </c>
      <c r="J129" s="369"/>
      <c r="K129" s="369">
        <f>'RAB Pasang'!K129*60%</f>
        <v>17526</v>
      </c>
      <c r="L129" s="387">
        <f t="shared" si="14"/>
        <v>0</v>
      </c>
      <c r="M129" s="385">
        <f t="shared" si="15"/>
        <v>0</v>
      </c>
      <c r="N129" s="388">
        <f t="shared" si="16"/>
        <v>0</v>
      </c>
    </row>
    <row r="130" spans="1:14" ht="13.2" customHeight="1" x14ac:dyDescent="0.3">
      <c r="A130" s="386">
        <f t="shared" ref="A130:A193" si="17">A129+1</f>
        <v>3</v>
      </c>
      <c r="B130" s="366" t="s">
        <v>646</v>
      </c>
      <c r="C130" s="362"/>
      <c r="D130" s="362"/>
      <c r="E130" s="368" t="s">
        <v>203</v>
      </c>
      <c r="F130" s="535"/>
      <c r="G130" s="535"/>
      <c r="H130" s="538"/>
      <c r="I130" s="372">
        <f t="shared" si="13"/>
        <v>0</v>
      </c>
      <c r="J130" s="369"/>
      <c r="K130" s="369">
        <f>'RAB Pasang'!K130*60%</f>
        <v>17526</v>
      </c>
      <c r="L130" s="387">
        <f t="shared" si="14"/>
        <v>0</v>
      </c>
      <c r="M130" s="385">
        <f t="shared" si="15"/>
        <v>0</v>
      </c>
      <c r="N130" s="388">
        <f t="shared" si="16"/>
        <v>0</v>
      </c>
    </row>
    <row r="131" spans="1:14" ht="13.2" customHeight="1" x14ac:dyDescent="0.3">
      <c r="A131" s="386">
        <f t="shared" si="17"/>
        <v>4</v>
      </c>
      <c r="B131" s="366" t="s">
        <v>1661</v>
      </c>
      <c r="C131" s="362"/>
      <c r="D131" s="362"/>
      <c r="E131" s="368" t="s">
        <v>203</v>
      </c>
      <c r="F131" s="535"/>
      <c r="G131" s="535"/>
      <c r="H131" s="538"/>
      <c r="I131" s="372">
        <f t="shared" si="13"/>
        <v>0</v>
      </c>
      <c r="J131" s="369"/>
      <c r="K131" s="369">
        <f>'RAB Pasang'!K131*60%</f>
        <v>17526</v>
      </c>
      <c r="L131" s="387">
        <f t="shared" si="14"/>
        <v>0</v>
      </c>
      <c r="M131" s="385">
        <f t="shared" si="15"/>
        <v>0</v>
      </c>
      <c r="N131" s="388">
        <f t="shared" si="16"/>
        <v>0</v>
      </c>
    </row>
    <row r="132" spans="1:14" ht="13.2" customHeight="1" x14ac:dyDescent="0.3">
      <c r="A132" s="386">
        <f t="shared" si="17"/>
        <v>5</v>
      </c>
      <c r="B132" s="366" t="s">
        <v>2006</v>
      </c>
      <c r="C132" s="362"/>
      <c r="D132" s="362"/>
      <c r="E132" s="368" t="s">
        <v>203</v>
      </c>
      <c r="F132" s="535"/>
      <c r="G132" s="535"/>
      <c r="H132" s="538"/>
      <c r="I132" s="372">
        <f t="shared" si="13"/>
        <v>0</v>
      </c>
      <c r="J132" s="369"/>
      <c r="K132" s="369">
        <f>'RAB Pasang'!K132*60%</f>
        <v>17526</v>
      </c>
      <c r="L132" s="387">
        <f t="shared" si="14"/>
        <v>0</v>
      </c>
      <c r="M132" s="385">
        <f t="shared" si="15"/>
        <v>0</v>
      </c>
      <c r="N132" s="388">
        <f t="shared" si="16"/>
        <v>0</v>
      </c>
    </row>
    <row r="133" spans="1:14" ht="13.2" customHeight="1" x14ac:dyDescent="0.3">
      <c r="A133" s="386">
        <f t="shared" si="17"/>
        <v>6</v>
      </c>
      <c r="B133" s="366" t="s">
        <v>1662</v>
      </c>
      <c r="C133" s="362"/>
      <c r="D133" s="362"/>
      <c r="E133" s="368" t="s">
        <v>203</v>
      </c>
      <c r="F133" s="535"/>
      <c r="G133" s="535"/>
      <c r="H133" s="538"/>
      <c r="I133" s="372">
        <f t="shared" si="13"/>
        <v>0</v>
      </c>
      <c r="J133" s="369"/>
      <c r="K133" s="369">
        <f>'RAB Pasang'!K133*60%</f>
        <v>17526</v>
      </c>
      <c r="L133" s="387">
        <f t="shared" si="14"/>
        <v>0</v>
      </c>
      <c r="M133" s="385">
        <f t="shared" si="15"/>
        <v>0</v>
      </c>
      <c r="N133" s="388">
        <f t="shared" si="16"/>
        <v>0</v>
      </c>
    </row>
    <row r="134" spans="1:14" ht="13.2" customHeight="1" x14ac:dyDescent="0.3">
      <c r="A134" s="386">
        <f t="shared" si="17"/>
        <v>7</v>
      </c>
      <c r="B134" s="366" t="s">
        <v>2007</v>
      </c>
      <c r="C134" s="362"/>
      <c r="D134" s="362"/>
      <c r="E134" s="368" t="s">
        <v>203</v>
      </c>
      <c r="F134" s="535"/>
      <c r="G134" s="535"/>
      <c r="H134" s="538"/>
      <c r="I134" s="372">
        <f t="shared" si="13"/>
        <v>0</v>
      </c>
      <c r="J134" s="369"/>
      <c r="K134" s="369">
        <f>'RAB Pasang'!K134*60%</f>
        <v>17526</v>
      </c>
      <c r="L134" s="387">
        <f t="shared" si="14"/>
        <v>0</v>
      </c>
      <c r="M134" s="385">
        <f t="shared" si="15"/>
        <v>0</v>
      </c>
      <c r="N134" s="388">
        <f t="shared" si="16"/>
        <v>0</v>
      </c>
    </row>
    <row r="135" spans="1:14" ht="13.2" customHeight="1" x14ac:dyDescent="0.3">
      <c r="A135" s="386">
        <f t="shared" si="17"/>
        <v>8</v>
      </c>
      <c r="B135" s="366" t="s">
        <v>588</v>
      </c>
      <c r="C135" s="362"/>
      <c r="D135" s="362"/>
      <c r="E135" s="368" t="s">
        <v>264</v>
      </c>
      <c r="F135" s="535"/>
      <c r="G135" s="535"/>
      <c r="H135" s="538"/>
      <c r="I135" s="372">
        <f t="shared" si="13"/>
        <v>0</v>
      </c>
      <c r="J135" s="369"/>
      <c r="K135" s="369">
        <f>'RAB Pasang'!K135*60%</f>
        <v>17526</v>
      </c>
      <c r="L135" s="387">
        <f t="shared" si="14"/>
        <v>0</v>
      </c>
      <c r="M135" s="385">
        <f t="shared" si="15"/>
        <v>0</v>
      </c>
      <c r="N135" s="388">
        <f t="shared" si="16"/>
        <v>0</v>
      </c>
    </row>
    <row r="136" spans="1:14" ht="13.2" customHeight="1" x14ac:dyDescent="0.3">
      <c r="A136" s="386">
        <f t="shared" si="17"/>
        <v>9</v>
      </c>
      <c r="B136" s="366" t="s">
        <v>466</v>
      </c>
      <c r="C136" s="362"/>
      <c r="D136" s="362"/>
      <c r="E136" s="368" t="s">
        <v>203</v>
      </c>
      <c r="F136" s="538"/>
      <c r="G136" s="538"/>
      <c r="H136" s="535"/>
      <c r="I136" s="372">
        <f t="shared" si="13"/>
        <v>0</v>
      </c>
      <c r="J136" s="369"/>
      <c r="K136" s="372">
        <f>'RAB Pasang'!K136*60%</f>
        <v>16896</v>
      </c>
      <c r="L136" s="387">
        <f t="shared" si="14"/>
        <v>0</v>
      </c>
      <c r="M136" s="385">
        <f t="shared" si="15"/>
        <v>0</v>
      </c>
      <c r="N136" s="388">
        <f t="shared" si="16"/>
        <v>0</v>
      </c>
    </row>
    <row r="137" spans="1:14" ht="13.2" customHeight="1" x14ac:dyDescent="0.3">
      <c r="A137" s="386">
        <f t="shared" si="17"/>
        <v>10</v>
      </c>
      <c r="B137" s="366" t="s">
        <v>467</v>
      </c>
      <c r="C137" s="362"/>
      <c r="D137" s="362"/>
      <c r="E137" s="368" t="s">
        <v>203</v>
      </c>
      <c r="F137" s="538"/>
      <c r="G137" s="538"/>
      <c r="H137" s="535"/>
      <c r="I137" s="372">
        <f t="shared" si="13"/>
        <v>0</v>
      </c>
      <c r="J137" s="369"/>
      <c r="K137" s="372">
        <f>'RAB Pasang'!K137*60%</f>
        <v>16896</v>
      </c>
      <c r="L137" s="387">
        <f t="shared" si="14"/>
        <v>0</v>
      </c>
      <c r="M137" s="385">
        <f t="shared" si="15"/>
        <v>0</v>
      </c>
      <c r="N137" s="388">
        <f t="shared" si="16"/>
        <v>0</v>
      </c>
    </row>
    <row r="138" spans="1:14" ht="13.2" customHeight="1" x14ac:dyDescent="0.3">
      <c r="A138" s="386">
        <f t="shared" si="17"/>
        <v>11</v>
      </c>
      <c r="B138" s="366" t="s">
        <v>468</v>
      </c>
      <c r="C138" s="362"/>
      <c r="D138" s="362"/>
      <c r="E138" s="368" t="s">
        <v>203</v>
      </c>
      <c r="F138" s="538"/>
      <c r="G138" s="538"/>
      <c r="H138" s="535"/>
      <c r="I138" s="372">
        <f t="shared" si="13"/>
        <v>0</v>
      </c>
      <c r="J138" s="369"/>
      <c r="K138" s="372">
        <f>'RAB Pasang'!K138*60%</f>
        <v>16896</v>
      </c>
      <c r="L138" s="387">
        <f t="shared" si="14"/>
        <v>0</v>
      </c>
      <c r="M138" s="385">
        <f t="shared" si="15"/>
        <v>0</v>
      </c>
      <c r="N138" s="388">
        <f t="shared" si="16"/>
        <v>0</v>
      </c>
    </row>
    <row r="139" spans="1:14" ht="13.2" customHeight="1" x14ac:dyDescent="0.3">
      <c r="A139" s="386">
        <f t="shared" si="17"/>
        <v>12</v>
      </c>
      <c r="B139" s="366" t="s">
        <v>469</v>
      </c>
      <c r="C139" s="362"/>
      <c r="D139" s="362"/>
      <c r="E139" s="368" t="s">
        <v>203</v>
      </c>
      <c r="F139" s="538"/>
      <c r="G139" s="538"/>
      <c r="H139" s="535"/>
      <c r="I139" s="372">
        <f t="shared" si="13"/>
        <v>0</v>
      </c>
      <c r="J139" s="369"/>
      <c r="K139" s="372">
        <f>'RAB Pasang'!K139*60%</f>
        <v>16896</v>
      </c>
      <c r="L139" s="387">
        <f t="shared" si="14"/>
        <v>0</v>
      </c>
      <c r="M139" s="385">
        <f t="shared" si="15"/>
        <v>0</v>
      </c>
      <c r="N139" s="388">
        <f t="shared" si="16"/>
        <v>0</v>
      </c>
    </row>
    <row r="140" spans="1:14" ht="13.2" customHeight="1" x14ac:dyDescent="0.3">
      <c r="A140" s="386">
        <f t="shared" si="17"/>
        <v>13</v>
      </c>
      <c r="B140" s="370" t="s">
        <v>470</v>
      </c>
      <c r="C140" s="371"/>
      <c r="D140" s="371"/>
      <c r="E140" s="367" t="s">
        <v>203</v>
      </c>
      <c r="F140" s="527"/>
      <c r="G140" s="527"/>
      <c r="H140" s="527"/>
      <c r="I140" s="372">
        <f t="shared" si="13"/>
        <v>0</v>
      </c>
      <c r="J140" s="372"/>
      <c r="K140" s="372">
        <f>'RAB Pasang'!K140*60%</f>
        <v>16896</v>
      </c>
      <c r="L140" s="387">
        <f t="shared" si="14"/>
        <v>0</v>
      </c>
      <c r="M140" s="385">
        <f t="shared" si="15"/>
        <v>0</v>
      </c>
      <c r="N140" s="388">
        <f t="shared" si="16"/>
        <v>0</v>
      </c>
    </row>
    <row r="141" spans="1:14" ht="13.2" customHeight="1" x14ac:dyDescent="0.3">
      <c r="A141" s="386">
        <f t="shared" si="17"/>
        <v>14</v>
      </c>
      <c r="B141" s="370" t="s">
        <v>471</v>
      </c>
      <c r="C141" s="371"/>
      <c r="D141" s="371"/>
      <c r="E141" s="367" t="s">
        <v>203</v>
      </c>
      <c r="F141" s="527"/>
      <c r="G141" s="527"/>
      <c r="H141" s="527"/>
      <c r="I141" s="372">
        <f t="shared" si="13"/>
        <v>0</v>
      </c>
      <c r="J141" s="372"/>
      <c r="K141" s="372">
        <f>'RAB Pasang'!K141*60%</f>
        <v>16896</v>
      </c>
      <c r="L141" s="387">
        <f t="shared" si="14"/>
        <v>0</v>
      </c>
      <c r="M141" s="385">
        <f t="shared" si="15"/>
        <v>0</v>
      </c>
      <c r="N141" s="388">
        <f t="shared" si="16"/>
        <v>0</v>
      </c>
    </row>
    <row r="142" spans="1:14" ht="13.2" customHeight="1" x14ac:dyDescent="0.3">
      <c r="A142" s="386">
        <f t="shared" si="17"/>
        <v>15</v>
      </c>
      <c r="B142" s="370" t="s">
        <v>472</v>
      </c>
      <c r="C142" s="371"/>
      <c r="D142" s="371"/>
      <c r="E142" s="367" t="s">
        <v>203</v>
      </c>
      <c r="F142" s="527"/>
      <c r="G142" s="527"/>
      <c r="H142" s="527"/>
      <c r="I142" s="372">
        <f t="shared" si="13"/>
        <v>0</v>
      </c>
      <c r="J142" s="372"/>
      <c r="K142" s="372">
        <f>'RAB Pasang'!K142*60%</f>
        <v>16896</v>
      </c>
      <c r="L142" s="387">
        <f t="shared" si="14"/>
        <v>0</v>
      </c>
      <c r="M142" s="385">
        <f t="shared" si="15"/>
        <v>0</v>
      </c>
      <c r="N142" s="388">
        <f t="shared" si="16"/>
        <v>0</v>
      </c>
    </row>
    <row r="143" spans="1:14" ht="13.2" customHeight="1" x14ac:dyDescent="0.3">
      <c r="A143" s="386">
        <f t="shared" si="17"/>
        <v>16</v>
      </c>
      <c r="B143" s="370" t="s">
        <v>473</v>
      </c>
      <c r="C143" s="371"/>
      <c r="D143" s="371"/>
      <c r="E143" s="367" t="s">
        <v>203</v>
      </c>
      <c r="F143" s="527"/>
      <c r="G143" s="527"/>
      <c r="H143" s="527"/>
      <c r="I143" s="372">
        <f t="shared" si="13"/>
        <v>0</v>
      </c>
      <c r="J143" s="372"/>
      <c r="K143" s="372">
        <f>'RAB Pasang'!K143*60%</f>
        <v>16896</v>
      </c>
      <c r="L143" s="387">
        <f t="shared" si="14"/>
        <v>0</v>
      </c>
      <c r="M143" s="385">
        <f t="shared" si="15"/>
        <v>0</v>
      </c>
      <c r="N143" s="388">
        <f t="shared" si="16"/>
        <v>0</v>
      </c>
    </row>
    <row r="144" spans="1:14" ht="13.2" customHeight="1" x14ac:dyDescent="0.3">
      <c r="A144" s="386">
        <f t="shared" si="17"/>
        <v>17</v>
      </c>
      <c r="B144" s="370" t="s">
        <v>474</v>
      </c>
      <c r="C144" s="371"/>
      <c r="D144" s="371"/>
      <c r="E144" s="367" t="s">
        <v>203</v>
      </c>
      <c r="F144" s="527"/>
      <c r="G144" s="527"/>
      <c r="H144" s="527"/>
      <c r="I144" s="372">
        <f t="shared" si="13"/>
        <v>0</v>
      </c>
      <c r="J144" s="372"/>
      <c r="K144" s="372">
        <f>'RAB Pasang'!K144*60%</f>
        <v>16896</v>
      </c>
      <c r="L144" s="387">
        <f t="shared" si="14"/>
        <v>0</v>
      </c>
      <c r="M144" s="385">
        <f t="shared" si="15"/>
        <v>0</v>
      </c>
      <c r="N144" s="388">
        <f t="shared" si="16"/>
        <v>0</v>
      </c>
    </row>
    <row r="145" spans="1:14" ht="13.2" customHeight="1" x14ac:dyDescent="0.3">
      <c r="A145" s="386">
        <f t="shared" si="17"/>
        <v>18</v>
      </c>
      <c r="B145" s="370" t="s">
        <v>475</v>
      </c>
      <c r="C145" s="371"/>
      <c r="D145" s="371"/>
      <c r="E145" s="367" t="s">
        <v>203</v>
      </c>
      <c r="F145" s="527"/>
      <c r="G145" s="527"/>
      <c r="H145" s="527"/>
      <c r="I145" s="372">
        <f t="shared" si="13"/>
        <v>0</v>
      </c>
      <c r="J145" s="372"/>
      <c r="K145" s="372">
        <f>'RAB Pasang'!K145*60%</f>
        <v>16896</v>
      </c>
      <c r="L145" s="387">
        <f t="shared" si="14"/>
        <v>0</v>
      </c>
      <c r="M145" s="385">
        <f t="shared" si="15"/>
        <v>0</v>
      </c>
      <c r="N145" s="388">
        <f t="shared" si="16"/>
        <v>0</v>
      </c>
    </row>
    <row r="146" spans="1:14" ht="13.2" customHeight="1" x14ac:dyDescent="0.3">
      <c r="A146" s="386">
        <f t="shared" si="17"/>
        <v>19</v>
      </c>
      <c r="B146" s="370" t="s">
        <v>476</v>
      </c>
      <c r="C146" s="371"/>
      <c r="D146" s="371"/>
      <c r="E146" s="367" t="s">
        <v>203</v>
      </c>
      <c r="F146" s="527"/>
      <c r="G146" s="527"/>
      <c r="H146" s="527"/>
      <c r="I146" s="372">
        <f t="shared" si="13"/>
        <v>0</v>
      </c>
      <c r="J146" s="372"/>
      <c r="K146" s="372">
        <f>'RAB Pasang'!K146*60%</f>
        <v>16896</v>
      </c>
      <c r="L146" s="387">
        <f t="shared" si="14"/>
        <v>0</v>
      </c>
      <c r="M146" s="385">
        <f t="shared" si="15"/>
        <v>0</v>
      </c>
      <c r="N146" s="388">
        <f t="shared" si="16"/>
        <v>0</v>
      </c>
    </row>
    <row r="147" spans="1:14" ht="13.2" customHeight="1" x14ac:dyDescent="0.3">
      <c r="A147" s="386">
        <f t="shared" si="17"/>
        <v>20</v>
      </c>
      <c r="B147" s="370" t="s">
        <v>477</v>
      </c>
      <c r="C147" s="371"/>
      <c r="D147" s="371"/>
      <c r="E147" s="367" t="s">
        <v>203</v>
      </c>
      <c r="F147" s="527"/>
      <c r="G147" s="527"/>
      <c r="H147" s="527"/>
      <c r="I147" s="372">
        <f t="shared" si="13"/>
        <v>0</v>
      </c>
      <c r="J147" s="372"/>
      <c r="K147" s="372">
        <f>'RAB Pasang'!K147*60%</f>
        <v>16896</v>
      </c>
      <c r="L147" s="387">
        <f t="shared" si="14"/>
        <v>0</v>
      </c>
      <c r="M147" s="385">
        <f t="shared" si="15"/>
        <v>0</v>
      </c>
      <c r="N147" s="388">
        <f t="shared" si="16"/>
        <v>0</v>
      </c>
    </row>
    <row r="148" spans="1:14" ht="13.2" customHeight="1" x14ac:dyDescent="0.3">
      <c r="A148" s="386">
        <f t="shared" si="17"/>
        <v>21</v>
      </c>
      <c r="B148" s="370" t="s">
        <v>478</v>
      </c>
      <c r="C148" s="371"/>
      <c r="D148" s="371"/>
      <c r="E148" s="367" t="s">
        <v>203</v>
      </c>
      <c r="F148" s="527"/>
      <c r="G148" s="527"/>
      <c r="H148" s="527"/>
      <c r="I148" s="372">
        <f t="shared" si="13"/>
        <v>0</v>
      </c>
      <c r="J148" s="372"/>
      <c r="K148" s="372">
        <f>'RAB Pasang'!K148*60%</f>
        <v>16896</v>
      </c>
      <c r="L148" s="387">
        <f t="shared" si="14"/>
        <v>0</v>
      </c>
      <c r="M148" s="385">
        <f t="shared" si="15"/>
        <v>0</v>
      </c>
      <c r="N148" s="388">
        <f t="shared" si="16"/>
        <v>0</v>
      </c>
    </row>
    <row r="149" spans="1:14" ht="13.2" customHeight="1" x14ac:dyDescent="0.3">
      <c r="A149" s="386">
        <f t="shared" si="17"/>
        <v>22</v>
      </c>
      <c r="B149" s="370" t="s">
        <v>1916</v>
      </c>
      <c r="C149" s="371"/>
      <c r="D149" s="371"/>
      <c r="E149" s="367" t="s">
        <v>203</v>
      </c>
      <c r="F149" s="527"/>
      <c r="G149" s="527"/>
      <c r="H149" s="539"/>
      <c r="I149" s="372">
        <f t="shared" si="13"/>
        <v>0</v>
      </c>
      <c r="J149" s="372"/>
      <c r="K149" s="372">
        <f>'RAB Pasang'!K149*60%</f>
        <v>19716</v>
      </c>
      <c r="L149" s="387">
        <f t="shared" si="14"/>
        <v>0</v>
      </c>
      <c r="M149" s="385">
        <f t="shared" si="15"/>
        <v>0</v>
      </c>
      <c r="N149" s="388">
        <f t="shared" si="16"/>
        <v>0</v>
      </c>
    </row>
    <row r="150" spans="1:14" ht="13.2" customHeight="1" x14ac:dyDescent="0.3">
      <c r="A150" s="386">
        <f t="shared" si="17"/>
        <v>23</v>
      </c>
      <c r="B150" s="370" t="s">
        <v>1917</v>
      </c>
      <c r="C150" s="371"/>
      <c r="D150" s="371"/>
      <c r="E150" s="367" t="s">
        <v>203</v>
      </c>
      <c r="F150" s="527"/>
      <c r="G150" s="527"/>
      <c r="H150" s="539"/>
      <c r="I150" s="372">
        <f t="shared" si="13"/>
        <v>0</v>
      </c>
      <c r="J150" s="372"/>
      <c r="K150" s="372">
        <f>'RAB Pasang'!K150*60%</f>
        <v>19716</v>
      </c>
      <c r="L150" s="387">
        <f t="shared" si="14"/>
        <v>0</v>
      </c>
      <c r="M150" s="385">
        <f t="shared" si="15"/>
        <v>0</v>
      </c>
      <c r="N150" s="388">
        <f t="shared" si="16"/>
        <v>0</v>
      </c>
    </row>
    <row r="151" spans="1:14" ht="13.2" customHeight="1" x14ac:dyDescent="0.3">
      <c r="A151" s="386">
        <f t="shared" si="17"/>
        <v>24</v>
      </c>
      <c r="B151" s="370" t="s">
        <v>1918</v>
      </c>
      <c r="C151" s="371"/>
      <c r="D151" s="371"/>
      <c r="E151" s="367" t="s">
        <v>203</v>
      </c>
      <c r="F151" s="527"/>
      <c r="G151" s="527"/>
      <c r="H151" s="539"/>
      <c r="I151" s="372">
        <f t="shared" si="13"/>
        <v>0</v>
      </c>
      <c r="J151" s="372"/>
      <c r="K151" s="372">
        <f>'RAB Pasang'!K151*60%</f>
        <v>19716</v>
      </c>
      <c r="L151" s="387">
        <f t="shared" si="14"/>
        <v>0</v>
      </c>
      <c r="M151" s="385">
        <f t="shared" si="15"/>
        <v>0</v>
      </c>
      <c r="N151" s="388">
        <f t="shared" si="16"/>
        <v>0</v>
      </c>
    </row>
    <row r="152" spans="1:14" ht="13.2" customHeight="1" x14ac:dyDescent="0.3">
      <c r="A152" s="386">
        <f t="shared" si="17"/>
        <v>25</v>
      </c>
      <c r="B152" s="370" t="s">
        <v>489</v>
      </c>
      <c r="C152" s="371"/>
      <c r="D152" s="371"/>
      <c r="E152" s="367" t="s">
        <v>203</v>
      </c>
      <c r="F152" s="527"/>
      <c r="G152" s="527"/>
      <c r="H152" s="539"/>
      <c r="I152" s="372">
        <f t="shared" si="13"/>
        <v>0</v>
      </c>
      <c r="J152" s="372"/>
      <c r="K152" s="372">
        <f>'RAB Pasang'!K152*60%</f>
        <v>16896</v>
      </c>
      <c r="L152" s="387">
        <f t="shared" si="14"/>
        <v>0</v>
      </c>
      <c r="M152" s="385">
        <f t="shared" si="15"/>
        <v>0</v>
      </c>
      <c r="N152" s="388">
        <f t="shared" si="16"/>
        <v>0</v>
      </c>
    </row>
    <row r="153" spans="1:14" ht="13.2" customHeight="1" x14ac:dyDescent="0.3">
      <c r="A153" s="386">
        <f t="shared" si="17"/>
        <v>26</v>
      </c>
      <c r="B153" s="370" t="s">
        <v>490</v>
      </c>
      <c r="C153" s="371"/>
      <c r="D153" s="371"/>
      <c r="E153" s="367" t="s">
        <v>203</v>
      </c>
      <c r="F153" s="527"/>
      <c r="G153" s="527"/>
      <c r="H153" s="539"/>
      <c r="I153" s="372">
        <f t="shared" si="13"/>
        <v>0</v>
      </c>
      <c r="J153" s="372"/>
      <c r="K153" s="372">
        <f>'RAB Pasang'!K153*60%</f>
        <v>16896</v>
      </c>
      <c r="L153" s="387">
        <f t="shared" si="14"/>
        <v>0</v>
      </c>
      <c r="M153" s="385">
        <f t="shared" si="15"/>
        <v>0</v>
      </c>
      <c r="N153" s="388">
        <f t="shared" si="16"/>
        <v>0</v>
      </c>
    </row>
    <row r="154" spans="1:14" ht="13.2" customHeight="1" x14ac:dyDescent="0.3">
      <c r="A154" s="386">
        <f t="shared" si="17"/>
        <v>27</v>
      </c>
      <c r="B154" s="370" t="s">
        <v>491</v>
      </c>
      <c r="C154" s="371"/>
      <c r="D154" s="371"/>
      <c r="E154" s="367" t="s">
        <v>203</v>
      </c>
      <c r="F154" s="527"/>
      <c r="G154" s="527"/>
      <c r="H154" s="539"/>
      <c r="I154" s="372">
        <f t="shared" si="13"/>
        <v>0</v>
      </c>
      <c r="J154" s="372"/>
      <c r="K154" s="372">
        <f>'RAB Pasang'!K154*60%</f>
        <v>16896</v>
      </c>
      <c r="L154" s="387">
        <f t="shared" si="14"/>
        <v>0</v>
      </c>
      <c r="M154" s="385">
        <f t="shared" si="15"/>
        <v>0</v>
      </c>
      <c r="N154" s="388">
        <f t="shared" si="16"/>
        <v>0</v>
      </c>
    </row>
    <row r="155" spans="1:14" ht="13.2" customHeight="1" x14ac:dyDescent="0.3">
      <c r="A155" s="386">
        <f t="shared" si="17"/>
        <v>28</v>
      </c>
      <c r="B155" s="370" t="s">
        <v>492</v>
      </c>
      <c r="C155" s="371"/>
      <c r="D155" s="371"/>
      <c r="E155" s="367" t="s">
        <v>203</v>
      </c>
      <c r="F155" s="527"/>
      <c r="G155" s="527"/>
      <c r="H155" s="539"/>
      <c r="I155" s="372">
        <f t="shared" si="13"/>
        <v>0</v>
      </c>
      <c r="J155" s="372"/>
      <c r="K155" s="372">
        <f>'RAB Pasang'!K155*60%</f>
        <v>16896</v>
      </c>
      <c r="L155" s="387">
        <f t="shared" si="14"/>
        <v>0</v>
      </c>
      <c r="M155" s="385">
        <f t="shared" si="15"/>
        <v>0</v>
      </c>
      <c r="N155" s="388">
        <f t="shared" si="16"/>
        <v>0</v>
      </c>
    </row>
    <row r="156" spans="1:14" ht="13.2" customHeight="1" x14ac:dyDescent="0.3">
      <c r="A156" s="386">
        <f t="shared" si="17"/>
        <v>29</v>
      </c>
      <c r="B156" s="370" t="s">
        <v>493</v>
      </c>
      <c r="C156" s="371"/>
      <c r="D156" s="371"/>
      <c r="E156" s="367" t="s">
        <v>203</v>
      </c>
      <c r="F156" s="527"/>
      <c r="G156" s="527"/>
      <c r="H156" s="539"/>
      <c r="I156" s="372">
        <f t="shared" si="13"/>
        <v>0</v>
      </c>
      <c r="J156" s="372"/>
      <c r="K156" s="372">
        <f>'RAB Pasang'!K156*60%</f>
        <v>16896</v>
      </c>
      <c r="L156" s="387">
        <f t="shared" si="14"/>
        <v>0</v>
      </c>
      <c r="M156" s="385">
        <f t="shared" si="15"/>
        <v>0</v>
      </c>
      <c r="N156" s="388">
        <f t="shared" si="16"/>
        <v>0</v>
      </c>
    </row>
    <row r="157" spans="1:14" ht="13.2" customHeight="1" x14ac:dyDescent="0.3">
      <c r="A157" s="386">
        <f t="shared" si="17"/>
        <v>30</v>
      </c>
      <c r="B157" s="370" t="s">
        <v>494</v>
      </c>
      <c r="C157" s="371"/>
      <c r="D157" s="371"/>
      <c r="E157" s="367" t="s">
        <v>203</v>
      </c>
      <c r="F157" s="527"/>
      <c r="G157" s="527"/>
      <c r="H157" s="539"/>
      <c r="I157" s="372">
        <f t="shared" si="13"/>
        <v>0</v>
      </c>
      <c r="J157" s="372"/>
      <c r="K157" s="372">
        <f>'RAB Pasang'!K157*60%</f>
        <v>16896</v>
      </c>
      <c r="L157" s="387">
        <f t="shared" si="14"/>
        <v>0</v>
      </c>
      <c r="M157" s="385">
        <f t="shared" si="15"/>
        <v>0</v>
      </c>
      <c r="N157" s="388">
        <f t="shared" si="16"/>
        <v>0</v>
      </c>
    </row>
    <row r="158" spans="1:14" ht="13.2" customHeight="1" x14ac:dyDescent="0.3">
      <c r="A158" s="386">
        <f t="shared" si="17"/>
        <v>31</v>
      </c>
      <c r="B158" s="370" t="s">
        <v>497</v>
      </c>
      <c r="C158" s="371"/>
      <c r="D158" s="371"/>
      <c r="E158" s="367" t="s">
        <v>203</v>
      </c>
      <c r="F158" s="527"/>
      <c r="G158" s="539"/>
      <c r="H158" s="527"/>
      <c r="I158" s="372">
        <f t="shared" si="13"/>
        <v>0</v>
      </c>
      <c r="J158" s="372"/>
      <c r="K158" s="372">
        <f>'RAB Pasang'!K158*60%</f>
        <v>16896</v>
      </c>
      <c r="L158" s="387">
        <f t="shared" si="14"/>
        <v>0</v>
      </c>
      <c r="M158" s="385">
        <f t="shared" si="15"/>
        <v>0</v>
      </c>
      <c r="N158" s="388">
        <f t="shared" si="16"/>
        <v>0</v>
      </c>
    </row>
    <row r="159" spans="1:14" ht="13.2" customHeight="1" x14ac:dyDescent="0.3">
      <c r="A159" s="386">
        <f t="shared" si="17"/>
        <v>32</v>
      </c>
      <c r="B159" s="370" t="s">
        <v>498</v>
      </c>
      <c r="C159" s="371"/>
      <c r="D159" s="371"/>
      <c r="E159" s="367" t="s">
        <v>203</v>
      </c>
      <c r="F159" s="527"/>
      <c r="G159" s="539"/>
      <c r="H159" s="527"/>
      <c r="I159" s="372">
        <f t="shared" si="13"/>
        <v>0</v>
      </c>
      <c r="J159" s="372"/>
      <c r="K159" s="372">
        <f>'RAB Pasang'!K159*60%</f>
        <v>16896</v>
      </c>
      <c r="L159" s="387">
        <f t="shared" si="14"/>
        <v>0</v>
      </c>
      <c r="M159" s="385">
        <f t="shared" si="15"/>
        <v>0</v>
      </c>
      <c r="N159" s="388">
        <f t="shared" si="16"/>
        <v>0</v>
      </c>
    </row>
    <row r="160" spans="1:14" ht="13.2" customHeight="1" x14ac:dyDescent="0.3">
      <c r="A160" s="386">
        <f t="shared" si="17"/>
        <v>33</v>
      </c>
      <c r="B160" s="370" t="s">
        <v>499</v>
      </c>
      <c r="C160" s="371"/>
      <c r="D160" s="371"/>
      <c r="E160" s="367" t="s">
        <v>203</v>
      </c>
      <c r="F160" s="527"/>
      <c r="G160" s="539"/>
      <c r="H160" s="527"/>
      <c r="I160" s="372">
        <f t="shared" si="13"/>
        <v>0</v>
      </c>
      <c r="J160" s="372"/>
      <c r="K160" s="372">
        <f>'RAB Pasang'!K160*60%</f>
        <v>16896</v>
      </c>
      <c r="L160" s="387">
        <f t="shared" si="14"/>
        <v>0</v>
      </c>
      <c r="M160" s="385">
        <f t="shared" si="15"/>
        <v>0</v>
      </c>
      <c r="N160" s="388">
        <f t="shared" si="16"/>
        <v>0</v>
      </c>
    </row>
    <row r="161" spans="1:14" ht="13.2" customHeight="1" x14ac:dyDescent="0.3">
      <c r="A161" s="386">
        <f t="shared" si="17"/>
        <v>34</v>
      </c>
      <c r="B161" s="370" t="s">
        <v>500</v>
      </c>
      <c r="C161" s="371"/>
      <c r="D161" s="371"/>
      <c r="E161" s="367" t="s">
        <v>203</v>
      </c>
      <c r="F161" s="527"/>
      <c r="G161" s="539"/>
      <c r="H161" s="527"/>
      <c r="I161" s="372">
        <f t="shared" si="13"/>
        <v>0</v>
      </c>
      <c r="J161" s="372"/>
      <c r="K161" s="372">
        <f>'RAB Pasang'!K161*60%</f>
        <v>16896</v>
      </c>
      <c r="L161" s="387">
        <f t="shared" si="14"/>
        <v>0</v>
      </c>
      <c r="M161" s="385">
        <f t="shared" si="15"/>
        <v>0</v>
      </c>
      <c r="N161" s="388">
        <f t="shared" si="16"/>
        <v>0</v>
      </c>
    </row>
    <row r="162" spans="1:14" ht="13.2" customHeight="1" x14ac:dyDescent="0.3">
      <c r="A162" s="386">
        <f t="shared" si="17"/>
        <v>35</v>
      </c>
      <c r="B162" s="370" t="s">
        <v>501</v>
      </c>
      <c r="C162" s="371"/>
      <c r="D162" s="371"/>
      <c r="E162" s="367" t="s">
        <v>203</v>
      </c>
      <c r="F162" s="527"/>
      <c r="G162" s="539"/>
      <c r="H162" s="527"/>
      <c r="I162" s="372">
        <f t="shared" si="13"/>
        <v>0</v>
      </c>
      <c r="J162" s="372"/>
      <c r="K162" s="372">
        <f>'RAB Pasang'!K162*60%</f>
        <v>16896</v>
      </c>
      <c r="L162" s="387">
        <f t="shared" si="14"/>
        <v>0</v>
      </c>
      <c r="M162" s="385">
        <f t="shared" si="15"/>
        <v>0</v>
      </c>
      <c r="N162" s="388">
        <f t="shared" si="16"/>
        <v>0</v>
      </c>
    </row>
    <row r="163" spans="1:14" ht="13.2" customHeight="1" x14ac:dyDescent="0.3">
      <c r="A163" s="386">
        <f t="shared" si="17"/>
        <v>36</v>
      </c>
      <c r="B163" s="370" t="s">
        <v>502</v>
      </c>
      <c r="C163" s="371"/>
      <c r="D163" s="371"/>
      <c r="E163" s="367" t="s">
        <v>203</v>
      </c>
      <c r="F163" s="527"/>
      <c r="G163" s="539"/>
      <c r="H163" s="527"/>
      <c r="I163" s="372">
        <f t="shared" si="13"/>
        <v>0</v>
      </c>
      <c r="J163" s="372"/>
      <c r="K163" s="372">
        <f>'RAB Pasang'!K163*60%</f>
        <v>16896</v>
      </c>
      <c r="L163" s="387">
        <f t="shared" si="14"/>
        <v>0</v>
      </c>
      <c r="M163" s="385">
        <f t="shared" si="15"/>
        <v>0</v>
      </c>
      <c r="N163" s="388">
        <f t="shared" si="16"/>
        <v>0</v>
      </c>
    </row>
    <row r="164" spans="1:14" ht="13.2" customHeight="1" x14ac:dyDescent="0.3">
      <c r="A164" s="386">
        <f t="shared" si="17"/>
        <v>37</v>
      </c>
      <c r="B164" s="370" t="s">
        <v>503</v>
      </c>
      <c r="C164" s="371"/>
      <c r="D164" s="371"/>
      <c r="E164" s="367" t="s">
        <v>203</v>
      </c>
      <c r="F164" s="527"/>
      <c r="G164" s="539"/>
      <c r="H164" s="527"/>
      <c r="I164" s="372">
        <f t="shared" si="13"/>
        <v>0</v>
      </c>
      <c r="J164" s="372"/>
      <c r="K164" s="372">
        <f>'RAB Pasang'!K164*60%</f>
        <v>16896</v>
      </c>
      <c r="L164" s="387">
        <f t="shared" si="14"/>
        <v>0</v>
      </c>
      <c r="M164" s="385">
        <f t="shared" si="15"/>
        <v>0</v>
      </c>
      <c r="N164" s="388">
        <f t="shared" si="16"/>
        <v>0</v>
      </c>
    </row>
    <row r="165" spans="1:14" ht="13.2" customHeight="1" x14ac:dyDescent="0.3">
      <c r="A165" s="386">
        <f t="shared" si="17"/>
        <v>38</v>
      </c>
      <c r="B165" s="370" t="s">
        <v>506</v>
      </c>
      <c r="C165" s="371"/>
      <c r="D165" s="371"/>
      <c r="E165" s="367" t="s">
        <v>203</v>
      </c>
      <c r="F165" s="527"/>
      <c r="G165" s="539"/>
      <c r="H165" s="527"/>
      <c r="I165" s="372">
        <f t="shared" si="13"/>
        <v>0</v>
      </c>
      <c r="J165" s="372"/>
      <c r="K165" s="372">
        <f>'RAB Pasang'!K165*60%</f>
        <v>16896</v>
      </c>
      <c r="L165" s="387">
        <f t="shared" si="14"/>
        <v>0</v>
      </c>
      <c r="M165" s="385">
        <f t="shared" si="15"/>
        <v>0</v>
      </c>
      <c r="N165" s="388">
        <f t="shared" si="16"/>
        <v>0</v>
      </c>
    </row>
    <row r="166" spans="1:14" ht="13.2" customHeight="1" x14ac:dyDescent="0.3">
      <c r="A166" s="386">
        <f t="shared" si="17"/>
        <v>39</v>
      </c>
      <c r="B166" s="370" t="s">
        <v>507</v>
      </c>
      <c r="C166" s="371"/>
      <c r="D166" s="371"/>
      <c r="E166" s="367" t="s">
        <v>203</v>
      </c>
      <c r="F166" s="527"/>
      <c r="G166" s="539"/>
      <c r="H166" s="527"/>
      <c r="I166" s="372">
        <f t="shared" si="13"/>
        <v>0</v>
      </c>
      <c r="J166" s="372"/>
      <c r="K166" s="372">
        <f>'RAB Pasang'!K166*60%</f>
        <v>16896</v>
      </c>
      <c r="L166" s="387">
        <f t="shared" si="14"/>
        <v>0</v>
      </c>
      <c r="M166" s="385">
        <f t="shared" si="15"/>
        <v>0</v>
      </c>
      <c r="N166" s="388">
        <f t="shared" si="16"/>
        <v>0</v>
      </c>
    </row>
    <row r="167" spans="1:14" ht="13.2" customHeight="1" x14ac:dyDescent="0.3">
      <c r="A167" s="386">
        <f t="shared" si="17"/>
        <v>40</v>
      </c>
      <c r="B167" s="370" t="s">
        <v>508</v>
      </c>
      <c r="C167" s="371"/>
      <c r="D167" s="371"/>
      <c r="E167" s="367" t="s">
        <v>203</v>
      </c>
      <c r="F167" s="527"/>
      <c r="G167" s="539"/>
      <c r="H167" s="527"/>
      <c r="I167" s="372">
        <f t="shared" si="13"/>
        <v>0</v>
      </c>
      <c r="J167" s="372"/>
      <c r="K167" s="372">
        <f>'RAB Pasang'!K167*60%</f>
        <v>16896</v>
      </c>
      <c r="L167" s="387">
        <f t="shared" si="14"/>
        <v>0</v>
      </c>
      <c r="M167" s="385">
        <f t="shared" si="15"/>
        <v>0</v>
      </c>
      <c r="N167" s="388">
        <f t="shared" si="16"/>
        <v>0</v>
      </c>
    </row>
    <row r="168" spans="1:14" ht="13.2" customHeight="1" x14ac:dyDescent="0.3">
      <c r="A168" s="386">
        <f t="shared" si="17"/>
        <v>41</v>
      </c>
      <c r="B168" s="370" t="s">
        <v>509</v>
      </c>
      <c r="C168" s="371"/>
      <c r="D168" s="371"/>
      <c r="E168" s="367" t="s">
        <v>203</v>
      </c>
      <c r="F168" s="527"/>
      <c r="G168" s="539"/>
      <c r="H168" s="527"/>
      <c r="I168" s="372">
        <f t="shared" si="13"/>
        <v>0</v>
      </c>
      <c r="J168" s="372"/>
      <c r="K168" s="372">
        <f>'RAB Pasang'!K168*60%</f>
        <v>16896</v>
      </c>
      <c r="L168" s="387">
        <f t="shared" si="14"/>
        <v>0</v>
      </c>
      <c r="M168" s="385">
        <f t="shared" si="15"/>
        <v>0</v>
      </c>
      <c r="N168" s="388">
        <f t="shared" si="16"/>
        <v>0</v>
      </c>
    </row>
    <row r="169" spans="1:14" ht="13.2" customHeight="1" x14ac:dyDescent="0.3">
      <c r="A169" s="386">
        <f t="shared" si="17"/>
        <v>42</v>
      </c>
      <c r="B169" s="370" t="s">
        <v>510</v>
      </c>
      <c r="C169" s="371"/>
      <c r="D169" s="371"/>
      <c r="E169" s="367" t="s">
        <v>203</v>
      </c>
      <c r="F169" s="527"/>
      <c r="G169" s="539"/>
      <c r="H169" s="527"/>
      <c r="I169" s="372">
        <f t="shared" si="13"/>
        <v>0</v>
      </c>
      <c r="J169" s="372"/>
      <c r="K169" s="372">
        <f>'RAB Pasang'!K169*60%</f>
        <v>16896</v>
      </c>
      <c r="L169" s="387">
        <f t="shared" si="14"/>
        <v>0</v>
      </c>
      <c r="M169" s="385">
        <f t="shared" si="15"/>
        <v>0</v>
      </c>
      <c r="N169" s="388">
        <f t="shared" si="16"/>
        <v>0</v>
      </c>
    </row>
    <row r="170" spans="1:14" ht="13.2" customHeight="1" x14ac:dyDescent="0.3">
      <c r="A170" s="386">
        <f t="shared" si="17"/>
        <v>43</v>
      </c>
      <c r="B170" s="370" t="s">
        <v>511</v>
      </c>
      <c r="C170" s="371"/>
      <c r="D170" s="371"/>
      <c r="E170" s="367" t="s">
        <v>203</v>
      </c>
      <c r="F170" s="527"/>
      <c r="G170" s="539"/>
      <c r="H170" s="527"/>
      <c r="I170" s="372">
        <f t="shared" si="13"/>
        <v>0</v>
      </c>
      <c r="J170" s="372"/>
      <c r="K170" s="372">
        <f>'RAB Pasang'!K170*60%</f>
        <v>16896</v>
      </c>
      <c r="L170" s="387">
        <f t="shared" si="14"/>
        <v>0</v>
      </c>
      <c r="M170" s="385">
        <f t="shared" si="15"/>
        <v>0</v>
      </c>
      <c r="N170" s="388">
        <f t="shared" si="16"/>
        <v>0</v>
      </c>
    </row>
    <row r="171" spans="1:14" ht="13.2" customHeight="1" x14ac:dyDescent="0.3">
      <c r="A171" s="386">
        <f t="shared" si="17"/>
        <v>44</v>
      </c>
      <c r="B171" s="370" t="s">
        <v>512</v>
      </c>
      <c r="C171" s="371"/>
      <c r="D171" s="371"/>
      <c r="E171" s="367" t="s">
        <v>203</v>
      </c>
      <c r="F171" s="527"/>
      <c r="G171" s="539"/>
      <c r="H171" s="527"/>
      <c r="I171" s="372">
        <f t="shared" si="13"/>
        <v>0</v>
      </c>
      <c r="J171" s="372"/>
      <c r="K171" s="372">
        <f>'RAB Pasang'!K171*60%</f>
        <v>16896</v>
      </c>
      <c r="L171" s="387">
        <f t="shared" si="14"/>
        <v>0</v>
      </c>
      <c r="M171" s="385">
        <f t="shared" si="15"/>
        <v>0</v>
      </c>
      <c r="N171" s="388">
        <f t="shared" si="16"/>
        <v>0</v>
      </c>
    </row>
    <row r="172" spans="1:14" ht="13.2" customHeight="1" x14ac:dyDescent="0.3">
      <c r="A172" s="386">
        <f t="shared" si="17"/>
        <v>45</v>
      </c>
      <c r="B172" s="370" t="s">
        <v>513</v>
      </c>
      <c r="C172" s="371"/>
      <c r="D172" s="371"/>
      <c r="E172" s="367" t="s">
        <v>203</v>
      </c>
      <c r="F172" s="527"/>
      <c r="G172" s="539"/>
      <c r="H172" s="527"/>
      <c r="I172" s="372">
        <f t="shared" si="13"/>
        <v>0</v>
      </c>
      <c r="J172" s="372"/>
      <c r="K172" s="372">
        <f>'RAB Pasang'!K172*60%</f>
        <v>16896</v>
      </c>
      <c r="L172" s="387">
        <f t="shared" si="14"/>
        <v>0</v>
      </c>
      <c r="M172" s="385">
        <f t="shared" si="15"/>
        <v>0</v>
      </c>
      <c r="N172" s="388">
        <f t="shared" si="16"/>
        <v>0</v>
      </c>
    </row>
    <row r="173" spans="1:14" ht="13.2" customHeight="1" x14ac:dyDescent="0.3">
      <c r="A173" s="386">
        <f t="shared" si="17"/>
        <v>46</v>
      </c>
      <c r="B173" s="370" t="s">
        <v>514</v>
      </c>
      <c r="C173" s="371"/>
      <c r="D173" s="371"/>
      <c r="E173" s="367" t="s">
        <v>203</v>
      </c>
      <c r="F173" s="527"/>
      <c r="G173" s="539"/>
      <c r="H173" s="527"/>
      <c r="I173" s="372">
        <f t="shared" si="13"/>
        <v>0</v>
      </c>
      <c r="J173" s="372"/>
      <c r="K173" s="372">
        <f>'RAB Pasang'!K173*60%</f>
        <v>16896</v>
      </c>
      <c r="L173" s="387">
        <f t="shared" si="14"/>
        <v>0</v>
      </c>
      <c r="M173" s="385">
        <f t="shared" si="15"/>
        <v>0</v>
      </c>
      <c r="N173" s="388">
        <f t="shared" si="16"/>
        <v>0</v>
      </c>
    </row>
    <row r="174" spans="1:14" ht="13.2" customHeight="1" x14ac:dyDescent="0.3">
      <c r="A174" s="386">
        <f t="shared" si="17"/>
        <v>47</v>
      </c>
      <c r="B174" s="370" t="s">
        <v>515</v>
      </c>
      <c r="C174" s="371"/>
      <c r="D174" s="371"/>
      <c r="E174" s="367" t="s">
        <v>203</v>
      </c>
      <c r="F174" s="527"/>
      <c r="G174" s="539"/>
      <c r="H174" s="527"/>
      <c r="I174" s="372">
        <f t="shared" si="13"/>
        <v>0</v>
      </c>
      <c r="J174" s="372"/>
      <c r="K174" s="372">
        <f>'RAB Pasang'!K174*60%</f>
        <v>16896</v>
      </c>
      <c r="L174" s="387">
        <f t="shared" si="14"/>
        <v>0</v>
      </c>
      <c r="M174" s="385">
        <f t="shared" si="15"/>
        <v>0</v>
      </c>
      <c r="N174" s="388">
        <f t="shared" si="16"/>
        <v>0</v>
      </c>
    </row>
    <row r="175" spans="1:14" ht="13.2" customHeight="1" x14ac:dyDescent="0.3">
      <c r="A175" s="386">
        <f t="shared" si="17"/>
        <v>48</v>
      </c>
      <c r="B175" s="370" t="s">
        <v>516</v>
      </c>
      <c r="C175" s="371"/>
      <c r="D175" s="371"/>
      <c r="E175" s="367" t="s">
        <v>203</v>
      </c>
      <c r="F175" s="527"/>
      <c r="G175" s="539"/>
      <c r="H175" s="527"/>
      <c r="I175" s="372">
        <f t="shared" si="13"/>
        <v>0</v>
      </c>
      <c r="J175" s="372"/>
      <c r="K175" s="372">
        <f>'RAB Pasang'!K175*60%</f>
        <v>16896</v>
      </c>
      <c r="L175" s="387">
        <f t="shared" si="14"/>
        <v>0</v>
      </c>
      <c r="M175" s="385">
        <f t="shared" si="15"/>
        <v>0</v>
      </c>
      <c r="N175" s="388">
        <f t="shared" si="16"/>
        <v>0</v>
      </c>
    </row>
    <row r="176" spans="1:14" ht="13.2" customHeight="1" x14ac:dyDescent="0.3">
      <c r="A176" s="386">
        <f t="shared" si="17"/>
        <v>49</v>
      </c>
      <c r="B176" s="370" t="s">
        <v>542</v>
      </c>
      <c r="C176" s="371"/>
      <c r="D176" s="371"/>
      <c r="E176" s="367" t="s">
        <v>203</v>
      </c>
      <c r="F176" s="527"/>
      <c r="G176" s="527"/>
      <c r="H176" s="527"/>
      <c r="I176" s="372">
        <f t="shared" si="13"/>
        <v>0</v>
      </c>
      <c r="J176" s="372"/>
      <c r="K176" s="372">
        <f>'RAB Pasang'!K176*60%</f>
        <v>9858</v>
      </c>
      <c r="L176" s="387">
        <f t="shared" si="14"/>
        <v>0</v>
      </c>
      <c r="M176" s="385">
        <f t="shared" si="15"/>
        <v>0</v>
      </c>
      <c r="N176" s="388">
        <f t="shared" si="16"/>
        <v>0</v>
      </c>
    </row>
    <row r="177" spans="1:14" ht="13.2" customHeight="1" x14ac:dyDescent="0.3">
      <c r="A177" s="386">
        <f t="shared" si="17"/>
        <v>50</v>
      </c>
      <c r="B177" s="370" t="s">
        <v>543</v>
      </c>
      <c r="C177" s="371"/>
      <c r="D177" s="371"/>
      <c r="E177" s="367" t="s">
        <v>203</v>
      </c>
      <c r="F177" s="527"/>
      <c r="G177" s="527"/>
      <c r="H177" s="527"/>
      <c r="I177" s="372">
        <f t="shared" si="13"/>
        <v>0</v>
      </c>
      <c r="J177" s="372"/>
      <c r="K177" s="372">
        <f>'RAB Pasang'!K177*60%</f>
        <v>9858</v>
      </c>
      <c r="L177" s="387">
        <f t="shared" si="14"/>
        <v>0</v>
      </c>
      <c r="M177" s="385">
        <f t="shared" si="15"/>
        <v>0</v>
      </c>
      <c r="N177" s="388">
        <f t="shared" si="16"/>
        <v>0</v>
      </c>
    </row>
    <row r="178" spans="1:14" ht="13.2" customHeight="1" x14ac:dyDescent="0.3">
      <c r="A178" s="386">
        <f t="shared" si="17"/>
        <v>51</v>
      </c>
      <c r="B178" s="370" t="s">
        <v>544</v>
      </c>
      <c r="C178" s="371"/>
      <c r="D178" s="371"/>
      <c r="E178" s="367" t="s">
        <v>203</v>
      </c>
      <c r="F178" s="527"/>
      <c r="G178" s="527"/>
      <c r="H178" s="527"/>
      <c r="I178" s="372">
        <f t="shared" si="13"/>
        <v>0</v>
      </c>
      <c r="J178" s="372"/>
      <c r="K178" s="372">
        <f>'RAB Pasang'!K178*60%</f>
        <v>9858</v>
      </c>
      <c r="L178" s="387">
        <f t="shared" si="14"/>
        <v>0</v>
      </c>
      <c r="M178" s="385">
        <f t="shared" si="15"/>
        <v>0</v>
      </c>
      <c r="N178" s="388">
        <f t="shared" si="16"/>
        <v>0</v>
      </c>
    </row>
    <row r="179" spans="1:14" ht="13.2" customHeight="1" x14ac:dyDescent="0.3">
      <c r="A179" s="386">
        <f t="shared" si="17"/>
        <v>52</v>
      </c>
      <c r="B179" s="370" t="s">
        <v>545</v>
      </c>
      <c r="C179" s="371"/>
      <c r="D179" s="371"/>
      <c r="E179" s="367" t="s">
        <v>203</v>
      </c>
      <c r="F179" s="527"/>
      <c r="G179" s="527"/>
      <c r="H179" s="527"/>
      <c r="I179" s="372">
        <f t="shared" si="13"/>
        <v>0</v>
      </c>
      <c r="J179" s="372"/>
      <c r="K179" s="372">
        <f>'RAB Pasang'!K179*60%</f>
        <v>9858</v>
      </c>
      <c r="L179" s="387">
        <f t="shared" si="14"/>
        <v>0</v>
      </c>
      <c r="M179" s="385">
        <f t="shared" si="15"/>
        <v>0</v>
      </c>
      <c r="N179" s="388">
        <f t="shared" si="16"/>
        <v>0</v>
      </c>
    </row>
    <row r="180" spans="1:14" ht="13.2" customHeight="1" x14ac:dyDescent="0.3">
      <c r="A180" s="386">
        <f t="shared" si="17"/>
        <v>53</v>
      </c>
      <c r="B180" s="370" t="s">
        <v>546</v>
      </c>
      <c r="C180" s="371"/>
      <c r="D180" s="371"/>
      <c r="E180" s="367" t="s">
        <v>203</v>
      </c>
      <c r="F180" s="527"/>
      <c r="G180" s="527"/>
      <c r="H180" s="527"/>
      <c r="I180" s="372">
        <f t="shared" si="13"/>
        <v>0</v>
      </c>
      <c r="J180" s="372"/>
      <c r="K180" s="372">
        <f>'RAB Pasang'!K180*60%</f>
        <v>9858</v>
      </c>
      <c r="L180" s="387">
        <f t="shared" si="14"/>
        <v>0</v>
      </c>
      <c r="M180" s="385">
        <f t="shared" si="15"/>
        <v>0</v>
      </c>
      <c r="N180" s="388">
        <f t="shared" si="16"/>
        <v>0</v>
      </c>
    </row>
    <row r="181" spans="1:14" ht="13.2" customHeight="1" x14ac:dyDescent="0.3">
      <c r="A181" s="386">
        <f t="shared" si="17"/>
        <v>54</v>
      </c>
      <c r="B181" s="370" t="s">
        <v>547</v>
      </c>
      <c r="C181" s="371"/>
      <c r="D181" s="371"/>
      <c r="E181" s="367" t="s">
        <v>203</v>
      </c>
      <c r="F181" s="527"/>
      <c r="G181" s="527"/>
      <c r="H181" s="527"/>
      <c r="I181" s="372">
        <f t="shared" si="13"/>
        <v>0</v>
      </c>
      <c r="J181" s="372"/>
      <c r="K181" s="372">
        <f>'RAB Pasang'!K181*60%</f>
        <v>9858</v>
      </c>
      <c r="L181" s="387">
        <f t="shared" si="14"/>
        <v>0</v>
      </c>
      <c r="M181" s="385">
        <f t="shared" si="15"/>
        <v>0</v>
      </c>
      <c r="N181" s="388">
        <f t="shared" si="16"/>
        <v>0</v>
      </c>
    </row>
    <row r="182" spans="1:14" ht="13.2" customHeight="1" x14ac:dyDescent="0.3">
      <c r="A182" s="386">
        <f t="shared" si="17"/>
        <v>55</v>
      </c>
      <c r="B182" s="370" t="s">
        <v>548</v>
      </c>
      <c r="C182" s="371"/>
      <c r="D182" s="371"/>
      <c r="E182" s="367" t="s">
        <v>203</v>
      </c>
      <c r="F182" s="527"/>
      <c r="G182" s="527"/>
      <c r="H182" s="527"/>
      <c r="I182" s="372">
        <f t="shared" si="13"/>
        <v>0</v>
      </c>
      <c r="J182" s="372"/>
      <c r="K182" s="372">
        <f>'RAB Pasang'!K182*60%</f>
        <v>9858</v>
      </c>
      <c r="L182" s="387">
        <f t="shared" si="14"/>
        <v>0</v>
      </c>
      <c r="M182" s="385">
        <f t="shared" si="15"/>
        <v>0</v>
      </c>
      <c r="N182" s="388">
        <f t="shared" si="16"/>
        <v>0</v>
      </c>
    </row>
    <row r="183" spans="1:14" ht="13.2" customHeight="1" x14ac:dyDescent="0.3">
      <c r="A183" s="386">
        <f t="shared" si="17"/>
        <v>56</v>
      </c>
      <c r="B183" s="370" t="s">
        <v>549</v>
      </c>
      <c r="C183" s="371"/>
      <c r="D183" s="371"/>
      <c r="E183" s="367" t="s">
        <v>203</v>
      </c>
      <c r="F183" s="527"/>
      <c r="G183" s="527"/>
      <c r="H183" s="527"/>
      <c r="I183" s="372">
        <f t="shared" si="13"/>
        <v>0</v>
      </c>
      <c r="J183" s="372"/>
      <c r="K183" s="372">
        <f>'RAB Pasang'!K183*60%</f>
        <v>9858</v>
      </c>
      <c r="L183" s="387">
        <f t="shared" si="14"/>
        <v>0</v>
      </c>
      <c r="M183" s="385">
        <f t="shared" si="15"/>
        <v>0</v>
      </c>
      <c r="N183" s="388">
        <f t="shared" si="16"/>
        <v>0</v>
      </c>
    </row>
    <row r="184" spans="1:14" ht="13.2" customHeight="1" x14ac:dyDescent="0.3">
      <c r="A184" s="386">
        <f t="shared" si="17"/>
        <v>57</v>
      </c>
      <c r="B184" s="370" t="s">
        <v>550</v>
      </c>
      <c r="C184" s="371"/>
      <c r="D184" s="371"/>
      <c r="E184" s="367" t="s">
        <v>203</v>
      </c>
      <c r="F184" s="527"/>
      <c r="G184" s="527"/>
      <c r="H184" s="527"/>
      <c r="I184" s="372">
        <f t="shared" si="13"/>
        <v>0</v>
      </c>
      <c r="J184" s="372"/>
      <c r="K184" s="372">
        <f>'RAB Pasang'!K184*60%</f>
        <v>9858</v>
      </c>
      <c r="L184" s="387">
        <f t="shared" si="14"/>
        <v>0</v>
      </c>
      <c r="M184" s="385">
        <f t="shared" si="15"/>
        <v>0</v>
      </c>
      <c r="N184" s="388">
        <f t="shared" si="16"/>
        <v>0</v>
      </c>
    </row>
    <row r="185" spans="1:14" ht="13.2" customHeight="1" x14ac:dyDescent="0.3">
      <c r="A185" s="386">
        <f t="shared" si="17"/>
        <v>58</v>
      </c>
      <c r="B185" s="370" t="s">
        <v>551</v>
      </c>
      <c r="C185" s="371"/>
      <c r="D185" s="371"/>
      <c r="E185" s="367" t="s">
        <v>203</v>
      </c>
      <c r="F185" s="527"/>
      <c r="G185" s="527"/>
      <c r="H185" s="527"/>
      <c r="I185" s="372">
        <f t="shared" si="13"/>
        <v>0</v>
      </c>
      <c r="J185" s="372"/>
      <c r="K185" s="372">
        <f>'RAB Pasang'!K185*60%</f>
        <v>9858</v>
      </c>
      <c r="L185" s="387">
        <f t="shared" si="14"/>
        <v>0</v>
      </c>
      <c r="M185" s="385">
        <f t="shared" si="15"/>
        <v>0</v>
      </c>
      <c r="N185" s="388">
        <f t="shared" si="16"/>
        <v>0</v>
      </c>
    </row>
    <row r="186" spans="1:14" ht="13.2" customHeight="1" x14ac:dyDescent="0.3">
      <c r="A186" s="386">
        <f t="shared" si="17"/>
        <v>59</v>
      </c>
      <c r="B186" s="370" t="s">
        <v>552</v>
      </c>
      <c r="C186" s="371"/>
      <c r="D186" s="371"/>
      <c r="E186" s="367" t="s">
        <v>203</v>
      </c>
      <c r="F186" s="527"/>
      <c r="G186" s="527"/>
      <c r="H186" s="527"/>
      <c r="I186" s="372">
        <f t="shared" si="13"/>
        <v>0</v>
      </c>
      <c r="J186" s="372"/>
      <c r="K186" s="372">
        <f>'RAB Pasang'!K186*60%</f>
        <v>9858</v>
      </c>
      <c r="L186" s="387">
        <f t="shared" si="14"/>
        <v>0</v>
      </c>
      <c r="M186" s="385">
        <f t="shared" si="15"/>
        <v>0</v>
      </c>
      <c r="N186" s="388">
        <f t="shared" si="16"/>
        <v>0</v>
      </c>
    </row>
    <row r="187" spans="1:14" ht="13.2" customHeight="1" x14ac:dyDescent="0.3">
      <c r="A187" s="386">
        <f t="shared" si="17"/>
        <v>60</v>
      </c>
      <c r="B187" s="370" t="s">
        <v>553</v>
      </c>
      <c r="C187" s="371"/>
      <c r="D187" s="371"/>
      <c r="E187" s="367" t="s">
        <v>203</v>
      </c>
      <c r="F187" s="527"/>
      <c r="G187" s="527"/>
      <c r="H187" s="527"/>
      <c r="I187" s="372">
        <f t="shared" si="13"/>
        <v>0</v>
      </c>
      <c r="J187" s="372"/>
      <c r="K187" s="372">
        <f>'RAB Pasang'!K187*60%</f>
        <v>9858</v>
      </c>
      <c r="L187" s="387">
        <f t="shared" si="14"/>
        <v>0</v>
      </c>
      <c r="M187" s="385">
        <f t="shared" si="15"/>
        <v>0</v>
      </c>
      <c r="N187" s="388">
        <f t="shared" si="16"/>
        <v>0</v>
      </c>
    </row>
    <row r="188" spans="1:14" ht="13.2" customHeight="1" x14ac:dyDescent="0.3">
      <c r="A188" s="386">
        <f t="shared" si="17"/>
        <v>61</v>
      </c>
      <c r="B188" s="370" t="s">
        <v>554</v>
      </c>
      <c r="C188" s="371"/>
      <c r="D188" s="371"/>
      <c r="E188" s="367" t="s">
        <v>203</v>
      </c>
      <c r="F188" s="527"/>
      <c r="G188" s="527"/>
      <c r="H188" s="527"/>
      <c r="I188" s="372">
        <f t="shared" si="13"/>
        <v>0</v>
      </c>
      <c r="J188" s="372"/>
      <c r="K188" s="372">
        <f>'RAB Pasang'!K188*60%</f>
        <v>9858</v>
      </c>
      <c r="L188" s="387">
        <f t="shared" si="14"/>
        <v>0</v>
      </c>
      <c r="M188" s="385">
        <f t="shared" si="15"/>
        <v>0</v>
      </c>
      <c r="N188" s="388">
        <f t="shared" si="16"/>
        <v>0</v>
      </c>
    </row>
    <row r="189" spans="1:14" ht="13.2" customHeight="1" x14ac:dyDescent="0.3">
      <c r="A189" s="386">
        <f t="shared" si="17"/>
        <v>62</v>
      </c>
      <c r="B189" s="370" t="s">
        <v>555</v>
      </c>
      <c r="C189" s="371"/>
      <c r="D189" s="371"/>
      <c r="E189" s="367" t="s">
        <v>203</v>
      </c>
      <c r="F189" s="527"/>
      <c r="G189" s="527"/>
      <c r="H189" s="527"/>
      <c r="I189" s="372">
        <f t="shared" si="13"/>
        <v>0</v>
      </c>
      <c r="J189" s="372"/>
      <c r="K189" s="372">
        <f>'RAB Pasang'!K189*60%</f>
        <v>9858</v>
      </c>
      <c r="L189" s="387">
        <f t="shared" si="14"/>
        <v>0</v>
      </c>
      <c r="M189" s="385">
        <f t="shared" si="15"/>
        <v>0</v>
      </c>
      <c r="N189" s="388">
        <f t="shared" si="16"/>
        <v>0</v>
      </c>
    </row>
    <row r="190" spans="1:14" ht="13.2" customHeight="1" x14ac:dyDescent="0.3">
      <c r="A190" s="386">
        <f t="shared" si="17"/>
        <v>63</v>
      </c>
      <c r="B190" s="370" t="s">
        <v>558</v>
      </c>
      <c r="C190" s="371"/>
      <c r="D190" s="371"/>
      <c r="E190" s="367" t="s">
        <v>203</v>
      </c>
      <c r="F190" s="527"/>
      <c r="G190" s="527"/>
      <c r="H190" s="527"/>
      <c r="I190" s="372">
        <f t="shared" si="13"/>
        <v>0</v>
      </c>
      <c r="J190" s="372"/>
      <c r="K190" s="372">
        <f>'RAB Pasang'!K190*60%</f>
        <v>9858</v>
      </c>
      <c r="L190" s="387">
        <f t="shared" si="14"/>
        <v>0</v>
      </c>
      <c r="M190" s="385">
        <f t="shared" si="15"/>
        <v>0</v>
      </c>
      <c r="N190" s="388">
        <f t="shared" si="16"/>
        <v>0</v>
      </c>
    </row>
    <row r="191" spans="1:14" ht="13.2" customHeight="1" x14ac:dyDescent="0.3">
      <c r="A191" s="386">
        <f t="shared" si="17"/>
        <v>64</v>
      </c>
      <c r="B191" s="370" t="s">
        <v>559</v>
      </c>
      <c r="C191" s="371"/>
      <c r="D191" s="371"/>
      <c r="E191" s="367" t="s">
        <v>203</v>
      </c>
      <c r="F191" s="527"/>
      <c r="G191" s="527"/>
      <c r="H191" s="527"/>
      <c r="I191" s="372">
        <f t="shared" si="13"/>
        <v>0</v>
      </c>
      <c r="J191" s="372"/>
      <c r="K191" s="372">
        <f>'RAB Pasang'!K191*60%</f>
        <v>9858</v>
      </c>
      <c r="L191" s="387">
        <f t="shared" si="14"/>
        <v>0</v>
      </c>
      <c r="M191" s="385">
        <f t="shared" si="15"/>
        <v>0</v>
      </c>
      <c r="N191" s="388">
        <f t="shared" si="16"/>
        <v>0</v>
      </c>
    </row>
    <row r="192" spans="1:14" ht="13.2" customHeight="1" x14ac:dyDescent="0.3">
      <c r="A192" s="386">
        <f t="shared" si="17"/>
        <v>65</v>
      </c>
      <c r="B192" s="370" t="s">
        <v>560</v>
      </c>
      <c r="C192" s="371"/>
      <c r="D192" s="371"/>
      <c r="E192" s="367" t="s">
        <v>203</v>
      </c>
      <c r="F192" s="527"/>
      <c r="G192" s="527"/>
      <c r="H192" s="527"/>
      <c r="I192" s="372">
        <f t="shared" ref="I192:I255" si="18">SUM(F192:H192)</f>
        <v>0</v>
      </c>
      <c r="J192" s="372"/>
      <c r="K192" s="372">
        <f>'RAB Pasang'!K192*60%</f>
        <v>9858</v>
      </c>
      <c r="L192" s="387">
        <f t="shared" ref="L192:L255" si="19">J192*I192</f>
        <v>0</v>
      </c>
      <c r="M192" s="385">
        <f t="shared" ref="M192:M255" si="20">K192*I192</f>
        <v>0</v>
      </c>
      <c r="N192" s="388">
        <f t="shared" ref="N192:N255" si="21">SUM(L192:M192)</f>
        <v>0</v>
      </c>
    </row>
    <row r="193" spans="1:14" ht="13.2" customHeight="1" x14ac:dyDescent="0.3">
      <c r="A193" s="386">
        <f t="shared" si="17"/>
        <v>66</v>
      </c>
      <c r="B193" s="370" t="s">
        <v>561</v>
      </c>
      <c r="C193" s="371"/>
      <c r="D193" s="371"/>
      <c r="E193" s="367" t="s">
        <v>203</v>
      </c>
      <c r="F193" s="527"/>
      <c r="G193" s="527"/>
      <c r="H193" s="527"/>
      <c r="I193" s="372">
        <f t="shared" si="18"/>
        <v>0</v>
      </c>
      <c r="J193" s="372"/>
      <c r="K193" s="372">
        <f>'RAB Pasang'!K193*60%</f>
        <v>9858</v>
      </c>
      <c r="L193" s="387">
        <f t="shared" si="19"/>
        <v>0</v>
      </c>
      <c r="M193" s="385">
        <f t="shared" si="20"/>
        <v>0</v>
      </c>
      <c r="N193" s="388">
        <f t="shared" si="21"/>
        <v>0</v>
      </c>
    </row>
    <row r="194" spans="1:14" ht="13.2" customHeight="1" x14ac:dyDescent="0.3">
      <c r="A194" s="386">
        <f t="shared" ref="A194:A257" si="22">A193+1</f>
        <v>67</v>
      </c>
      <c r="B194" s="370" t="s">
        <v>562</v>
      </c>
      <c r="C194" s="371"/>
      <c r="D194" s="371"/>
      <c r="E194" s="367" t="s">
        <v>203</v>
      </c>
      <c r="F194" s="527"/>
      <c r="G194" s="527"/>
      <c r="H194" s="527"/>
      <c r="I194" s="372">
        <f t="shared" si="18"/>
        <v>0</v>
      </c>
      <c r="J194" s="372"/>
      <c r="K194" s="372">
        <f>'RAB Pasang'!K194*60%</f>
        <v>9858</v>
      </c>
      <c r="L194" s="387">
        <f t="shared" si="19"/>
        <v>0</v>
      </c>
      <c r="M194" s="385">
        <f t="shared" si="20"/>
        <v>0</v>
      </c>
      <c r="N194" s="388">
        <f t="shared" si="21"/>
        <v>0</v>
      </c>
    </row>
    <row r="195" spans="1:14" ht="13.2" customHeight="1" x14ac:dyDescent="0.3">
      <c r="A195" s="386">
        <f t="shared" si="22"/>
        <v>68</v>
      </c>
      <c r="B195" s="370" t="s">
        <v>563</v>
      </c>
      <c r="C195" s="371"/>
      <c r="D195" s="371"/>
      <c r="E195" s="367" t="s">
        <v>203</v>
      </c>
      <c r="F195" s="527"/>
      <c r="G195" s="527"/>
      <c r="H195" s="527"/>
      <c r="I195" s="372">
        <f t="shared" si="18"/>
        <v>0</v>
      </c>
      <c r="J195" s="372"/>
      <c r="K195" s="372">
        <f>'RAB Pasang'!K195*60%</f>
        <v>9858</v>
      </c>
      <c r="L195" s="387">
        <f t="shared" si="19"/>
        <v>0</v>
      </c>
      <c r="M195" s="385">
        <f t="shared" si="20"/>
        <v>0</v>
      </c>
      <c r="N195" s="388">
        <f t="shared" si="21"/>
        <v>0</v>
      </c>
    </row>
    <row r="196" spans="1:14" ht="13.2" customHeight="1" x14ac:dyDescent="0.3">
      <c r="A196" s="386">
        <f t="shared" si="22"/>
        <v>69</v>
      </c>
      <c r="B196" s="370" t="s">
        <v>564</v>
      </c>
      <c r="C196" s="371"/>
      <c r="D196" s="371"/>
      <c r="E196" s="367" t="s">
        <v>203</v>
      </c>
      <c r="F196" s="527"/>
      <c r="G196" s="527"/>
      <c r="H196" s="527"/>
      <c r="I196" s="372">
        <f t="shared" si="18"/>
        <v>0</v>
      </c>
      <c r="J196" s="372"/>
      <c r="K196" s="372">
        <f>'RAB Pasang'!K196*60%</f>
        <v>9858</v>
      </c>
      <c r="L196" s="387">
        <f t="shared" si="19"/>
        <v>0</v>
      </c>
      <c r="M196" s="385">
        <f t="shared" si="20"/>
        <v>0</v>
      </c>
      <c r="N196" s="388">
        <f t="shared" si="21"/>
        <v>0</v>
      </c>
    </row>
    <row r="197" spans="1:14" ht="13.2" customHeight="1" x14ac:dyDescent="0.3">
      <c r="A197" s="386">
        <f t="shared" si="22"/>
        <v>70</v>
      </c>
      <c r="B197" s="370" t="s">
        <v>565</v>
      </c>
      <c r="C197" s="371"/>
      <c r="D197" s="371"/>
      <c r="E197" s="367" t="s">
        <v>203</v>
      </c>
      <c r="F197" s="527"/>
      <c r="G197" s="527"/>
      <c r="H197" s="527"/>
      <c r="I197" s="372">
        <f t="shared" si="18"/>
        <v>0</v>
      </c>
      <c r="J197" s="372"/>
      <c r="K197" s="372">
        <f>'RAB Pasang'!K197*60%</f>
        <v>9858</v>
      </c>
      <c r="L197" s="387">
        <f t="shared" si="19"/>
        <v>0</v>
      </c>
      <c r="M197" s="385">
        <f t="shared" si="20"/>
        <v>0</v>
      </c>
      <c r="N197" s="388">
        <f t="shared" si="21"/>
        <v>0</v>
      </c>
    </row>
    <row r="198" spans="1:14" ht="13.2" customHeight="1" x14ac:dyDescent="0.3">
      <c r="A198" s="386">
        <f t="shared" si="22"/>
        <v>71</v>
      </c>
      <c r="B198" s="370" t="s">
        <v>566</v>
      </c>
      <c r="C198" s="371"/>
      <c r="D198" s="371"/>
      <c r="E198" s="367" t="s">
        <v>203</v>
      </c>
      <c r="F198" s="527"/>
      <c r="G198" s="527"/>
      <c r="H198" s="527"/>
      <c r="I198" s="372">
        <f t="shared" si="18"/>
        <v>0</v>
      </c>
      <c r="J198" s="372"/>
      <c r="K198" s="372">
        <f>'RAB Pasang'!K198*60%</f>
        <v>9858</v>
      </c>
      <c r="L198" s="387">
        <f t="shared" si="19"/>
        <v>0</v>
      </c>
      <c r="M198" s="385">
        <f t="shared" si="20"/>
        <v>0</v>
      </c>
      <c r="N198" s="388">
        <f t="shared" si="21"/>
        <v>0</v>
      </c>
    </row>
    <row r="199" spans="1:14" ht="13.2" customHeight="1" x14ac:dyDescent="0.3">
      <c r="A199" s="386">
        <f t="shared" si="22"/>
        <v>72</v>
      </c>
      <c r="B199" s="370" t="s">
        <v>567</v>
      </c>
      <c r="C199" s="371"/>
      <c r="D199" s="371"/>
      <c r="E199" s="367" t="s">
        <v>203</v>
      </c>
      <c r="F199" s="527"/>
      <c r="G199" s="527"/>
      <c r="H199" s="527"/>
      <c r="I199" s="372">
        <f t="shared" si="18"/>
        <v>0</v>
      </c>
      <c r="J199" s="372"/>
      <c r="K199" s="372">
        <f>'RAB Pasang'!K199*60%</f>
        <v>9858</v>
      </c>
      <c r="L199" s="387">
        <f t="shared" si="19"/>
        <v>0</v>
      </c>
      <c r="M199" s="385">
        <f t="shared" si="20"/>
        <v>0</v>
      </c>
      <c r="N199" s="388">
        <f t="shared" si="21"/>
        <v>0</v>
      </c>
    </row>
    <row r="200" spans="1:14" ht="13.2" customHeight="1" x14ac:dyDescent="0.3">
      <c r="A200" s="386">
        <f t="shared" si="22"/>
        <v>73</v>
      </c>
      <c r="B200" s="370" t="s">
        <v>568</v>
      </c>
      <c r="C200" s="371"/>
      <c r="D200" s="371"/>
      <c r="E200" s="367" t="s">
        <v>203</v>
      </c>
      <c r="F200" s="527"/>
      <c r="G200" s="527"/>
      <c r="H200" s="527"/>
      <c r="I200" s="372">
        <f t="shared" si="18"/>
        <v>0</v>
      </c>
      <c r="J200" s="372"/>
      <c r="K200" s="372">
        <f>'RAB Pasang'!K200*60%</f>
        <v>9858</v>
      </c>
      <c r="L200" s="387">
        <f t="shared" si="19"/>
        <v>0</v>
      </c>
      <c r="M200" s="385">
        <f t="shared" si="20"/>
        <v>0</v>
      </c>
      <c r="N200" s="388">
        <f t="shared" si="21"/>
        <v>0</v>
      </c>
    </row>
    <row r="201" spans="1:14" ht="13.2" customHeight="1" x14ac:dyDescent="0.3">
      <c r="A201" s="386">
        <f t="shared" si="22"/>
        <v>74</v>
      </c>
      <c r="B201" s="370" t="s">
        <v>570</v>
      </c>
      <c r="C201" s="371"/>
      <c r="D201" s="371"/>
      <c r="E201" s="367" t="s">
        <v>203</v>
      </c>
      <c r="F201" s="527"/>
      <c r="G201" s="527"/>
      <c r="H201" s="527"/>
      <c r="I201" s="372">
        <f t="shared" si="18"/>
        <v>0</v>
      </c>
      <c r="J201" s="372"/>
      <c r="K201" s="372">
        <f>'RAB Pasang'!K201*60%</f>
        <v>9858</v>
      </c>
      <c r="L201" s="387">
        <f t="shared" si="19"/>
        <v>0</v>
      </c>
      <c r="M201" s="385">
        <f t="shared" si="20"/>
        <v>0</v>
      </c>
      <c r="N201" s="388">
        <f t="shared" si="21"/>
        <v>0</v>
      </c>
    </row>
    <row r="202" spans="1:14" ht="13.2" customHeight="1" x14ac:dyDescent="0.3">
      <c r="A202" s="386">
        <f t="shared" si="22"/>
        <v>75</v>
      </c>
      <c r="B202" s="370" t="s">
        <v>571</v>
      </c>
      <c r="C202" s="371"/>
      <c r="D202" s="371"/>
      <c r="E202" s="367" t="s">
        <v>203</v>
      </c>
      <c r="F202" s="527"/>
      <c r="G202" s="527"/>
      <c r="H202" s="527"/>
      <c r="I202" s="372">
        <f t="shared" si="18"/>
        <v>0</v>
      </c>
      <c r="J202" s="372"/>
      <c r="K202" s="372">
        <f>'RAB Pasang'!K202*60%</f>
        <v>9858</v>
      </c>
      <c r="L202" s="387">
        <f t="shared" si="19"/>
        <v>0</v>
      </c>
      <c r="M202" s="385">
        <f t="shared" si="20"/>
        <v>0</v>
      </c>
      <c r="N202" s="388">
        <f t="shared" si="21"/>
        <v>0</v>
      </c>
    </row>
    <row r="203" spans="1:14" ht="13.2" customHeight="1" x14ac:dyDescent="0.3">
      <c r="A203" s="386">
        <f t="shared" si="22"/>
        <v>76</v>
      </c>
      <c r="B203" s="370" t="s">
        <v>572</v>
      </c>
      <c r="C203" s="371"/>
      <c r="D203" s="371"/>
      <c r="E203" s="367" t="s">
        <v>203</v>
      </c>
      <c r="F203" s="527"/>
      <c r="G203" s="527"/>
      <c r="H203" s="527"/>
      <c r="I203" s="372">
        <f t="shared" si="18"/>
        <v>0</v>
      </c>
      <c r="J203" s="372"/>
      <c r="K203" s="372">
        <f>'RAB Pasang'!K203*60%</f>
        <v>9858</v>
      </c>
      <c r="L203" s="387">
        <f t="shared" si="19"/>
        <v>0</v>
      </c>
      <c r="M203" s="385">
        <f t="shared" si="20"/>
        <v>0</v>
      </c>
      <c r="N203" s="388">
        <f t="shared" si="21"/>
        <v>0</v>
      </c>
    </row>
    <row r="204" spans="1:14" ht="13.2" customHeight="1" x14ac:dyDescent="0.3">
      <c r="A204" s="386">
        <f t="shared" si="22"/>
        <v>77</v>
      </c>
      <c r="B204" s="370" t="s">
        <v>573</v>
      </c>
      <c r="C204" s="371"/>
      <c r="D204" s="371"/>
      <c r="E204" s="367" t="s">
        <v>203</v>
      </c>
      <c r="F204" s="527"/>
      <c r="G204" s="527"/>
      <c r="H204" s="527"/>
      <c r="I204" s="372">
        <f t="shared" si="18"/>
        <v>0</v>
      </c>
      <c r="J204" s="372"/>
      <c r="K204" s="372">
        <f>'RAB Pasang'!K204*60%</f>
        <v>9858</v>
      </c>
      <c r="L204" s="387">
        <f t="shared" si="19"/>
        <v>0</v>
      </c>
      <c r="M204" s="385">
        <f t="shared" si="20"/>
        <v>0</v>
      </c>
      <c r="N204" s="388">
        <f t="shared" si="21"/>
        <v>0</v>
      </c>
    </row>
    <row r="205" spans="1:14" ht="13.2" customHeight="1" x14ac:dyDescent="0.3">
      <c r="A205" s="386">
        <f t="shared" si="22"/>
        <v>78</v>
      </c>
      <c r="B205" s="370" t="s">
        <v>574</v>
      </c>
      <c r="C205" s="371"/>
      <c r="D205" s="371"/>
      <c r="E205" s="367" t="s">
        <v>203</v>
      </c>
      <c r="F205" s="527"/>
      <c r="G205" s="527"/>
      <c r="H205" s="527"/>
      <c r="I205" s="372">
        <f t="shared" si="18"/>
        <v>0</v>
      </c>
      <c r="J205" s="372"/>
      <c r="K205" s="372">
        <f>'RAB Pasang'!K205*60%</f>
        <v>9858</v>
      </c>
      <c r="L205" s="387">
        <f t="shared" si="19"/>
        <v>0</v>
      </c>
      <c r="M205" s="385">
        <f t="shared" si="20"/>
        <v>0</v>
      </c>
      <c r="N205" s="388">
        <f t="shared" si="21"/>
        <v>0</v>
      </c>
    </row>
    <row r="206" spans="1:14" ht="13.2" customHeight="1" x14ac:dyDescent="0.3">
      <c r="A206" s="386">
        <f t="shared" si="22"/>
        <v>79</v>
      </c>
      <c r="B206" s="370" t="s">
        <v>575</v>
      </c>
      <c r="C206" s="371"/>
      <c r="D206" s="371"/>
      <c r="E206" s="367" t="s">
        <v>203</v>
      </c>
      <c r="F206" s="527"/>
      <c r="G206" s="527"/>
      <c r="H206" s="527"/>
      <c r="I206" s="372">
        <f t="shared" si="18"/>
        <v>0</v>
      </c>
      <c r="J206" s="372"/>
      <c r="K206" s="372">
        <f>'RAB Pasang'!K206*60%</f>
        <v>9858</v>
      </c>
      <c r="L206" s="387">
        <f t="shared" si="19"/>
        <v>0</v>
      </c>
      <c r="M206" s="385">
        <f t="shared" si="20"/>
        <v>0</v>
      </c>
      <c r="N206" s="388">
        <f t="shared" si="21"/>
        <v>0</v>
      </c>
    </row>
    <row r="207" spans="1:14" ht="13.2" customHeight="1" x14ac:dyDescent="0.3">
      <c r="A207" s="386">
        <f t="shared" si="22"/>
        <v>80</v>
      </c>
      <c r="B207" s="370" t="s">
        <v>576</v>
      </c>
      <c r="C207" s="371"/>
      <c r="D207" s="371"/>
      <c r="E207" s="367" t="s">
        <v>203</v>
      </c>
      <c r="F207" s="527"/>
      <c r="G207" s="527"/>
      <c r="H207" s="527"/>
      <c r="I207" s="372">
        <f t="shared" si="18"/>
        <v>0</v>
      </c>
      <c r="J207" s="372"/>
      <c r="K207" s="372">
        <f>'RAB Pasang'!K207*60%</f>
        <v>9858</v>
      </c>
      <c r="L207" s="387">
        <f t="shared" si="19"/>
        <v>0</v>
      </c>
      <c r="M207" s="385">
        <f t="shared" si="20"/>
        <v>0</v>
      </c>
      <c r="N207" s="388">
        <f t="shared" si="21"/>
        <v>0</v>
      </c>
    </row>
    <row r="208" spans="1:14" ht="13.2" customHeight="1" x14ac:dyDescent="0.3">
      <c r="A208" s="386">
        <f t="shared" si="22"/>
        <v>81</v>
      </c>
      <c r="B208" s="370" t="s">
        <v>577</v>
      </c>
      <c r="C208" s="371"/>
      <c r="D208" s="371"/>
      <c r="E208" s="367" t="s">
        <v>203</v>
      </c>
      <c r="F208" s="527"/>
      <c r="G208" s="527"/>
      <c r="H208" s="527"/>
      <c r="I208" s="372">
        <f t="shared" si="18"/>
        <v>0</v>
      </c>
      <c r="J208" s="372"/>
      <c r="K208" s="372">
        <f>'RAB Pasang'!K208*60%</f>
        <v>9858</v>
      </c>
      <c r="L208" s="387">
        <f t="shared" si="19"/>
        <v>0</v>
      </c>
      <c r="M208" s="385">
        <f t="shared" si="20"/>
        <v>0</v>
      </c>
      <c r="N208" s="388">
        <f t="shared" si="21"/>
        <v>0</v>
      </c>
    </row>
    <row r="209" spans="1:14" ht="13.2" customHeight="1" x14ac:dyDescent="0.3">
      <c r="A209" s="386">
        <f t="shared" si="22"/>
        <v>82</v>
      </c>
      <c r="B209" s="370" t="s">
        <v>578</v>
      </c>
      <c r="C209" s="371"/>
      <c r="D209" s="371"/>
      <c r="E209" s="367" t="s">
        <v>203</v>
      </c>
      <c r="F209" s="527"/>
      <c r="G209" s="527"/>
      <c r="H209" s="527"/>
      <c r="I209" s="372">
        <f t="shared" si="18"/>
        <v>0</v>
      </c>
      <c r="J209" s="372"/>
      <c r="K209" s="372">
        <f>'RAB Pasang'!K209*60%</f>
        <v>9858</v>
      </c>
      <c r="L209" s="387">
        <f t="shared" si="19"/>
        <v>0</v>
      </c>
      <c r="M209" s="385">
        <f t="shared" si="20"/>
        <v>0</v>
      </c>
      <c r="N209" s="388">
        <f t="shared" si="21"/>
        <v>0</v>
      </c>
    </row>
    <row r="210" spans="1:14" ht="13.2" customHeight="1" x14ac:dyDescent="0.3">
      <c r="A210" s="386">
        <f t="shared" si="22"/>
        <v>83</v>
      </c>
      <c r="B210" s="370" t="s">
        <v>579</v>
      </c>
      <c r="C210" s="371"/>
      <c r="D210" s="371"/>
      <c r="E210" s="367" t="s">
        <v>203</v>
      </c>
      <c r="F210" s="527"/>
      <c r="G210" s="527"/>
      <c r="H210" s="527"/>
      <c r="I210" s="372">
        <f t="shared" si="18"/>
        <v>0</v>
      </c>
      <c r="J210" s="372"/>
      <c r="K210" s="372">
        <f>'RAB Pasang'!K210*60%</f>
        <v>9858</v>
      </c>
      <c r="L210" s="387">
        <f t="shared" si="19"/>
        <v>0</v>
      </c>
      <c r="M210" s="385">
        <f t="shared" si="20"/>
        <v>0</v>
      </c>
      <c r="N210" s="388">
        <f t="shared" si="21"/>
        <v>0</v>
      </c>
    </row>
    <row r="211" spans="1:14" ht="13.2" customHeight="1" x14ac:dyDescent="0.3">
      <c r="A211" s="386">
        <f t="shared" si="22"/>
        <v>84</v>
      </c>
      <c r="B211" s="370" t="s">
        <v>518</v>
      </c>
      <c r="C211" s="371"/>
      <c r="D211" s="371"/>
      <c r="E211" s="367" t="s">
        <v>203</v>
      </c>
      <c r="F211" s="527"/>
      <c r="G211" s="527"/>
      <c r="H211" s="527"/>
      <c r="I211" s="372">
        <f t="shared" si="18"/>
        <v>0</v>
      </c>
      <c r="J211" s="372"/>
      <c r="K211" s="372">
        <f>'RAB Pasang'!K211*60%</f>
        <v>18480</v>
      </c>
      <c r="L211" s="387">
        <f t="shared" si="19"/>
        <v>0</v>
      </c>
      <c r="M211" s="385">
        <f t="shared" si="20"/>
        <v>0</v>
      </c>
      <c r="N211" s="388">
        <f t="shared" si="21"/>
        <v>0</v>
      </c>
    </row>
    <row r="212" spans="1:14" ht="13.2" customHeight="1" x14ac:dyDescent="0.3">
      <c r="A212" s="386">
        <f t="shared" si="22"/>
        <v>85</v>
      </c>
      <c r="B212" s="370" t="s">
        <v>519</v>
      </c>
      <c r="C212" s="371"/>
      <c r="D212" s="371"/>
      <c r="E212" s="367" t="s">
        <v>203</v>
      </c>
      <c r="F212" s="527"/>
      <c r="G212" s="527"/>
      <c r="H212" s="527"/>
      <c r="I212" s="372">
        <f t="shared" si="18"/>
        <v>0</v>
      </c>
      <c r="J212" s="372"/>
      <c r="K212" s="372">
        <f>'RAB Pasang'!K212*60%</f>
        <v>18480</v>
      </c>
      <c r="L212" s="387">
        <f t="shared" si="19"/>
        <v>0</v>
      </c>
      <c r="M212" s="385">
        <f t="shared" si="20"/>
        <v>0</v>
      </c>
      <c r="N212" s="388">
        <f t="shared" si="21"/>
        <v>0</v>
      </c>
    </row>
    <row r="213" spans="1:14" ht="13.2" customHeight="1" x14ac:dyDescent="0.3">
      <c r="A213" s="386">
        <f t="shared" si="22"/>
        <v>86</v>
      </c>
      <c r="B213" s="370" t="s">
        <v>520</v>
      </c>
      <c r="C213" s="371"/>
      <c r="D213" s="371"/>
      <c r="E213" s="367" t="s">
        <v>203</v>
      </c>
      <c r="F213" s="527"/>
      <c r="G213" s="527"/>
      <c r="H213" s="527"/>
      <c r="I213" s="372">
        <f t="shared" si="18"/>
        <v>0</v>
      </c>
      <c r="J213" s="372"/>
      <c r="K213" s="372">
        <f>'RAB Pasang'!K213*60%</f>
        <v>18480</v>
      </c>
      <c r="L213" s="387">
        <f t="shared" si="19"/>
        <v>0</v>
      </c>
      <c r="M213" s="385">
        <f t="shared" si="20"/>
        <v>0</v>
      </c>
      <c r="N213" s="388">
        <f t="shared" si="21"/>
        <v>0</v>
      </c>
    </row>
    <row r="214" spans="1:14" ht="13.2" customHeight="1" x14ac:dyDescent="0.3">
      <c r="A214" s="386">
        <f t="shared" si="22"/>
        <v>87</v>
      </c>
      <c r="B214" s="370" t="s">
        <v>521</v>
      </c>
      <c r="C214" s="371"/>
      <c r="D214" s="371"/>
      <c r="E214" s="367" t="s">
        <v>203</v>
      </c>
      <c r="F214" s="527"/>
      <c r="G214" s="527"/>
      <c r="H214" s="527"/>
      <c r="I214" s="372">
        <f t="shared" si="18"/>
        <v>0</v>
      </c>
      <c r="J214" s="372"/>
      <c r="K214" s="372">
        <f>'RAB Pasang'!K214*60%</f>
        <v>18480</v>
      </c>
      <c r="L214" s="387">
        <f t="shared" si="19"/>
        <v>0</v>
      </c>
      <c r="M214" s="385">
        <f t="shared" si="20"/>
        <v>0</v>
      </c>
      <c r="N214" s="388">
        <f t="shared" si="21"/>
        <v>0</v>
      </c>
    </row>
    <row r="215" spans="1:14" ht="13.2" customHeight="1" x14ac:dyDescent="0.3">
      <c r="A215" s="386">
        <f t="shared" si="22"/>
        <v>88</v>
      </c>
      <c r="B215" s="370" t="s">
        <v>522</v>
      </c>
      <c r="C215" s="371"/>
      <c r="D215" s="371"/>
      <c r="E215" s="367" t="s">
        <v>203</v>
      </c>
      <c r="F215" s="527"/>
      <c r="G215" s="527"/>
      <c r="H215" s="527"/>
      <c r="I215" s="372">
        <f t="shared" si="18"/>
        <v>0</v>
      </c>
      <c r="J215" s="372"/>
      <c r="K215" s="372">
        <f>'RAB Pasang'!K215*60%</f>
        <v>18480</v>
      </c>
      <c r="L215" s="387">
        <f t="shared" si="19"/>
        <v>0</v>
      </c>
      <c r="M215" s="385">
        <f t="shared" si="20"/>
        <v>0</v>
      </c>
      <c r="N215" s="388">
        <f t="shared" si="21"/>
        <v>0</v>
      </c>
    </row>
    <row r="216" spans="1:14" ht="13.2" customHeight="1" x14ac:dyDescent="0.3">
      <c r="A216" s="386">
        <f t="shared" si="22"/>
        <v>89</v>
      </c>
      <c r="B216" s="370" t="s">
        <v>523</v>
      </c>
      <c r="C216" s="371"/>
      <c r="D216" s="371"/>
      <c r="E216" s="367" t="s">
        <v>203</v>
      </c>
      <c r="F216" s="527"/>
      <c r="G216" s="527"/>
      <c r="H216" s="527"/>
      <c r="I216" s="372">
        <f t="shared" si="18"/>
        <v>0</v>
      </c>
      <c r="J216" s="372"/>
      <c r="K216" s="372">
        <f>'RAB Pasang'!K216*60%</f>
        <v>18480</v>
      </c>
      <c r="L216" s="387">
        <f t="shared" si="19"/>
        <v>0</v>
      </c>
      <c r="M216" s="385">
        <f t="shared" si="20"/>
        <v>0</v>
      </c>
      <c r="N216" s="388">
        <f t="shared" si="21"/>
        <v>0</v>
      </c>
    </row>
    <row r="217" spans="1:14" ht="13.2" customHeight="1" x14ac:dyDescent="0.3">
      <c r="A217" s="386">
        <f t="shared" si="22"/>
        <v>90</v>
      </c>
      <c r="B217" s="370" t="s">
        <v>524</v>
      </c>
      <c r="C217" s="371"/>
      <c r="D217" s="371"/>
      <c r="E217" s="367" t="s">
        <v>203</v>
      </c>
      <c r="F217" s="527"/>
      <c r="G217" s="527"/>
      <c r="H217" s="527"/>
      <c r="I217" s="372">
        <f t="shared" si="18"/>
        <v>0</v>
      </c>
      <c r="J217" s="372"/>
      <c r="K217" s="372">
        <f>'RAB Pasang'!K217*60%</f>
        <v>18480</v>
      </c>
      <c r="L217" s="387">
        <f t="shared" si="19"/>
        <v>0</v>
      </c>
      <c r="M217" s="385">
        <f t="shared" si="20"/>
        <v>0</v>
      </c>
      <c r="N217" s="388">
        <f t="shared" si="21"/>
        <v>0</v>
      </c>
    </row>
    <row r="218" spans="1:14" ht="13.2" customHeight="1" x14ac:dyDescent="0.3">
      <c r="A218" s="386">
        <f t="shared" si="22"/>
        <v>91</v>
      </c>
      <c r="B218" s="370" t="s">
        <v>525</v>
      </c>
      <c r="C218" s="371"/>
      <c r="D218" s="371"/>
      <c r="E218" s="367" t="s">
        <v>203</v>
      </c>
      <c r="F218" s="527"/>
      <c r="G218" s="527"/>
      <c r="H218" s="527"/>
      <c r="I218" s="372">
        <f t="shared" si="18"/>
        <v>0</v>
      </c>
      <c r="J218" s="372"/>
      <c r="K218" s="372">
        <f>'RAB Pasang'!K218*60%</f>
        <v>18480</v>
      </c>
      <c r="L218" s="387">
        <f t="shared" si="19"/>
        <v>0</v>
      </c>
      <c r="M218" s="385">
        <f t="shared" si="20"/>
        <v>0</v>
      </c>
      <c r="N218" s="388">
        <f t="shared" si="21"/>
        <v>0</v>
      </c>
    </row>
    <row r="219" spans="1:14" ht="13.2" customHeight="1" x14ac:dyDescent="0.3">
      <c r="A219" s="386">
        <f t="shared" si="22"/>
        <v>92</v>
      </c>
      <c r="B219" s="370" t="s">
        <v>526</v>
      </c>
      <c r="C219" s="371"/>
      <c r="D219" s="371"/>
      <c r="E219" s="367" t="s">
        <v>203</v>
      </c>
      <c r="F219" s="527"/>
      <c r="G219" s="527"/>
      <c r="H219" s="527"/>
      <c r="I219" s="372">
        <f t="shared" si="18"/>
        <v>0</v>
      </c>
      <c r="J219" s="372"/>
      <c r="K219" s="372">
        <f>'RAB Pasang'!K219*60%</f>
        <v>18480</v>
      </c>
      <c r="L219" s="387">
        <f t="shared" si="19"/>
        <v>0</v>
      </c>
      <c r="M219" s="385">
        <f t="shared" si="20"/>
        <v>0</v>
      </c>
      <c r="N219" s="388">
        <f t="shared" si="21"/>
        <v>0</v>
      </c>
    </row>
    <row r="220" spans="1:14" ht="13.2" customHeight="1" x14ac:dyDescent="0.3">
      <c r="A220" s="386">
        <f t="shared" si="22"/>
        <v>93</v>
      </c>
      <c r="B220" s="370" t="s">
        <v>527</v>
      </c>
      <c r="C220" s="371"/>
      <c r="D220" s="371"/>
      <c r="E220" s="367" t="s">
        <v>203</v>
      </c>
      <c r="F220" s="527"/>
      <c r="G220" s="527"/>
      <c r="H220" s="527"/>
      <c r="I220" s="372">
        <f t="shared" si="18"/>
        <v>0</v>
      </c>
      <c r="J220" s="372"/>
      <c r="K220" s="372">
        <f>'RAB Pasang'!K220*60%</f>
        <v>18480</v>
      </c>
      <c r="L220" s="387">
        <f t="shared" si="19"/>
        <v>0</v>
      </c>
      <c r="M220" s="385">
        <f t="shared" si="20"/>
        <v>0</v>
      </c>
      <c r="N220" s="388">
        <f t="shared" si="21"/>
        <v>0</v>
      </c>
    </row>
    <row r="221" spans="1:14" ht="13.2" customHeight="1" x14ac:dyDescent="0.3">
      <c r="A221" s="386">
        <f t="shared" si="22"/>
        <v>94</v>
      </c>
      <c r="B221" s="370" t="s">
        <v>528</v>
      </c>
      <c r="C221" s="371"/>
      <c r="D221" s="371"/>
      <c r="E221" s="367" t="s">
        <v>203</v>
      </c>
      <c r="F221" s="527"/>
      <c r="G221" s="527"/>
      <c r="H221" s="527"/>
      <c r="I221" s="372">
        <f t="shared" si="18"/>
        <v>0</v>
      </c>
      <c r="J221" s="372"/>
      <c r="K221" s="372">
        <f>'RAB Pasang'!K221*60%</f>
        <v>18480</v>
      </c>
      <c r="L221" s="387">
        <f t="shared" si="19"/>
        <v>0</v>
      </c>
      <c r="M221" s="385">
        <f t="shared" si="20"/>
        <v>0</v>
      </c>
      <c r="N221" s="388">
        <f t="shared" si="21"/>
        <v>0</v>
      </c>
    </row>
    <row r="222" spans="1:14" ht="13.2" customHeight="1" x14ac:dyDescent="0.3">
      <c r="A222" s="386">
        <f t="shared" si="22"/>
        <v>95</v>
      </c>
      <c r="B222" s="370" t="s">
        <v>529</v>
      </c>
      <c r="C222" s="371"/>
      <c r="D222" s="371"/>
      <c r="E222" s="367" t="s">
        <v>203</v>
      </c>
      <c r="F222" s="527"/>
      <c r="G222" s="527"/>
      <c r="H222" s="527"/>
      <c r="I222" s="372">
        <f t="shared" si="18"/>
        <v>0</v>
      </c>
      <c r="J222" s="372"/>
      <c r="K222" s="372">
        <f>'RAB Pasang'!K222*60%</f>
        <v>18480</v>
      </c>
      <c r="L222" s="387">
        <f t="shared" si="19"/>
        <v>0</v>
      </c>
      <c r="M222" s="385">
        <f t="shared" si="20"/>
        <v>0</v>
      </c>
      <c r="N222" s="388">
        <f t="shared" si="21"/>
        <v>0</v>
      </c>
    </row>
    <row r="223" spans="1:14" ht="13.2" customHeight="1" x14ac:dyDescent="0.3">
      <c r="A223" s="386">
        <f t="shared" si="22"/>
        <v>96</v>
      </c>
      <c r="B223" s="370" t="s">
        <v>530</v>
      </c>
      <c r="C223" s="371"/>
      <c r="D223" s="371"/>
      <c r="E223" s="367" t="s">
        <v>203</v>
      </c>
      <c r="F223" s="527"/>
      <c r="G223" s="527"/>
      <c r="H223" s="527"/>
      <c r="I223" s="372">
        <f t="shared" si="18"/>
        <v>0</v>
      </c>
      <c r="J223" s="372"/>
      <c r="K223" s="372">
        <f>'RAB Pasang'!K223*60%</f>
        <v>18480</v>
      </c>
      <c r="L223" s="387">
        <f t="shared" si="19"/>
        <v>0</v>
      </c>
      <c r="M223" s="385">
        <f t="shared" si="20"/>
        <v>0</v>
      </c>
      <c r="N223" s="388">
        <f t="shared" si="21"/>
        <v>0</v>
      </c>
    </row>
    <row r="224" spans="1:14" ht="13.2" customHeight="1" x14ac:dyDescent="0.3">
      <c r="A224" s="386">
        <f t="shared" si="22"/>
        <v>97</v>
      </c>
      <c r="B224" s="370" t="s">
        <v>531</v>
      </c>
      <c r="C224" s="371"/>
      <c r="D224" s="371"/>
      <c r="E224" s="367" t="s">
        <v>203</v>
      </c>
      <c r="F224" s="527"/>
      <c r="G224" s="527"/>
      <c r="H224" s="527"/>
      <c r="I224" s="372">
        <f t="shared" si="18"/>
        <v>0</v>
      </c>
      <c r="J224" s="372"/>
      <c r="K224" s="372">
        <f>'RAB Pasang'!K224*60%</f>
        <v>18480</v>
      </c>
      <c r="L224" s="387">
        <f t="shared" si="19"/>
        <v>0</v>
      </c>
      <c r="M224" s="385">
        <f t="shared" si="20"/>
        <v>0</v>
      </c>
      <c r="N224" s="388">
        <f t="shared" si="21"/>
        <v>0</v>
      </c>
    </row>
    <row r="225" spans="1:14" ht="13.2" customHeight="1" x14ac:dyDescent="0.3">
      <c r="A225" s="386">
        <f t="shared" si="22"/>
        <v>98</v>
      </c>
      <c r="B225" s="370" t="s">
        <v>532</v>
      </c>
      <c r="C225" s="371"/>
      <c r="D225" s="371"/>
      <c r="E225" s="367" t="s">
        <v>203</v>
      </c>
      <c r="F225" s="527"/>
      <c r="G225" s="527"/>
      <c r="H225" s="527"/>
      <c r="I225" s="372">
        <f t="shared" si="18"/>
        <v>0</v>
      </c>
      <c r="J225" s="372"/>
      <c r="K225" s="372">
        <f>'RAB Pasang'!K225*60%</f>
        <v>18480</v>
      </c>
      <c r="L225" s="387">
        <f t="shared" si="19"/>
        <v>0</v>
      </c>
      <c r="M225" s="385">
        <f t="shared" si="20"/>
        <v>0</v>
      </c>
      <c r="N225" s="388">
        <f t="shared" si="21"/>
        <v>0</v>
      </c>
    </row>
    <row r="226" spans="1:14" ht="13.2" customHeight="1" x14ac:dyDescent="0.3">
      <c r="A226" s="386">
        <f t="shared" si="22"/>
        <v>99</v>
      </c>
      <c r="B226" s="370" t="s">
        <v>533</v>
      </c>
      <c r="C226" s="371"/>
      <c r="D226" s="371"/>
      <c r="E226" s="367" t="s">
        <v>203</v>
      </c>
      <c r="F226" s="527"/>
      <c r="G226" s="527"/>
      <c r="H226" s="527"/>
      <c r="I226" s="372">
        <f t="shared" si="18"/>
        <v>0</v>
      </c>
      <c r="J226" s="372"/>
      <c r="K226" s="372">
        <f>'RAB Pasang'!K226*60%</f>
        <v>18480</v>
      </c>
      <c r="L226" s="387">
        <f t="shared" si="19"/>
        <v>0</v>
      </c>
      <c r="M226" s="385">
        <f t="shared" si="20"/>
        <v>0</v>
      </c>
      <c r="N226" s="388">
        <f t="shared" si="21"/>
        <v>0</v>
      </c>
    </row>
    <row r="227" spans="1:14" ht="13.2" customHeight="1" x14ac:dyDescent="0.3">
      <c r="A227" s="386">
        <f t="shared" si="22"/>
        <v>100</v>
      </c>
      <c r="B227" s="370" t="s">
        <v>534</v>
      </c>
      <c r="C227" s="371"/>
      <c r="D227" s="371"/>
      <c r="E227" s="367" t="s">
        <v>203</v>
      </c>
      <c r="F227" s="527"/>
      <c r="G227" s="527"/>
      <c r="H227" s="527"/>
      <c r="I227" s="372">
        <f t="shared" si="18"/>
        <v>0</v>
      </c>
      <c r="J227" s="372"/>
      <c r="K227" s="372">
        <f>'RAB Pasang'!K227*60%</f>
        <v>18480</v>
      </c>
      <c r="L227" s="387">
        <f t="shared" si="19"/>
        <v>0</v>
      </c>
      <c r="M227" s="385">
        <f t="shared" si="20"/>
        <v>0</v>
      </c>
      <c r="N227" s="388">
        <f t="shared" si="21"/>
        <v>0</v>
      </c>
    </row>
    <row r="228" spans="1:14" ht="13.2" customHeight="1" x14ac:dyDescent="0.3">
      <c r="A228" s="386">
        <f t="shared" si="22"/>
        <v>101</v>
      </c>
      <c r="B228" s="370" t="s">
        <v>535</v>
      </c>
      <c r="C228" s="371"/>
      <c r="D228" s="371"/>
      <c r="E228" s="367" t="s">
        <v>203</v>
      </c>
      <c r="F228" s="527"/>
      <c r="G228" s="527"/>
      <c r="H228" s="527"/>
      <c r="I228" s="372">
        <f t="shared" si="18"/>
        <v>0</v>
      </c>
      <c r="J228" s="372"/>
      <c r="K228" s="372">
        <f>'RAB Pasang'!K228*60%</f>
        <v>18480</v>
      </c>
      <c r="L228" s="387">
        <f t="shared" si="19"/>
        <v>0</v>
      </c>
      <c r="M228" s="385">
        <f t="shared" si="20"/>
        <v>0</v>
      </c>
      <c r="N228" s="388">
        <f t="shared" si="21"/>
        <v>0</v>
      </c>
    </row>
    <row r="229" spans="1:14" ht="13.2" customHeight="1" x14ac:dyDescent="0.3">
      <c r="A229" s="386">
        <f t="shared" si="22"/>
        <v>102</v>
      </c>
      <c r="B229" s="370" t="s">
        <v>536</v>
      </c>
      <c r="C229" s="371"/>
      <c r="D229" s="371"/>
      <c r="E229" s="367" t="s">
        <v>203</v>
      </c>
      <c r="F229" s="527"/>
      <c r="G229" s="527"/>
      <c r="H229" s="527"/>
      <c r="I229" s="372">
        <f t="shared" si="18"/>
        <v>0</v>
      </c>
      <c r="J229" s="372"/>
      <c r="K229" s="372">
        <f>'RAB Pasang'!K229*60%</f>
        <v>18480</v>
      </c>
      <c r="L229" s="387">
        <f t="shared" si="19"/>
        <v>0</v>
      </c>
      <c r="M229" s="385">
        <f t="shared" si="20"/>
        <v>0</v>
      </c>
      <c r="N229" s="388">
        <f t="shared" si="21"/>
        <v>0</v>
      </c>
    </row>
    <row r="230" spans="1:14" ht="13.2" customHeight="1" x14ac:dyDescent="0.3">
      <c r="A230" s="386">
        <f t="shared" si="22"/>
        <v>103</v>
      </c>
      <c r="B230" s="370" t="s">
        <v>537</v>
      </c>
      <c r="C230" s="371"/>
      <c r="D230" s="371"/>
      <c r="E230" s="367" t="s">
        <v>203</v>
      </c>
      <c r="F230" s="527"/>
      <c r="G230" s="527"/>
      <c r="H230" s="527"/>
      <c r="I230" s="372">
        <f t="shared" si="18"/>
        <v>0</v>
      </c>
      <c r="J230" s="372"/>
      <c r="K230" s="372">
        <f>'RAB Pasang'!K230*60%</f>
        <v>18480</v>
      </c>
      <c r="L230" s="387">
        <f t="shared" si="19"/>
        <v>0</v>
      </c>
      <c r="M230" s="385">
        <f t="shared" si="20"/>
        <v>0</v>
      </c>
      <c r="N230" s="388">
        <f t="shared" si="21"/>
        <v>0</v>
      </c>
    </row>
    <row r="231" spans="1:14" ht="13.2" customHeight="1" x14ac:dyDescent="0.3">
      <c r="A231" s="386">
        <f t="shared" si="22"/>
        <v>104</v>
      </c>
      <c r="B231" s="370" t="s">
        <v>538</v>
      </c>
      <c r="C231" s="371"/>
      <c r="D231" s="371"/>
      <c r="E231" s="367" t="s">
        <v>203</v>
      </c>
      <c r="F231" s="527"/>
      <c r="G231" s="527"/>
      <c r="H231" s="527"/>
      <c r="I231" s="372">
        <f t="shared" si="18"/>
        <v>0</v>
      </c>
      <c r="J231" s="372"/>
      <c r="K231" s="372">
        <f>'RAB Pasang'!K231*60%</f>
        <v>18480</v>
      </c>
      <c r="L231" s="387">
        <f t="shared" si="19"/>
        <v>0</v>
      </c>
      <c r="M231" s="385">
        <f t="shared" si="20"/>
        <v>0</v>
      </c>
      <c r="N231" s="388">
        <f t="shared" si="21"/>
        <v>0</v>
      </c>
    </row>
    <row r="232" spans="1:14" ht="13.2" customHeight="1" x14ac:dyDescent="0.3">
      <c r="A232" s="386">
        <f t="shared" si="22"/>
        <v>105</v>
      </c>
      <c r="B232" s="370" t="s">
        <v>539</v>
      </c>
      <c r="C232" s="371"/>
      <c r="D232" s="371"/>
      <c r="E232" s="367" t="s">
        <v>203</v>
      </c>
      <c r="F232" s="527"/>
      <c r="G232" s="527"/>
      <c r="H232" s="527"/>
      <c r="I232" s="372">
        <f t="shared" si="18"/>
        <v>0</v>
      </c>
      <c r="J232" s="372"/>
      <c r="K232" s="372">
        <f>'RAB Pasang'!K232*60%</f>
        <v>18480</v>
      </c>
      <c r="L232" s="387">
        <f t="shared" si="19"/>
        <v>0</v>
      </c>
      <c r="M232" s="385">
        <f t="shared" si="20"/>
        <v>0</v>
      </c>
      <c r="N232" s="388">
        <f t="shared" si="21"/>
        <v>0</v>
      </c>
    </row>
    <row r="233" spans="1:14" ht="13.2" customHeight="1" x14ac:dyDescent="0.3">
      <c r="A233" s="386">
        <f t="shared" si="22"/>
        <v>106</v>
      </c>
      <c r="B233" s="370" t="s">
        <v>445</v>
      </c>
      <c r="C233" s="371"/>
      <c r="D233" s="371"/>
      <c r="E233" s="367" t="s">
        <v>203</v>
      </c>
      <c r="F233" s="527"/>
      <c r="G233" s="527"/>
      <c r="H233" s="527"/>
      <c r="I233" s="372">
        <f t="shared" si="18"/>
        <v>0</v>
      </c>
      <c r="J233" s="372"/>
      <c r="K233" s="372">
        <f>'RAB Pasang'!K233*60%</f>
        <v>9858</v>
      </c>
      <c r="L233" s="387">
        <f t="shared" si="19"/>
        <v>0</v>
      </c>
      <c r="M233" s="385">
        <f t="shared" si="20"/>
        <v>0</v>
      </c>
      <c r="N233" s="388">
        <f t="shared" si="21"/>
        <v>0</v>
      </c>
    </row>
    <row r="234" spans="1:14" ht="13.2" customHeight="1" x14ac:dyDescent="0.3">
      <c r="A234" s="386">
        <f t="shared" si="22"/>
        <v>107</v>
      </c>
      <c r="B234" s="370" t="s">
        <v>446</v>
      </c>
      <c r="C234" s="371"/>
      <c r="D234" s="371"/>
      <c r="E234" s="367" t="s">
        <v>203</v>
      </c>
      <c r="F234" s="527"/>
      <c r="G234" s="527"/>
      <c r="H234" s="527"/>
      <c r="I234" s="372">
        <f t="shared" si="18"/>
        <v>0</v>
      </c>
      <c r="J234" s="372"/>
      <c r="K234" s="372">
        <f>'RAB Pasang'!K234*60%</f>
        <v>9858</v>
      </c>
      <c r="L234" s="387">
        <f t="shared" si="19"/>
        <v>0</v>
      </c>
      <c r="M234" s="385">
        <f t="shared" si="20"/>
        <v>0</v>
      </c>
      <c r="N234" s="388">
        <f t="shared" si="21"/>
        <v>0</v>
      </c>
    </row>
    <row r="235" spans="1:14" ht="13.2" customHeight="1" x14ac:dyDescent="0.3">
      <c r="A235" s="386">
        <f t="shared" si="22"/>
        <v>108</v>
      </c>
      <c r="B235" s="370" t="s">
        <v>447</v>
      </c>
      <c r="C235" s="371"/>
      <c r="D235" s="371"/>
      <c r="E235" s="367" t="s">
        <v>203</v>
      </c>
      <c r="F235" s="527"/>
      <c r="G235" s="527"/>
      <c r="H235" s="527"/>
      <c r="I235" s="372">
        <f t="shared" si="18"/>
        <v>0</v>
      </c>
      <c r="J235" s="372"/>
      <c r="K235" s="372">
        <f>'RAB Pasang'!K235*60%</f>
        <v>9858</v>
      </c>
      <c r="L235" s="387">
        <f t="shared" si="19"/>
        <v>0</v>
      </c>
      <c r="M235" s="385">
        <f t="shared" si="20"/>
        <v>0</v>
      </c>
      <c r="N235" s="388">
        <f t="shared" si="21"/>
        <v>0</v>
      </c>
    </row>
    <row r="236" spans="1:14" ht="13.2" customHeight="1" x14ac:dyDescent="0.3">
      <c r="A236" s="386">
        <f t="shared" si="22"/>
        <v>109</v>
      </c>
      <c r="B236" s="370" t="s">
        <v>448</v>
      </c>
      <c r="C236" s="371"/>
      <c r="D236" s="371"/>
      <c r="E236" s="367" t="s">
        <v>203</v>
      </c>
      <c r="F236" s="527"/>
      <c r="G236" s="527"/>
      <c r="H236" s="527"/>
      <c r="I236" s="372">
        <f t="shared" si="18"/>
        <v>0</v>
      </c>
      <c r="J236" s="372"/>
      <c r="K236" s="372">
        <f>'RAB Pasang'!K236*60%</f>
        <v>9858</v>
      </c>
      <c r="L236" s="387">
        <f t="shared" si="19"/>
        <v>0</v>
      </c>
      <c r="M236" s="385">
        <f t="shared" si="20"/>
        <v>0</v>
      </c>
      <c r="N236" s="388">
        <f t="shared" si="21"/>
        <v>0</v>
      </c>
    </row>
    <row r="237" spans="1:14" ht="13.2" customHeight="1" x14ac:dyDescent="0.3">
      <c r="A237" s="386">
        <f t="shared" si="22"/>
        <v>110</v>
      </c>
      <c r="B237" s="370" t="s">
        <v>449</v>
      </c>
      <c r="C237" s="371"/>
      <c r="D237" s="371"/>
      <c r="E237" s="367" t="s">
        <v>203</v>
      </c>
      <c r="F237" s="527"/>
      <c r="G237" s="527"/>
      <c r="H237" s="527"/>
      <c r="I237" s="372">
        <f t="shared" si="18"/>
        <v>0</v>
      </c>
      <c r="J237" s="372"/>
      <c r="K237" s="372">
        <f>'RAB Pasang'!K237*60%</f>
        <v>9858</v>
      </c>
      <c r="L237" s="387">
        <f t="shared" si="19"/>
        <v>0</v>
      </c>
      <c r="M237" s="385">
        <f t="shared" si="20"/>
        <v>0</v>
      </c>
      <c r="N237" s="388">
        <f t="shared" si="21"/>
        <v>0</v>
      </c>
    </row>
    <row r="238" spans="1:14" ht="13.2" customHeight="1" x14ac:dyDescent="0.3">
      <c r="A238" s="386">
        <f t="shared" si="22"/>
        <v>111</v>
      </c>
      <c r="B238" s="370" t="s">
        <v>450</v>
      </c>
      <c r="C238" s="371"/>
      <c r="D238" s="371"/>
      <c r="E238" s="367" t="s">
        <v>203</v>
      </c>
      <c r="F238" s="527"/>
      <c r="G238" s="527"/>
      <c r="H238" s="527"/>
      <c r="I238" s="372">
        <f t="shared" si="18"/>
        <v>0</v>
      </c>
      <c r="J238" s="372"/>
      <c r="K238" s="372">
        <f>'RAB Pasang'!K238*60%</f>
        <v>9858</v>
      </c>
      <c r="L238" s="387">
        <f t="shared" si="19"/>
        <v>0</v>
      </c>
      <c r="M238" s="385">
        <f t="shared" si="20"/>
        <v>0</v>
      </c>
      <c r="N238" s="388">
        <f t="shared" si="21"/>
        <v>0</v>
      </c>
    </row>
    <row r="239" spans="1:14" ht="13.2" customHeight="1" x14ac:dyDescent="0.3">
      <c r="A239" s="386">
        <f t="shared" si="22"/>
        <v>112</v>
      </c>
      <c r="B239" s="370" t="s">
        <v>451</v>
      </c>
      <c r="C239" s="371"/>
      <c r="D239" s="371"/>
      <c r="E239" s="367" t="s">
        <v>203</v>
      </c>
      <c r="F239" s="527"/>
      <c r="G239" s="527"/>
      <c r="H239" s="527"/>
      <c r="I239" s="372">
        <f t="shared" si="18"/>
        <v>0</v>
      </c>
      <c r="J239" s="372"/>
      <c r="K239" s="372">
        <f>'RAB Pasang'!K239*60%</f>
        <v>9858</v>
      </c>
      <c r="L239" s="387">
        <f t="shared" si="19"/>
        <v>0</v>
      </c>
      <c r="M239" s="385">
        <f t="shared" si="20"/>
        <v>0</v>
      </c>
      <c r="N239" s="388">
        <f t="shared" si="21"/>
        <v>0</v>
      </c>
    </row>
    <row r="240" spans="1:14" ht="13.2" customHeight="1" x14ac:dyDescent="0.3">
      <c r="A240" s="386">
        <f t="shared" si="22"/>
        <v>113</v>
      </c>
      <c r="B240" s="370" t="s">
        <v>452</v>
      </c>
      <c r="C240" s="371"/>
      <c r="D240" s="371"/>
      <c r="E240" s="367" t="s">
        <v>203</v>
      </c>
      <c r="F240" s="527"/>
      <c r="G240" s="527"/>
      <c r="H240" s="527"/>
      <c r="I240" s="372">
        <f t="shared" si="18"/>
        <v>0</v>
      </c>
      <c r="J240" s="372"/>
      <c r="K240" s="372">
        <f>'RAB Pasang'!K240*60%</f>
        <v>9858</v>
      </c>
      <c r="L240" s="387">
        <f t="shared" si="19"/>
        <v>0</v>
      </c>
      <c r="M240" s="385">
        <f t="shared" si="20"/>
        <v>0</v>
      </c>
      <c r="N240" s="388">
        <f t="shared" si="21"/>
        <v>0</v>
      </c>
    </row>
    <row r="241" spans="1:14" ht="13.2" customHeight="1" x14ac:dyDescent="0.3">
      <c r="A241" s="386">
        <f t="shared" si="22"/>
        <v>114</v>
      </c>
      <c r="B241" s="370" t="s">
        <v>453</v>
      </c>
      <c r="C241" s="371"/>
      <c r="D241" s="371"/>
      <c r="E241" s="367" t="s">
        <v>203</v>
      </c>
      <c r="F241" s="527"/>
      <c r="G241" s="527"/>
      <c r="H241" s="527"/>
      <c r="I241" s="372">
        <f t="shared" si="18"/>
        <v>0</v>
      </c>
      <c r="J241" s="372"/>
      <c r="K241" s="372">
        <f>'RAB Pasang'!K241*60%</f>
        <v>9858</v>
      </c>
      <c r="L241" s="387">
        <f t="shared" si="19"/>
        <v>0</v>
      </c>
      <c r="M241" s="385">
        <f t="shared" si="20"/>
        <v>0</v>
      </c>
      <c r="N241" s="388">
        <f t="shared" si="21"/>
        <v>0</v>
      </c>
    </row>
    <row r="242" spans="1:14" ht="13.2" customHeight="1" x14ac:dyDescent="0.3">
      <c r="A242" s="386">
        <f t="shared" si="22"/>
        <v>115</v>
      </c>
      <c r="B242" s="370" t="s">
        <v>454</v>
      </c>
      <c r="C242" s="371"/>
      <c r="D242" s="371"/>
      <c r="E242" s="367" t="s">
        <v>203</v>
      </c>
      <c r="F242" s="527"/>
      <c r="G242" s="527"/>
      <c r="H242" s="527"/>
      <c r="I242" s="372">
        <f t="shared" si="18"/>
        <v>0</v>
      </c>
      <c r="J242" s="372"/>
      <c r="K242" s="372">
        <f>'RAB Pasang'!K242*60%</f>
        <v>9858</v>
      </c>
      <c r="L242" s="387">
        <f t="shared" si="19"/>
        <v>0</v>
      </c>
      <c r="M242" s="385">
        <f t="shared" si="20"/>
        <v>0</v>
      </c>
      <c r="N242" s="388">
        <f t="shared" si="21"/>
        <v>0</v>
      </c>
    </row>
    <row r="243" spans="1:14" ht="13.2" customHeight="1" x14ac:dyDescent="0.3">
      <c r="A243" s="386">
        <f t="shared" si="22"/>
        <v>116</v>
      </c>
      <c r="B243" s="370" t="s">
        <v>455</v>
      </c>
      <c r="C243" s="371"/>
      <c r="D243" s="371"/>
      <c r="E243" s="367" t="s">
        <v>203</v>
      </c>
      <c r="F243" s="527"/>
      <c r="G243" s="527"/>
      <c r="H243" s="527"/>
      <c r="I243" s="372">
        <f t="shared" si="18"/>
        <v>0</v>
      </c>
      <c r="J243" s="372"/>
      <c r="K243" s="372">
        <f>'RAB Pasang'!K243*60%</f>
        <v>9858</v>
      </c>
      <c r="L243" s="387">
        <f t="shared" si="19"/>
        <v>0</v>
      </c>
      <c r="M243" s="385">
        <f t="shared" si="20"/>
        <v>0</v>
      </c>
      <c r="N243" s="388">
        <f t="shared" si="21"/>
        <v>0</v>
      </c>
    </row>
    <row r="244" spans="1:14" ht="13.2" customHeight="1" x14ac:dyDescent="0.3">
      <c r="A244" s="386">
        <f t="shared" si="22"/>
        <v>117</v>
      </c>
      <c r="B244" s="370" t="s">
        <v>456</v>
      </c>
      <c r="C244" s="371"/>
      <c r="D244" s="371"/>
      <c r="E244" s="367" t="s">
        <v>203</v>
      </c>
      <c r="F244" s="527"/>
      <c r="G244" s="527"/>
      <c r="H244" s="527"/>
      <c r="I244" s="372">
        <f t="shared" si="18"/>
        <v>0</v>
      </c>
      <c r="J244" s="372"/>
      <c r="K244" s="372">
        <f>'RAB Pasang'!K244*60%</f>
        <v>9858</v>
      </c>
      <c r="L244" s="387">
        <f t="shared" si="19"/>
        <v>0</v>
      </c>
      <c r="M244" s="385">
        <f t="shared" si="20"/>
        <v>0</v>
      </c>
      <c r="N244" s="388">
        <f t="shared" si="21"/>
        <v>0</v>
      </c>
    </row>
    <row r="245" spans="1:14" ht="13.2" customHeight="1" x14ac:dyDescent="0.3">
      <c r="A245" s="386">
        <f t="shared" si="22"/>
        <v>118</v>
      </c>
      <c r="B245" s="370" t="s">
        <v>457</v>
      </c>
      <c r="C245" s="371"/>
      <c r="D245" s="371"/>
      <c r="E245" s="367" t="s">
        <v>203</v>
      </c>
      <c r="F245" s="527"/>
      <c r="G245" s="527"/>
      <c r="H245" s="527"/>
      <c r="I245" s="372">
        <f t="shared" si="18"/>
        <v>0</v>
      </c>
      <c r="J245" s="372"/>
      <c r="K245" s="372">
        <f>'RAB Pasang'!K245*60%</f>
        <v>9858</v>
      </c>
      <c r="L245" s="387">
        <f t="shared" si="19"/>
        <v>0</v>
      </c>
      <c r="M245" s="385">
        <f t="shared" si="20"/>
        <v>0</v>
      </c>
      <c r="N245" s="388">
        <f t="shared" si="21"/>
        <v>0</v>
      </c>
    </row>
    <row r="246" spans="1:14" ht="13.2" customHeight="1" x14ac:dyDescent="0.3">
      <c r="A246" s="386">
        <f t="shared" si="22"/>
        <v>119</v>
      </c>
      <c r="B246" s="370" t="s">
        <v>458</v>
      </c>
      <c r="C246" s="371"/>
      <c r="D246" s="371"/>
      <c r="E246" s="367" t="s">
        <v>203</v>
      </c>
      <c r="F246" s="527"/>
      <c r="G246" s="527"/>
      <c r="H246" s="527"/>
      <c r="I246" s="372">
        <f t="shared" si="18"/>
        <v>0</v>
      </c>
      <c r="J246" s="372"/>
      <c r="K246" s="372">
        <f>'RAB Pasang'!K246*60%</f>
        <v>9858</v>
      </c>
      <c r="L246" s="387">
        <f t="shared" si="19"/>
        <v>0</v>
      </c>
      <c r="M246" s="385">
        <f t="shared" si="20"/>
        <v>0</v>
      </c>
      <c r="N246" s="388">
        <f t="shared" si="21"/>
        <v>0</v>
      </c>
    </row>
    <row r="247" spans="1:14" ht="13.2" customHeight="1" x14ac:dyDescent="0.3">
      <c r="A247" s="386">
        <f t="shared" si="22"/>
        <v>120</v>
      </c>
      <c r="B247" s="370" t="s">
        <v>1654</v>
      </c>
      <c r="C247" s="371"/>
      <c r="D247" s="371"/>
      <c r="E247" s="367" t="s">
        <v>203</v>
      </c>
      <c r="F247" s="527"/>
      <c r="G247" s="527"/>
      <c r="H247" s="527"/>
      <c r="I247" s="372">
        <f t="shared" si="18"/>
        <v>0</v>
      </c>
      <c r="J247" s="372"/>
      <c r="K247" s="372">
        <f>'RAB Pasang'!K247*60%</f>
        <v>11484</v>
      </c>
      <c r="L247" s="387">
        <f t="shared" si="19"/>
        <v>0</v>
      </c>
      <c r="M247" s="385">
        <f t="shared" si="20"/>
        <v>0</v>
      </c>
      <c r="N247" s="388">
        <f t="shared" si="21"/>
        <v>0</v>
      </c>
    </row>
    <row r="248" spans="1:14" ht="13.2" customHeight="1" x14ac:dyDescent="0.3">
      <c r="A248" s="386">
        <f t="shared" si="22"/>
        <v>121</v>
      </c>
      <c r="B248" s="370" t="s">
        <v>1660</v>
      </c>
      <c r="C248" s="371"/>
      <c r="D248" s="371"/>
      <c r="E248" s="367" t="s">
        <v>264</v>
      </c>
      <c r="F248" s="527"/>
      <c r="G248" s="527"/>
      <c r="H248" s="527"/>
      <c r="I248" s="372">
        <f t="shared" si="18"/>
        <v>0</v>
      </c>
      <c r="J248" s="372"/>
      <c r="K248" s="372">
        <f>'RAB Pasang'!K248*60%</f>
        <v>15618</v>
      </c>
      <c r="L248" s="387">
        <f t="shared" si="19"/>
        <v>0</v>
      </c>
      <c r="M248" s="385">
        <f t="shared" si="20"/>
        <v>0</v>
      </c>
      <c r="N248" s="388">
        <f t="shared" si="21"/>
        <v>0</v>
      </c>
    </row>
    <row r="249" spans="1:14" ht="13.2" customHeight="1" x14ac:dyDescent="0.3">
      <c r="A249" s="386">
        <f t="shared" si="22"/>
        <v>122</v>
      </c>
      <c r="B249" s="370" t="s">
        <v>1954</v>
      </c>
      <c r="C249" s="373"/>
      <c r="D249" s="373"/>
      <c r="E249" s="367" t="s">
        <v>264</v>
      </c>
      <c r="F249" s="527"/>
      <c r="G249" s="527"/>
      <c r="H249" s="527"/>
      <c r="I249" s="372">
        <f t="shared" si="18"/>
        <v>0</v>
      </c>
      <c r="J249" s="372"/>
      <c r="K249" s="375">
        <f>'RAB Pasang'!K249*60%</f>
        <v>15618</v>
      </c>
      <c r="L249" s="387">
        <f t="shared" si="19"/>
        <v>0</v>
      </c>
      <c r="M249" s="385">
        <f t="shared" si="20"/>
        <v>0</v>
      </c>
      <c r="N249" s="388">
        <f t="shared" si="21"/>
        <v>0</v>
      </c>
    </row>
    <row r="250" spans="1:14" ht="13.2" customHeight="1" x14ac:dyDescent="0.3">
      <c r="A250" s="386">
        <f t="shared" si="22"/>
        <v>123</v>
      </c>
      <c r="B250" s="370" t="s">
        <v>1695</v>
      </c>
      <c r="C250" s="373"/>
      <c r="D250" s="373"/>
      <c r="E250" s="367" t="s">
        <v>264</v>
      </c>
      <c r="F250" s="527"/>
      <c r="G250" s="527"/>
      <c r="H250" s="527"/>
      <c r="I250" s="372">
        <f t="shared" si="18"/>
        <v>0</v>
      </c>
      <c r="J250" s="372"/>
      <c r="K250" s="375">
        <f>'RAB Pasang'!K250*60%</f>
        <v>15618</v>
      </c>
      <c r="L250" s="387">
        <f t="shared" si="19"/>
        <v>0</v>
      </c>
      <c r="M250" s="385">
        <f t="shared" si="20"/>
        <v>0</v>
      </c>
      <c r="N250" s="388">
        <f t="shared" si="21"/>
        <v>0</v>
      </c>
    </row>
    <row r="251" spans="1:14" ht="13.2" customHeight="1" x14ac:dyDescent="0.3">
      <c r="A251" s="386">
        <f t="shared" si="22"/>
        <v>124</v>
      </c>
      <c r="B251" s="370" t="s">
        <v>581</v>
      </c>
      <c r="C251" s="371"/>
      <c r="D251" s="371"/>
      <c r="E251" s="367" t="s">
        <v>203</v>
      </c>
      <c r="F251" s="527"/>
      <c r="G251" s="527"/>
      <c r="H251" s="527"/>
      <c r="I251" s="372">
        <f t="shared" si="18"/>
        <v>0</v>
      </c>
      <c r="J251" s="372"/>
      <c r="K251" s="372">
        <f>'RAB Pasang'!K251*60%</f>
        <v>15774</v>
      </c>
      <c r="L251" s="387">
        <f t="shared" si="19"/>
        <v>0</v>
      </c>
      <c r="M251" s="385">
        <f t="shared" si="20"/>
        <v>0</v>
      </c>
      <c r="N251" s="388">
        <f t="shared" si="21"/>
        <v>0</v>
      </c>
    </row>
    <row r="252" spans="1:14" ht="13.2" customHeight="1" x14ac:dyDescent="0.3">
      <c r="A252" s="386">
        <f t="shared" si="22"/>
        <v>125</v>
      </c>
      <c r="B252" s="376" t="s">
        <v>1703</v>
      </c>
      <c r="C252" s="373"/>
      <c r="D252" s="373"/>
      <c r="E252" s="374" t="s">
        <v>235</v>
      </c>
      <c r="F252" s="528"/>
      <c r="G252" s="528"/>
      <c r="H252" s="528"/>
      <c r="I252" s="372">
        <f t="shared" si="18"/>
        <v>0</v>
      </c>
      <c r="J252" s="375"/>
      <c r="K252" s="375">
        <f>'RAB Pasang'!K252*60%</f>
        <v>14784</v>
      </c>
      <c r="L252" s="387">
        <f t="shared" si="19"/>
        <v>0</v>
      </c>
      <c r="M252" s="385">
        <f t="shared" si="20"/>
        <v>0</v>
      </c>
      <c r="N252" s="388">
        <f t="shared" si="21"/>
        <v>0</v>
      </c>
    </row>
    <row r="253" spans="1:14" ht="13.2" customHeight="1" x14ac:dyDescent="0.3">
      <c r="A253" s="386">
        <f t="shared" si="22"/>
        <v>126</v>
      </c>
      <c r="B253" s="376" t="s">
        <v>1713</v>
      </c>
      <c r="C253" s="373"/>
      <c r="D253" s="373"/>
      <c r="E253" s="374" t="s">
        <v>235</v>
      </c>
      <c r="F253" s="528"/>
      <c r="G253" s="528"/>
      <c r="H253" s="528"/>
      <c r="I253" s="372">
        <f t="shared" si="18"/>
        <v>0</v>
      </c>
      <c r="J253" s="375"/>
      <c r="K253" s="375">
        <f>'RAB Pasang'!K253*60%</f>
        <v>14784</v>
      </c>
      <c r="L253" s="387">
        <f t="shared" si="19"/>
        <v>0</v>
      </c>
      <c r="M253" s="385">
        <f t="shared" si="20"/>
        <v>0</v>
      </c>
      <c r="N253" s="388">
        <f t="shared" si="21"/>
        <v>0</v>
      </c>
    </row>
    <row r="254" spans="1:14" ht="13.2" customHeight="1" x14ac:dyDescent="0.3">
      <c r="A254" s="386">
        <f t="shared" si="22"/>
        <v>127</v>
      </c>
      <c r="B254" s="376" t="s">
        <v>1693</v>
      </c>
      <c r="C254" s="373"/>
      <c r="D254" s="373"/>
      <c r="E254" s="374" t="s">
        <v>203</v>
      </c>
      <c r="F254" s="528"/>
      <c r="G254" s="528"/>
      <c r="H254" s="528"/>
      <c r="I254" s="372">
        <f t="shared" si="18"/>
        <v>0</v>
      </c>
      <c r="J254" s="375"/>
      <c r="K254" s="375">
        <f>'RAB Pasang'!K254*60%</f>
        <v>42246</v>
      </c>
      <c r="L254" s="387">
        <f t="shared" si="19"/>
        <v>0</v>
      </c>
      <c r="M254" s="385">
        <f t="shared" si="20"/>
        <v>0</v>
      </c>
      <c r="N254" s="388">
        <f t="shared" si="21"/>
        <v>0</v>
      </c>
    </row>
    <row r="255" spans="1:14" ht="13.2" customHeight="1" x14ac:dyDescent="0.3">
      <c r="A255" s="386">
        <f t="shared" si="22"/>
        <v>128</v>
      </c>
      <c r="B255" s="376" t="s">
        <v>1694</v>
      </c>
      <c r="C255" s="373"/>
      <c r="D255" s="373"/>
      <c r="E255" s="374" t="s">
        <v>203</v>
      </c>
      <c r="F255" s="528"/>
      <c r="G255" s="528"/>
      <c r="H255" s="528"/>
      <c r="I255" s="372">
        <f t="shared" si="18"/>
        <v>0</v>
      </c>
      <c r="J255" s="375"/>
      <c r="K255" s="375">
        <f>'RAB Pasang'!K255*60%</f>
        <v>108666</v>
      </c>
      <c r="L255" s="387">
        <f t="shared" si="19"/>
        <v>0</v>
      </c>
      <c r="M255" s="385">
        <f t="shared" si="20"/>
        <v>0</v>
      </c>
      <c r="N255" s="388">
        <f t="shared" si="21"/>
        <v>0</v>
      </c>
    </row>
    <row r="256" spans="1:14" ht="13.2" customHeight="1" x14ac:dyDescent="0.3">
      <c r="A256" s="386">
        <f t="shared" si="22"/>
        <v>129</v>
      </c>
      <c r="B256" s="376" t="s">
        <v>1696</v>
      </c>
      <c r="C256" s="373"/>
      <c r="D256" s="373"/>
      <c r="E256" s="374" t="s">
        <v>203</v>
      </c>
      <c r="F256" s="528"/>
      <c r="G256" s="528"/>
      <c r="H256" s="528"/>
      <c r="I256" s="372">
        <f t="shared" ref="I256:I263" si="23">SUM(F256:H256)</f>
        <v>0</v>
      </c>
      <c r="J256" s="375"/>
      <c r="K256" s="375">
        <f>'RAB Pasang'!K256*60%</f>
        <v>9858</v>
      </c>
      <c r="L256" s="387">
        <f t="shared" ref="L256:L263" si="24">J256*I256</f>
        <v>0</v>
      </c>
      <c r="M256" s="385">
        <f t="shared" ref="M256:M263" si="25">K256*I256</f>
        <v>0</v>
      </c>
      <c r="N256" s="388">
        <f t="shared" ref="N256:N263" si="26">SUM(L256:M256)</f>
        <v>0</v>
      </c>
    </row>
    <row r="257" spans="1:14" ht="13.2" customHeight="1" x14ac:dyDescent="0.3">
      <c r="A257" s="386">
        <f t="shared" si="22"/>
        <v>130</v>
      </c>
      <c r="B257" s="376" t="s">
        <v>1697</v>
      </c>
      <c r="C257" s="373"/>
      <c r="D257" s="373"/>
      <c r="E257" s="374" t="s">
        <v>203</v>
      </c>
      <c r="F257" s="528"/>
      <c r="G257" s="528"/>
      <c r="H257" s="528"/>
      <c r="I257" s="372">
        <f t="shared" si="23"/>
        <v>0</v>
      </c>
      <c r="J257" s="375"/>
      <c r="K257" s="375">
        <f>'RAB Pasang'!K257*60%</f>
        <v>9858</v>
      </c>
      <c r="L257" s="387">
        <f t="shared" si="24"/>
        <v>0</v>
      </c>
      <c r="M257" s="385">
        <f t="shared" si="25"/>
        <v>0</v>
      </c>
      <c r="N257" s="388">
        <f t="shared" si="26"/>
        <v>0</v>
      </c>
    </row>
    <row r="258" spans="1:14" ht="13.2" customHeight="1" x14ac:dyDescent="0.3">
      <c r="A258" s="386">
        <f t="shared" ref="A258:A263" si="27">A257+1</f>
        <v>131</v>
      </c>
      <c r="B258" s="376" t="s">
        <v>1698</v>
      </c>
      <c r="C258" s="373"/>
      <c r="D258" s="373"/>
      <c r="E258" s="374" t="s">
        <v>203</v>
      </c>
      <c r="F258" s="528"/>
      <c r="G258" s="528"/>
      <c r="H258" s="528"/>
      <c r="I258" s="372">
        <f t="shared" si="23"/>
        <v>0</v>
      </c>
      <c r="J258" s="375"/>
      <c r="K258" s="375">
        <f>'RAB Pasang'!K258*60%</f>
        <v>9858</v>
      </c>
      <c r="L258" s="387">
        <f t="shared" si="24"/>
        <v>0</v>
      </c>
      <c r="M258" s="385">
        <f t="shared" si="25"/>
        <v>0</v>
      </c>
      <c r="N258" s="388">
        <f t="shared" si="26"/>
        <v>0</v>
      </c>
    </row>
    <row r="259" spans="1:14" ht="13.2" customHeight="1" x14ac:dyDescent="0.3">
      <c r="A259" s="386">
        <f t="shared" si="27"/>
        <v>132</v>
      </c>
      <c r="B259" s="376" t="s">
        <v>1699</v>
      </c>
      <c r="C259" s="373"/>
      <c r="D259" s="373"/>
      <c r="E259" s="374" t="s">
        <v>203</v>
      </c>
      <c r="F259" s="528"/>
      <c r="G259" s="528"/>
      <c r="H259" s="528"/>
      <c r="I259" s="372">
        <f t="shared" si="23"/>
        <v>0</v>
      </c>
      <c r="J259" s="375"/>
      <c r="K259" s="375">
        <f>'RAB Pasang'!K259*60%</f>
        <v>9858</v>
      </c>
      <c r="L259" s="387">
        <f t="shared" si="24"/>
        <v>0</v>
      </c>
      <c r="M259" s="385">
        <f t="shared" si="25"/>
        <v>0</v>
      </c>
      <c r="N259" s="388">
        <f t="shared" si="26"/>
        <v>0</v>
      </c>
    </row>
    <row r="260" spans="1:14" ht="13.2" customHeight="1" x14ac:dyDescent="0.3">
      <c r="A260" s="386">
        <f t="shared" si="27"/>
        <v>133</v>
      </c>
      <c r="B260" s="376" t="s">
        <v>1700</v>
      </c>
      <c r="C260" s="373"/>
      <c r="D260" s="373"/>
      <c r="E260" s="374" t="s">
        <v>203</v>
      </c>
      <c r="F260" s="528"/>
      <c r="G260" s="528"/>
      <c r="H260" s="528"/>
      <c r="I260" s="372">
        <f t="shared" si="23"/>
        <v>0</v>
      </c>
      <c r="J260" s="375"/>
      <c r="K260" s="375">
        <f>'RAB Pasang'!K260*60%</f>
        <v>9858</v>
      </c>
      <c r="L260" s="387">
        <f t="shared" si="24"/>
        <v>0</v>
      </c>
      <c r="M260" s="385">
        <f t="shared" si="25"/>
        <v>0</v>
      </c>
      <c r="N260" s="388">
        <f t="shared" si="26"/>
        <v>0</v>
      </c>
    </row>
    <row r="261" spans="1:14" ht="13.2" customHeight="1" x14ac:dyDescent="0.3">
      <c r="A261" s="386">
        <f t="shared" si="27"/>
        <v>134</v>
      </c>
      <c r="B261" s="376" t="s">
        <v>1701</v>
      </c>
      <c r="C261" s="373"/>
      <c r="D261" s="373"/>
      <c r="E261" s="374" t="s">
        <v>203</v>
      </c>
      <c r="F261" s="528"/>
      <c r="G261" s="528"/>
      <c r="H261" s="528"/>
      <c r="I261" s="372">
        <f t="shared" si="23"/>
        <v>0</v>
      </c>
      <c r="J261" s="375"/>
      <c r="K261" s="375">
        <f>'RAB Pasang'!K261*60%</f>
        <v>9858</v>
      </c>
      <c r="L261" s="387">
        <f t="shared" si="24"/>
        <v>0</v>
      </c>
      <c r="M261" s="385">
        <f t="shared" si="25"/>
        <v>0</v>
      </c>
      <c r="N261" s="388">
        <f t="shared" si="26"/>
        <v>0</v>
      </c>
    </row>
    <row r="262" spans="1:14" ht="13.2" customHeight="1" x14ac:dyDescent="0.3">
      <c r="A262" s="386">
        <f t="shared" si="27"/>
        <v>135</v>
      </c>
      <c r="B262" s="370" t="s">
        <v>1702</v>
      </c>
      <c r="C262" s="371"/>
      <c r="D262" s="371"/>
      <c r="E262" s="367" t="s">
        <v>203</v>
      </c>
      <c r="F262" s="527"/>
      <c r="G262" s="527"/>
      <c r="H262" s="527"/>
      <c r="I262" s="372">
        <f t="shared" si="23"/>
        <v>0</v>
      </c>
      <c r="J262" s="372"/>
      <c r="K262" s="372">
        <f>'RAB Pasang'!K262*60%</f>
        <v>9858</v>
      </c>
      <c r="L262" s="387">
        <f t="shared" si="24"/>
        <v>0</v>
      </c>
      <c r="M262" s="387">
        <f t="shared" si="25"/>
        <v>0</v>
      </c>
      <c r="N262" s="422">
        <f t="shared" si="26"/>
        <v>0</v>
      </c>
    </row>
    <row r="263" spans="1:14" ht="13.2" customHeight="1" x14ac:dyDescent="0.3">
      <c r="A263" s="386">
        <f t="shared" si="27"/>
        <v>136</v>
      </c>
      <c r="B263" s="389" t="s">
        <v>1641</v>
      </c>
      <c r="C263" s="390"/>
      <c r="D263" s="390"/>
      <c r="E263" s="391" t="s">
        <v>1653</v>
      </c>
      <c r="F263" s="562"/>
      <c r="G263" s="562"/>
      <c r="H263" s="562"/>
      <c r="I263" s="541">
        <f t="shared" si="23"/>
        <v>0</v>
      </c>
      <c r="J263" s="409"/>
      <c r="K263" s="409">
        <f>'RAB Pasang'!K263*60%</f>
        <v>73932</v>
      </c>
      <c r="L263" s="387">
        <f t="shared" si="24"/>
        <v>0</v>
      </c>
      <c r="M263" s="387">
        <f t="shared" si="25"/>
        <v>0</v>
      </c>
      <c r="N263" s="422">
        <f t="shared" si="26"/>
        <v>0</v>
      </c>
    </row>
    <row r="264" spans="1:14" ht="13.95" customHeight="1" x14ac:dyDescent="0.3">
      <c r="A264" s="485"/>
      <c r="B264" s="486" t="s">
        <v>647</v>
      </c>
      <c r="C264" s="487"/>
      <c r="D264" s="487"/>
      <c r="E264" s="488"/>
      <c r="F264" s="540"/>
      <c r="G264" s="540"/>
      <c r="H264" s="540"/>
      <c r="I264" s="489"/>
      <c r="J264" s="488"/>
      <c r="K264" s="488"/>
      <c r="L264" s="490">
        <f>SUM(L128:L263)</f>
        <v>0</v>
      </c>
      <c r="M264" s="490">
        <f t="shared" ref="M264:N264" si="28">SUM(M128:M263)</f>
        <v>0</v>
      </c>
      <c r="N264" s="491">
        <f t="shared" si="28"/>
        <v>0</v>
      </c>
    </row>
    <row r="265" spans="1:14" ht="7.2" customHeight="1" x14ac:dyDescent="0.3">
      <c r="A265" s="392"/>
      <c r="B265" s="393"/>
      <c r="C265" s="394"/>
      <c r="D265" s="394"/>
      <c r="E265" s="395"/>
      <c r="F265" s="563"/>
      <c r="G265" s="563"/>
      <c r="H265" s="563"/>
      <c r="I265" s="467"/>
      <c r="J265" s="383"/>
      <c r="K265" s="383"/>
      <c r="L265" s="383"/>
      <c r="M265" s="383"/>
      <c r="N265" s="396"/>
    </row>
    <row r="266" spans="1:14" ht="13.2" customHeight="1" x14ac:dyDescent="0.3">
      <c r="A266" s="477" t="s">
        <v>608</v>
      </c>
      <c r="B266" s="478" t="s">
        <v>619</v>
      </c>
      <c r="C266" s="479"/>
      <c r="D266" s="480"/>
      <c r="E266" s="481"/>
      <c r="F266" s="483"/>
      <c r="G266" s="483"/>
      <c r="H266" s="483"/>
      <c r="I266" s="483"/>
      <c r="J266" s="481"/>
      <c r="K266" s="481"/>
      <c r="L266" s="481"/>
      <c r="M266" s="481"/>
      <c r="N266" s="482"/>
    </row>
    <row r="267" spans="1:14" ht="13.2" customHeight="1" x14ac:dyDescent="0.3">
      <c r="A267" s="397">
        <v>1</v>
      </c>
      <c r="B267" s="398" t="s">
        <v>648</v>
      </c>
      <c r="C267" s="373"/>
      <c r="D267" s="373"/>
      <c r="E267" s="374"/>
      <c r="F267" s="560"/>
      <c r="G267" s="560"/>
      <c r="H267" s="560"/>
      <c r="I267" s="468"/>
      <c r="J267" s="399"/>
      <c r="K267" s="399"/>
      <c r="L267" s="399"/>
      <c r="M267" s="399"/>
      <c r="N267" s="400"/>
    </row>
    <row r="268" spans="1:14" ht="13.2" customHeight="1" x14ac:dyDescent="0.3">
      <c r="A268" s="401"/>
      <c r="B268" s="402" t="s">
        <v>1828</v>
      </c>
      <c r="C268" s="371" t="s">
        <v>650</v>
      </c>
      <c r="D268" s="371" t="s">
        <v>651</v>
      </c>
      <c r="E268" s="367" t="s">
        <v>596</v>
      </c>
      <c r="F268" s="537">
        <f>IF(REKAP!$Q$9="Kota Kupang",SUMPRODUCT('RAB Bongkar'!F$32:F$124,'RAB Bongkar'!$T$32:$T$124),0)</f>
        <v>0</v>
      </c>
      <c r="G268" s="537">
        <f>IF(REKAP!$Q$9="Kota Kupang",SUMPRODUCT('RAB Bongkar'!G$32:G$124,'RAB Bongkar'!$T$32:$T$124),0)</f>
        <v>0</v>
      </c>
      <c r="H268" s="537">
        <f>IF(REKAP!$Q$9="Kota Kupang",SUMPRODUCT('RAB Bongkar'!H$32:H$124,'RAB Bongkar'!$T$32:$T$124),0)</f>
        <v>0</v>
      </c>
      <c r="I268" s="466">
        <f t="shared" ref="I268:I482" si="29">SUM(F268:H268)</f>
        <v>0</v>
      </c>
      <c r="J268" s="372"/>
      <c r="K268" s="372">
        <f>'RAB Pasang'!K268*60%</f>
        <v>270000</v>
      </c>
      <c r="L268" s="387">
        <f t="shared" ref="L268:L482" si="30">J268*I268</f>
        <v>0</v>
      </c>
      <c r="M268" s="387">
        <f t="shared" ref="M268:M482" si="31">K268*I268</f>
        <v>0</v>
      </c>
      <c r="N268" s="422">
        <f t="shared" ref="N268:N482" si="32">SUM(L268:M268)</f>
        <v>0</v>
      </c>
    </row>
    <row r="269" spans="1:14" ht="13.2" customHeight="1" x14ac:dyDescent="0.3">
      <c r="A269" s="401"/>
      <c r="B269" s="402"/>
      <c r="C269" s="371" t="s">
        <v>652</v>
      </c>
      <c r="D269" s="371" t="s">
        <v>651</v>
      </c>
      <c r="E269" s="367" t="s">
        <v>596</v>
      </c>
      <c r="F269" s="537">
        <f>IF(REKAP!$Q$9=$D269,SUMPRODUCT('RAB Bongkar'!F$32:F$124,'RAB Bongkar'!$T$32:$T$124),0)</f>
        <v>0</v>
      </c>
      <c r="G269" s="537">
        <f>IF(REKAP!$Q$9=$D269,SUMPRODUCT('RAB Bongkar'!G$32:G$124,'RAB Bongkar'!$T$32:$T$124),0)</f>
        <v>0</v>
      </c>
      <c r="H269" s="537">
        <f>IF(REKAP!$Q$9=$D269,SUMPRODUCT('RAB Bongkar'!H$32:H$124,'RAB Bongkar'!$T$32:$T$124),0)</f>
        <v>0</v>
      </c>
      <c r="I269" s="466">
        <f t="shared" si="29"/>
        <v>0</v>
      </c>
      <c r="J269" s="372"/>
      <c r="K269" s="372">
        <f>'RAB Pasang'!K269*60%</f>
        <v>324000</v>
      </c>
      <c r="L269" s="387">
        <f t="shared" si="30"/>
        <v>0</v>
      </c>
      <c r="M269" s="387">
        <f t="shared" si="31"/>
        <v>0</v>
      </c>
      <c r="N269" s="422">
        <f t="shared" si="32"/>
        <v>0</v>
      </c>
    </row>
    <row r="270" spans="1:14" ht="13.2" customHeight="1" x14ac:dyDescent="0.3">
      <c r="A270" s="401"/>
      <c r="B270" s="402"/>
      <c r="C270" s="371" t="s">
        <v>652</v>
      </c>
      <c r="D270" s="371" t="s">
        <v>653</v>
      </c>
      <c r="E270" s="367" t="s">
        <v>596</v>
      </c>
      <c r="F270" s="537">
        <f>IF(REKAP!$Q$9=$D270,SUMPRODUCT('RAB Bongkar'!F$32:F$124,'RAB Bongkar'!$T$32:$T$124),0)</f>
        <v>0</v>
      </c>
      <c r="G270" s="537">
        <f>IF(REKAP!$Q$9=$D270,SUMPRODUCT('RAB Bongkar'!G$32:G$124,'RAB Bongkar'!$T$32:$T$124),0)</f>
        <v>0</v>
      </c>
      <c r="H270" s="537">
        <f>IF(REKAP!$Q$9=$D270,SUMPRODUCT('RAB Bongkar'!H$32:H$124,'RAB Bongkar'!$T$32:$T$124),0)</f>
        <v>0</v>
      </c>
      <c r="I270" s="466">
        <f t="shared" si="29"/>
        <v>0</v>
      </c>
      <c r="J270" s="372"/>
      <c r="K270" s="372">
        <f>'RAB Pasang'!K270*60%</f>
        <v>405000</v>
      </c>
      <c r="L270" s="387">
        <f t="shared" si="30"/>
        <v>0</v>
      </c>
      <c r="M270" s="387">
        <f t="shared" si="31"/>
        <v>0</v>
      </c>
      <c r="N270" s="422">
        <f t="shared" si="32"/>
        <v>0</v>
      </c>
    </row>
    <row r="271" spans="1:14" ht="13.2" customHeight="1" x14ac:dyDescent="0.3">
      <c r="A271" s="401"/>
      <c r="B271" s="402"/>
      <c r="C271" s="371" t="s">
        <v>652</v>
      </c>
      <c r="D271" s="371" t="s">
        <v>654</v>
      </c>
      <c r="E271" s="367" t="s">
        <v>596</v>
      </c>
      <c r="F271" s="537">
        <f>IF(REKAP!$Q$9=$D271,SUMPRODUCT('RAB Bongkar'!F$32:F$124,'RAB Bongkar'!$T$32:$T$124),0)</f>
        <v>0</v>
      </c>
      <c r="G271" s="537">
        <f>IF(REKAP!$Q$9=$D271,SUMPRODUCT('RAB Bongkar'!G$32:G$124,'RAB Bongkar'!$T$32:$T$124),0)</f>
        <v>0</v>
      </c>
      <c r="H271" s="537">
        <f>IF(REKAP!$Q$9=$D271,SUMPRODUCT('RAB Bongkar'!H$32:H$124,'RAB Bongkar'!$T$32:$T$124),0)</f>
        <v>0</v>
      </c>
      <c r="I271" s="466">
        <f t="shared" si="29"/>
        <v>0</v>
      </c>
      <c r="J271" s="372"/>
      <c r="K271" s="372">
        <f>'RAB Pasang'!K271*60%</f>
        <v>594000</v>
      </c>
      <c r="L271" s="387">
        <f t="shared" si="30"/>
        <v>0</v>
      </c>
      <c r="M271" s="387">
        <f t="shared" si="31"/>
        <v>0</v>
      </c>
      <c r="N271" s="422">
        <f t="shared" si="32"/>
        <v>0</v>
      </c>
    </row>
    <row r="272" spans="1:14" ht="13.2" customHeight="1" x14ac:dyDescent="0.3">
      <c r="A272" s="401"/>
      <c r="B272" s="402"/>
      <c r="C272" s="371" t="s">
        <v>652</v>
      </c>
      <c r="D272" s="371" t="s">
        <v>655</v>
      </c>
      <c r="E272" s="367" t="s">
        <v>596</v>
      </c>
      <c r="F272" s="537">
        <f>IF(REKAP!$Q$9=$D272,SUMPRODUCT('RAB Bongkar'!F$32:F$124,'RAB Bongkar'!$T$32:$T$124),0)</f>
        <v>0</v>
      </c>
      <c r="G272" s="537">
        <f>IF(REKAP!$Q$9=$D272,SUMPRODUCT('RAB Bongkar'!G$32:G$124,'RAB Bongkar'!$T$32:$T$124),0)</f>
        <v>0</v>
      </c>
      <c r="H272" s="537">
        <f>IF(REKAP!$Q$9=$D272,SUMPRODUCT('RAB Bongkar'!H$32:H$124,'RAB Bongkar'!$T$32:$T$124),0)</f>
        <v>0</v>
      </c>
      <c r="I272" s="466">
        <f t="shared" si="29"/>
        <v>0</v>
      </c>
      <c r="J272" s="372"/>
      <c r="K272" s="372">
        <f>'RAB Pasang'!K272*60%</f>
        <v>675000</v>
      </c>
      <c r="L272" s="387">
        <f t="shared" si="30"/>
        <v>0</v>
      </c>
      <c r="M272" s="387">
        <f t="shared" si="31"/>
        <v>0</v>
      </c>
      <c r="N272" s="422">
        <f t="shared" si="32"/>
        <v>0</v>
      </c>
    </row>
    <row r="273" spans="1:14" ht="13.2" customHeight="1" x14ac:dyDescent="0.3">
      <c r="A273" s="401"/>
      <c r="B273" s="402"/>
      <c r="C273" s="371" t="s">
        <v>652</v>
      </c>
      <c r="D273" s="371" t="s">
        <v>656</v>
      </c>
      <c r="E273" s="367" t="s">
        <v>596</v>
      </c>
      <c r="F273" s="537">
        <f>IF(REKAP!$Q$9=$D273,SUMPRODUCT('RAB Bongkar'!F$32:F$124,'RAB Bongkar'!$T$32:$T$124),0)</f>
        <v>0</v>
      </c>
      <c r="G273" s="537">
        <f>IF(REKAP!$Q$9=$D273,SUMPRODUCT('RAB Bongkar'!G$32:G$124,'RAB Bongkar'!$T$32:$T$124),0)</f>
        <v>0</v>
      </c>
      <c r="H273" s="537">
        <f>IF(REKAP!$Q$9=$D273,SUMPRODUCT('RAB Bongkar'!H$32:H$124,'RAB Bongkar'!$T$32:$T$124),0)</f>
        <v>0</v>
      </c>
      <c r="I273" s="466">
        <f t="shared" si="29"/>
        <v>0</v>
      </c>
      <c r="J273" s="372"/>
      <c r="K273" s="372">
        <f>'RAB Pasang'!K273*60%</f>
        <v>729000</v>
      </c>
      <c r="L273" s="387">
        <f t="shared" si="30"/>
        <v>0</v>
      </c>
      <c r="M273" s="387">
        <f t="shared" si="31"/>
        <v>0</v>
      </c>
      <c r="N273" s="422">
        <f t="shared" si="32"/>
        <v>0</v>
      </c>
    </row>
    <row r="274" spans="1:14" ht="13.2" customHeight="1" x14ac:dyDescent="0.3">
      <c r="A274" s="401"/>
      <c r="B274" s="402"/>
      <c r="C274" s="371" t="s">
        <v>652</v>
      </c>
      <c r="D274" s="371" t="s">
        <v>657</v>
      </c>
      <c r="E274" s="367" t="s">
        <v>596</v>
      </c>
      <c r="F274" s="537">
        <f>IF(REKAP!$Q$9=$D274,SUMPRODUCT('RAB Bongkar'!F$32:F$124,'RAB Bongkar'!$T$32:$T$124),0)</f>
        <v>0</v>
      </c>
      <c r="G274" s="537">
        <f>IF(REKAP!$Q$9=$D274,SUMPRODUCT('RAB Bongkar'!G$32:G$124,'RAB Bongkar'!$T$32:$T$124),0)</f>
        <v>0</v>
      </c>
      <c r="H274" s="537">
        <f>IF(REKAP!$Q$9=$D274,SUMPRODUCT('RAB Bongkar'!H$32:H$124,'RAB Bongkar'!$T$32:$T$124),0)</f>
        <v>0</v>
      </c>
      <c r="I274" s="466">
        <f t="shared" si="29"/>
        <v>0</v>
      </c>
      <c r="J274" s="372"/>
      <c r="K274" s="372">
        <f>'RAB Pasang'!K274*60%</f>
        <v>810000</v>
      </c>
      <c r="L274" s="387">
        <f t="shared" si="30"/>
        <v>0</v>
      </c>
      <c r="M274" s="387">
        <f t="shared" si="31"/>
        <v>0</v>
      </c>
      <c r="N274" s="422">
        <f t="shared" si="32"/>
        <v>0</v>
      </c>
    </row>
    <row r="275" spans="1:14" ht="13.2" customHeight="1" x14ac:dyDescent="0.3">
      <c r="A275" s="401"/>
      <c r="B275" s="402"/>
      <c r="C275" s="371" t="s">
        <v>652</v>
      </c>
      <c r="D275" s="371" t="s">
        <v>658</v>
      </c>
      <c r="E275" s="367" t="s">
        <v>596</v>
      </c>
      <c r="F275" s="537">
        <f>IF(REKAP!$Q$9=$D275,SUMPRODUCT('RAB Bongkar'!F$32:F$124,'RAB Bongkar'!$T$32:$T$124),0)</f>
        <v>0</v>
      </c>
      <c r="G275" s="537">
        <f>IF(REKAP!$Q$9=$D275,SUMPRODUCT('RAB Bongkar'!G$32:G$124,'RAB Bongkar'!$T$32:$T$124),0)</f>
        <v>0</v>
      </c>
      <c r="H275" s="537">
        <f>IF(REKAP!$Q$9=$D275,SUMPRODUCT('RAB Bongkar'!H$32:H$124,'RAB Bongkar'!$T$32:$T$124),0)</f>
        <v>0</v>
      </c>
      <c r="I275" s="466">
        <f t="shared" si="29"/>
        <v>0</v>
      </c>
      <c r="J275" s="372"/>
      <c r="K275" s="372">
        <f>'RAB Pasang'!K275*60%</f>
        <v>945000</v>
      </c>
      <c r="L275" s="387">
        <f t="shared" si="30"/>
        <v>0</v>
      </c>
      <c r="M275" s="387">
        <f t="shared" si="31"/>
        <v>0</v>
      </c>
      <c r="N275" s="422">
        <f t="shared" si="32"/>
        <v>0</v>
      </c>
    </row>
    <row r="276" spans="1:14" ht="13.2" customHeight="1" x14ac:dyDescent="0.3">
      <c r="A276" s="401"/>
      <c r="B276" s="402"/>
      <c r="C276" s="371" t="s">
        <v>652</v>
      </c>
      <c r="D276" s="371" t="s">
        <v>659</v>
      </c>
      <c r="E276" s="367" t="s">
        <v>596</v>
      </c>
      <c r="F276" s="537">
        <f>IF(REKAP!$Q$9=$D276,SUMPRODUCT('RAB Bongkar'!F$32:F$124,'RAB Bongkar'!$T$32:$T$124),0)</f>
        <v>0</v>
      </c>
      <c r="G276" s="537">
        <f>IF(REKAP!$Q$9=$D276,SUMPRODUCT('RAB Bongkar'!G$32:G$124,'RAB Bongkar'!$T$32:$T$124),0)</f>
        <v>0</v>
      </c>
      <c r="H276" s="537">
        <f>IF(REKAP!$Q$9=$D276,SUMPRODUCT('RAB Bongkar'!H$32:H$124,'RAB Bongkar'!$T$32:$T$124),0)</f>
        <v>0</v>
      </c>
      <c r="I276" s="466">
        <f t="shared" si="29"/>
        <v>0</v>
      </c>
      <c r="J276" s="372"/>
      <c r="K276" s="372">
        <f>'RAB Pasang'!K276*60%</f>
        <v>1485000</v>
      </c>
      <c r="L276" s="387">
        <f t="shared" si="30"/>
        <v>0</v>
      </c>
      <c r="M276" s="387">
        <f t="shared" si="31"/>
        <v>0</v>
      </c>
      <c r="N276" s="422">
        <f t="shared" si="32"/>
        <v>0</v>
      </c>
    </row>
    <row r="277" spans="1:14" ht="13.2" customHeight="1" x14ac:dyDescent="0.3">
      <c r="A277" s="401"/>
      <c r="B277" s="402"/>
      <c r="C277" s="371" t="s">
        <v>652</v>
      </c>
      <c r="D277" s="371" t="s">
        <v>660</v>
      </c>
      <c r="E277" s="367" t="s">
        <v>596</v>
      </c>
      <c r="F277" s="537">
        <f>IF(REKAP!$Q$9=$D277,SUMPRODUCT('RAB Bongkar'!F$32:F$124,'RAB Bongkar'!$T$32:$T$124),0)</f>
        <v>0</v>
      </c>
      <c r="G277" s="537">
        <f>IF(REKAP!$Q$9=$D277,SUMPRODUCT('RAB Bongkar'!G$32:G$124,'RAB Bongkar'!$T$32:$T$124),0)</f>
        <v>0</v>
      </c>
      <c r="H277" s="537">
        <f>IF(REKAP!$Q$9=$D277,SUMPRODUCT('RAB Bongkar'!H$32:H$124,'RAB Bongkar'!$T$32:$T$124),0)</f>
        <v>0</v>
      </c>
      <c r="I277" s="466">
        <f t="shared" si="29"/>
        <v>0</v>
      </c>
      <c r="J277" s="372"/>
      <c r="K277" s="372">
        <f>'RAB Pasang'!K277*60%</f>
        <v>1350000</v>
      </c>
      <c r="L277" s="387">
        <f t="shared" si="30"/>
        <v>0</v>
      </c>
      <c r="M277" s="387">
        <f t="shared" si="31"/>
        <v>0</v>
      </c>
      <c r="N277" s="422">
        <f t="shared" si="32"/>
        <v>0</v>
      </c>
    </row>
    <row r="278" spans="1:14" ht="13.2" customHeight="1" x14ac:dyDescent="0.3">
      <c r="A278" s="401"/>
      <c r="B278" s="402"/>
      <c r="C278" s="371" t="s">
        <v>652</v>
      </c>
      <c r="D278" s="371" t="s">
        <v>661</v>
      </c>
      <c r="E278" s="367" t="s">
        <v>596</v>
      </c>
      <c r="F278" s="537">
        <f>IF(REKAP!$Q$9=$D278,SUMPRODUCT('RAB Bongkar'!F$32:F$124,'RAB Bongkar'!$T$32:$T$124),0)</f>
        <v>0</v>
      </c>
      <c r="G278" s="537">
        <f>IF(REKAP!$Q$9=$D278,SUMPRODUCT('RAB Bongkar'!G$32:G$124,'RAB Bongkar'!$T$32:$T$124),0)</f>
        <v>0</v>
      </c>
      <c r="H278" s="537">
        <f>IF(REKAP!$Q$9=$D278,SUMPRODUCT('RAB Bongkar'!H$32:H$124,'RAB Bongkar'!$T$32:$T$124),0)</f>
        <v>0</v>
      </c>
      <c r="I278" s="466">
        <f t="shared" si="29"/>
        <v>0</v>
      </c>
      <c r="J278" s="372"/>
      <c r="K278" s="372">
        <f>'RAB Pasang'!K278*60%</f>
        <v>2160000</v>
      </c>
      <c r="L278" s="387">
        <f t="shared" si="30"/>
        <v>0</v>
      </c>
      <c r="M278" s="387">
        <f t="shared" si="31"/>
        <v>0</v>
      </c>
      <c r="N278" s="422">
        <f t="shared" si="32"/>
        <v>0</v>
      </c>
    </row>
    <row r="279" spans="1:14" ht="13.2" customHeight="1" x14ac:dyDescent="0.3">
      <c r="A279" s="401"/>
      <c r="B279" s="402"/>
      <c r="C279" s="371" t="s">
        <v>652</v>
      </c>
      <c r="D279" s="371" t="s">
        <v>662</v>
      </c>
      <c r="E279" s="367" t="s">
        <v>596</v>
      </c>
      <c r="F279" s="537">
        <f>IF(REKAP!$Q$9=$D279,SUMPRODUCT('RAB Bongkar'!F$32:F$124,'RAB Bongkar'!$T$32:$T$124),0)</f>
        <v>0</v>
      </c>
      <c r="G279" s="537">
        <f>IF(REKAP!$Q$9=$D279,SUMPRODUCT('RAB Bongkar'!G$32:G$124,'RAB Bongkar'!$T$32:$T$124),0)</f>
        <v>0</v>
      </c>
      <c r="H279" s="537">
        <f>IF(REKAP!$Q$9=$D279,SUMPRODUCT('RAB Bongkar'!H$32:H$124,'RAB Bongkar'!$T$32:$T$124),0)</f>
        <v>0</v>
      </c>
      <c r="I279" s="466">
        <f t="shared" si="29"/>
        <v>0</v>
      </c>
      <c r="J279" s="372"/>
      <c r="K279" s="372">
        <f>'RAB Pasang'!K279*60%</f>
        <v>1890000</v>
      </c>
      <c r="L279" s="387">
        <f t="shared" si="30"/>
        <v>0</v>
      </c>
      <c r="M279" s="387">
        <f t="shared" si="31"/>
        <v>0</v>
      </c>
      <c r="N279" s="422">
        <f t="shared" si="32"/>
        <v>0</v>
      </c>
    </row>
    <row r="280" spans="1:14" ht="13.2" customHeight="1" x14ac:dyDescent="0.3">
      <c r="A280" s="401"/>
      <c r="B280" s="402"/>
      <c r="C280" s="371" t="s">
        <v>652</v>
      </c>
      <c r="D280" s="371" t="s">
        <v>663</v>
      </c>
      <c r="E280" s="367" t="s">
        <v>596</v>
      </c>
      <c r="F280" s="537">
        <f>IF(REKAP!$Q$9=$D280,SUMPRODUCT('RAB Bongkar'!F$32:F$124,'RAB Bongkar'!$T$32:$T$124),0)</f>
        <v>0</v>
      </c>
      <c r="G280" s="537">
        <f>IF(REKAP!$Q$9=$D280,SUMPRODUCT('RAB Bongkar'!G$32:G$124,'RAB Bongkar'!$T$32:$T$124),0)</f>
        <v>0</v>
      </c>
      <c r="H280" s="537">
        <f>IF(REKAP!$Q$9=$D280,SUMPRODUCT('RAB Bongkar'!H$32:H$124,'RAB Bongkar'!$T$32:$T$124),0)</f>
        <v>0</v>
      </c>
      <c r="I280" s="466">
        <f t="shared" si="29"/>
        <v>0</v>
      </c>
      <c r="J280" s="372"/>
      <c r="K280" s="372">
        <f>'RAB Pasang'!K280*60%</f>
        <v>2970000</v>
      </c>
      <c r="L280" s="387">
        <f t="shared" si="30"/>
        <v>0</v>
      </c>
      <c r="M280" s="387">
        <f t="shared" si="31"/>
        <v>0</v>
      </c>
      <c r="N280" s="422">
        <f t="shared" si="32"/>
        <v>0</v>
      </c>
    </row>
    <row r="281" spans="1:14" ht="13.2" customHeight="1" x14ac:dyDescent="0.3">
      <c r="A281" s="401"/>
      <c r="B281" s="402"/>
      <c r="C281" s="373" t="s">
        <v>652</v>
      </c>
      <c r="D281" s="373" t="s">
        <v>664</v>
      </c>
      <c r="E281" s="374" t="s">
        <v>596</v>
      </c>
      <c r="F281" s="560">
        <f>IF(REKAP!$Q$9=$D281,SUMPRODUCT('RAB Bongkar'!F$32:F$124,'RAB Bongkar'!$T$32:$T$124),0)</f>
        <v>0</v>
      </c>
      <c r="G281" s="560">
        <f>IF(REKAP!$Q$9=$D281,SUMPRODUCT('RAB Bongkar'!G$32:G$124,'RAB Bongkar'!$T$32:$T$124),0)</f>
        <v>0</v>
      </c>
      <c r="H281" s="560">
        <f>IF(REKAP!$Q$9=$D281,SUMPRODUCT('RAB Bongkar'!H$32:H$124,'RAB Bongkar'!$T$32:$T$124),0)</f>
        <v>0</v>
      </c>
      <c r="I281" s="468">
        <f t="shared" si="29"/>
        <v>0</v>
      </c>
      <c r="J281" s="375"/>
      <c r="K281" s="372">
        <f>'RAB Pasang'!K281*60%</f>
        <v>432000</v>
      </c>
      <c r="L281" s="399">
        <f t="shared" si="30"/>
        <v>0</v>
      </c>
      <c r="M281" s="399">
        <f t="shared" si="31"/>
        <v>0</v>
      </c>
      <c r="N281" s="400">
        <f t="shared" si="32"/>
        <v>0</v>
      </c>
    </row>
    <row r="282" spans="1:14" ht="13.2" customHeight="1" x14ac:dyDescent="0.3">
      <c r="A282" s="401"/>
      <c r="B282" s="403" t="s">
        <v>1922</v>
      </c>
      <c r="C282" s="404" t="s">
        <v>652</v>
      </c>
      <c r="D282" s="404" t="s">
        <v>655</v>
      </c>
      <c r="E282" s="405" t="s">
        <v>596</v>
      </c>
      <c r="F282" s="564"/>
      <c r="G282" s="564"/>
      <c r="H282" s="564"/>
      <c r="I282" s="542"/>
      <c r="J282" s="406"/>
      <c r="K282" s="406">
        <f>'RAB Pasang'!K282*60%</f>
        <v>405000</v>
      </c>
      <c r="L282" s="469">
        <f t="shared" si="30"/>
        <v>0</v>
      </c>
      <c r="M282" s="469">
        <f t="shared" si="31"/>
        <v>0</v>
      </c>
      <c r="N282" s="470">
        <f t="shared" si="32"/>
        <v>0</v>
      </c>
    </row>
    <row r="283" spans="1:14" ht="13.2" customHeight="1" x14ac:dyDescent="0.3">
      <c r="A283" s="401"/>
      <c r="B283" s="407"/>
      <c r="C283" s="371" t="s">
        <v>652</v>
      </c>
      <c r="D283" s="371" t="s">
        <v>656</v>
      </c>
      <c r="E283" s="367" t="s">
        <v>596</v>
      </c>
      <c r="F283" s="537"/>
      <c r="G283" s="537"/>
      <c r="H283" s="537"/>
      <c r="I283" s="466"/>
      <c r="J283" s="372"/>
      <c r="K283" s="372">
        <f>'RAB Pasang'!K283*60%</f>
        <v>324000</v>
      </c>
      <c r="L283" s="387">
        <f t="shared" si="30"/>
        <v>0</v>
      </c>
      <c r="M283" s="387">
        <f t="shared" si="31"/>
        <v>0</v>
      </c>
      <c r="N283" s="422">
        <f t="shared" si="32"/>
        <v>0</v>
      </c>
    </row>
    <row r="284" spans="1:14" ht="13.2" customHeight="1" x14ac:dyDescent="0.3">
      <c r="A284" s="401"/>
      <c r="B284" s="408"/>
      <c r="C284" s="390" t="s">
        <v>652</v>
      </c>
      <c r="D284" s="390" t="s">
        <v>657</v>
      </c>
      <c r="E284" s="391" t="s">
        <v>596</v>
      </c>
      <c r="F284" s="562"/>
      <c r="G284" s="562"/>
      <c r="H284" s="562"/>
      <c r="I284" s="541"/>
      <c r="J284" s="409"/>
      <c r="K284" s="409">
        <f>'RAB Pasang'!K284*60%</f>
        <v>405000</v>
      </c>
      <c r="L284" s="471">
        <f t="shared" si="30"/>
        <v>0</v>
      </c>
      <c r="M284" s="471">
        <f t="shared" si="31"/>
        <v>0</v>
      </c>
      <c r="N284" s="472">
        <f t="shared" si="32"/>
        <v>0</v>
      </c>
    </row>
    <row r="285" spans="1:14" ht="13.2" customHeight="1" x14ac:dyDescent="0.3">
      <c r="A285" s="401"/>
      <c r="B285" s="403" t="s">
        <v>1923</v>
      </c>
      <c r="C285" s="404" t="s">
        <v>652</v>
      </c>
      <c r="D285" s="371" t="s">
        <v>662</v>
      </c>
      <c r="E285" s="405" t="s">
        <v>596</v>
      </c>
      <c r="F285" s="564"/>
      <c r="G285" s="564"/>
      <c r="H285" s="564"/>
      <c r="I285" s="542"/>
      <c r="J285" s="406"/>
      <c r="K285" s="406">
        <f>'RAB Pasang'!K285*60%</f>
        <v>270000</v>
      </c>
      <c r="L285" s="469">
        <f t="shared" si="30"/>
        <v>0</v>
      </c>
      <c r="M285" s="469">
        <f t="shared" si="31"/>
        <v>0</v>
      </c>
      <c r="N285" s="470">
        <f t="shared" si="32"/>
        <v>0</v>
      </c>
    </row>
    <row r="286" spans="1:14" ht="13.2" customHeight="1" x14ac:dyDescent="0.3">
      <c r="A286" s="401"/>
      <c r="B286" s="407"/>
      <c r="C286" s="373" t="s">
        <v>652</v>
      </c>
      <c r="D286" s="373" t="s">
        <v>663</v>
      </c>
      <c r="E286" s="367" t="s">
        <v>596</v>
      </c>
      <c r="F286" s="537"/>
      <c r="G286" s="537"/>
      <c r="H286" s="537"/>
      <c r="I286" s="466"/>
      <c r="J286" s="372"/>
      <c r="K286" s="372">
        <f>'RAB Pasang'!K286*60%</f>
        <v>1215000</v>
      </c>
      <c r="L286" s="387">
        <f t="shared" si="30"/>
        <v>0</v>
      </c>
      <c r="M286" s="387">
        <f t="shared" si="31"/>
        <v>0</v>
      </c>
      <c r="N286" s="422">
        <f t="shared" si="32"/>
        <v>0</v>
      </c>
    </row>
    <row r="287" spans="1:14" ht="13.2" customHeight="1" x14ac:dyDescent="0.3">
      <c r="A287" s="401"/>
      <c r="B287" s="403" t="s">
        <v>1924</v>
      </c>
      <c r="C287" s="404" t="s">
        <v>652</v>
      </c>
      <c r="D287" s="404" t="s">
        <v>658</v>
      </c>
      <c r="E287" s="405" t="s">
        <v>596</v>
      </c>
      <c r="F287" s="564"/>
      <c r="G287" s="564"/>
      <c r="H287" s="564"/>
      <c r="I287" s="542"/>
      <c r="J287" s="406"/>
      <c r="K287" s="406">
        <f>'RAB Pasang'!K287*60%</f>
        <v>270000</v>
      </c>
      <c r="L287" s="469">
        <f t="shared" si="30"/>
        <v>0</v>
      </c>
      <c r="M287" s="469">
        <f t="shared" si="31"/>
        <v>0</v>
      </c>
      <c r="N287" s="470">
        <f t="shared" si="32"/>
        <v>0</v>
      </c>
    </row>
    <row r="288" spans="1:14" ht="13.2" customHeight="1" x14ac:dyDescent="0.3">
      <c r="A288" s="401"/>
      <c r="B288" s="408"/>
      <c r="C288" s="390" t="s">
        <v>652</v>
      </c>
      <c r="D288" s="390" t="s">
        <v>659</v>
      </c>
      <c r="E288" s="367" t="s">
        <v>596</v>
      </c>
      <c r="F288" s="537"/>
      <c r="G288" s="537"/>
      <c r="H288" s="537"/>
      <c r="I288" s="466"/>
      <c r="J288" s="372"/>
      <c r="K288" s="372">
        <f>'RAB Pasang'!K288*60%</f>
        <v>810000</v>
      </c>
      <c r="L288" s="387">
        <f t="shared" si="30"/>
        <v>0</v>
      </c>
      <c r="M288" s="387">
        <f t="shared" si="31"/>
        <v>0</v>
      </c>
      <c r="N288" s="422">
        <f t="shared" si="32"/>
        <v>0</v>
      </c>
    </row>
    <row r="289" spans="1:14" ht="13.2" customHeight="1" x14ac:dyDescent="0.3">
      <c r="A289" s="401"/>
      <c r="B289" s="403" t="s">
        <v>1925</v>
      </c>
      <c r="C289" s="404" t="s">
        <v>652</v>
      </c>
      <c r="D289" s="404" t="s">
        <v>630</v>
      </c>
      <c r="E289" s="405" t="s">
        <v>596</v>
      </c>
      <c r="F289" s="564"/>
      <c r="G289" s="564"/>
      <c r="H289" s="564"/>
      <c r="I289" s="542"/>
      <c r="J289" s="406"/>
      <c r="K289" s="406">
        <f>'RAB Pasang'!K289*60%</f>
        <v>270000</v>
      </c>
      <c r="L289" s="469">
        <f t="shared" si="30"/>
        <v>0</v>
      </c>
      <c r="M289" s="469">
        <f t="shared" si="31"/>
        <v>0</v>
      </c>
      <c r="N289" s="470">
        <f t="shared" si="32"/>
        <v>0</v>
      </c>
    </row>
    <row r="290" spans="1:14" ht="13.2" customHeight="1" x14ac:dyDescent="0.3">
      <c r="A290" s="410"/>
      <c r="B290" s="408"/>
      <c r="C290" s="390" t="s">
        <v>652</v>
      </c>
      <c r="D290" s="390" t="s">
        <v>1569</v>
      </c>
      <c r="E290" s="391" t="s">
        <v>596</v>
      </c>
      <c r="F290" s="562"/>
      <c r="G290" s="562"/>
      <c r="H290" s="562"/>
      <c r="I290" s="541"/>
      <c r="J290" s="409"/>
      <c r="K290" s="409">
        <f>'RAB Pasang'!K290*60%</f>
        <v>972000</v>
      </c>
      <c r="L290" s="471">
        <f t="shared" si="30"/>
        <v>0</v>
      </c>
      <c r="M290" s="471">
        <f t="shared" si="31"/>
        <v>0</v>
      </c>
      <c r="N290" s="472">
        <f t="shared" si="32"/>
        <v>0</v>
      </c>
    </row>
    <row r="291" spans="1:14" ht="13.2" customHeight="1" x14ac:dyDescent="0.3">
      <c r="A291" s="397">
        <v>9</v>
      </c>
      <c r="B291" s="398" t="s">
        <v>1577</v>
      </c>
      <c r="C291" s="371"/>
      <c r="D291" s="371"/>
      <c r="E291" s="367"/>
      <c r="F291" s="537"/>
      <c r="G291" s="537"/>
      <c r="H291" s="537"/>
      <c r="I291" s="466">
        <f t="shared" ref="I291" si="33">SUM(F291:H291)</f>
        <v>0</v>
      </c>
      <c r="J291" s="372"/>
      <c r="K291" s="406"/>
      <c r="L291" s="387">
        <f t="shared" si="30"/>
        <v>0</v>
      </c>
      <c r="M291" s="387">
        <f t="shared" si="31"/>
        <v>0</v>
      </c>
      <c r="N291" s="422">
        <f t="shared" si="32"/>
        <v>0</v>
      </c>
    </row>
    <row r="292" spans="1:14" ht="13.2" customHeight="1" x14ac:dyDescent="0.3">
      <c r="A292" s="401"/>
      <c r="B292" s="402" t="s">
        <v>1828</v>
      </c>
      <c r="C292" s="371" t="s">
        <v>650</v>
      </c>
      <c r="D292" s="371" t="s">
        <v>651</v>
      </c>
      <c r="E292" s="367" t="s">
        <v>235</v>
      </c>
      <c r="F292" s="539"/>
      <c r="G292" s="539"/>
      <c r="H292" s="527">
        <f>IF(REKAP!$Q$9="Kota Kupang",H$24,0)</f>
        <v>0</v>
      </c>
      <c r="I292" s="372">
        <f t="shared" ref="I292:I323" si="34">SUM(F292:H292)</f>
        <v>0</v>
      </c>
      <c r="J292" s="372"/>
      <c r="K292" s="372">
        <f>'RAB Pasang'!K292*60%</f>
        <v>146400</v>
      </c>
      <c r="L292" s="387">
        <f t="shared" ref="L292:L323" si="35">J292*I292</f>
        <v>0</v>
      </c>
      <c r="M292" s="387">
        <f t="shared" ref="M292:M323" si="36">K292*I292</f>
        <v>0</v>
      </c>
      <c r="N292" s="422">
        <f t="shared" ref="N292:N323" si="37">SUM(L292:M292)</f>
        <v>0</v>
      </c>
    </row>
    <row r="293" spans="1:14" ht="13.2" customHeight="1" x14ac:dyDescent="0.3">
      <c r="A293" s="401"/>
      <c r="B293" s="402"/>
      <c r="C293" s="371" t="s">
        <v>652</v>
      </c>
      <c r="D293" s="371" t="s">
        <v>651</v>
      </c>
      <c r="E293" s="367" t="s">
        <v>235</v>
      </c>
      <c r="F293" s="539"/>
      <c r="G293" s="539"/>
      <c r="H293" s="527">
        <f>IF(REKAP!$Q$9=$D293,H$24,0)</f>
        <v>0</v>
      </c>
      <c r="I293" s="372">
        <f t="shared" si="34"/>
        <v>0</v>
      </c>
      <c r="J293" s="372"/>
      <c r="K293" s="372">
        <f>'RAB Pasang'!K293*60%</f>
        <v>172800</v>
      </c>
      <c r="L293" s="387">
        <f t="shared" si="35"/>
        <v>0</v>
      </c>
      <c r="M293" s="387">
        <f t="shared" si="36"/>
        <v>0</v>
      </c>
      <c r="N293" s="422">
        <f t="shared" si="37"/>
        <v>0</v>
      </c>
    </row>
    <row r="294" spans="1:14" ht="13.2" customHeight="1" x14ac:dyDescent="0.3">
      <c r="A294" s="401"/>
      <c r="B294" s="402"/>
      <c r="C294" s="371" t="s">
        <v>652</v>
      </c>
      <c r="D294" s="371" t="s">
        <v>653</v>
      </c>
      <c r="E294" s="367" t="s">
        <v>235</v>
      </c>
      <c r="F294" s="539"/>
      <c r="G294" s="539"/>
      <c r="H294" s="527">
        <f>IF(REKAP!$Q$9=$D294,H$24,0)</f>
        <v>0</v>
      </c>
      <c r="I294" s="372">
        <f t="shared" si="34"/>
        <v>0</v>
      </c>
      <c r="J294" s="372"/>
      <c r="K294" s="372">
        <f>'RAB Pasang'!K294*60%</f>
        <v>173400</v>
      </c>
      <c r="L294" s="387">
        <f t="shared" si="35"/>
        <v>0</v>
      </c>
      <c r="M294" s="387">
        <f t="shared" si="36"/>
        <v>0</v>
      </c>
      <c r="N294" s="422">
        <f t="shared" si="37"/>
        <v>0</v>
      </c>
    </row>
    <row r="295" spans="1:14" ht="13.2" customHeight="1" x14ac:dyDescent="0.3">
      <c r="A295" s="401"/>
      <c r="B295" s="402"/>
      <c r="C295" s="371" t="s">
        <v>652</v>
      </c>
      <c r="D295" s="371" t="s">
        <v>654</v>
      </c>
      <c r="E295" s="367" t="s">
        <v>235</v>
      </c>
      <c r="F295" s="539"/>
      <c r="G295" s="539"/>
      <c r="H295" s="527">
        <f>IF(REKAP!$Q$9=$D295,H$24,0)</f>
        <v>0</v>
      </c>
      <c r="I295" s="372">
        <f t="shared" si="34"/>
        <v>0</v>
      </c>
      <c r="J295" s="372"/>
      <c r="K295" s="372">
        <f>'RAB Pasang'!K295*60%</f>
        <v>183000</v>
      </c>
      <c r="L295" s="387">
        <f t="shared" si="35"/>
        <v>0</v>
      </c>
      <c r="M295" s="387">
        <f t="shared" si="36"/>
        <v>0</v>
      </c>
      <c r="N295" s="422">
        <f t="shared" si="37"/>
        <v>0</v>
      </c>
    </row>
    <row r="296" spans="1:14" ht="13.2" customHeight="1" x14ac:dyDescent="0.3">
      <c r="A296" s="401"/>
      <c r="B296" s="402"/>
      <c r="C296" s="371" t="s">
        <v>652</v>
      </c>
      <c r="D296" s="371" t="s">
        <v>655</v>
      </c>
      <c r="E296" s="367" t="s">
        <v>235</v>
      </c>
      <c r="F296" s="539"/>
      <c r="G296" s="539"/>
      <c r="H296" s="527"/>
      <c r="I296" s="372">
        <f t="shared" si="34"/>
        <v>0</v>
      </c>
      <c r="J296" s="372"/>
      <c r="K296" s="372">
        <f>'RAB Pasang'!K296*60%</f>
        <v>211200</v>
      </c>
      <c r="L296" s="387">
        <f t="shared" si="35"/>
        <v>0</v>
      </c>
      <c r="M296" s="387">
        <f t="shared" si="36"/>
        <v>0</v>
      </c>
      <c r="N296" s="422">
        <f t="shared" si="37"/>
        <v>0</v>
      </c>
    </row>
    <row r="297" spans="1:14" ht="13.2" customHeight="1" x14ac:dyDescent="0.3">
      <c r="A297" s="401"/>
      <c r="B297" s="402"/>
      <c r="C297" s="371" t="s">
        <v>652</v>
      </c>
      <c r="D297" s="371" t="s">
        <v>656</v>
      </c>
      <c r="E297" s="367" t="s">
        <v>235</v>
      </c>
      <c r="F297" s="539"/>
      <c r="G297" s="539"/>
      <c r="H297" s="527"/>
      <c r="I297" s="372">
        <f t="shared" si="34"/>
        <v>0</v>
      </c>
      <c r="J297" s="372"/>
      <c r="K297" s="372">
        <f>'RAB Pasang'!K297*60%</f>
        <v>225600</v>
      </c>
      <c r="L297" s="387">
        <f t="shared" si="35"/>
        <v>0</v>
      </c>
      <c r="M297" s="387">
        <f t="shared" si="36"/>
        <v>0</v>
      </c>
      <c r="N297" s="422">
        <f t="shared" si="37"/>
        <v>0</v>
      </c>
    </row>
    <row r="298" spans="1:14" ht="13.2" customHeight="1" x14ac:dyDescent="0.3">
      <c r="A298" s="401"/>
      <c r="B298" s="402"/>
      <c r="C298" s="371" t="s">
        <v>652</v>
      </c>
      <c r="D298" s="371" t="s">
        <v>657</v>
      </c>
      <c r="E298" s="367" t="s">
        <v>235</v>
      </c>
      <c r="F298" s="539"/>
      <c r="G298" s="539"/>
      <c r="H298" s="527"/>
      <c r="I298" s="372">
        <f t="shared" si="34"/>
        <v>0</v>
      </c>
      <c r="J298" s="372"/>
      <c r="K298" s="372">
        <f>'RAB Pasang'!K298*60%</f>
        <v>225600</v>
      </c>
      <c r="L298" s="387">
        <f t="shared" si="35"/>
        <v>0</v>
      </c>
      <c r="M298" s="387">
        <f t="shared" si="36"/>
        <v>0</v>
      </c>
      <c r="N298" s="422">
        <f t="shared" si="37"/>
        <v>0</v>
      </c>
    </row>
    <row r="299" spans="1:14" ht="13.2" customHeight="1" x14ac:dyDescent="0.3">
      <c r="A299" s="401"/>
      <c r="B299" s="402"/>
      <c r="C299" s="371" t="s">
        <v>652</v>
      </c>
      <c r="D299" s="371" t="s">
        <v>658</v>
      </c>
      <c r="E299" s="367" t="s">
        <v>235</v>
      </c>
      <c r="F299" s="539"/>
      <c r="G299" s="539"/>
      <c r="H299" s="527"/>
      <c r="I299" s="372">
        <f t="shared" si="34"/>
        <v>0</v>
      </c>
      <c r="J299" s="372"/>
      <c r="K299" s="372">
        <f>'RAB Pasang'!K299*60%</f>
        <v>283200</v>
      </c>
      <c r="L299" s="387">
        <f t="shared" si="35"/>
        <v>0</v>
      </c>
      <c r="M299" s="387">
        <f t="shared" si="36"/>
        <v>0</v>
      </c>
      <c r="N299" s="422">
        <f t="shared" si="37"/>
        <v>0</v>
      </c>
    </row>
    <row r="300" spans="1:14" ht="13.2" customHeight="1" x14ac:dyDescent="0.3">
      <c r="A300" s="401"/>
      <c r="B300" s="402"/>
      <c r="C300" s="371" t="s">
        <v>652</v>
      </c>
      <c r="D300" s="371" t="s">
        <v>659</v>
      </c>
      <c r="E300" s="367" t="s">
        <v>235</v>
      </c>
      <c r="F300" s="539"/>
      <c r="G300" s="539"/>
      <c r="H300" s="527"/>
      <c r="I300" s="372">
        <f t="shared" si="34"/>
        <v>0</v>
      </c>
      <c r="J300" s="372"/>
      <c r="K300" s="372">
        <f>'RAB Pasang'!K300*60%</f>
        <v>502200</v>
      </c>
      <c r="L300" s="387">
        <f t="shared" si="35"/>
        <v>0</v>
      </c>
      <c r="M300" s="387">
        <f t="shared" si="36"/>
        <v>0</v>
      </c>
      <c r="N300" s="422">
        <f t="shared" si="37"/>
        <v>0</v>
      </c>
    </row>
    <row r="301" spans="1:14" ht="13.2" customHeight="1" x14ac:dyDescent="0.3">
      <c r="A301" s="401"/>
      <c r="B301" s="402"/>
      <c r="C301" s="371" t="s">
        <v>652</v>
      </c>
      <c r="D301" s="371" t="s">
        <v>660</v>
      </c>
      <c r="E301" s="367" t="s">
        <v>235</v>
      </c>
      <c r="F301" s="539"/>
      <c r="G301" s="539"/>
      <c r="H301" s="527"/>
      <c r="I301" s="372">
        <f t="shared" si="34"/>
        <v>0</v>
      </c>
      <c r="J301" s="372"/>
      <c r="K301" s="372">
        <f>'RAB Pasang'!K301*60%</f>
        <v>353400</v>
      </c>
      <c r="L301" s="387">
        <f t="shared" si="35"/>
        <v>0</v>
      </c>
      <c r="M301" s="387">
        <f t="shared" si="36"/>
        <v>0</v>
      </c>
      <c r="N301" s="422">
        <f t="shared" si="37"/>
        <v>0</v>
      </c>
    </row>
    <row r="302" spans="1:14" ht="13.2" customHeight="1" x14ac:dyDescent="0.3">
      <c r="A302" s="401"/>
      <c r="B302" s="402"/>
      <c r="C302" s="371" t="s">
        <v>652</v>
      </c>
      <c r="D302" s="371" t="s">
        <v>661</v>
      </c>
      <c r="E302" s="367" t="s">
        <v>235</v>
      </c>
      <c r="F302" s="539"/>
      <c r="G302" s="539"/>
      <c r="H302" s="527"/>
      <c r="I302" s="372">
        <f t="shared" si="34"/>
        <v>0</v>
      </c>
      <c r="J302" s="372"/>
      <c r="K302" s="372">
        <f>'RAB Pasang'!K302*60%</f>
        <v>607200</v>
      </c>
      <c r="L302" s="387">
        <f t="shared" si="35"/>
        <v>0</v>
      </c>
      <c r="M302" s="387">
        <f t="shared" si="36"/>
        <v>0</v>
      </c>
      <c r="N302" s="422">
        <f t="shared" si="37"/>
        <v>0</v>
      </c>
    </row>
    <row r="303" spans="1:14" ht="13.2" customHeight="1" x14ac:dyDescent="0.3">
      <c r="A303" s="401"/>
      <c r="B303" s="402"/>
      <c r="C303" s="371" t="s">
        <v>652</v>
      </c>
      <c r="D303" s="371" t="s">
        <v>662</v>
      </c>
      <c r="E303" s="367" t="s">
        <v>235</v>
      </c>
      <c r="F303" s="539"/>
      <c r="G303" s="539"/>
      <c r="H303" s="527"/>
      <c r="I303" s="372">
        <f t="shared" si="34"/>
        <v>0</v>
      </c>
      <c r="J303" s="372"/>
      <c r="K303" s="372">
        <f>'RAB Pasang'!K303*60%</f>
        <v>510600</v>
      </c>
      <c r="L303" s="387">
        <f t="shared" si="35"/>
        <v>0</v>
      </c>
      <c r="M303" s="387">
        <f t="shared" si="36"/>
        <v>0</v>
      </c>
      <c r="N303" s="422">
        <f t="shared" si="37"/>
        <v>0</v>
      </c>
    </row>
    <row r="304" spans="1:14" ht="13.2" customHeight="1" x14ac:dyDescent="0.3">
      <c r="A304" s="401"/>
      <c r="B304" s="402"/>
      <c r="C304" s="371" t="s">
        <v>652</v>
      </c>
      <c r="D304" s="371" t="s">
        <v>663</v>
      </c>
      <c r="E304" s="367" t="s">
        <v>235</v>
      </c>
      <c r="F304" s="539"/>
      <c r="G304" s="539"/>
      <c r="H304" s="527"/>
      <c r="I304" s="372">
        <f t="shared" si="34"/>
        <v>0</v>
      </c>
      <c r="J304" s="372"/>
      <c r="K304" s="372">
        <f>'RAB Pasang'!K304*60%</f>
        <v>728400</v>
      </c>
      <c r="L304" s="387">
        <f t="shared" si="35"/>
        <v>0</v>
      </c>
      <c r="M304" s="387">
        <f t="shared" si="36"/>
        <v>0</v>
      </c>
      <c r="N304" s="422">
        <f t="shared" si="37"/>
        <v>0</v>
      </c>
    </row>
    <row r="305" spans="1:14" ht="13.2" customHeight="1" x14ac:dyDescent="0.3">
      <c r="A305" s="401"/>
      <c r="B305" s="402"/>
      <c r="C305" s="373" t="s">
        <v>652</v>
      </c>
      <c r="D305" s="373" t="s">
        <v>664</v>
      </c>
      <c r="E305" s="374" t="s">
        <v>235</v>
      </c>
      <c r="F305" s="571"/>
      <c r="G305" s="571"/>
      <c r="H305" s="527">
        <f>IF(REKAP!$Q$9=$D305,H$24,0)</f>
        <v>0</v>
      </c>
      <c r="I305" s="375">
        <f t="shared" si="34"/>
        <v>0</v>
      </c>
      <c r="J305" s="375"/>
      <c r="K305" s="409">
        <f>'RAB Pasang'!K305*60%</f>
        <v>187800</v>
      </c>
      <c r="L305" s="399">
        <f t="shared" si="35"/>
        <v>0</v>
      </c>
      <c r="M305" s="399">
        <f t="shared" si="36"/>
        <v>0</v>
      </c>
      <c r="N305" s="400">
        <f t="shared" si="37"/>
        <v>0</v>
      </c>
    </row>
    <row r="306" spans="1:14" ht="13.2" customHeight="1" x14ac:dyDescent="0.3">
      <c r="A306" s="401"/>
      <c r="B306" s="403" t="s">
        <v>1824</v>
      </c>
      <c r="C306" s="404" t="s">
        <v>652</v>
      </c>
      <c r="D306" s="404" t="s">
        <v>655</v>
      </c>
      <c r="E306" s="405" t="s">
        <v>235</v>
      </c>
      <c r="F306" s="576"/>
      <c r="G306" s="576"/>
      <c r="H306" s="406">
        <f>IF(REKAP!$Q$9=$D306,H$24,0)</f>
        <v>0</v>
      </c>
      <c r="I306" s="406">
        <f t="shared" si="34"/>
        <v>0</v>
      </c>
      <c r="J306" s="406"/>
      <c r="K306" s="406">
        <f>'RAB Pasang'!K306*60%</f>
        <v>182400</v>
      </c>
      <c r="L306" s="469">
        <f t="shared" si="35"/>
        <v>0</v>
      </c>
      <c r="M306" s="469">
        <f t="shared" si="36"/>
        <v>0</v>
      </c>
      <c r="N306" s="470">
        <f t="shared" si="37"/>
        <v>0</v>
      </c>
    </row>
    <row r="307" spans="1:14" ht="13.2" customHeight="1" x14ac:dyDescent="0.3">
      <c r="A307" s="401"/>
      <c r="B307" s="407"/>
      <c r="C307" s="371" t="s">
        <v>652</v>
      </c>
      <c r="D307" s="371" t="s">
        <v>656</v>
      </c>
      <c r="E307" s="367" t="s">
        <v>235</v>
      </c>
      <c r="F307" s="539"/>
      <c r="G307" s="539"/>
      <c r="H307" s="372">
        <f>IF(REKAP!$Q$9=$D307,H$24,0)</f>
        <v>0</v>
      </c>
      <c r="I307" s="372">
        <f t="shared" si="34"/>
        <v>0</v>
      </c>
      <c r="J307" s="372"/>
      <c r="K307" s="372">
        <f>'RAB Pasang'!K307*60%</f>
        <v>151200</v>
      </c>
      <c r="L307" s="387">
        <f t="shared" si="35"/>
        <v>0</v>
      </c>
      <c r="M307" s="387">
        <f t="shared" si="36"/>
        <v>0</v>
      </c>
      <c r="N307" s="422">
        <f t="shared" si="37"/>
        <v>0</v>
      </c>
    </row>
    <row r="308" spans="1:14" ht="13.2" customHeight="1" x14ac:dyDescent="0.3">
      <c r="A308" s="401"/>
      <c r="B308" s="408"/>
      <c r="C308" s="390" t="s">
        <v>652</v>
      </c>
      <c r="D308" s="390" t="s">
        <v>657</v>
      </c>
      <c r="E308" s="391" t="s">
        <v>235</v>
      </c>
      <c r="F308" s="577"/>
      <c r="G308" s="577"/>
      <c r="H308" s="409">
        <f>IF(REKAP!$Q$9=$D308,H$24,0)</f>
        <v>0</v>
      </c>
      <c r="I308" s="409">
        <f t="shared" si="34"/>
        <v>0</v>
      </c>
      <c r="J308" s="409"/>
      <c r="K308" s="409">
        <f>'RAB Pasang'!K308*60%</f>
        <v>174600</v>
      </c>
      <c r="L308" s="471">
        <f t="shared" si="35"/>
        <v>0</v>
      </c>
      <c r="M308" s="471">
        <f t="shared" si="36"/>
        <v>0</v>
      </c>
      <c r="N308" s="472">
        <f t="shared" si="37"/>
        <v>0</v>
      </c>
    </row>
    <row r="309" spans="1:14" ht="13.2" customHeight="1" x14ac:dyDescent="0.3">
      <c r="A309" s="401"/>
      <c r="B309" s="403" t="s">
        <v>1825</v>
      </c>
      <c r="C309" s="404" t="s">
        <v>652</v>
      </c>
      <c r="D309" s="371" t="s">
        <v>662</v>
      </c>
      <c r="E309" s="405" t="s">
        <v>235</v>
      </c>
      <c r="F309" s="576"/>
      <c r="G309" s="576"/>
      <c r="H309" s="406">
        <f>IF(REKAP!$Q$9=$D309,H$24,0)</f>
        <v>0</v>
      </c>
      <c r="I309" s="406">
        <f t="shared" si="34"/>
        <v>0</v>
      </c>
      <c r="J309" s="406"/>
      <c r="K309" s="406">
        <f>'RAB Pasang'!K309*60%</f>
        <v>151800</v>
      </c>
      <c r="L309" s="469">
        <f t="shared" si="35"/>
        <v>0</v>
      </c>
      <c r="M309" s="469">
        <f t="shared" si="36"/>
        <v>0</v>
      </c>
      <c r="N309" s="470">
        <f t="shared" si="37"/>
        <v>0</v>
      </c>
    </row>
    <row r="310" spans="1:14" ht="13.2" customHeight="1" x14ac:dyDescent="0.3">
      <c r="A310" s="401"/>
      <c r="B310" s="407"/>
      <c r="C310" s="373" t="s">
        <v>652</v>
      </c>
      <c r="D310" s="373" t="s">
        <v>663</v>
      </c>
      <c r="E310" s="374" t="s">
        <v>235</v>
      </c>
      <c r="F310" s="571"/>
      <c r="G310" s="571"/>
      <c r="H310" s="372">
        <f>IF(REKAP!$Q$9=$D310,H$24,0)</f>
        <v>0</v>
      </c>
      <c r="I310" s="372">
        <f t="shared" si="34"/>
        <v>0</v>
      </c>
      <c r="J310" s="372"/>
      <c r="K310" s="409">
        <f>'RAB Pasang'!K310*60%</f>
        <v>278400</v>
      </c>
      <c r="L310" s="387">
        <f t="shared" si="35"/>
        <v>0</v>
      </c>
      <c r="M310" s="387">
        <f t="shared" si="36"/>
        <v>0</v>
      </c>
      <c r="N310" s="422">
        <f t="shared" si="37"/>
        <v>0</v>
      </c>
    </row>
    <row r="311" spans="1:14" ht="13.2" customHeight="1" x14ac:dyDescent="0.3">
      <c r="A311" s="401"/>
      <c r="B311" s="403" t="s">
        <v>1826</v>
      </c>
      <c r="C311" s="404" t="s">
        <v>652</v>
      </c>
      <c r="D311" s="404" t="s">
        <v>658</v>
      </c>
      <c r="E311" s="405" t="s">
        <v>235</v>
      </c>
      <c r="F311" s="576"/>
      <c r="G311" s="576"/>
      <c r="H311" s="406">
        <f>IF(REKAP!$Q$9=$D311,H$24,0)</f>
        <v>0</v>
      </c>
      <c r="I311" s="406">
        <f t="shared" si="34"/>
        <v>0</v>
      </c>
      <c r="J311" s="406"/>
      <c r="K311" s="406">
        <f>'RAB Pasang'!K311*60%</f>
        <v>149400</v>
      </c>
      <c r="L311" s="469">
        <f t="shared" si="35"/>
        <v>0</v>
      </c>
      <c r="M311" s="469">
        <f t="shared" si="36"/>
        <v>0</v>
      </c>
      <c r="N311" s="470">
        <f t="shared" si="37"/>
        <v>0</v>
      </c>
    </row>
    <row r="312" spans="1:14" ht="13.2" customHeight="1" x14ac:dyDescent="0.3">
      <c r="A312" s="401"/>
      <c r="B312" s="407"/>
      <c r="C312" s="390" t="s">
        <v>652</v>
      </c>
      <c r="D312" s="390" t="s">
        <v>659</v>
      </c>
      <c r="E312" s="391" t="s">
        <v>235</v>
      </c>
      <c r="F312" s="571"/>
      <c r="G312" s="571"/>
      <c r="H312" s="372">
        <f>IF(REKAP!$Q$9=$D312,H$24,0)</f>
        <v>0</v>
      </c>
      <c r="I312" s="372">
        <f t="shared" si="34"/>
        <v>0</v>
      </c>
      <c r="J312" s="372"/>
      <c r="K312" s="409">
        <f>'RAB Pasang'!K312*60%</f>
        <v>232200</v>
      </c>
      <c r="L312" s="387">
        <f t="shared" si="35"/>
        <v>0</v>
      </c>
      <c r="M312" s="387">
        <f t="shared" si="36"/>
        <v>0</v>
      </c>
      <c r="N312" s="422">
        <f t="shared" si="37"/>
        <v>0</v>
      </c>
    </row>
    <row r="313" spans="1:14" ht="13.2" customHeight="1" x14ac:dyDescent="0.3">
      <c r="A313" s="401"/>
      <c r="B313" s="403" t="s">
        <v>1827</v>
      </c>
      <c r="C313" s="404" t="s">
        <v>652</v>
      </c>
      <c r="D313" s="404" t="s">
        <v>630</v>
      </c>
      <c r="E313" s="405" t="s">
        <v>235</v>
      </c>
      <c r="F313" s="576"/>
      <c r="G313" s="576"/>
      <c r="H313" s="406">
        <f>IF(REKAP!$Q$9=$D313,H$24,0)</f>
        <v>0</v>
      </c>
      <c r="I313" s="406">
        <f t="shared" si="34"/>
        <v>0</v>
      </c>
      <c r="J313" s="406"/>
      <c r="K313" s="369">
        <f>'RAB Pasang'!K313*60%</f>
        <v>149400</v>
      </c>
      <c r="L313" s="469">
        <f t="shared" si="35"/>
        <v>0</v>
      </c>
      <c r="M313" s="469">
        <f t="shared" si="36"/>
        <v>0</v>
      </c>
      <c r="N313" s="470">
        <f t="shared" si="37"/>
        <v>0</v>
      </c>
    </row>
    <row r="314" spans="1:14" ht="13.2" customHeight="1" x14ac:dyDescent="0.3">
      <c r="A314" s="410"/>
      <c r="B314" s="408"/>
      <c r="C314" s="390" t="s">
        <v>652</v>
      </c>
      <c r="D314" s="390" t="s">
        <v>1569</v>
      </c>
      <c r="E314" s="391" t="s">
        <v>235</v>
      </c>
      <c r="F314" s="577"/>
      <c r="G314" s="577"/>
      <c r="H314" s="409">
        <f>IF(REKAP!$Q$9=$D314,H$24,0)</f>
        <v>0</v>
      </c>
      <c r="I314" s="409">
        <f t="shared" si="34"/>
        <v>0</v>
      </c>
      <c r="J314" s="409"/>
      <c r="K314" s="409">
        <f>'RAB Pasang'!K314*60%</f>
        <v>269400</v>
      </c>
      <c r="L314" s="471">
        <f t="shared" si="35"/>
        <v>0</v>
      </c>
      <c r="M314" s="471">
        <f t="shared" si="36"/>
        <v>0</v>
      </c>
      <c r="N314" s="472">
        <f t="shared" si="37"/>
        <v>0</v>
      </c>
    </row>
    <row r="315" spans="1:14" ht="13.2" customHeight="1" x14ac:dyDescent="0.3">
      <c r="A315" s="397">
        <v>8</v>
      </c>
      <c r="B315" s="398" t="s">
        <v>1576</v>
      </c>
      <c r="C315" s="371"/>
      <c r="D315" s="371"/>
      <c r="E315" s="367"/>
      <c r="F315" s="527"/>
      <c r="G315" s="527"/>
      <c r="H315" s="527"/>
      <c r="I315" s="372">
        <f t="shared" si="34"/>
        <v>0</v>
      </c>
      <c r="J315" s="372"/>
      <c r="K315" s="369"/>
      <c r="L315" s="387">
        <f t="shared" si="35"/>
        <v>0</v>
      </c>
      <c r="M315" s="387">
        <f t="shared" si="36"/>
        <v>0</v>
      </c>
      <c r="N315" s="422">
        <f t="shared" si="37"/>
        <v>0</v>
      </c>
    </row>
    <row r="316" spans="1:14" ht="13.2" customHeight="1" x14ac:dyDescent="0.3">
      <c r="A316" s="401"/>
      <c r="B316" s="402" t="s">
        <v>1828</v>
      </c>
      <c r="C316" s="371" t="s">
        <v>650</v>
      </c>
      <c r="D316" s="371" t="s">
        <v>651</v>
      </c>
      <c r="E316" s="367" t="s">
        <v>235</v>
      </c>
      <c r="F316" s="539"/>
      <c r="G316" s="539"/>
      <c r="H316" s="527">
        <f>IF(REKAP!$Q$9="Kota Kupang",H$25,0)</f>
        <v>0</v>
      </c>
      <c r="I316" s="372">
        <f t="shared" si="34"/>
        <v>0</v>
      </c>
      <c r="J316" s="372"/>
      <c r="K316" s="372">
        <f>'RAB Pasang'!K316*60%</f>
        <v>226800</v>
      </c>
      <c r="L316" s="387">
        <f t="shared" si="35"/>
        <v>0</v>
      </c>
      <c r="M316" s="387">
        <f t="shared" si="36"/>
        <v>0</v>
      </c>
      <c r="N316" s="422">
        <f t="shared" si="37"/>
        <v>0</v>
      </c>
    </row>
    <row r="317" spans="1:14" ht="13.2" customHeight="1" x14ac:dyDescent="0.3">
      <c r="A317" s="401"/>
      <c r="B317" s="402"/>
      <c r="C317" s="371" t="s">
        <v>652</v>
      </c>
      <c r="D317" s="371" t="s">
        <v>651</v>
      </c>
      <c r="E317" s="367" t="s">
        <v>235</v>
      </c>
      <c r="F317" s="539"/>
      <c r="G317" s="539"/>
      <c r="H317" s="527">
        <f>IF(REKAP!$Q$9=$D317,H$25,0)</f>
        <v>0</v>
      </c>
      <c r="I317" s="372">
        <f t="shared" si="34"/>
        <v>0</v>
      </c>
      <c r="J317" s="372"/>
      <c r="K317" s="372">
        <f>'RAB Pasang'!K317*60%</f>
        <v>237600</v>
      </c>
      <c r="L317" s="387">
        <f t="shared" si="35"/>
        <v>0</v>
      </c>
      <c r="M317" s="387">
        <f t="shared" si="36"/>
        <v>0</v>
      </c>
      <c r="N317" s="422">
        <f t="shared" si="37"/>
        <v>0</v>
      </c>
    </row>
    <row r="318" spans="1:14" ht="13.2" customHeight="1" x14ac:dyDescent="0.3">
      <c r="A318" s="401"/>
      <c r="B318" s="402"/>
      <c r="C318" s="371" t="s">
        <v>652</v>
      </c>
      <c r="D318" s="371" t="s">
        <v>653</v>
      </c>
      <c r="E318" s="367" t="s">
        <v>235</v>
      </c>
      <c r="F318" s="539"/>
      <c r="G318" s="539"/>
      <c r="H318" s="527">
        <f>IF(REKAP!$Q$9=$D318,H$25,0)</f>
        <v>0</v>
      </c>
      <c r="I318" s="372">
        <f t="shared" si="34"/>
        <v>0</v>
      </c>
      <c r="J318" s="372"/>
      <c r="K318" s="372">
        <f>'RAB Pasang'!K318*60%</f>
        <v>216000</v>
      </c>
      <c r="L318" s="387">
        <f t="shared" si="35"/>
        <v>0</v>
      </c>
      <c r="M318" s="387">
        <f t="shared" si="36"/>
        <v>0</v>
      </c>
      <c r="N318" s="422">
        <f t="shared" si="37"/>
        <v>0</v>
      </c>
    </row>
    <row r="319" spans="1:14" ht="13.2" customHeight="1" x14ac:dyDescent="0.3">
      <c r="A319" s="401"/>
      <c r="B319" s="402"/>
      <c r="C319" s="371" t="s">
        <v>652</v>
      </c>
      <c r="D319" s="371" t="s">
        <v>654</v>
      </c>
      <c r="E319" s="367" t="s">
        <v>235</v>
      </c>
      <c r="F319" s="539"/>
      <c r="G319" s="539"/>
      <c r="H319" s="527">
        <f>IF(REKAP!$Q$9=$D319,H$25,0)</f>
        <v>0</v>
      </c>
      <c r="I319" s="372">
        <f t="shared" si="34"/>
        <v>0</v>
      </c>
      <c r="J319" s="372"/>
      <c r="K319" s="372">
        <f>'RAB Pasang'!K319*60%</f>
        <v>259200</v>
      </c>
      <c r="L319" s="387">
        <f t="shared" si="35"/>
        <v>0</v>
      </c>
      <c r="M319" s="387">
        <f t="shared" si="36"/>
        <v>0</v>
      </c>
      <c r="N319" s="422">
        <f t="shared" si="37"/>
        <v>0</v>
      </c>
    </row>
    <row r="320" spans="1:14" ht="13.2" customHeight="1" x14ac:dyDescent="0.3">
      <c r="A320" s="401"/>
      <c r="B320" s="402"/>
      <c r="C320" s="371" t="s">
        <v>652</v>
      </c>
      <c r="D320" s="371" t="s">
        <v>655</v>
      </c>
      <c r="E320" s="367" t="s">
        <v>235</v>
      </c>
      <c r="F320" s="539"/>
      <c r="G320" s="539"/>
      <c r="H320" s="527"/>
      <c r="I320" s="372">
        <f t="shared" si="34"/>
        <v>0</v>
      </c>
      <c r="J320" s="372"/>
      <c r="K320" s="372">
        <f>'RAB Pasang'!K320*60%</f>
        <v>324000</v>
      </c>
      <c r="L320" s="387">
        <f t="shared" si="35"/>
        <v>0</v>
      </c>
      <c r="M320" s="387">
        <f t="shared" si="36"/>
        <v>0</v>
      </c>
      <c r="N320" s="422">
        <f t="shared" si="37"/>
        <v>0</v>
      </c>
    </row>
    <row r="321" spans="1:14" ht="13.2" customHeight="1" x14ac:dyDescent="0.3">
      <c r="A321" s="401"/>
      <c r="B321" s="402"/>
      <c r="C321" s="371" t="s">
        <v>652</v>
      </c>
      <c r="D321" s="371" t="s">
        <v>656</v>
      </c>
      <c r="E321" s="367" t="s">
        <v>235</v>
      </c>
      <c r="F321" s="539"/>
      <c r="G321" s="539"/>
      <c r="H321" s="527"/>
      <c r="I321" s="372">
        <f t="shared" si="34"/>
        <v>0</v>
      </c>
      <c r="J321" s="372"/>
      <c r="K321" s="372">
        <f>'RAB Pasang'!K321*60%</f>
        <v>367200</v>
      </c>
      <c r="L321" s="387">
        <f t="shared" si="35"/>
        <v>0</v>
      </c>
      <c r="M321" s="387">
        <f t="shared" si="36"/>
        <v>0</v>
      </c>
      <c r="N321" s="422">
        <f t="shared" si="37"/>
        <v>0</v>
      </c>
    </row>
    <row r="322" spans="1:14" ht="13.2" customHeight="1" x14ac:dyDescent="0.3">
      <c r="A322" s="401"/>
      <c r="B322" s="402"/>
      <c r="C322" s="371" t="s">
        <v>652</v>
      </c>
      <c r="D322" s="371" t="s">
        <v>657</v>
      </c>
      <c r="E322" s="367" t="s">
        <v>235</v>
      </c>
      <c r="F322" s="539"/>
      <c r="G322" s="539"/>
      <c r="H322" s="527"/>
      <c r="I322" s="372">
        <f t="shared" si="34"/>
        <v>0</v>
      </c>
      <c r="J322" s="372"/>
      <c r="K322" s="372">
        <f>'RAB Pasang'!K322*60%</f>
        <v>367200</v>
      </c>
      <c r="L322" s="387">
        <f t="shared" si="35"/>
        <v>0</v>
      </c>
      <c r="M322" s="387">
        <f t="shared" si="36"/>
        <v>0</v>
      </c>
      <c r="N322" s="422">
        <f t="shared" si="37"/>
        <v>0</v>
      </c>
    </row>
    <row r="323" spans="1:14" ht="13.2" customHeight="1" x14ac:dyDescent="0.3">
      <c r="A323" s="401"/>
      <c r="B323" s="402"/>
      <c r="C323" s="371" t="s">
        <v>652</v>
      </c>
      <c r="D323" s="371" t="s">
        <v>658</v>
      </c>
      <c r="E323" s="367" t="s">
        <v>235</v>
      </c>
      <c r="F323" s="539"/>
      <c r="G323" s="539"/>
      <c r="H323" s="527"/>
      <c r="I323" s="372">
        <f t="shared" si="34"/>
        <v>0</v>
      </c>
      <c r="J323" s="372"/>
      <c r="K323" s="372">
        <f>'RAB Pasang'!K323*60%</f>
        <v>567000</v>
      </c>
      <c r="L323" s="387">
        <f t="shared" si="35"/>
        <v>0</v>
      </c>
      <c r="M323" s="387">
        <f t="shared" si="36"/>
        <v>0</v>
      </c>
      <c r="N323" s="422">
        <f t="shared" si="37"/>
        <v>0</v>
      </c>
    </row>
    <row r="324" spans="1:14" ht="13.2" customHeight="1" x14ac:dyDescent="0.3">
      <c r="A324" s="401"/>
      <c r="B324" s="402"/>
      <c r="C324" s="371" t="s">
        <v>652</v>
      </c>
      <c r="D324" s="371" t="s">
        <v>659</v>
      </c>
      <c r="E324" s="367" t="s">
        <v>235</v>
      </c>
      <c r="F324" s="539"/>
      <c r="G324" s="539"/>
      <c r="H324" s="527"/>
      <c r="I324" s="372">
        <f t="shared" ref="I324:I355" si="38">SUM(F324:H324)</f>
        <v>0</v>
      </c>
      <c r="J324" s="372"/>
      <c r="K324" s="372">
        <f>'RAB Pasang'!K324*60%</f>
        <v>793800</v>
      </c>
      <c r="L324" s="387">
        <f t="shared" ref="L324:L355" si="39">J324*I324</f>
        <v>0</v>
      </c>
      <c r="M324" s="387">
        <f t="shared" ref="M324:M355" si="40">K324*I324</f>
        <v>0</v>
      </c>
      <c r="N324" s="422">
        <f t="shared" ref="N324:N355" si="41">SUM(L324:M324)</f>
        <v>0</v>
      </c>
    </row>
    <row r="325" spans="1:14" ht="13.2" customHeight="1" x14ac:dyDescent="0.3">
      <c r="A325" s="401"/>
      <c r="B325" s="402"/>
      <c r="C325" s="371" t="s">
        <v>652</v>
      </c>
      <c r="D325" s="371" t="s">
        <v>660</v>
      </c>
      <c r="E325" s="367" t="s">
        <v>235</v>
      </c>
      <c r="F325" s="539"/>
      <c r="G325" s="539"/>
      <c r="H325" s="527"/>
      <c r="I325" s="372">
        <f t="shared" si="38"/>
        <v>0</v>
      </c>
      <c r="J325" s="372"/>
      <c r="K325" s="372">
        <f>'RAB Pasang'!K325*60%</f>
        <v>615600</v>
      </c>
      <c r="L325" s="387">
        <f t="shared" si="39"/>
        <v>0</v>
      </c>
      <c r="M325" s="387">
        <f t="shared" si="40"/>
        <v>0</v>
      </c>
      <c r="N325" s="422">
        <f t="shared" si="41"/>
        <v>0</v>
      </c>
    </row>
    <row r="326" spans="1:14" ht="13.2" customHeight="1" x14ac:dyDescent="0.3">
      <c r="A326" s="401"/>
      <c r="B326" s="402"/>
      <c r="C326" s="371" t="s">
        <v>652</v>
      </c>
      <c r="D326" s="371" t="s">
        <v>661</v>
      </c>
      <c r="E326" s="367" t="s">
        <v>235</v>
      </c>
      <c r="F326" s="539"/>
      <c r="G326" s="539"/>
      <c r="H326" s="527"/>
      <c r="I326" s="372">
        <f t="shared" si="38"/>
        <v>0</v>
      </c>
      <c r="J326" s="372"/>
      <c r="K326" s="372">
        <f>'RAB Pasang'!K326*60%</f>
        <v>1101600</v>
      </c>
      <c r="L326" s="387">
        <f t="shared" si="39"/>
        <v>0</v>
      </c>
      <c r="M326" s="387">
        <f t="shared" si="40"/>
        <v>0</v>
      </c>
      <c r="N326" s="422">
        <f t="shared" si="41"/>
        <v>0</v>
      </c>
    </row>
    <row r="327" spans="1:14" ht="13.2" customHeight="1" x14ac:dyDescent="0.3">
      <c r="A327" s="401"/>
      <c r="B327" s="402"/>
      <c r="C327" s="371" t="s">
        <v>652</v>
      </c>
      <c r="D327" s="371" t="s">
        <v>662</v>
      </c>
      <c r="E327" s="367" t="s">
        <v>235</v>
      </c>
      <c r="F327" s="539"/>
      <c r="G327" s="539"/>
      <c r="H327" s="527"/>
      <c r="I327" s="372">
        <f t="shared" si="38"/>
        <v>0</v>
      </c>
      <c r="J327" s="372"/>
      <c r="K327" s="372">
        <f>'RAB Pasang'!K327*60%</f>
        <v>923400</v>
      </c>
      <c r="L327" s="387">
        <f t="shared" si="39"/>
        <v>0</v>
      </c>
      <c r="M327" s="387">
        <f t="shared" si="40"/>
        <v>0</v>
      </c>
      <c r="N327" s="422">
        <f t="shared" si="41"/>
        <v>0</v>
      </c>
    </row>
    <row r="328" spans="1:14" ht="13.2" customHeight="1" x14ac:dyDescent="0.3">
      <c r="A328" s="401"/>
      <c r="B328" s="402"/>
      <c r="C328" s="371" t="s">
        <v>652</v>
      </c>
      <c r="D328" s="371" t="s">
        <v>663</v>
      </c>
      <c r="E328" s="367" t="s">
        <v>235</v>
      </c>
      <c r="F328" s="539"/>
      <c r="G328" s="539"/>
      <c r="H328" s="527"/>
      <c r="I328" s="372">
        <f t="shared" si="38"/>
        <v>0</v>
      </c>
      <c r="J328" s="372"/>
      <c r="K328" s="372">
        <f>'RAB Pasang'!K328*60%</f>
        <v>1620000</v>
      </c>
      <c r="L328" s="387">
        <f t="shared" si="39"/>
        <v>0</v>
      </c>
      <c r="M328" s="387">
        <f t="shared" si="40"/>
        <v>0</v>
      </c>
      <c r="N328" s="422">
        <f t="shared" si="41"/>
        <v>0</v>
      </c>
    </row>
    <row r="329" spans="1:14" ht="13.2" customHeight="1" x14ac:dyDescent="0.3">
      <c r="A329" s="401"/>
      <c r="B329" s="402"/>
      <c r="C329" s="373" t="s">
        <v>652</v>
      </c>
      <c r="D329" s="373" t="s">
        <v>664</v>
      </c>
      <c r="E329" s="374" t="s">
        <v>235</v>
      </c>
      <c r="F329" s="571"/>
      <c r="G329" s="571"/>
      <c r="H329" s="527">
        <f>IF(REKAP!$Q$9=$D329,H$25,0)</f>
        <v>0</v>
      </c>
      <c r="I329" s="375">
        <f t="shared" si="38"/>
        <v>0</v>
      </c>
      <c r="J329" s="375"/>
      <c r="K329" s="375">
        <f>'RAB Pasang'!K329*60%</f>
        <v>243000</v>
      </c>
      <c r="L329" s="399">
        <f t="shared" si="39"/>
        <v>0</v>
      </c>
      <c r="M329" s="399">
        <f t="shared" si="40"/>
        <v>0</v>
      </c>
      <c r="N329" s="400">
        <f t="shared" si="41"/>
        <v>0</v>
      </c>
    </row>
    <row r="330" spans="1:14" ht="13.2" customHeight="1" x14ac:dyDescent="0.3">
      <c r="A330" s="401"/>
      <c r="B330" s="403" t="s">
        <v>1824</v>
      </c>
      <c r="C330" s="404" t="s">
        <v>652</v>
      </c>
      <c r="D330" s="404" t="s">
        <v>655</v>
      </c>
      <c r="E330" s="405" t="s">
        <v>235</v>
      </c>
      <c r="F330" s="576"/>
      <c r="G330" s="576"/>
      <c r="H330" s="406">
        <f>IF(REKAP!$Q$9=$D330,H$25,0)</f>
        <v>0</v>
      </c>
      <c r="I330" s="406">
        <f t="shared" si="38"/>
        <v>0</v>
      </c>
      <c r="J330" s="406"/>
      <c r="K330" s="406">
        <f>'RAB Pasang'!K330*60%</f>
        <v>232200</v>
      </c>
      <c r="L330" s="469">
        <f t="shared" si="39"/>
        <v>0</v>
      </c>
      <c r="M330" s="469">
        <f t="shared" si="40"/>
        <v>0</v>
      </c>
      <c r="N330" s="470">
        <f t="shared" si="41"/>
        <v>0</v>
      </c>
    </row>
    <row r="331" spans="1:14" ht="13.2" customHeight="1" x14ac:dyDescent="0.3">
      <c r="A331" s="401"/>
      <c r="B331" s="407"/>
      <c r="C331" s="371" t="s">
        <v>652</v>
      </c>
      <c r="D331" s="371" t="s">
        <v>656</v>
      </c>
      <c r="E331" s="367" t="s">
        <v>235</v>
      </c>
      <c r="F331" s="539"/>
      <c r="G331" s="539"/>
      <c r="H331" s="372">
        <f>IF(REKAP!$Q$9=$D331,H$25,0)</f>
        <v>0</v>
      </c>
      <c r="I331" s="372">
        <f t="shared" si="38"/>
        <v>0</v>
      </c>
      <c r="J331" s="372"/>
      <c r="K331" s="372">
        <f>'RAB Pasang'!K331*60%</f>
        <v>199800</v>
      </c>
      <c r="L331" s="387">
        <f t="shared" si="39"/>
        <v>0</v>
      </c>
      <c r="M331" s="387">
        <f t="shared" si="40"/>
        <v>0</v>
      </c>
      <c r="N331" s="422">
        <f t="shared" si="41"/>
        <v>0</v>
      </c>
    </row>
    <row r="332" spans="1:14" ht="13.2" customHeight="1" x14ac:dyDescent="0.3">
      <c r="A332" s="401"/>
      <c r="B332" s="408"/>
      <c r="C332" s="390" t="s">
        <v>652</v>
      </c>
      <c r="D332" s="390" t="s">
        <v>657</v>
      </c>
      <c r="E332" s="391" t="s">
        <v>235</v>
      </c>
      <c r="F332" s="577"/>
      <c r="G332" s="577"/>
      <c r="H332" s="409">
        <f>IF(REKAP!$Q$9=$D332,H$25,0)</f>
        <v>0</v>
      </c>
      <c r="I332" s="409">
        <f t="shared" si="38"/>
        <v>0</v>
      </c>
      <c r="J332" s="409"/>
      <c r="K332" s="409">
        <f>'RAB Pasang'!K332*60%</f>
        <v>221400</v>
      </c>
      <c r="L332" s="471">
        <f t="shared" si="39"/>
        <v>0</v>
      </c>
      <c r="M332" s="471">
        <f t="shared" si="40"/>
        <v>0</v>
      </c>
      <c r="N332" s="472">
        <f t="shared" si="41"/>
        <v>0</v>
      </c>
    </row>
    <row r="333" spans="1:14" ht="13.2" customHeight="1" x14ac:dyDescent="0.3">
      <c r="A333" s="401"/>
      <c r="B333" s="403" t="s">
        <v>1825</v>
      </c>
      <c r="C333" s="404" t="s">
        <v>652</v>
      </c>
      <c r="D333" s="371" t="s">
        <v>662</v>
      </c>
      <c r="E333" s="405" t="s">
        <v>235</v>
      </c>
      <c r="F333" s="576"/>
      <c r="G333" s="576"/>
      <c r="H333" s="406">
        <f>IF(REKAP!$Q$9=$D333,H$25,0)</f>
        <v>0</v>
      </c>
      <c r="I333" s="406">
        <f t="shared" si="38"/>
        <v>0</v>
      </c>
      <c r="J333" s="406"/>
      <c r="K333" s="406">
        <f>'RAB Pasang'!K333*60%</f>
        <v>199800</v>
      </c>
      <c r="L333" s="469">
        <f t="shared" si="39"/>
        <v>0</v>
      </c>
      <c r="M333" s="469">
        <f t="shared" si="40"/>
        <v>0</v>
      </c>
      <c r="N333" s="470">
        <f t="shared" si="41"/>
        <v>0</v>
      </c>
    </row>
    <row r="334" spans="1:14" ht="13.2" customHeight="1" x14ac:dyDescent="0.3">
      <c r="A334" s="401"/>
      <c r="B334" s="407"/>
      <c r="C334" s="371" t="s">
        <v>652</v>
      </c>
      <c r="D334" s="371" t="s">
        <v>663</v>
      </c>
      <c r="E334" s="367" t="s">
        <v>235</v>
      </c>
      <c r="F334" s="539"/>
      <c r="G334" s="539"/>
      <c r="H334" s="372">
        <f>IF(REKAP!$Q$9=$D334,H$25,0)</f>
        <v>0</v>
      </c>
      <c r="I334" s="372">
        <f t="shared" si="38"/>
        <v>0</v>
      </c>
      <c r="J334" s="372"/>
      <c r="K334" s="409">
        <f>'RAB Pasang'!K334*60%</f>
        <v>329400</v>
      </c>
      <c r="L334" s="387">
        <f t="shared" si="39"/>
        <v>0</v>
      </c>
      <c r="M334" s="387">
        <f t="shared" si="40"/>
        <v>0</v>
      </c>
      <c r="N334" s="422">
        <f t="shared" si="41"/>
        <v>0</v>
      </c>
    </row>
    <row r="335" spans="1:14" ht="13.2" customHeight="1" x14ac:dyDescent="0.3">
      <c r="A335" s="401"/>
      <c r="B335" s="403" t="s">
        <v>1826</v>
      </c>
      <c r="C335" s="404" t="s">
        <v>652</v>
      </c>
      <c r="D335" s="371" t="s">
        <v>658</v>
      </c>
      <c r="E335" s="405" t="s">
        <v>235</v>
      </c>
      <c r="F335" s="576"/>
      <c r="G335" s="576"/>
      <c r="H335" s="406">
        <f>IF(REKAP!$Q$9=$D335,H$25,0)</f>
        <v>0</v>
      </c>
      <c r="I335" s="406">
        <f t="shared" si="38"/>
        <v>0</v>
      </c>
      <c r="J335" s="406"/>
      <c r="K335" s="406">
        <f>'RAB Pasang'!K335*60%</f>
        <v>194400</v>
      </c>
      <c r="L335" s="469">
        <f t="shared" si="39"/>
        <v>0</v>
      </c>
      <c r="M335" s="469">
        <f t="shared" si="40"/>
        <v>0</v>
      </c>
      <c r="N335" s="470">
        <f t="shared" si="41"/>
        <v>0</v>
      </c>
    </row>
    <row r="336" spans="1:14" ht="13.2" customHeight="1" x14ac:dyDescent="0.3">
      <c r="A336" s="401"/>
      <c r="B336" s="407"/>
      <c r="C336" s="371" t="s">
        <v>652</v>
      </c>
      <c r="D336" s="371" t="s">
        <v>659</v>
      </c>
      <c r="E336" s="367" t="s">
        <v>235</v>
      </c>
      <c r="F336" s="539"/>
      <c r="G336" s="539"/>
      <c r="H336" s="372">
        <f>IF(REKAP!$Q$9=$D336,H$25,0)</f>
        <v>0</v>
      </c>
      <c r="I336" s="372">
        <f t="shared" si="38"/>
        <v>0</v>
      </c>
      <c r="J336" s="372"/>
      <c r="K336" s="409">
        <f>'RAB Pasang'!K336*60%</f>
        <v>291600</v>
      </c>
      <c r="L336" s="387">
        <f t="shared" si="39"/>
        <v>0</v>
      </c>
      <c r="M336" s="387">
        <f t="shared" si="40"/>
        <v>0</v>
      </c>
      <c r="N336" s="422">
        <f t="shared" si="41"/>
        <v>0</v>
      </c>
    </row>
    <row r="337" spans="1:14" ht="13.2" customHeight="1" x14ac:dyDescent="0.3">
      <c r="A337" s="401"/>
      <c r="B337" s="403" t="s">
        <v>1827</v>
      </c>
      <c r="C337" s="404" t="s">
        <v>652</v>
      </c>
      <c r="D337" s="404" t="s">
        <v>630</v>
      </c>
      <c r="E337" s="405" t="s">
        <v>235</v>
      </c>
      <c r="F337" s="576"/>
      <c r="G337" s="576"/>
      <c r="H337" s="406">
        <f>IF(REKAP!$Q$9=$D337,H$25,0)</f>
        <v>0</v>
      </c>
      <c r="I337" s="406">
        <f t="shared" si="38"/>
        <v>0</v>
      </c>
      <c r="J337" s="406"/>
      <c r="K337" s="369">
        <f>'RAB Pasang'!K337*60%</f>
        <v>194400</v>
      </c>
      <c r="L337" s="469">
        <f t="shared" si="39"/>
        <v>0</v>
      </c>
      <c r="M337" s="469">
        <f t="shared" si="40"/>
        <v>0</v>
      </c>
      <c r="N337" s="470">
        <f t="shared" si="41"/>
        <v>0</v>
      </c>
    </row>
    <row r="338" spans="1:14" ht="13.2" customHeight="1" x14ac:dyDescent="0.3">
      <c r="A338" s="410"/>
      <c r="B338" s="408"/>
      <c r="C338" s="390" t="s">
        <v>652</v>
      </c>
      <c r="D338" s="390" t="s">
        <v>1569</v>
      </c>
      <c r="E338" s="391" t="s">
        <v>235</v>
      </c>
      <c r="F338" s="577"/>
      <c r="G338" s="577"/>
      <c r="H338" s="409">
        <f>IF(REKAP!$Q$9=$D338,H$25,0)</f>
        <v>0</v>
      </c>
      <c r="I338" s="409">
        <f t="shared" si="38"/>
        <v>0</v>
      </c>
      <c r="J338" s="409"/>
      <c r="K338" s="409">
        <f>'RAB Pasang'!K338*60%</f>
        <v>334800</v>
      </c>
      <c r="L338" s="471">
        <f t="shared" si="39"/>
        <v>0</v>
      </c>
      <c r="M338" s="471">
        <f t="shared" si="40"/>
        <v>0</v>
      </c>
      <c r="N338" s="472">
        <f t="shared" si="41"/>
        <v>0</v>
      </c>
    </row>
    <row r="339" spans="1:14" ht="13.2" customHeight="1" x14ac:dyDescent="0.3">
      <c r="A339" s="397">
        <v>7</v>
      </c>
      <c r="B339" s="398" t="s">
        <v>1575</v>
      </c>
      <c r="C339" s="371"/>
      <c r="D339" s="371"/>
      <c r="E339" s="367"/>
      <c r="F339" s="527"/>
      <c r="G339" s="527"/>
      <c r="H339" s="527"/>
      <c r="I339" s="372">
        <f t="shared" si="38"/>
        <v>0</v>
      </c>
      <c r="J339" s="372"/>
      <c r="K339" s="372"/>
      <c r="L339" s="387">
        <f t="shared" si="39"/>
        <v>0</v>
      </c>
      <c r="M339" s="387">
        <f t="shared" si="40"/>
        <v>0</v>
      </c>
      <c r="N339" s="422">
        <f t="shared" si="41"/>
        <v>0</v>
      </c>
    </row>
    <row r="340" spans="1:14" ht="13.2" customHeight="1" x14ac:dyDescent="0.3">
      <c r="A340" s="401"/>
      <c r="B340" s="402" t="s">
        <v>1828</v>
      </c>
      <c r="C340" s="371" t="s">
        <v>650</v>
      </c>
      <c r="D340" s="371" t="s">
        <v>651</v>
      </c>
      <c r="E340" s="367" t="s">
        <v>235</v>
      </c>
      <c r="F340" s="539"/>
      <c r="G340" s="539"/>
      <c r="H340" s="527">
        <f>IF(REKAP!$Q$9="Kota Kupang",H$26,0)</f>
        <v>0</v>
      </c>
      <c r="I340" s="372">
        <f t="shared" si="38"/>
        <v>0</v>
      </c>
      <c r="J340" s="372"/>
      <c r="K340" s="372">
        <f>'RAB Pasang'!K340*60%</f>
        <v>237600</v>
      </c>
      <c r="L340" s="387">
        <f t="shared" si="39"/>
        <v>0</v>
      </c>
      <c r="M340" s="387">
        <f t="shared" si="40"/>
        <v>0</v>
      </c>
      <c r="N340" s="422">
        <f t="shared" si="41"/>
        <v>0</v>
      </c>
    </row>
    <row r="341" spans="1:14" ht="13.2" customHeight="1" x14ac:dyDescent="0.3">
      <c r="A341" s="401"/>
      <c r="B341" s="402"/>
      <c r="C341" s="371" t="s">
        <v>652</v>
      </c>
      <c r="D341" s="371" t="s">
        <v>651</v>
      </c>
      <c r="E341" s="367" t="s">
        <v>235</v>
      </c>
      <c r="F341" s="539"/>
      <c r="G341" s="539"/>
      <c r="H341" s="527">
        <f>IF(REKAP!$Q$9=$D341,H$26,0)</f>
        <v>0</v>
      </c>
      <c r="I341" s="372">
        <f t="shared" si="38"/>
        <v>0</v>
      </c>
      <c r="J341" s="372"/>
      <c r="K341" s="372">
        <f>'RAB Pasang'!K341*60%</f>
        <v>243000</v>
      </c>
      <c r="L341" s="387">
        <f t="shared" si="39"/>
        <v>0</v>
      </c>
      <c r="M341" s="387">
        <f t="shared" si="40"/>
        <v>0</v>
      </c>
      <c r="N341" s="422">
        <f t="shared" si="41"/>
        <v>0</v>
      </c>
    </row>
    <row r="342" spans="1:14" ht="13.2" customHeight="1" x14ac:dyDescent="0.3">
      <c r="A342" s="401"/>
      <c r="B342" s="402"/>
      <c r="C342" s="371" t="s">
        <v>652</v>
      </c>
      <c r="D342" s="371" t="s">
        <v>653</v>
      </c>
      <c r="E342" s="367" t="s">
        <v>235</v>
      </c>
      <c r="F342" s="539"/>
      <c r="G342" s="539"/>
      <c r="H342" s="527">
        <f>IF(REKAP!$Q$9=$D342,H$26,0)</f>
        <v>0</v>
      </c>
      <c r="I342" s="372">
        <f t="shared" si="38"/>
        <v>0</v>
      </c>
      <c r="J342" s="372"/>
      <c r="K342" s="372">
        <f>'RAB Pasang'!K342*60%</f>
        <v>259200</v>
      </c>
      <c r="L342" s="387">
        <f t="shared" si="39"/>
        <v>0</v>
      </c>
      <c r="M342" s="387">
        <f t="shared" si="40"/>
        <v>0</v>
      </c>
      <c r="N342" s="422">
        <f t="shared" si="41"/>
        <v>0</v>
      </c>
    </row>
    <row r="343" spans="1:14" ht="13.2" customHeight="1" x14ac:dyDescent="0.3">
      <c r="A343" s="401"/>
      <c r="B343" s="402"/>
      <c r="C343" s="371" t="s">
        <v>652</v>
      </c>
      <c r="D343" s="371" t="s">
        <v>654</v>
      </c>
      <c r="E343" s="367" t="s">
        <v>235</v>
      </c>
      <c r="F343" s="539"/>
      <c r="G343" s="539"/>
      <c r="H343" s="527">
        <f>IF(REKAP!$Q$9=$D343,H$26,0)</f>
        <v>0</v>
      </c>
      <c r="I343" s="372">
        <f t="shared" si="38"/>
        <v>0</v>
      </c>
      <c r="J343" s="372"/>
      <c r="K343" s="372">
        <f>'RAB Pasang'!K343*60%</f>
        <v>275400</v>
      </c>
      <c r="L343" s="387">
        <f t="shared" si="39"/>
        <v>0</v>
      </c>
      <c r="M343" s="387">
        <f t="shared" si="40"/>
        <v>0</v>
      </c>
      <c r="N343" s="422">
        <f t="shared" si="41"/>
        <v>0</v>
      </c>
    </row>
    <row r="344" spans="1:14" ht="13.2" customHeight="1" x14ac:dyDescent="0.3">
      <c r="A344" s="401"/>
      <c r="B344" s="402"/>
      <c r="C344" s="371" t="s">
        <v>652</v>
      </c>
      <c r="D344" s="371" t="s">
        <v>655</v>
      </c>
      <c r="E344" s="367" t="s">
        <v>235</v>
      </c>
      <c r="F344" s="539"/>
      <c r="G344" s="539"/>
      <c r="H344" s="527"/>
      <c r="I344" s="372">
        <f t="shared" si="38"/>
        <v>0</v>
      </c>
      <c r="J344" s="372"/>
      <c r="K344" s="372">
        <f>'RAB Pasang'!K344*60%</f>
        <v>329400</v>
      </c>
      <c r="L344" s="387">
        <f t="shared" si="39"/>
        <v>0</v>
      </c>
      <c r="M344" s="387">
        <f t="shared" si="40"/>
        <v>0</v>
      </c>
      <c r="N344" s="422">
        <f t="shared" si="41"/>
        <v>0</v>
      </c>
    </row>
    <row r="345" spans="1:14" ht="13.2" customHeight="1" x14ac:dyDescent="0.3">
      <c r="A345" s="401"/>
      <c r="B345" s="402"/>
      <c r="C345" s="371" t="s">
        <v>652</v>
      </c>
      <c r="D345" s="371" t="s">
        <v>656</v>
      </c>
      <c r="E345" s="367" t="s">
        <v>235</v>
      </c>
      <c r="F345" s="539"/>
      <c r="G345" s="539"/>
      <c r="H345" s="527"/>
      <c r="I345" s="372">
        <f t="shared" si="38"/>
        <v>0</v>
      </c>
      <c r="J345" s="372"/>
      <c r="K345" s="372">
        <f>'RAB Pasang'!K345*60%</f>
        <v>372600</v>
      </c>
      <c r="L345" s="387">
        <f t="shared" si="39"/>
        <v>0</v>
      </c>
      <c r="M345" s="387">
        <f t="shared" si="40"/>
        <v>0</v>
      </c>
      <c r="N345" s="422">
        <f t="shared" si="41"/>
        <v>0</v>
      </c>
    </row>
    <row r="346" spans="1:14" ht="13.2" customHeight="1" x14ac:dyDescent="0.3">
      <c r="A346" s="401"/>
      <c r="B346" s="402"/>
      <c r="C346" s="371" t="s">
        <v>652</v>
      </c>
      <c r="D346" s="371" t="s">
        <v>657</v>
      </c>
      <c r="E346" s="367" t="s">
        <v>235</v>
      </c>
      <c r="F346" s="539"/>
      <c r="G346" s="539"/>
      <c r="H346" s="527"/>
      <c r="I346" s="372">
        <f t="shared" si="38"/>
        <v>0</v>
      </c>
      <c r="J346" s="372"/>
      <c r="K346" s="372">
        <f>'RAB Pasang'!K346*60%</f>
        <v>372600</v>
      </c>
      <c r="L346" s="387">
        <f t="shared" si="39"/>
        <v>0</v>
      </c>
      <c r="M346" s="387">
        <f t="shared" si="40"/>
        <v>0</v>
      </c>
      <c r="N346" s="422">
        <f t="shared" si="41"/>
        <v>0</v>
      </c>
    </row>
    <row r="347" spans="1:14" ht="13.2" customHeight="1" x14ac:dyDescent="0.3">
      <c r="A347" s="401"/>
      <c r="B347" s="402"/>
      <c r="C347" s="371" t="s">
        <v>652</v>
      </c>
      <c r="D347" s="371" t="s">
        <v>658</v>
      </c>
      <c r="E347" s="367" t="s">
        <v>235</v>
      </c>
      <c r="F347" s="539"/>
      <c r="G347" s="539"/>
      <c r="H347" s="527"/>
      <c r="I347" s="372">
        <f t="shared" si="38"/>
        <v>0</v>
      </c>
      <c r="J347" s="372"/>
      <c r="K347" s="372">
        <f>'RAB Pasang'!K347*60%</f>
        <v>442800</v>
      </c>
      <c r="L347" s="387">
        <f t="shared" si="39"/>
        <v>0</v>
      </c>
      <c r="M347" s="387">
        <f t="shared" si="40"/>
        <v>0</v>
      </c>
      <c r="N347" s="422">
        <f t="shared" si="41"/>
        <v>0</v>
      </c>
    </row>
    <row r="348" spans="1:14" ht="13.2" customHeight="1" x14ac:dyDescent="0.3">
      <c r="A348" s="401"/>
      <c r="B348" s="402"/>
      <c r="C348" s="371" t="s">
        <v>652</v>
      </c>
      <c r="D348" s="371" t="s">
        <v>659</v>
      </c>
      <c r="E348" s="367" t="s">
        <v>235</v>
      </c>
      <c r="F348" s="539"/>
      <c r="G348" s="539"/>
      <c r="H348" s="527"/>
      <c r="I348" s="372">
        <f t="shared" si="38"/>
        <v>0</v>
      </c>
      <c r="J348" s="372"/>
      <c r="K348" s="372">
        <f>'RAB Pasang'!K348*60%</f>
        <v>810000</v>
      </c>
      <c r="L348" s="387">
        <f t="shared" si="39"/>
        <v>0</v>
      </c>
      <c r="M348" s="387">
        <f t="shared" si="40"/>
        <v>0</v>
      </c>
      <c r="N348" s="422">
        <f t="shared" si="41"/>
        <v>0</v>
      </c>
    </row>
    <row r="349" spans="1:14" ht="13.2" customHeight="1" x14ac:dyDescent="0.3">
      <c r="A349" s="401"/>
      <c r="B349" s="402"/>
      <c r="C349" s="371" t="s">
        <v>652</v>
      </c>
      <c r="D349" s="371" t="s">
        <v>660</v>
      </c>
      <c r="E349" s="367" t="s">
        <v>235</v>
      </c>
      <c r="F349" s="539"/>
      <c r="G349" s="539"/>
      <c r="H349" s="527"/>
      <c r="I349" s="372">
        <f t="shared" si="38"/>
        <v>0</v>
      </c>
      <c r="J349" s="372"/>
      <c r="K349" s="372">
        <f>'RAB Pasang'!K349*60%</f>
        <v>648000</v>
      </c>
      <c r="L349" s="387">
        <f t="shared" si="39"/>
        <v>0</v>
      </c>
      <c r="M349" s="387">
        <f t="shared" si="40"/>
        <v>0</v>
      </c>
      <c r="N349" s="422">
        <f t="shared" si="41"/>
        <v>0</v>
      </c>
    </row>
    <row r="350" spans="1:14" ht="13.2" customHeight="1" x14ac:dyDescent="0.3">
      <c r="A350" s="401"/>
      <c r="B350" s="402"/>
      <c r="C350" s="371" t="s">
        <v>652</v>
      </c>
      <c r="D350" s="371" t="s">
        <v>661</v>
      </c>
      <c r="E350" s="367" t="s">
        <v>235</v>
      </c>
      <c r="F350" s="539"/>
      <c r="G350" s="539"/>
      <c r="H350" s="527"/>
      <c r="I350" s="372">
        <f t="shared" si="38"/>
        <v>0</v>
      </c>
      <c r="J350" s="372"/>
      <c r="K350" s="372">
        <f>'RAB Pasang'!K350*60%</f>
        <v>1085400</v>
      </c>
      <c r="L350" s="387">
        <f t="shared" si="39"/>
        <v>0</v>
      </c>
      <c r="M350" s="387">
        <f t="shared" si="40"/>
        <v>0</v>
      </c>
      <c r="N350" s="422">
        <f t="shared" si="41"/>
        <v>0</v>
      </c>
    </row>
    <row r="351" spans="1:14" ht="13.2" customHeight="1" x14ac:dyDescent="0.3">
      <c r="A351" s="401"/>
      <c r="B351" s="402"/>
      <c r="C351" s="371" t="s">
        <v>652</v>
      </c>
      <c r="D351" s="371" t="s">
        <v>662</v>
      </c>
      <c r="E351" s="367" t="s">
        <v>235</v>
      </c>
      <c r="F351" s="539"/>
      <c r="G351" s="539"/>
      <c r="H351" s="527"/>
      <c r="I351" s="372">
        <f t="shared" si="38"/>
        <v>0</v>
      </c>
      <c r="J351" s="372"/>
      <c r="K351" s="372">
        <f>'RAB Pasang'!K351*60%</f>
        <v>939600</v>
      </c>
      <c r="L351" s="387">
        <f t="shared" si="39"/>
        <v>0</v>
      </c>
      <c r="M351" s="387">
        <f t="shared" si="40"/>
        <v>0</v>
      </c>
      <c r="N351" s="422">
        <f t="shared" si="41"/>
        <v>0</v>
      </c>
    </row>
    <row r="352" spans="1:14" ht="13.2" customHeight="1" x14ac:dyDescent="0.3">
      <c r="A352" s="401"/>
      <c r="B352" s="402"/>
      <c r="C352" s="371" t="s">
        <v>652</v>
      </c>
      <c r="D352" s="371" t="s">
        <v>663</v>
      </c>
      <c r="E352" s="367" t="s">
        <v>235</v>
      </c>
      <c r="F352" s="539"/>
      <c r="G352" s="539"/>
      <c r="H352" s="527"/>
      <c r="I352" s="372">
        <f t="shared" si="38"/>
        <v>0</v>
      </c>
      <c r="J352" s="372"/>
      <c r="K352" s="372">
        <f>'RAB Pasang'!K352*60%</f>
        <v>1620000</v>
      </c>
      <c r="L352" s="387">
        <f t="shared" si="39"/>
        <v>0</v>
      </c>
      <c r="M352" s="387">
        <f t="shared" si="40"/>
        <v>0</v>
      </c>
      <c r="N352" s="422">
        <f t="shared" si="41"/>
        <v>0</v>
      </c>
    </row>
    <row r="353" spans="1:14" ht="13.2" customHeight="1" x14ac:dyDescent="0.3">
      <c r="A353" s="401"/>
      <c r="B353" s="402"/>
      <c r="C353" s="373" t="s">
        <v>652</v>
      </c>
      <c r="D353" s="373" t="s">
        <v>664</v>
      </c>
      <c r="E353" s="374" t="s">
        <v>235</v>
      </c>
      <c r="F353" s="571"/>
      <c r="G353" s="571"/>
      <c r="H353" s="527">
        <f>IF(REKAP!$Q$9=$D353,H$26,0)</f>
        <v>0</v>
      </c>
      <c r="I353" s="375">
        <f t="shared" si="38"/>
        <v>0</v>
      </c>
      <c r="J353" s="375"/>
      <c r="K353" s="372">
        <f>'RAB Pasang'!K353*60%</f>
        <v>286200</v>
      </c>
      <c r="L353" s="399">
        <f t="shared" si="39"/>
        <v>0</v>
      </c>
      <c r="M353" s="399">
        <f t="shared" si="40"/>
        <v>0</v>
      </c>
      <c r="N353" s="400">
        <f t="shared" si="41"/>
        <v>0</v>
      </c>
    </row>
    <row r="354" spans="1:14" ht="13.2" customHeight="1" x14ac:dyDescent="0.3">
      <c r="A354" s="401"/>
      <c r="B354" s="403" t="s">
        <v>1824</v>
      </c>
      <c r="C354" s="404" t="s">
        <v>652</v>
      </c>
      <c r="D354" s="404" t="s">
        <v>655</v>
      </c>
      <c r="E354" s="405" t="s">
        <v>235</v>
      </c>
      <c r="F354" s="576"/>
      <c r="G354" s="576"/>
      <c r="H354" s="406">
        <f>IF(REKAP!$Q$9=$D354,H$26,0)</f>
        <v>0</v>
      </c>
      <c r="I354" s="406">
        <f t="shared" si="38"/>
        <v>0</v>
      </c>
      <c r="J354" s="406"/>
      <c r="K354" s="406">
        <f>'RAB Pasang'!K354*60%</f>
        <v>297000</v>
      </c>
      <c r="L354" s="469">
        <f t="shared" si="39"/>
        <v>0</v>
      </c>
      <c r="M354" s="469">
        <f t="shared" si="40"/>
        <v>0</v>
      </c>
      <c r="N354" s="470">
        <f t="shared" si="41"/>
        <v>0</v>
      </c>
    </row>
    <row r="355" spans="1:14" ht="13.2" customHeight="1" x14ac:dyDescent="0.3">
      <c r="A355" s="401"/>
      <c r="B355" s="407"/>
      <c r="C355" s="371" t="s">
        <v>652</v>
      </c>
      <c r="D355" s="371" t="s">
        <v>656</v>
      </c>
      <c r="E355" s="367" t="s">
        <v>235</v>
      </c>
      <c r="F355" s="539"/>
      <c r="G355" s="539"/>
      <c r="H355" s="372">
        <f>IF(REKAP!$Q$9=$D355,H$26,0)</f>
        <v>0</v>
      </c>
      <c r="I355" s="372">
        <f t="shared" si="38"/>
        <v>0</v>
      </c>
      <c r="J355" s="372"/>
      <c r="K355" s="372">
        <f>'RAB Pasang'!K355*60%</f>
        <v>237600</v>
      </c>
      <c r="L355" s="387">
        <f t="shared" si="39"/>
        <v>0</v>
      </c>
      <c r="M355" s="387">
        <f t="shared" si="40"/>
        <v>0</v>
      </c>
      <c r="N355" s="422">
        <f t="shared" si="41"/>
        <v>0</v>
      </c>
    </row>
    <row r="356" spans="1:14" ht="13.2" customHeight="1" x14ac:dyDescent="0.3">
      <c r="A356" s="401"/>
      <c r="B356" s="408"/>
      <c r="C356" s="390" t="s">
        <v>652</v>
      </c>
      <c r="D356" s="390" t="s">
        <v>657</v>
      </c>
      <c r="E356" s="391" t="s">
        <v>235</v>
      </c>
      <c r="F356" s="577"/>
      <c r="G356" s="577"/>
      <c r="H356" s="409">
        <f>IF(REKAP!$Q$9=$D356,H$26,0)</f>
        <v>0</v>
      </c>
      <c r="I356" s="409">
        <f t="shared" ref="I356:I362" si="42">SUM(F356:H356)</f>
        <v>0</v>
      </c>
      <c r="J356" s="409"/>
      <c r="K356" s="409">
        <f>'RAB Pasang'!K356*60%</f>
        <v>280800</v>
      </c>
      <c r="L356" s="471">
        <f t="shared" ref="L356:L362" si="43">J356*I356</f>
        <v>0</v>
      </c>
      <c r="M356" s="471">
        <f t="shared" ref="M356:M362" si="44">K356*I356</f>
        <v>0</v>
      </c>
      <c r="N356" s="472">
        <f t="shared" ref="N356:N362" si="45">SUM(L356:M356)</f>
        <v>0</v>
      </c>
    </row>
    <row r="357" spans="1:14" ht="13.2" customHeight="1" x14ac:dyDescent="0.3">
      <c r="A357" s="401"/>
      <c r="B357" s="403" t="s">
        <v>1825</v>
      </c>
      <c r="C357" s="404" t="s">
        <v>652</v>
      </c>
      <c r="D357" s="371" t="s">
        <v>662</v>
      </c>
      <c r="E357" s="405" t="s">
        <v>235</v>
      </c>
      <c r="F357" s="576"/>
      <c r="G357" s="576"/>
      <c r="H357" s="406">
        <f>IF(REKAP!$Q$9=$D357,H$26,0)</f>
        <v>0</v>
      </c>
      <c r="I357" s="406">
        <f t="shared" si="42"/>
        <v>0</v>
      </c>
      <c r="J357" s="406"/>
      <c r="K357" s="406">
        <f>'RAB Pasang'!K357*60%</f>
        <v>243000</v>
      </c>
      <c r="L357" s="469">
        <f t="shared" si="43"/>
        <v>0</v>
      </c>
      <c r="M357" s="469">
        <f t="shared" si="44"/>
        <v>0</v>
      </c>
      <c r="N357" s="470">
        <f t="shared" si="45"/>
        <v>0</v>
      </c>
    </row>
    <row r="358" spans="1:14" ht="13.2" customHeight="1" x14ac:dyDescent="0.3">
      <c r="A358" s="401"/>
      <c r="B358" s="407"/>
      <c r="C358" s="371" t="s">
        <v>652</v>
      </c>
      <c r="D358" s="371" t="s">
        <v>663</v>
      </c>
      <c r="E358" s="367" t="s">
        <v>235</v>
      </c>
      <c r="F358" s="539"/>
      <c r="G358" s="539"/>
      <c r="H358" s="372">
        <f>IF(REKAP!$Q$9=$D358,H$26,0)</f>
        <v>0</v>
      </c>
      <c r="I358" s="372">
        <f t="shared" si="42"/>
        <v>0</v>
      </c>
      <c r="J358" s="372"/>
      <c r="K358" s="409">
        <f>'RAB Pasang'!K358*60%</f>
        <v>540000</v>
      </c>
      <c r="L358" s="387">
        <f t="shared" si="43"/>
        <v>0</v>
      </c>
      <c r="M358" s="387">
        <f t="shared" si="44"/>
        <v>0</v>
      </c>
      <c r="N358" s="422">
        <f t="shared" si="45"/>
        <v>0</v>
      </c>
    </row>
    <row r="359" spans="1:14" ht="13.2" customHeight="1" x14ac:dyDescent="0.3">
      <c r="A359" s="401"/>
      <c r="B359" s="403" t="s">
        <v>1826</v>
      </c>
      <c r="C359" s="404" t="s">
        <v>652</v>
      </c>
      <c r="D359" s="371" t="s">
        <v>658</v>
      </c>
      <c r="E359" s="405" t="s">
        <v>235</v>
      </c>
      <c r="F359" s="576"/>
      <c r="G359" s="576"/>
      <c r="H359" s="406">
        <f>IF(REKAP!$Q$9=$D359,H$26,0)</f>
        <v>0</v>
      </c>
      <c r="I359" s="406">
        <f t="shared" si="42"/>
        <v>0</v>
      </c>
      <c r="J359" s="406"/>
      <c r="K359" s="406">
        <f>'RAB Pasang'!K359*60%</f>
        <v>226800</v>
      </c>
      <c r="L359" s="469">
        <f t="shared" si="43"/>
        <v>0</v>
      </c>
      <c r="M359" s="469">
        <f t="shared" si="44"/>
        <v>0</v>
      </c>
      <c r="N359" s="470">
        <f t="shared" si="45"/>
        <v>0</v>
      </c>
    </row>
    <row r="360" spans="1:14" ht="13.2" customHeight="1" x14ac:dyDescent="0.3">
      <c r="A360" s="401"/>
      <c r="B360" s="407"/>
      <c r="C360" s="371" t="s">
        <v>652</v>
      </c>
      <c r="D360" s="371" t="s">
        <v>659</v>
      </c>
      <c r="E360" s="367" t="s">
        <v>235</v>
      </c>
      <c r="F360" s="539"/>
      <c r="G360" s="539"/>
      <c r="H360" s="372">
        <f>IF(REKAP!$Q$9=$D360,H$26,0)</f>
        <v>0</v>
      </c>
      <c r="I360" s="372">
        <f t="shared" si="42"/>
        <v>0</v>
      </c>
      <c r="J360" s="372"/>
      <c r="K360" s="409">
        <f>'RAB Pasang'!K360*60%</f>
        <v>394200</v>
      </c>
      <c r="L360" s="387">
        <f t="shared" si="43"/>
        <v>0</v>
      </c>
      <c r="M360" s="387">
        <f t="shared" si="44"/>
        <v>0</v>
      </c>
      <c r="N360" s="422">
        <f t="shared" si="45"/>
        <v>0</v>
      </c>
    </row>
    <row r="361" spans="1:14" ht="13.2" customHeight="1" x14ac:dyDescent="0.3">
      <c r="A361" s="401"/>
      <c r="B361" s="403" t="s">
        <v>1827</v>
      </c>
      <c r="C361" s="404" t="s">
        <v>652</v>
      </c>
      <c r="D361" s="404" t="s">
        <v>630</v>
      </c>
      <c r="E361" s="405" t="s">
        <v>235</v>
      </c>
      <c r="F361" s="576"/>
      <c r="G361" s="576"/>
      <c r="H361" s="406">
        <f>IF(REKAP!$Q$9=$D361,H$26,0)</f>
        <v>0</v>
      </c>
      <c r="I361" s="406">
        <f t="shared" si="42"/>
        <v>0</v>
      </c>
      <c r="J361" s="406"/>
      <c r="K361" s="369">
        <f>'RAB Pasang'!K361*60%</f>
        <v>226800</v>
      </c>
      <c r="L361" s="469">
        <f t="shared" si="43"/>
        <v>0</v>
      </c>
      <c r="M361" s="469">
        <f t="shared" si="44"/>
        <v>0</v>
      </c>
      <c r="N361" s="470">
        <f t="shared" si="45"/>
        <v>0</v>
      </c>
    </row>
    <row r="362" spans="1:14" ht="13.2" customHeight="1" x14ac:dyDescent="0.3">
      <c r="A362" s="410"/>
      <c r="B362" s="408"/>
      <c r="C362" s="390" t="s">
        <v>652</v>
      </c>
      <c r="D362" s="390" t="s">
        <v>1569</v>
      </c>
      <c r="E362" s="391" t="s">
        <v>235</v>
      </c>
      <c r="F362" s="577"/>
      <c r="G362" s="577"/>
      <c r="H362" s="409">
        <f>IF(REKAP!$Q$9=$D362,H$26,0)</f>
        <v>0</v>
      </c>
      <c r="I362" s="409">
        <f t="shared" si="42"/>
        <v>0</v>
      </c>
      <c r="J362" s="409"/>
      <c r="K362" s="409">
        <f>'RAB Pasang'!K362*60%</f>
        <v>486000</v>
      </c>
      <c r="L362" s="471">
        <f t="shared" si="43"/>
        <v>0</v>
      </c>
      <c r="M362" s="471">
        <f t="shared" si="44"/>
        <v>0</v>
      </c>
      <c r="N362" s="472">
        <f t="shared" si="45"/>
        <v>0</v>
      </c>
    </row>
    <row r="363" spans="1:14" ht="13.2" customHeight="1" x14ac:dyDescent="0.3">
      <c r="A363" s="397">
        <v>6</v>
      </c>
      <c r="B363" s="398" t="s">
        <v>1574</v>
      </c>
      <c r="C363" s="371"/>
      <c r="D363" s="371"/>
      <c r="E363" s="367"/>
      <c r="F363" s="527"/>
      <c r="G363" s="527"/>
      <c r="H363" s="527"/>
      <c r="I363" s="372">
        <f t="shared" ref="I363:I371" si="46">SUM(F363:H363)</f>
        <v>0</v>
      </c>
      <c r="J363" s="372"/>
      <c r="K363" s="369"/>
      <c r="L363" s="387">
        <f t="shared" ref="L363:L371" si="47">J363*I363</f>
        <v>0</v>
      </c>
      <c r="M363" s="387">
        <f t="shared" ref="M363:M371" si="48">K363*I363</f>
        <v>0</v>
      </c>
      <c r="N363" s="422">
        <f t="shared" ref="N363:N371" si="49">SUM(L363:M363)</f>
        <v>0</v>
      </c>
    </row>
    <row r="364" spans="1:14" ht="13.2" customHeight="1" x14ac:dyDescent="0.3">
      <c r="A364" s="401"/>
      <c r="B364" s="402" t="s">
        <v>1828</v>
      </c>
      <c r="C364" s="371" t="s">
        <v>650</v>
      </c>
      <c r="D364" s="371" t="s">
        <v>651</v>
      </c>
      <c r="E364" s="367" t="s">
        <v>235</v>
      </c>
      <c r="F364" s="539"/>
      <c r="G364" s="539"/>
      <c r="H364" s="527">
        <f>IF(REKAP!$Q$9="Kota Kupang",H$27,0)</f>
        <v>0</v>
      </c>
      <c r="I364" s="372">
        <f t="shared" si="46"/>
        <v>0</v>
      </c>
      <c r="J364" s="372"/>
      <c r="K364" s="372"/>
      <c r="L364" s="387">
        <f t="shared" si="47"/>
        <v>0</v>
      </c>
      <c r="M364" s="387">
        <f t="shared" si="48"/>
        <v>0</v>
      </c>
      <c r="N364" s="422">
        <f t="shared" si="49"/>
        <v>0</v>
      </c>
    </row>
    <row r="365" spans="1:14" ht="13.2" customHeight="1" x14ac:dyDescent="0.3">
      <c r="A365" s="401"/>
      <c r="B365" s="402"/>
      <c r="C365" s="371" t="s">
        <v>652</v>
      </c>
      <c r="D365" s="371" t="s">
        <v>651</v>
      </c>
      <c r="E365" s="367" t="s">
        <v>235</v>
      </c>
      <c r="F365" s="539"/>
      <c r="G365" s="539"/>
      <c r="H365" s="527">
        <f>IF(REKAP!$Q$9=$D365,H$27,0)</f>
        <v>0</v>
      </c>
      <c r="I365" s="372">
        <f t="shared" si="46"/>
        <v>0</v>
      </c>
      <c r="J365" s="372"/>
      <c r="K365" s="372"/>
      <c r="L365" s="387">
        <f t="shared" si="47"/>
        <v>0</v>
      </c>
      <c r="M365" s="387">
        <f t="shared" si="48"/>
        <v>0</v>
      </c>
      <c r="N365" s="422">
        <f t="shared" si="49"/>
        <v>0</v>
      </c>
    </row>
    <row r="366" spans="1:14" ht="13.2" customHeight="1" x14ac:dyDescent="0.3">
      <c r="A366" s="401"/>
      <c r="B366" s="402"/>
      <c r="C366" s="371" t="s">
        <v>652</v>
      </c>
      <c r="D366" s="371" t="s">
        <v>653</v>
      </c>
      <c r="E366" s="367" t="s">
        <v>235</v>
      </c>
      <c r="F366" s="539"/>
      <c r="G366" s="539"/>
      <c r="H366" s="527">
        <f>IF(REKAP!$Q$9=$D366,H$27,0)</f>
        <v>0</v>
      </c>
      <c r="I366" s="372">
        <f t="shared" si="46"/>
        <v>0</v>
      </c>
      <c r="J366" s="372"/>
      <c r="K366" s="372"/>
      <c r="L366" s="387">
        <f t="shared" si="47"/>
        <v>0</v>
      </c>
      <c r="M366" s="387">
        <f t="shared" si="48"/>
        <v>0</v>
      </c>
      <c r="N366" s="422">
        <f t="shared" si="49"/>
        <v>0</v>
      </c>
    </row>
    <row r="367" spans="1:14" ht="13.2" customHeight="1" x14ac:dyDescent="0.3">
      <c r="A367" s="401"/>
      <c r="B367" s="402"/>
      <c r="C367" s="371" t="s">
        <v>652</v>
      </c>
      <c r="D367" s="371" t="s">
        <v>654</v>
      </c>
      <c r="E367" s="367" t="s">
        <v>235</v>
      </c>
      <c r="F367" s="539"/>
      <c r="G367" s="539"/>
      <c r="H367" s="527">
        <f>IF(REKAP!$Q$9=$D367,H$27,0)</f>
        <v>0</v>
      </c>
      <c r="I367" s="372">
        <f t="shared" si="46"/>
        <v>0</v>
      </c>
      <c r="J367" s="372"/>
      <c r="K367" s="372"/>
      <c r="L367" s="387">
        <f t="shared" si="47"/>
        <v>0</v>
      </c>
      <c r="M367" s="387">
        <f t="shared" si="48"/>
        <v>0</v>
      </c>
      <c r="N367" s="422">
        <f t="shared" si="49"/>
        <v>0</v>
      </c>
    </row>
    <row r="368" spans="1:14" ht="13.2" customHeight="1" x14ac:dyDescent="0.3">
      <c r="A368" s="401"/>
      <c r="B368" s="402"/>
      <c r="C368" s="371" t="s">
        <v>652</v>
      </c>
      <c r="D368" s="371" t="s">
        <v>655</v>
      </c>
      <c r="E368" s="367" t="s">
        <v>235</v>
      </c>
      <c r="F368" s="539"/>
      <c r="G368" s="539"/>
      <c r="H368" s="527"/>
      <c r="I368" s="372">
        <f t="shared" si="46"/>
        <v>0</v>
      </c>
      <c r="J368" s="372"/>
      <c r="K368" s="372"/>
      <c r="L368" s="387">
        <f t="shared" si="47"/>
        <v>0</v>
      </c>
      <c r="M368" s="387">
        <f t="shared" si="48"/>
        <v>0</v>
      </c>
      <c r="N368" s="422">
        <f t="shared" si="49"/>
        <v>0</v>
      </c>
    </row>
    <row r="369" spans="1:14" ht="13.2" customHeight="1" x14ac:dyDescent="0.3">
      <c r="A369" s="401"/>
      <c r="B369" s="402"/>
      <c r="C369" s="371" t="s">
        <v>652</v>
      </c>
      <c r="D369" s="371" t="s">
        <v>656</v>
      </c>
      <c r="E369" s="367" t="s">
        <v>235</v>
      </c>
      <c r="F369" s="539"/>
      <c r="G369" s="539"/>
      <c r="H369" s="527"/>
      <c r="I369" s="372">
        <f t="shared" si="46"/>
        <v>0</v>
      </c>
      <c r="J369" s="372"/>
      <c r="K369" s="372"/>
      <c r="L369" s="387">
        <f t="shared" si="47"/>
        <v>0</v>
      </c>
      <c r="M369" s="387">
        <f t="shared" si="48"/>
        <v>0</v>
      </c>
      <c r="N369" s="422">
        <f t="shared" si="49"/>
        <v>0</v>
      </c>
    </row>
    <row r="370" spans="1:14" ht="13.2" customHeight="1" x14ac:dyDescent="0.3">
      <c r="A370" s="401"/>
      <c r="B370" s="402"/>
      <c r="C370" s="371" t="s">
        <v>652</v>
      </c>
      <c r="D370" s="371" t="s">
        <v>657</v>
      </c>
      <c r="E370" s="367" t="s">
        <v>235</v>
      </c>
      <c r="F370" s="539"/>
      <c r="G370" s="539"/>
      <c r="H370" s="527"/>
      <c r="I370" s="372">
        <f t="shared" si="46"/>
        <v>0</v>
      </c>
      <c r="J370" s="372"/>
      <c r="K370" s="372"/>
      <c r="L370" s="387">
        <f t="shared" si="47"/>
        <v>0</v>
      </c>
      <c r="M370" s="387">
        <f t="shared" si="48"/>
        <v>0</v>
      </c>
      <c r="N370" s="422">
        <f t="shared" si="49"/>
        <v>0</v>
      </c>
    </row>
    <row r="371" spans="1:14" ht="13.2" customHeight="1" x14ac:dyDescent="0.3">
      <c r="A371" s="401"/>
      <c r="B371" s="402"/>
      <c r="C371" s="371" t="s">
        <v>652</v>
      </c>
      <c r="D371" s="371" t="s">
        <v>658</v>
      </c>
      <c r="E371" s="367" t="s">
        <v>235</v>
      </c>
      <c r="F371" s="539"/>
      <c r="G371" s="539"/>
      <c r="H371" s="527"/>
      <c r="I371" s="372">
        <f t="shared" si="46"/>
        <v>0</v>
      </c>
      <c r="J371" s="372"/>
      <c r="K371" s="372"/>
      <c r="L371" s="387">
        <f t="shared" si="47"/>
        <v>0</v>
      </c>
      <c r="M371" s="387">
        <f t="shared" si="48"/>
        <v>0</v>
      </c>
      <c r="N371" s="422">
        <f t="shared" si="49"/>
        <v>0</v>
      </c>
    </row>
    <row r="372" spans="1:14" ht="13.2" customHeight="1" x14ac:dyDescent="0.3">
      <c r="A372" s="401"/>
      <c r="B372" s="402"/>
      <c r="C372" s="371" t="s">
        <v>652</v>
      </c>
      <c r="D372" s="371" t="s">
        <v>659</v>
      </c>
      <c r="E372" s="367" t="s">
        <v>235</v>
      </c>
      <c r="F372" s="539"/>
      <c r="G372" s="539"/>
      <c r="H372" s="527"/>
      <c r="I372" s="372">
        <f t="shared" ref="I372:I403" si="50">SUM(F372:H372)</f>
        <v>0</v>
      </c>
      <c r="J372" s="372"/>
      <c r="K372" s="372"/>
      <c r="L372" s="387">
        <f t="shared" ref="L372:L403" si="51">J372*I372</f>
        <v>0</v>
      </c>
      <c r="M372" s="387">
        <f t="shared" ref="M372:M403" si="52">K372*I372</f>
        <v>0</v>
      </c>
      <c r="N372" s="422">
        <f t="shared" ref="N372:N403" si="53">SUM(L372:M372)</f>
        <v>0</v>
      </c>
    </row>
    <row r="373" spans="1:14" ht="13.2" customHeight="1" x14ac:dyDescent="0.3">
      <c r="A373" s="401"/>
      <c r="B373" s="402"/>
      <c r="C373" s="371" t="s">
        <v>652</v>
      </c>
      <c r="D373" s="371" t="s">
        <v>660</v>
      </c>
      <c r="E373" s="367" t="s">
        <v>235</v>
      </c>
      <c r="F373" s="539"/>
      <c r="G373" s="539"/>
      <c r="H373" s="527"/>
      <c r="I373" s="372">
        <f t="shared" si="50"/>
        <v>0</v>
      </c>
      <c r="J373" s="372"/>
      <c r="K373" s="372"/>
      <c r="L373" s="387">
        <f t="shared" si="51"/>
        <v>0</v>
      </c>
      <c r="M373" s="387">
        <f t="shared" si="52"/>
        <v>0</v>
      </c>
      <c r="N373" s="422">
        <f t="shared" si="53"/>
        <v>0</v>
      </c>
    </row>
    <row r="374" spans="1:14" ht="13.2" customHeight="1" x14ac:dyDescent="0.3">
      <c r="A374" s="401"/>
      <c r="B374" s="402"/>
      <c r="C374" s="371" t="s">
        <v>652</v>
      </c>
      <c r="D374" s="371" t="s">
        <v>661</v>
      </c>
      <c r="E374" s="367" t="s">
        <v>235</v>
      </c>
      <c r="F374" s="539"/>
      <c r="G374" s="539"/>
      <c r="H374" s="527"/>
      <c r="I374" s="372">
        <f t="shared" si="50"/>
        <v>0</v>
      </c>
      <c r="J374" s="372"/>
      <c r="K374" s="372"/>
      <c r="L374" s="387">
        <f t="shared" si="51"/>
        <v>0</v>
      </c>
      <c r="M374" s="387">
        <f t="shared" si="52"/>
        <v>0</v>
      </c>
      <c r="N374" s="422">
        <f t="shared" si="53"/>
        <v>0</v>
      </c>
    </row>
    <row r="375" spans="1:14" ht="13.2" customHeight="1" x14ac:dyDescent="0.3">
      <c r="A375" s="401"/>
      <c r="B375" s="402"/>
      <c r="C375" s="371" t="s">
        <v>652</v>
      </c>
      <c r="D375" s="371" t="s">
        <v>662</v>
      </c>
      <c r="E375" s="367" t="s">
        <v>235</v>
      </c>
      <c r="F375" s="539"/>
      <c r="G375" s="539"/>
      <c r="H375" s="527"/>
      <c r="I375" s="372">
        <f t="shared" si="50"/>
        <v>0</v>
      </c>
      <c r="J375" s="372"/>
      <c r="K375" s="372"/>
      <c r="L375" s="387">
        <f t="shared" si="51"/>
        <v>0</v>
      </c>
      <c r="M375" s="387">
        <f t="shared" si="52"/>
        <v>0</v>
      </c>
      <c r="N375" s="422">
        <f t="shared" si="53"/>
        <v>0</v>
      </c>
    </row>
    <row r="376" spans="1:14" ht="13.2" customHeight="1" x14ac:dyDescent="0.3">
      <c r="A376" s="401"/>
      <c r="B376" s="402"/>
      <c r="C376" s="371" t="s">
        <v>652</v>
      </c>
      <c r="D376" s="371" t="s">
        <v>663</v>
      </c>
      <c r="E376" s="367" t="s">
        <v>235</v>
      </c>
      <c r="F376" s="539"/>
      <c r="G376" s="539"/>
      <c r="H376" s="527"/>
      <c r="I376" s="372">
        <f t="shared" si="50"/>
        <v>0</v>
      </c>
      <c r="J376" s="372"/>
      <c r="K376" s="372"/>
      <c r="L376" s="387">
        <f t="shared" si="51"/>
        <v>0</v>
      </c>
      <c r="M376" s="387">
        <f t="shared" si="52"/>
        <v>0</v>
      </c>
      <c r="N376" s="422">
        <f t="shared" si="53"/>
        <v>0</v>
      </c>
    </row>
    <row r="377" spans="1:14" ht="13.2" customHeight="1" x14ac:dyDescent="0.3">
      <c r="A377" s="401"/>
      <c r="B377" s="402"/>
      <c r="C377" s="373" t="s">
        <v>652</v>
      </c>
      <c r="D377" s="373" t="s">
        <v>664</v>
      </c>
      <c r="E377" s="374" t="s">
        <v>235</v>
      </c>
      <c r="F377" s="571"/>
      <c r="G377" s="571"/>
      <c r="H377" s="527">
        <f>IF(REKAP!$Q$9=$D377,H$27,0)</f>
        <v>0</v>
      </c>
      <c r="I377" s="375">
        <f t="shared" si="50"/>
        <v>0</v>
      </c>
      <c r="J377" s="375"/>
      <c r="K377" s="372"/>
      <c r="L377" s="399">
        <f t="shared" si="51"/>
        <v>0</v>
      </c>
      <c r="M377" s="399">
        <f t="shared" si="52"/>
        <v>0</v>
      </c>
      <c r="N377" s="400">
        <f t="shared" si="53"/>
        <v>0</v>
      </c>
    </row>
    <row r="378" spans="1:14" ht="13.2" customHeight="1" x14ac:dyDescent="0.3">
      <c r="A378" s="401"/>
      <c r="B378" s="403" t="s">
        <v>1824</v>
      </c>
      <c r="C378" s="404" t="s">
        <v>652</v>
      </c>
      <c r="D378" s="404" t="s">
        <v>655</v>
      </c>
      <c r="E378" s="405" t="s">
        <v>235</v>
      </c>
      <c r="F378" s="576"/>
      <c r="G378" s="576"/>
      <c r="H378" s="406">
        <f>IF(REKAP!$Q$9=$D378,H$27,0)</f>
        <v>0</v>
      </c>
      <c r="I378" s="406">
        <f t="shared" si="50"/>
        <v>0</v>
      </c>
      <c r="J378" s="406"/>
      <c r="K378" s="406"/>
      <c r="L378" s="469">
        <f t="shared" si="51"/>
        <v>0</v>
      </c>
      <c r="M378" s="469">
        <f t="shared" si="52"/>
        <v>0</v>
      </c>
      <c r="N378" s="470">
        <f t="shared" si="53"/>
        <v>0</v>
      </c>
    </row>
    <row r="379" spans="1:14" ht="13.2" customHeight="1" x14ac:dyDescent="0.3">
      <c r="A379" s="401"/>
      <c r="B379" s="407"/>
      <c r="C379" s="371" t="s">
        <v>652</v>
      </c>
      <c r="D379" s="371" t="s">
        <v>656</v>
      </c>
      <c r="E379" s="367" t="s">
        <v>235</v>
      </c>
      <c r="F379" s="539"/>
      <c r="G379" s="539"/>
      <c r="H379" s="372">
        <f>IF(REKAP!$Q$9=$D379,H$27,0)</f>
        <v>0</v>
      </c>
      <c r="I379" s="372">
        <f t="shared" si="50"/>
        <v>0</v>
      </c>
      <c r="J379" s="372"/>
      <c r="K379" s="372"/>
      <c r="L379" s="387">
        <f t="shared" si="51"/>
        <v>0</v>
      </c>
      <c r="M379" s="387">
        <f t="shared" si="52"/>
        <v>0</v>
      </c>
      <c r="N379" s="422">
        <f t="shared" si="53"/>
        <v>0</v>
      </c>
    </row>
    <row r="380" spans="1:14" ht="13.2" customHeight="1" x14ac:dyDescent="0.3">
      <c r="A380" s="401"/>
      <c r="B380" s="408"/>
      <c r="C380" s="390" t="s">
        <v>652</v>
      </c>
      <c r="D380" s="390" t="s">
        <v>657</v>
      </c>
      <c r="E380" s="391" t="s">
        <v>235</v>
      </c>
      <c r="F380" s="577"/>
      <c r="G380" s="577"/>
      <c r="H380" s="409">
        <f>IF(REKAP!$Q$9=$D380,H$27,0)</f>
        <v>0</v>
      </c>
      <c r="I380" s="409">
        <f t="shared" si="50"/>
        <v>0</v>
      </c>
      <c r="J380" s="409"/>
      <c r="K380" s="409"/>
      <c r="L380" s="471">
        <f t="shared" si="51"/>
        <v>0</v>
      </c>
      <c r="M380" s="471">
        <f t="shared" si="52"/>
        <v>0</v>
      </c>
      <c r="N380" s="472">
        <f t="shared" si="53"/>
        <v>0</v>
      </c>
    </row>
    <row r="381" spans="1:14" ht="13.2" customHeight="1" x14ac:dyDescent="0.3">
      <c r="A381" s="401"/>
      <c r="B381" s="403" t="s">
        <v>1825</v>
      </c>
      <c r="C381" s="404" t="s">
        <v>652</v>
      </c>
      <c r="D381" s="371" t="s">
        <v>662</v>
      </c>
      <c r="E381" s="405" t="s">
        <v>235</v>
      </c>
      <c r="F381" s="576"/>
      <c r="G381" s="576"/>
      <c r="H381" s="406">
        <f>IF(REKAP!$Q$9=$D381,H$27,0)</f>
        <v>0</v>
      </c>
      <c r="I381" s="406">
        <f t="shared" si="50"/>
        <v>0</v>
      </c>
      <c r="J381" s="406"/>
      <c r="K381" s="406"/>
      <c r="L381" s="469">
        <f t="shared" si="51"/>
        <v>0</v>
      </c>
      <c r="M381" s="469">
        <f t="shared" si="52"/>
        <v>0</v>
      </c>
      <c r="N381" s="470">
        <f t="shared" si="53"/>
        <v>0</v>
      </c>
    </row>
    <row r="382" spans="1:14" ht="13.2" customHeight="1" x14ac:dyDescent="0.3">
      <c r="A382" s="401"/>
      <c r="B382" s="407"/>
      <c r="C382" s="371" t="s">
        <v>652</v>
      </c>
      <c r="D382" s="371" t="s">
        <v>663</v>
      </c>
      <c r="E382" s="367" t="s">
        <v>235</v>
      </c>
      <c r="F382" s="539"/>
      <c r="G382" s="539"/>
      <c r="H382" s="372">
        <f>IF(REKAP!$Q$9=$D382,H$27,0)</f>
        <v>0</v>
      </c>
      <c r="I382" s="372">
        <f t="shared" si="50"/>
        <v>0</v>
      </c>
      <c r="J382" s="372"/>
      <c r="K382" s="372"/>
      <c r="L382" s="387">
        <f t="shared" si="51"/>
        <v>0</v>
      </c>
      <c r="M382" s="387">
        <f t="shared" si="52"/>
        <v>0</v>
      </c>
      <c r="N382" s="422">
        <f t="shared" si="53"/>
        <v>0</v>
      </c>
    </row>
    <row r="383" spans="1:14" ht="13.2" customHeight="1" x14ac:dyDescent="0.3">
      <c r="A383" s="401"/>
      <c r="B383" s="403" t="s">
        <v>1826</v>
      </c>
      <c r="C383" s="404" t="s">
        <v>652</v>
      </c>
      <c r="D383" s="371" t="s">
        <v>658</v>
      </c>
      <c r="E383" s="405" t="s">
        <v>235</v>
      </c>
      <c r="F383" s="576"/>
      <c r="G383" s="576"/>
      <c r="H383" s="406">
        <f>IF(REKAP!$Q$9=$D383,H$27,0)</f>
        <v>0</v>
      </c>
      <c r="I383" s="406">
        <f t="shared" si="50"/>
        <v>0</v>
      </c>
      <c r="J383" s="406"/>
      <c r="K383" s="406"/>
      <c r="L383" s="469">
        <f t="shared" si="51"/>
        <v>0</v>
      </c>
      <c r="M383" s="469">
        <f t="shared" si="52"/>
        <v>0</v>
      </c>
      <c r="N383" s="470">
        <f t="shared" si="53"/>
        <v>0</v>
      </c>
    </row>
    <row r="384" spans="1:14" ht="13.2" customHeight="1" x14ac:dyDescent="0.3">
      <c r="A384" s="401"/>
      <c r="B384" s="407"/>
      <c r="C384" s="371" t="s">
        <v>652</v>
      </c>
      <c r="D384" s="371" t="s">
        <v>659</v>
      </c>
      <c r="E384" s="367" t="s">
        <v>235</v>
      </c>
      <c r="F384" s="539"/>
      <c r="G384" s="539"/>
      <c r="H384" s="372">
        <f>IF(REKAP!$Q$9=$D384,H$27,0)</f>
        <v>0</v>
      </c>
      <c r="I384" s="372">
        <f t="shared" si="50"/>
        <v>0</v>
      </c>
      <c r="J384" s="372"/>
      <c r="K384" s="372"/>
      <c r="L384" s="387">
        <f t="shared" si="51"/>
        <v>0</v>
      </c>
      <c r="M384" s="387">
        <f t="shared" si="52"/>
        <v>0</v>
      </c>
      <c r="N384" s="422">
        <f t="shared" si="53"/>
        <v>0</v>
      </c>
    </row>
    <row r="385" spans="1:14" ht="13.2" customHeight="1" x14ac:dyDescent="0.3">
      <c r="A385" s="401"/>
      <c r="B385" s="403" t="s">
        <v>1827</v>
      </c>
      <c r="C385" s="404" t="s">
        <v>652</v>
      </c>
      <c r="D385" s="404" t="s">
        <v>630</v>
      </c>
      <c r="E385" s="405" t="s">
        <v>235</v>
      </c>
      <c r="F385" s="576"/>
      <c r="G385" s="576"/>
      <c r="H385" s="406">
        <f>IF(REKAP!$Q$9=$D385,H$27,0)</f>
        <v>0</v>
      </c>
      <c r="I385" s="406">
        <f t="shared" si="50"/>
        <v>0</v>
      </c>
      <c r="J385" s="406"/>
      <c r="K385" s="406"/>
      <c r="L385" s="469">
        <f t="shared" si="51"/>
        <v>0</v>
      </c>
      <c r="M385" s="469">
        <f t="shared" si="52"/>
        <v>0</v>
      </c>
      <c r="N385" s="470">
        <f t="shared" si="53"/>
        <v>0</v>
      </c>
    </row>
    <row r="386" spans="1:14" ht="13.2" customHeight="1" x14ac:dyDescent="0.3">
      <c r="A386" s="410"/>
      <c r="B386" s="408"/>
      <c r="C386" s="390" t="s">
        <v>652</v>
      </c>
      <c r="D386" s="390" t="s">
        <v>1569</v>
      </c>
      <c r="E386" s="391" t="s">
        <v>235</v>
      </c>
      <c r="F386" s="577"/>
      <c r="G386" s="577"/>
      <c r="H386" s="409">
        <f>IF(REKAP!$Q$9=$D386,H$27,0)</f>
        <v>0</v>
      </c>
      <c r="I386" s="409">
        <f t="shared" si="50"/>
        <v>0</v>
      </c>
      <c r="J386" s="409"/>
      <c r="K386" s="409"/>
      <c r="L386" s="471">
        <f t="shared" si="51"/>
        <v>0</v>
      </c>
      <c r="M386" s="471">
        <f t="shared" si="52"/>
        <v>0</v>
      </c>
      <c r="N386" s="472">
        <f t="shared" si="53"/>
        <v>0</v>
      </c>
    </row>
    <row r="387" spans="1:14" ht="13.2" customHeight="1" x14ac:dyDescent="0.3">
      <c r="A387" s="397">
        <v>5</v>
      </c>
      <c r="B387" s="398" t="s">
        <v>1573</v>
      </c>
      <c r="C387" s="371"/>
      <c r="D387" s="371"/>
      <c r="E387" s="367"/>
      <c r="F387" s="527"/>
      <c r="G387" s="527"/>
      <c r="H387" s="527"/>
      <c r="I387" s="372">
        <f t="shared" si="50"/>
        <v>0</v>
      </c>
      <c r="J387" s="372"/>
      <c r="K387" s="369"/>
      <c r="L387" s="387">
        <f t="shared" si="51"/>
        <v>0</v>
      </c>
      <c r="M387" s="387">
        <f t="shared" si="52"/>
        <v>0</v>
      </c>
      <c r="N387" s="422">
        <f t="shared" si="53"/>
        <v>0</v>
      </c>
    </row>
    <row r="388" spans="1:14" ht="13.2" customHeight="1" x14ac:dyDescent="0.3">
      <c r="A388" s="401"/>
      <c r="B388" s="402" t="s">
        <v>1828</v>
      </c>
      <c r="C388" s="371" t="s">
        <v>650</v>
      </c>
      <c r="D388" s="371" t="s">
        <v>651</v>
      </c>
      <c r="E388" s="367" t="s">
        <v>235</v>
      </c>
      <c r="F388" s="527">
        <f>IF(REKAP!$Q$9="Kota Kupang",F$28,0)</f>
        <v>0</v>
      </c>
      <c r="G388" s="527">
        <f>IF(REKAP!$Q$9="Kota Kupang",G$28,0)</f>
        <v>0</v>
      </c>
      <c r="H388" s="539"/>
      <c r="I388" s="372">
        <f t="shared" si="50"/>
        <v>0</v>
      </c>
      <c r="J388" s="372"/>
      <c r="K388" s="372">
        <f>'RAB Pasang'!K388*60%</f>
        <v>259200</v>
      </c>
      <c r="L388" s="387">
        <f t="shared" si="51"/>
        <v>0</v>
      </c>
      <c r="M388" s="387">
        <f t="shared" si="52"/>
        <v>0</v>
      </c>
      <c r="N388" s="422">
        <f t="shared" si="53"/>
        <v>0</v>
      </c>
    </row>
    <row r="389" spans="1:14" ht="13.2" customHeight="1" x14ac:dyDescent="0.3">
      <c r="A389" s="401"/>
      <c r="B389" s="402"/>
      <c r="C389" s="371" t="s">
        <v>652</v>
      </c>
      <c r="D389" s="371" t="s">
        <v>651</v>
      </c>
      <c r="E389" s="367" t="s">
        <v>235</v>
      </c>
      <c r="F389" s="527">
        <f>IF(REKAP!$Q$9=$D389,F$28,0)</f>
        <v>0</v>
      </c>
      <c r="G389" s="527">
        <f>IF(REKAP!$Q$9=$D389,G$28,0)</f>
        <v>0</v>
      </c>
      <c r="H389" s="539"/>
      <c r="I389" s="372">
        <f t="shared" si="50"/>
        <v>0</v>
      </c>
      <c r="J389" s="372"/>
      <c r="K389" s="372">
        <f>'RAB Pasang'!K389*60%</f>
        <v>286200</v>
      </c>
      <c r="L389" s="387">
        <f t="shared" si="51"/>
        <v>0</v>
      </c>
      <c r="M389" s="387">
        <f t="shared" si="52"/>
        <v>0</v>
      </c>
      <c r="N389" s="422">
        <f t="shared" si="53"/>
        <v>0</v>
      </c>
    </row>
    <row r="390" spans="1:14" ht="13.2" customHeight="1" x14ac:dyDescent="0.3">
      <c r="A390" s="401"/>
      <c r="B390" s="402"/>
      <c r="C390" s="371" t="s">
        <v>652</v>
      </c>
      <c r="D390" s="371" t="s">
        <v>653</v>
      </c>
      <c r="E390" s="367" t="s">
        <v>235</v>
      </c>
      <c r="F390" s="527">
        <f>IF(REKAP!$Q$9=$D390,F$28,0)</f>
        <v>0</v>
      </c>
      <c r="G390" s="527">
        <f>IF(REKAP!$Q$9=$D390,G$28,0)</f>
        <v>0</v>
      </c>
      <c r="H390" s="539"/>
      <c r="I390" s="372">
        <f t="shared" si="50"/>
        <v>0</v>
      </c>
      <c r="J390" s="372"/>
      <c r="K390" s="372">
        <f>'RAB Pasang'!K390*60%</f>
        <v>324000</v>
      </c>
      <c r="L390" s="387">
        <f t="shared" si="51"/>
        <v>0</v>
      </c>
      <c r="M390" s="387">
        <f t="shared" si="52"/>
        <v>0</v>
      </c>
      <c r="N390" s="422">
        <f t="shared" si="53"/>
        <v>0</v>
      </c>
    </row>
    <row r="391" spans="1:14" ht="13.2" customHeight="1" x14ac:dyDescent="0.3">
      <c r="A391" s="401"/>
      <c r="B391" s="402"/>
      <c r="C391" s="371" t="s">
        <v>652</v>
      </c>
      <c r="D391" s="371" t="s">
        <v>654</v>
      </c>
      <c r="E391" s="367" t="s">
        <v>235</v>
      </c>
      <c r="F391" s="527">
        <f>IF(REKAP!$Q$9=$D391,F$28,0)</f>
        <v>0</v>
      </c>
      <c r="G391" s="527">
        <f>IF(REKAP!$Q$9=$D391,G$28,0)</f>
        <v>0</v>
      </c>
      <c r="H391" s="539"/>
      <c r="I391" s="372">
        <f t="shared" si="50"/>
        <v>0</v>
      </c>
      <c r="J391" s="372"/>
      <c r="K391" s="372">
        <f>'RAB Pasang'!K391*60%</f>
        <v>361800</v>
      </c>
      <c r="L391" s="387">
        <f t="shared" si="51"/>
        <v>0</v>
      </c>
      <c r="M391" s="387">
        <f t="shared" si="52"/>
        <v>0</v>
      </c>
      <c r="N391" s="422">
        <f t="shared" si="53"/>
        <v>0</v>
      </c>
    </row>
    <row r="392" spans="1:14" ht="13.2" customHeight="1" x14ac:dyDescent="0.3">
      <c r="A392" s="401"/>
      <c r="B392" s="402"/>
      <c r="C392" s="371" t="s">
        <v>652</v>
      </c>
      <c r="D392" s="371" t="s">
        <v>655</v>
      </c>
      <c r="E392" s="367" t="s">
        <v>235</v>
      </c>
      <c r="F392" s="527"/>
      <c r="G392" s="527"/>
      <c r="H392" s="539"/>
      <c r="I392" s="372">
        <f t="shared" si="50"/>
        <v>0</v>
      </c>
      <c r="J392" s="372"/>
      <c r="K392" s="372">
        <f>'RAB Pasang'!K392*60%</f>
        <v>464400</v>
      </c>
      <c r="L392" s="387">
        <f t="shared" si="51"/>
        <v>0</v>
      </c>
      <c r="M392" s="387">
        <f t="shared" si="52"/>
        <v>0</v>
      </c>
      <c r="N392" s="422">
        <f t="shared" si="53"/>
        <v>0</v>
      </c>
    </row>
    <row r="393" spans="1:14" ht="13.2" customHeight="1" x14ac:dyDescent="0.3">
      <c r="A393" s="401"/>
      <c r="B393" s="402"/>
      <c r="C393" s="371" t="s">
        <v>652</v>
      </c>
      <c r="D393" s="371" t="s">
        <v>656</v>
      </c>
      <c r="E393" s="367" t="s">
        <v>235</v>
      </c>
      <c r="F393" s="527"/>
      <c r="G393" s="527"/>
      <c r="H393" s="539"/>
      <c r="I393" s="372">
        <f t="shared" si="50"/>
        <v>0</v>
      </c>
      <c r="J393" s="372"/>
      <c r="K393" s="372">
        <f>'RAB Pasang'!K393*60%</f>
        <v>496800</v>
      </c>
      <c r="L393" s="387">
        <f t="shared" si="51"/>
        <v>0</v>
      </c>
      <c r="M393" s="387">
        <f t="shared" si="52"/>
        <v>0</v>
      </c>
      <c r="N393" s="422">
        <f t="shared" si="53"/>
        <v>0</v>
      </c>
    </row>
    <row r="394" spans="1:14" ht="13.2" customHeight="1" x14ac:dyDescent="0.3">
      <c r="A394" s="401"/>
      <c r="B394" s="402"/>
      <c r="C394" s="371" t="s">
        <v>652</v>
      </c>
      <c r="D394" s="371" t="s">
        <v>657</v>
      </c>
      <c r="E394" s="367" t="s">
        <v>235</v>
      </c>
      <c r="F394" s="527"/>
      <c r="G394" s="527"/>
      <c r="H394" s="539"/>
      <c r="I394" s="372">
        <f t="shared" si="50"/>
        <v>0</v>
      </c>
      <c r="J394" s="372"/>
      <c r="K394" s="372">
        <f>'RAB Pasang'!K394*60%</f>
        <v>496800</v>
      </c>
      <c r="L394" s="387">
        <f t="shared" si="51"/>
        <v>0</v>
      </c>
      <c r="M394" s="387">
        <f t="shared" si="52"/>
        <v>0</v>
      </c>
      <c r="N394" s="422">
        <f t="shared" si="53"/>
        <v>0</v>
      </c>
    </row>
    <row r="395" spans="1:14" ht="13.2" customHeight="1" x14ac:dyDescent="0.3">
      <c r="A395" s="401"/>
      <c r="B395" s="402"/>
      <c r="C395" s="371" t="s">
        <v>652</v>
      </c>
      <c r="D395" s="371" t="s">
        <v>658</v>
      </c>
      <c r="E395" s="367" t="s">
        <v>235</v>
      </c>
      <c r="F395" s="527"/>
      <c r="G395" s="527"/>
      <c r="H395" s="539"/>
      <c r="I395" s="372">
        <f t="shared" si="50"/>
        <v>0</v>
      </c>
      <c r="J395" s="372"/>
      <c r="K395" s="372">
        <f>'RAB Pasang'!K395*60%</f>
        <v>653400</v>
      </c>
      <c r="L395" s="387">
        <f t="shared" si="51"/>
        <v>0</v>
      </c>
      <c r="M395" s="387">
        <f t="shared" si="52"/>
        <v>0</v>
      </c>
      <c r="N395" s="422">
        <f t="shared" si="53"/>
        <v>0</v>
      </c>
    </row>
    <row r="396" spans="1:14" ht="13.2" customHeight="1" x14ac:dyDescent="0.3">
      <c r="A396" s="401"/>
      <c r="B396" s="402"/>
      <c r="C396" s="371" t="s">
        <v>652</v>
      </c>
      <c r="D396" s="371" t="s">
        <v>659</v>
      </c>
      <c r="E396" s="367" t="s">
        <v>235</v>
      </c>
      <c r="F396" s="527"/>
      <c r="G396" s="527"/>
      <c r="H396" s="539"/>
      <c r="I396" s="372">
        <f t="shared" si="50"/>
        <v>0</v>
      </c>
      <c r="J396" s="372"/>
      <c r="K396" s="372">
        <f>'RAB Pasang'!K396*60%</f>
        <v>1182600</v>
      </c>
      <c r="L396" s="387">
        <f t="shared" si="51"/>
        <v>0</v>
      </c>
      <c r="M396" s="387">
        <f t="shared" si="52"/>
        <v>0</v>
      </c>
      <c r="N396" s="422">
        <f t="shared" si="53"/>
        <v>0</v>
      </c>
    </row>
    <row r="397" spans="1:14" ht="13.2" customHeight="1" x14ac:dyDescent="0.3">
      <c r="A397" s="401"/>
      <c r="B397" s="402"/>
      <c r="C397" s="371" t="s">
        <v>652</v>
      </c>
      <c r="D397" s="371" t="s">
        <v>660</v>
      </c>
      <c r="E397" s="367" t="s">
        <v>235</v>
      </c>
      <c r="F397" s="527"/>
      <c r="G397" s="527"/>
      <c r="H397" s="539"/>
      <c r="I397" s="372">
        <f t="shared" si="50"/>
        <v>0</v>
      </c>
      <c r="J397" s="372"/>
      <c r="K397" s="372">
        <f>'RAB Pasang'!K397*60%</f>
        <v>874800</v>
      </c>
      <c r="L397" s="387">
        <f t="shared" si="51"/>
        <v>0</v>
      </c>
      <c r="M397" s="387">
        <f t="shared" si="52"/>
        <v>0</v>
      </c>
      <c r="N397" s="422">
        <f t="shared" si="53"/>
        <v>0</v>
      </c>
    </row>
    <row r="398" spans="1:14" ht="13.2" customHeight="1" x14ac:dyDescent="0.3">
      <c r="A398" s="401"/>
      <c r="B398" s="402"/>
      <c r="C398" s="371" t="s">
        <v>652</v>
      </c>
      <c r="D398" s="371" t="s">
        <v>661</v>
      </c>
      <c r="E398" s="367" t="s">
        <v>235</v>
      </c>
      <c r="F398" s="527"/>
      <c r="G398" s="527"/>
      <c r="H398" s="539"/>
      <c r="I398" s="372">
        <f t="shared" si="50"/>
        <v>0</v>
      </c>
      <c r="J398" s="372"/>
      <c r="K398" s="372">
        <f>'RAB Pasang'!K398*60%</f>
        <v>1539000</v>
      </c>
      <c r="L398" s="387">
        <f t="shared" si="51"/>
        <v>0</v>
      </c>
      <c r="M398" s="387">
        <f t="shared" si="52"/>
        <v>0</v>
      </c>
      <c r="N398" s="422">
        <f t="shared" si="53"/>
        <v>0</v>
      </c>
    </row>
    <row r="399" spans="1:14" ht="13.2" customHeight="1" x14ac:dyDescent="0.3">
      <c r="A399" s="401"/>
      <c r="B399" s="402"/>
      <c r="C399" s="371" t="s">
        <v>652</v>
      </c>
      <c r="D399" s="371" t="s">
        <v>662</v>
      </c>
      <c r="E399" s="367" t="s">
        <v>235</v>
      </c>
      <c r="F399" s="527"/>
      <c r="G399" s="527"/>
      <c r="H399" s="539"/>
      <c r="I399" s="372">
        <f t="shared" si="50"/>
        <v>0</v>
      </c>
      <c r="J399" s="372"/>
      <c r="K399" s="372">
        <f>'RAB Pasang'!K399*60%</f>
        <v>1220400</v>
      </c>
      <c r="L399" s="387">
        <f t="shared" si="51"/>
        <v>0</v>
      </c>
      <c r="M399" s="387">
        <f t="shared" si="52"/>
        <v>0</v>
      </c>
      <c r="N399" s="422">
        <f t="shared" si="53"/>
        <v>0</v>
      </c>
    </row>
    <row r="400" spans="1:14" ht="13.2" customHeight="1" x14ac:dyDescent="0.3">
      <c r="A400" s="401"/>
      <c r="B400" s="402"/>
      <c r="C400" s="371" t="s">
        <v>652</v>
      </c>
      <c r="D400" s="371" t="s">
        <v>663</v>
      </c>
      <c r="E400" s="367" t="s">
        <v>235</v>
      </c>
      <c r="F400" s="527"/>
      <c r="G400" s="527"/>
      <c r="H400" s="539"/>
      <c r="I400" s="372">
        <f t="shared" si="50"/>
        <v>0</v>
      </c>
      <c r="J400" s="372"/>
      <c r="K400" s="372">
        <f>'RAB Pasang'!K400*60%</f>
        <v>2025000</v>
      </c>
      <c r="L400" s="387">
        <f t="shared" si="51"/>
        <v>0</v>
      </c>
      <c r="M400" s="387">
        <f t="shared" si="52"/>
        <v>0</v>
      </c>
      <c r="N400" s="422">
        <f t="shared" si="53"/>
        <v>0</v>
      </c>
    </row>
    <row r="401" spans="1:14" ht="13.2" customHeight="1" x14ac:dyDescent="0.3">
      <c r="A401" s="401"/>
      <c r="B401" s="402"/>
      <c r="C401" s="373" t="s">
        <v>652</v>
      </c>
      <c r="D401" s="373" t="s">
        <v>664</v>
      </c>
      <c r="E401" s="374" t="s">
        <v>235</v>
      </c>
      <c r="F401" s="527">
        <f>IF(REKAP!$Q$9=$D401,F$28,0)</f>
        <v>0</v>
      </c>
      <c r="G401" s="527">
        <f>IF(REKAP!$Q$9=$D401,G$28,0)</f>
        <v>0</v>
      </c>
      <c r="H401" s="571"/>
      <c r="I401" s="375">
        <f t="shared" si="50"/>
        <v>0</v>
      </c>
      <c r="J401" s="375"/>
      <c r="K401" s="372">
        <f>'RAB Pasang'!K401*60%</f>
        <v>356400</v>
      </c>
      <c r="L401" s="399">
        <f t="shared" si="51"/>
        <v>0</v>
      </c>
      <c r="M401" s="399">
        <f t="shared" si="52"/>
        <v>0</v>
      </c>
      <c r="N401" s="400">
        <f t="shared" si="53"/>
        <v>0</v>
      </c>
    </row>
    <row r="402" spans="1:14" ht="13.2" customHeight="1" x14ac:dyDescent="0.3">
      <c r="A402" s="401"/>
      <c r="B402" s="403" t="s">
        <v>1824</v>
      </c>
      <c r="C402" s="404" t="s">
        <v>652</v>
      </c>
      <c r="D402" s="404" t="s">
        <v>655</v>
      </c>
      <c r="E402" s="405" t="s">
        <v>235</v>
      </c>
      <c r="F402" s="406">
        <f>IF(REKAP!$Q$9=$D402,F$28,0)</f>
        <v>0</v>
      </c>
      <c r="G402" s="406">
        <f>IF(REKAP!$Q$9=$D402,G$28,0)</f>
        <v>0</v>
      </c>
      <c r="H402" s="576"/>
      <c r="I402" s="406">
        <f t="shared" si="50"/>
        <v>0</v>
      </c>
      <c r="J402" s="406"/>
      <c r="K402" s="406">
        <f>'RAB Pasang'!K402*60%</f>
        <v>356400</v>
      </c>
      <c r="L402" s="469">
        <f t="shared" si="51"/>
        <v>0</v>
      </c>
      <c r="M402" s="469">
        <f t="shared" si="52"/>
        <v>0</v>
      </c>
      <c r="N402" s="470">
        <f t="shared" si="53"/>
        <v>0</v>
      </c>
    </row>
    <row r="403" spans="1:14" ht="13.2" customHeight="1" x14ac:dyDescent="0.3">
      <c r="A403" s="401"/>
      <c r="B403" s="407"/>
      <c r="C403" s="371" t="s">
        <v>652</v>
      </c>
      <c r="D403" s="371" t="s">
        <v>656</v>
      </c>
      <c r="E403" s="367" t="s">
        <v>235</v>
      </c>
      <c r="F403" s="372">
        <f>IF(REKAP!$Q$9=$D403,F$28,0)</f>
        <v>0</v>
      </c>
      <c r="G403" s="372">
        <f>IF(REKAP!$Q$9=$D403,G$28,0)</f>
        <v>0</v>
      </c>
      <c r="H403" s="539"/>
      <c r="I403" s="372">
        <f t="shared" si="50"/>
        <v>0</v>
      </c>
      <c r="J403" s="372"/>
      <c r="K403" s="372">
        <f>'RAB Pasang'!K403*60%</f>
        <v>253800</v>
      </c>
      <c r="L403" s="387">
        <f t="shared" si="51"/>
        <v>0</v>
      </c>
      <c r="M403" s="387">
        <f t="shared" si="52"/>
        <v>0</v>
      </c>
      <c r="N403" s="422">
        <f t="shared" si="53"/>
        <v>0</v>
      </c>
    </row>
    <row r="404" spans="1:14" ht="13.2" customHeight="1" x14ac:dyDescent="0.3">
      <c r="A404" s="401"/>
      <c r="B404" s="408"/>
      <c r="C404" s="390" t="s">
        <v>652</v>
      </c>
      <c r="D404" s="390" t="s">
        <v>657</v>
      </c>
      <c r="E404" s="391" t="s">
        <v>235</v>
      </c>
      <c r="F404" s="409">
        <f>IF(REKAP!$Q$9=$D404,F$28,0)</f>
        <v>0</v>
      </c>
      <c r="G404" s="409">
        <f>IF(REKAP!$Q$9=$D404,G$28,0)</f>
        <v>0</v>
      </c>
      <c r="H404" s="577"/>
      <c r="I404" s="409">
        <f t="shared" ref="I404:I435" si="54">SUM(F404:H404)</f>
        <v>0</v>
      </c>
      <c r="J404" s="409"/>
      <c r="K404" s="409">
        <f>'RAB Pasang'!K404*60%</f>
        <v>324000</v>
      </c>
      <c r="L404" s="471">
        <f t="shared" ref="L404:L435" si="55">J404*I404</f>
        <v>0</v>
      </c>
      <c r="M404" s="471">
        <f t="shared" ref="M404:M435" si="56">K404*I404</f>
        <v>0</v>
      </c>
      <c r="N404" s="472">
        <f t="shared" ref="N404:N435" si="57">SUM(L404:M404)</f>
        <v>0</v>
      </c>
    </row>
    <row r="405" spans="1:14" ht="13.2" customHeight="1" x14ac:dyDescent="0.3">
      <c r="A405" s="401"/>
      <c r="B405" s="403" t="s">
        <v>1825</v>
      </c>
      <c r="C405" s="404" t="s">
        <v>652</v>
      </c>
      <c r="D405" s="371" t="s">
        <v>662</v>
      </c>
      <c r="E405" s="405" t="s">
        <v>235</v>
      </c>
      <c r="F405" s="406">
        <f>IF(REKAP!$Q$9=$D405,F$28,0)</f>
        <v>0</v>
      </c>
      <c r="G405" s="406">
        <f>IF(REKAP!$Q$9=$D405,G$28,0)</f>
        <v>0</v>
      </c>
      <c r="H405" s="576"/>
      <c r="I405" s="406">
        <f t="shared" si="54"/>
        <v>0</v>
      </c>
      <c r="J405" s="406"/>
      <c r="K405" s="406">
        <f>'RAB Pasang'!K405*60%</f>
        <v>264600</v>
      </c>
      <c r="L405" s="469">
        <f t="shared" si="55"/>
        <v>0</v>
      </c>
      <c r="M405" s="469">
        <f t="shared" si="56"/>
        <v>0</v>
      </c>
      <c r="N405" s="470">
        <f t="shared" si="57"/>
        <v>0</v>
      </c>
    </row>
    <row r="406" spans="1:14" ht="13.2" customHeight="1" x14ac:dyDescent="0.3">
      <c r="A406" s="401"/>
      <c r="B406" s="407"/>
      <c r="C406" s="371" t="s">
        <v>652</v>
      </c>
      <c r="D406" s="371" t="s">
        <v>663</v>
      </c>
      <c r="E406" s="367" t="s">
        <v>235</v>
      </c>
      <c r="F406" s="372">
        <f>IF(REKAP!$Q$9=$D406,F$28,0)</f>
        <v>0</v>
      </c>
      <c r="G406" s="372">
        <f>IF(REKAP!$Q$9=$D406,G$28,0)</f>
        <v>0</v>
      </c>
      <c r="H406" s="539"/>
      <c r="I406" s="372">
        <f t="shared" si="54"/>
        <v>0</v>
      </c>
      <c r="J406" s="372"/>
      <c r="K406" s="409">
        <f>'RAB Pasang'!K406*60%</f>
        <v>658800</v>
      </c>
      <c r="L406" s="387">
        <f t="shared" si="55"/>
        <v>0</v>
      </c>
      <c r="M406" s="387">
        <f t="shared" si="56"/>
        <v>0</v>
      </c>
      <c r="N406" s="422">
        <f t="shared" si="57"/>
        <v>0</v>
      </c>
    </row>
    <row r="407" spans="1:14" ht="13.2" customHeight="1" x14ac:dyDescent="0.3">
      <c r="A407" s="401"/>
      <c r="B407" s="403" t="s">
        <v>1826</v>
      </c>
      <c r="C407" s="404" t="s">
        <v>652</v>
      </c>
      <c r="D407" s="371" t="s">
        <v>658</v>
      </c>
      <c r="E407" s="405" t="s">
        <v>235</v>
      </c>
      <c r="F407" s="406">
        <f>IF(REKAP!$Q$9=$D407,F$28,0)</f>
        <v>0</v>
      </c>
      <c r="G407" s="406">
        <f>IF(REKAP!$Q$9=$D407,G$28,0)</f>
        <v>0</v>
      </c>
      <c r="H407" s="576"/>
      <c r="I407" s="406">
        <f t="shared" si="54"/>
        <v>0</v>
      </c>
      <c r="J407" s="406"/>
      <c r="K407" s="406">
        <f>'RAB Pasang'!K407*60%</f>
        <v>237600</v>
      </c>
      <c r="L407" s="469">
        <f t="shared" si="55"/>
        <v>0</v>
      </c>
      <c r="M407" s="469">
        <f t="shared" si="56"/>
        <v>0</v>
      </c>
      <c r="N407" s="470">
        <f t="shared" si="57"/>
        <v>0</v>
      </c>
    </row>
    <row r="408" spans="1:14" ht="13.2" customHeight="1" x14ac:dyDescent="0.3">
      <c r="A408" s="401"/>
      <c r="B408" s="407"/>
      <c r="C408" s="371" t="s">
        <v>652</v>
      </c>
      <c r="D408" s="371" t="s">
        <v>659</v>
      </c>
      <c r="E408" s="367" t="s">
        <v>235</v>
      </c>
      <c r="F408" s="372">
        <f>IF(REKAP!$Q$9=$D408,F$28,0)</f>
        <v>0</v>
      </c>
      <c r="G408" s="372">
        <f>IF(REKAP!$Q$9=$D408,G$28,0)</f>
        <v>0</v>
      </c>
      <c r="H408" s="539"/>
      <c r="I408" s="372">
        <f t="shared" si="54"/>
        <v>0</v>
      </c>
      <c r="J408" s="372"/>
      <c r="K408" s="409">
        <f>'RAB Pasang'!K408*60%</f>
        <v>534600</v>
      </c>
      <c r="L408" s="387">
        <f t="shared" si="55"/>
        <v>0</v>
      </c>
      <c r="M408" s="387">
        <f t="shared" si="56"/>
        <v>0</v>
      </c>
      <c r="N408" s="422">
        <f t="shared" si="57"/>
        <v>0</v>
      </c>
    </row>
    <row r="409" spans="1:14" ht="13.2" customHeight="1" x14ac:dyDescent="0.3">
      <c r="A409" s="401"/>
      <c r="B409" s="403" t="s">
        <v>1827</v>
      </c>
      <c r="C409" s="404" t="s">
        <v>652</v>
      </c>
      <c r="D409" s="404" t="s">
        <v>630</v>
      </c>
      <c r="E409" s="405" t="s">
        <v>235</v>
      </c>
      <c r="F409" s="406">
        <f>IF(REKAP!$Q$9=$D409,F$28,0)</f>
        <v>0</v>
      </c>
      <c r="G409" s="406">
        <f>IF(REKAP!$Q$9=$D409,G$28,0)</f>
        <v>0</v>
      </c>
      <c r="H409" s="576"/>
      <c r="I409" s="406">
        <f t="shared" si="54"/>
        <v>0</v>
      </c>
      <c r="J409" s="406"/>
      <c r="K409" s="369">
        <f>'RAB Pasang'!K409*60%</f>
        <v>237600</v>
      </c>
      <c r="L409" s="469">
        <f t="shared" si="55"/>
        <v>0</v>
      </c>
      <c r="M409" s="469">
        <f t="shared" si="56"/>
        <v>0</v>
      </c>
      <c r="N409" s="470">
        <f t="shared" si="57"/>
        <v>0</v>
      </c>
    </row>
    <row r="410" spans="1:14" ht="13.2" customHeight="1" x14ac:dyDescent="0.3">
      <c r="A410" s="410"/>
      <c r="B410" s="408"/>
      <c r="C410" s="390" t="s">
        <v>652</v>
      </c>
      <c r="D410" s="390" t="s">
        <v>1569</v>
      </c>
      <c r="E410" s="391" t="s">
        <v>235</v>
      </c>
      <c r="F410" s="409">
        <f>IF(REKAP!$Q$9=$D410,F$28,0)</f>
        <v>0</v>
      </c>
      <c r="G410" s="409">
        <f>IF(REKAP!$Q$9=$D410,G$28,0)</f>
        <v>0</v>
      </c>
      <c r="H410" s="577"/>
      <c r="I410" s="409">
        <f t="shared" si="54"/>
        <v>0</v>
      </c>
      <c r="J410" s="409"/>
      <c r="K410" s="409">
        <f>'RAB Pasang'!K410*60%</f>
        <v>658800</v>
      </c>
      <c r="L410" s="471">
        <f t="shared" si="55"/>
        <v>0</v>
      </c>
      <c r="M410" s="471">
        <f t="shared" si="56"/>
        <v>0</v>
      </c>
      <c r="N410" s="472">
        <f t="shared" si="57"/>
        <v>0</v>
      </c>
    </row>
    <row r="411" spans="1:14" ht="13.2" customHeight="1" x14ac:dyDescent="0.3">
      <c r="A411" s="397">
        <v>4</v>
      </c>
      <c r="B411" s="398" t="s">
        <v>1572</v>
      </c>
      <c r="C411" s="371"/>
      <c r="D411" s="371"/>
      <c r="E411" s="367"/>
      <c r="F411" s="527"/>
      <c r="G411" s="527"/>
      <c r="H411" s="527"/>
      <c r="I411" s="372">
        <f t="shared" si="54"/>
        <v>0</v>
      </c>
      <c r="J411" s="372"/>
      <c r="K411" s="372"/>
      <c r="L411" s="387">
        <f t="shared" si="55"/>
        <v>0</v>
      </c>
      <c r="M411" s="387">
        <f t="shared" si="56"/>
        <v>0</v>
      </c>
      <c r="N411" s="422">
        <f t="shared" si="57"/>
        <v>0</v>
      </c>
    </row>
    <row r="412" spans="1:14" ht="13.2" customHeight="1" x14ac:dyDescent="0.3">
      <c r="A412" s="401"/>
      <c r="B412" s="402" t="s">
        <v>1828</v>
      </c>
      <c r="C412" s="371" t="s">
        <v>650</v>
      </c>
      <c r="D412" s="371" t="s">
        <v>651</v>
      </c>
      <c r="E412" s="367" t="s">
        <v>235</v>
      </c>
      <c r="F412" s="527">
        <f>IF(REKAP!$Q$9="Kota Kupang",F$29,0)</f>
        <v>0</v>
      </c>
      <c r="G412" s="527">
        <f>IF(REKAP!$Q$9="Kota Kupang",G$29,0)</f>
        <v>0</v>
      </c>
      <c r="H412" s="539"/>
      <c r="I412" s="372">
        <f t="shared" si="54"/>
        <v>0</v>
      </c>
      <c r="J412" s="372"/>
      <c r="K412" s="372">
        <f>'RAB Pasang'!K412*60%</f>
        <v>221400</v>
      </c>
      <c r="L412" s="387">
        <f t="shared" si="55"/>
        <v>0</v>
      </c>
      <c r="M412" s="387">
        <f t="shared" si="56"/>
        <v>0</v>
      </c>
      <c r="N412" s="422">
        <f t="shared" si="57"/>
        <v>0</v>
      </c>
    </row>
    <row r="413" spans="1:14" ht="13.2" customHeight="1" x14ac:dyDescent="0.3">
      <c r="A413" s="401"/>
      <c r="B413" s="402"/>
      <c r="C413" s="371" t="s">
        <v>652</v>
      </c>
      <c r="D413" s="371" t="s">
        <v>651</v>
      </c>
      <c r="E413" s="367" t="s">
        <v>235</v>
      </c>
      <c r="F413" s="527">
        <f>IF(REKAP!$Q$9=$D413,F$29,0)</f>
        <v>0</v>
      </c>
      <c r="G413" s="527">
        <f>IF(REKAP!$Q$9=$D413,G$29,0)</f>
        <v>0</v>
      </c>
      <c r="H413" s="539"/>
      <c r="I413" s="372">
        <f t="shared" si="54"/>
        <v>0</v>
      </c>
      <c r="J413" s="372"/>
      <c r="K413" s="372">
        <f>'RAB Pasang'!K413*60%</f>
        <v>216000</v>
      </c>
      <c r="L413" s="387">
        <f t="shared" si="55"/>
        <v>0</v>
      </c>
      <c r="M413" s="387">
        <f t="shared" si="56"/>
        <v>0</v>
      </c>
      <c r="N413" s="422">
        <f t="shared" si="57"/>
        <v>0</v>
      </c>
    </row>
    <row r="414" spans="1:14" ht="13.2" customHeight="1" x14ac:dyDescent="0.3">
      <c r="A414" s="401"/>
      <c r="B414" s="402"/>
      <c r="C414" s="371" t="s">
        <v>652</v>
      </c>
      <c r="D414" s="371" t="s">
        <v>653</v>
      </c>
      <c r="E414" s="367" t="s">
        <v>235</v>
      </c>
      <c r="F414" s="527">
        <f>IF(REKAP!$Q$9=$D414,F$29,0)</f>
        <v>0</v>
      </c>
      <c r="G414" s="527">
        <f>IF(REKAP!$Q$9=$D414,G$29,0)</f>
        <v>0</v>
      </c>
      <c r="H414" s="539"/>
      <c r="I414" s="372">
        <f t="shared" si="54"/>
        <v>0</v>
      </c>
      <c r="J414" s="372"/>
      <c r="K414" s="372">
        <f>'RAB Pasang'!K414*60%</f>
        <v>309330</v>
      </c>
      <c r="L414" s="387">
        <f t="shared" si="55"/>
        <v>0</v>
      </c>
      <c r="M414" s="387">
        <f t="shared" si="56"/>
        <v>0</v>
      </c>
      <c r="N414" s="422">
        <f t="shared" si="57"/>
        <v>0</v>
      </c>
    </row>
    <row r="415" spans="1:14" ht="13.2" customHeight="1" x14ac:dyDescent="0.3">
      <c r="A415" s="401"/>
      <c r="B415" s="402"/>
      <c r="C415" s="371" t="s">
        <v>652</v>
      </c>
      <c r="D415" s="371" t="s">
        <v>654</v>
      </c>
      <c r="E415" s="367" t="s">
        <v>235</v>
      </c>
      <c r="F415" s="527">
        <f>IF(REKAP!$Q$9=$D415,F$29,0)</f>
        <v>0</v>
      </c>
      <c r="G415" s="527">
        <f>IF(REKAP!$Q$9=$D415,G$29,0)</f>
        <v>0</v>
      </c>
      <c r="H415" s="539"/>
      <c r="I415" s="372">
        <f t="shared" si="54"/>
        <v>0</v>
      </c>
      <c r="J415" s="372"/>
      <c r="K415" s="372">
        <f>'RAB Pasang'!K415*60%</f>
        <v>341882.1</v>
      </c>
      <c r="L415" s="387">
        <f t="shared" si="55"/>
        <v>0</v>
      </c>
      <c r="M415" s="387">
        <f t="shared" si="56"/>
        <v>0</v>
      </c>
      <c r="N415" s="422">
        <f t="shared" si="57"/>
        <v>0</v>
      </c>
    </row>
    <row r="416" spans="1:14" ht="13.2" customHeight="1" x14ac:dyDescent="0.3">
      <c r="A416" s="401"/>
      <c r="B416" s="402"/>
      <c r="C416" s="371" t="s">
        <v>652</v>
      </c>
      <c r="D416" s="371" t="s">
        <v>655</v>
      </c>
      <c r="E416" s="367" t="s">
        <v>235</v>
      </c>
      <c r="F416" s="527"/>
      <c r="G416" s="527"/>
      <c r="H416" s="539"/>
      <c r="I416" s="372">
        <f t="shared" si="54"/>
        <v>0</v>
      </c>
      <c r="J416" s="372"/>
      <c r="K416" s="372">
        <f>'RAB Pasang'!K416*60%</f>
        <v>433792.8</v>
      </c>
      <c r="L416" s="387">
        <f t="shared" si="55"/>
        <v>0</v>
      </c>
      <c r="M416" s="387">
        <f t="shared" si="56"/>
        <v>0</v>
      </c>
      <c r="N416" s="422">
        <f t="shared" si="57"/>
        <v>0</v>
      </c>
    </row>
    <row r="417" spans="1:14" ht="13.2" customHeight="1" x14ac:dyDescent="0.3">
      <c r="A417" s="401"/>
      <c r="B417" s="402"/>
      <c r="C417" s="371" t="s">
        <v>652</v>
      </c>
      <c r="D417" s="371" t="s">
        <v>656</v>
      </c>
      <c r="E417" s="367" t="s">
        <v>235</v>
      </c>
      <c r="F417" s="527"/>
      <c r="G417" s="527"/>
      <c r="H417" s="539"/>
      <c r="I417" s="372">
        <f t="shared" si="54"/>
        <v>0</v>
      </c>
      <c r="J417" s="372"/>
      <c r="K417" s="372">
        <f>'RAB Pasang'!K417*60%</f>
        <v>491362.19999999995</v>
      </c>
      <c r="L417" s="387">
        <f t="shared" si="55"/>
        <v>0</v>
      </c>
      <c r="M417" s="387">
        <f t="shared" si="56"/>
        <v>0</v>
      </c>
      <c r="N417" s="422">
        <f t="shared" si="57"/>
        <v>0</v>
      </c>
    </row>
    <row r="418" spans="1:14" ht="13.2" customHeight="1" x14ac:dyDescent="0.3">
      <c r="A418" s="401"/>
      <c r="B418" s="402"/>
      <c r="C418" s="371" t="s">
        <v>652</v>
      </c>
      <c r="D418" s="371" t="s">
        <v>657</v>
      </c>
      <c r="E418" s="367" t="s">
        <v>235</v>
      </c>
      <c r="F418" s="527"/>
      <c r="G418" s="527"/>
      <c r="H418" s="539"/>
      <c r="I418" s="372">
        <f t="shared" si="54"/>
        <v>0</v>
      </c>
      <c r="J418" s="372"/>
      <c r="K418" s="372">
        <f>'RAB Pasang'!K418*60%</f>
        <v>491318.1</v>
      </c>
      <c r="L418" s="387">
        <f t="shared" si="55"/>
        <v>0</v>
      </c>
      <c r="M418" s="387">
        <f t="shared" si="56"/>
        <v>0</v>
      </c>
      <c r="N418" s="422">
        <f t="shared" si="57"/>
        <v>0</v>
      </c>
    </row>
    <row r="419" spans="1:14" ht="13.2" customHeight="1" x14ac:dyDescent="0.3">
      <c r="A419" s="401"/>
      <c r="B419" s="402"/>
      <c r="C419" s="371" t="s">
        <v>652</v>
      </c>
      <c r="D419" s="371" t="s">
        <v>658</v>
      </c>
      <c r="E419" s="367" t="s">
        <v>235</v>
      </c>
      <c r="F419" s="527"/>
      <c r="G419" s="527"/>
      <c r="H419" s="539"/>
      <c r="I419" s="372">
        <f t="shared" si="54"/>
        <v>0</v>
      </c>
      <c r="J419" s="372"/>
      <c r="K419" s="372">
        <f>'RAB Pasang'!K419*60%</f>
        <v>610734.6</v>
      </c>
      <c r="L419" s="387">
        <f t="shared" si="55"/>
        <v>0</v>
      </c>
      <c r="M419" s="387">
        <f t="shared" si="56"/>
        <v>0</v>
      </c>
      <c r="N419" s="422">
        <f t="shared" si="57"/>
        <v>0</v>
      </c>
    </row>
    <row r="420" spans="1:14" ht="13.2" customHeight="1" x14ac:dyDescent="0.3">
      <c r="A420" s="401"/>
      <c r="B420" s="402"/>
      <c r="C420" s="371" t="s">
        <v>652</v>
      </c>
      <c r="D420" s="371" t="s">
        <v>659</v>
      </c>
      <c r="E420" s="367" t="s">
        <v>235</v>
      </c>
      <c r="F420" s="527"/>
      <c r="G420" s="527"/>
      <c r="H420" s="539"/>
      <c r="I420" s="372">
        <f t="shared" si="54"/>
        <v>0</v>
      </c>
      <c r="J420" s="372"/>
      <c r="K420" s="372">
        <f>'RAB Pasang'!K420*60%</f>
        <v>1091739.5999999999</v>
      </c>
      <c r="L420" s="387">
        <f t="shared" si="55"/>
        <v>0</v>
      </c>
      <c r="M420" s="387">
        <f t="shared" si="56"/>
        <v>0</v>
      </c>
      <c r="N420" s="422">
        <f t="shared" si="57"/>
        <v>0</v>
      </c>
    </row>
    <row r="421" spans="1:14" ht="13.2" customHeight="1" x14ac:dyDescent="0.3">
      <c r="A421" s="401"/>
      <c r="B421" s="402"/>
      <c r="C421" s="371" t="s">
        <v>652</v>
      </c>
      <c r="D421" s="371" t="s">
        <v>660</v>
      </c>
      <c r="E421" s="367" t="s">
        <v>235</v>
      </c>
      <c r="F421" s="527"/>
      <c r="G421" s="527"/>
      <c r="H421" s="539"/>
      <c r="I421" s="372">
        <f t="shared" si="54"/>
        <v>0</v>
      </c>
      <c r="J421" s="372"/>
      <c r="K421" s="372">
        <f>'RAB Pasang'!K421*60%</f>
        <v>862262.1</v>
      </c>
      <c r="L421" s="387">
        <f t="shared" si="55"/>
        <v>0</v>
      </c>
      <c r="M421" s="387">
        <f t="shared" si="56"/>
        <v>0</v>
      </c>
      <c r="N421" s="422">
        <f t="shared" si="57"/>
        <v>0</v>
      </c>
    </row>
    <row r="422" spans="1:14" ht="13.2" customHeight="1" x14ac:dyDescent="0.3">
      <c r="A422" s="401"/>
      <c r="B422" s="402"/>
      <c r="C422" s="371" t="s">
        <v>652</v>
      </c>
      <c r="D422" s="371" t="s">
        <v>661</v>
      </c>
      <c r="E422" s="367" t="s">
        <v>235</v>
      </c>
      <c r="F422" s="527"/>
      <c r="G422" s="527"/>
      <c r="H422" s="539"/>
      <c r="I422" s="372">
        <f t="shared" si="54"/>
        <v>0</v>
      </c>
      <c r="J422" s="372"/>
      <c r="K422" s="372">
        <f>'RAB Pasang'!K422*60%</f>
        <v>1522483.2</v>
      </c>
      <c r="L422" s="387">
        <f t="shared" si="55"/>
        <v>0</v>
      </c>
      <c r="M422" s="387">
        <f t="shared" si="56"/>
        <v>0</v>
      </c>
      <c r="N422" s="422">
        <f t="shared" si="57"/>
        <v>0</v>
      </c>
    </row>
    <row r="423" spans="1:14" ht="13.2" customHeight="1" x14ac:dyDescent="0.3">
      <c r="A423" s="401"/>
      <c r="B423" s="402"/>
      <c r="C423" s="371" t="s">
        <v>652</v>
      </c>
      <c r="D423" s="371" t="s">
        <v>662</v>
      </c>
      <c r="E423" s="367" t="s">
        <v>235</v>
      </c>
      <c r="F423" s="527"/>
      <c r="G423" s="527"/>
      <c r="H423" s="539"/>
      <c r="I423" s="372">
        <f t="shared" si="54"/>
        <v>0</v>
      </c>
      <c r="J423" s="372"/>
      <c r="K423" s="372">
        <f>'RAB Pasang'!K423*60%</f>
        <v>1282390.2</v>
      </c>
      <c r="L423" s="387">
        <f t="shared" si="55"/>
        <v>0</v>
      </c>
      <c r="M423" s="387">
        <f t="shared" si="56"/>
        <v>0</v>
      </c>
      <c r="N423" s="422">
        <f t="shared" si="57"/>
        <v>0</v>
      </c>
    </row>
    <row r="424" spans="1:14" ht="13.2" customHeight="1" x14ac:dyDescent="0.3">
      <c r="A424" s="401"/>
      <c r="B424" s="402"/>
      <c r="C424" s="371" t="s">
        <v>652</v>
      </c>
      <c r="D424" s="371" t="s">
        <v>663</v>
      </c>
      <c r="E424" s="367" t="s">
        <v>235</v>
      </c>
      <c r="F424" s="527"/>
      <c r="G424" s="527"/>
      <c r="H424" s="539"/>
      <c r="I424" s="372">
        <f t="shared" si="54"/>
        <v>0</v>
      </c>
      <c r="J424" s="372"/>
      <c r="K424" s="372">
        <f>'RAB Pasang'!K424*60%</f>
        <v>2160000</v>
      </c>
      <c r="L424" s="387">
        <f t="shared" si="55"/>
        <v>0</v>
      </c>
      <c r="M424" s="387">
        <f t="shared" si="56"/>
        <v>0</v>
      </c>
      <c r="N424" s="422">
        <f t="shared" si="57"/>
        <v>0</v>
      </c>
    </row>
    <row r="425" spans="1:14" ht="13.2" customHeight="1" x14ac:dyDescent="0.3">
      <c r="A425" s="401"/>
      <c r="B425" s="402"/>
      <c r="C425" s="373" t="s">
        <v>652</v>
      </c>
      <c r="D425" s="373" t="s">
        <v>664</v>
      </c>
      <c r="E425" s="374" t="s">
        <v>235</v>
      </c>
      <c r="F425" s="527">
        <f>IF(REKAP!$Q$9=$D425,F$29,0)</f>
        <v>0</v>
      </c>
      <c r="G425" s="527">
        <f>IF(REKAP!$Q$9=$D425,G$29,0)</f>
        <v>0</v>
      </c>
      <c r="H425" s="571"/>
      <c r="I425" s="375">
        <f t="shared" si="54"/>
        <v>0</v>
      </c>
      <c r="J425" s="375"/>
      <c r="K425" s="372">
        <f>'RAB Pasang'!K425*60%</f>
        <v>302400</v>
      </c>
      <c r="L425" s="399">
        <f t="shared" si="55"/>
        <v>0</v>
      </c>
      <c r="M425" s="399">
        <f t="shared" si="56"/>
        <v>0</v>
      </c>
      <c r="N425" s="400">
        <f t="shared" si="57"/>
        <v>0</v>
      </c>
    </row>
    <row r="426" spans="1:14" ht="13.2" customHeight="1" x14ac:dyDescent="0.3">
      <c r="A426" s="401"/>
      <c r="B426" s="403" t="s">
        <v>1824</v>
      </c>
      <c r="C426" s="404" t="s">
        <v>652</v>
      </c>
      <c r="D426" s="404" t="s">
        <v>655</v>
      </c>
      <c r="E426" s="405" t="s">
        <v>235</v>
      </c>
      <c r="F426" s="406">
        <f>IF(REKAP!$Q$9=$D426,F$29,0)</f>
        <v>0</v>
      </c>
      <c r="G426" s="406">
        <f>IF(REKAP!$Q$9=$D426,G$29,0)</f>
        <v>0</v>
      </c>
      <c r="H426" s="576"/>
      <c r="I426" s="406">
        <f t="shared" si="54"/>
        <v>0</v>
      </c>
      <c r="J426" s="406"/>
      <c r="K426" s="406">
        <f>'RAB Pasang'!K426*60%</f>
        <v>346437</v>
      </c>
      <c r="L426" s="469">
        <f t="shared" si="55"/>
        <v>0</v>
      </c>
      <c r="M426" s="469">
        <f t="shared" si="56"/>
        <v>0</v>
      </c>
      <c r="N426" s="470">
        <f t="shared" si="57"/>
        <v>0</v>
      </c>
    </row>
    <row r="427" spans="1:14" ht="13.2" customHeight="1" x14ac:dyDescent="0.3">
      <c r="A427" s="401"/>
      <c r="B427" s="407"/>
      <c r="C427" s="371" t="s">
        <v>652</v>
      </c>
      <c r="D427" s="371" t="s">
        <v>656</v>
      </c>
      <c r="E427" s="367" t="s">
        <v>235</v>
      </c>
      <c r="F427" s="372">
        <f>IF(REKAP!$Q$9=$D427,F$29,0)</f>
        <v>0</v>
      </c>
      <c r="G427" s="372">
        <f>IF(REKAP!$Q$9=$D427,G$29,0)</f>
        <v>0</v>
      </c>
      <c r="H427" s="539"/>
      <c r="I427" s="372">
        <f t="shared" si="54"/>
        <v>0</v>
      </c>
      <c r="J427" s="372"/>
      <c r="K427" s="372">
        <f>'RAB Pasang'!K427*60%</f>
        <v>258375.59999999998</v>
      </c>
      <c r="L427" s="387">
        <f t="shared" si="55"/>
        <v>0</v>
      </c>
      <c r="M427" s="387">
        <f t="shared" si="56"/>
        <v>0</v>
      </c>
      <c r="N427" s="422">
        <f t="shared" si="57"/>
        <v>0</v>
      </c>
    </row>
    <row r="428" spans="1:14" ht="13.2" customHeight="1" x14ac:dyDescent="0.3">
      <c r="A428" s="401"/>
      <c r="B428" s="408"/>
      <c r="C428" s="390" t="s">
        <v>652</v>
      </c>
      <c r="D428" s="390" t="s">
        <v>657</v>
      </c>
      <c r="E428" s="391" t="s">
        <v>235</v>
      </c>
      <c r="F428" s="409">
        <f>IF(REKAP!$Q$9=$D428,F$29,0)</f>
        <v>0</v>
      </c>
      <c r="G428" s="409">
        <f>IF(REKAP!$Q$9=$D428,G$29,0)</f>
        <v>0</v>
      </c>
      <c r="H428" s="577"/>
      <c r="I428" s="409">
        <f t="shared" si="54"/>
        <v>0</v>
      </c>
      <c r="J428" s="409"/>
      <c r="K428" s="409">
        <f>'RAB Pasang'!K428*60%</f>
        <v>322503.3</v>
      </c>
      <c r="L428" s="471">
        <f t="shared" si="55"/>
        <v>0</v>
      </c>
      <c r="M428" s="471">
        <f t="shared" si="56"/>
        <v>0</v>
      </c>
      <c r="N428" s="472">
        <f t="shared" si="57"/>
        <v>0</v>
      </c>
    </row>
    <row r="429" spans="1:14" ht="13.2" customHeight="1" x14ac:dyDescent="0.3">
      <c r="A429" s="401"/>
      <c r="B429" s="403" t="s">
        <v>1825</v>
      </c>
      <c r="C429" s="404" t="s">
        <v>652</v>
      </c>
      <c r="D429" s="371" t="s">
        <v>662</v>
      </c>
      <c r="E429" s="405" t="s">
        <v>235</v>
      </c>
      <c r="F429" s="406">
        <f>IF(REKAP!$Q$9=$D429,F$29,0)</f>
        <v>0</v>
      </c>
      <c r="G429" s="406">
        <f>IF(REKAP!$Q$9=$D429,G$29,0)</f>
        <v>0</v>
      </c>
      <c r="H429" s="576"/>
      <c r="I429" s="406">
        <f t="shared" si="54"/>
        <v>0</v>
      </c>
      <c r="J429" s="406"/>
      <c r="K429" s="406">
        <f>'RAB Pasang'!K429*60%</f>
        <v>262111.5</v>
      </c>
      <c r="L429" s="469">
        <f t="shared" si="55"/>
        <v>0</v>
      </c>
      <c r="M429" s="469">
        <f t="shared" si="56"/>
        <v>0</v>
      </c>
      <c r="N429" s="470">
        <f t="shared" si="57"/>
        <v>0</v>
      </c>
    </row>
    <row r="430" spans="1:14" ht="13.2" customHeight="1" x14ac:dyDescent="0.3">
      <c r="A430" s="401"/>
      <c r="B430" s="407"/>
      <c r="C430" s="371" t="s">
        <v>652</v>
      </c>
      <c r="D430" s="371" t="s">
        <v>663</v>
      </c>
      <c r="E430" s="367" t="s">
        <v>235</v>
      </c>
      <c r="F430" s="372">
        <f>IF(REKAP!$Q$9=$D430,F$29,0)</f>
        <v>0</v>
      </c>
      <c r="G430" s="372">
        <f>IF(REKAP!$Q$9=$D430,G$29,0)</f>
        <v>0</v>
      </c>
      <c r="H430" s="539"/>
      <c r="I430" s="372">
        <f t="shared" si="54"/>
        <v>0</v>
      </c>
      <c r="J430" s="372"/>
      <c r="K430" s="409">
        <f>'RAB Pasang'!K430*60%</f>
        <v>697435.2</v>
      </c>
      <c r="L430" s="387">
        <f t="shared" si="55"/>
        <v>0</v>
      </c>
      <c r="M430" s="387">
        <f t="shared" si="56"/>
        <v>0</v>
      </c>
      <c r="N430" s="422">
        <f t="shared" si="57"/>
        <v>0</v>
      </c>
    </row>
    <row r="431" spans="1:14" ht="13.2" customHeight="1" x14ac:dyDescent="0.3">
      <c r="A431" s="401"/>
      <c r="B431" s="403" t="s">
        <v>1826</v>
      </c>
      <c r="C431" s="404" t="s">
        <v>652</v>
      </c>
      <c r="D431" s="371" t="s">
        <v>658</v>
      </c>
      <c r="E431" s="405" t="s">
        <v>235</v>
      </c>
      <c r="F431" s="406">
        <f>IF(REKAP!$Q$9=$D431,F$29,0)</f>
        <v>0</v>
      </c>
      <c r="G431" s="406">
        <f>IF(REKAP!$Q$9=$D431,G$29,0)</f>
        <v>0</v>
      </c>
      <c r="H431" s="576"/>
      <c r="I431" s="406">
        <f t="shared" si="54"/>
        <v>0</v>
      </c>
      <c r="J431" s="406"/>
      <c r="K431" s="406">
        <f>'RAB Pasang'!K431*60%</f>
        <v>236760.3</v>
      </c>
      <c r="L431" s="469">
        <f t="shared" si="55"/>
        <v>0</v>
      </c>
      <c r="M431" s="469">
        <f t="shared" si="56"/>
        <v>0</v>
      </c>
      <c r="N431" s="470">
        <f t="shared" si="57"/>
        <v>0</v>
      </c>
    </row>
    <row r="432" spans="1:14" ht="13.2" customHeight="1" x14ac:dyDescent="0.3">
      <c r="A432" s="401"/>
      <c r="B432" s="407"/>
      <c r="C432" s="371" t="s">
        <v>652</v>
      </c>
      <c r="D432" s="371" t="s">
        <v>659</v>
      </c>
      <c r="E432" s="367" t="s">
        <v>235</v>
      </c>
      <c r="F432" s="372">
        <f>IF(REKAP!$Q$9=$D432,F$29,0)</f>
        <v>0</v>
      </c>
      <c r="G432" s="372">
        <f>IF(REKAP!$Q$9=$D432,G$29,0)</f>
        <v>0</v>
      </c>
      <c r="H432" s="539"/>
      <c r="I432" s="372">
        <f t="shared" si="54"/>
        <v>0</v>
      </c>
      <c r="J432" s="372"/>
      <c r="K432" s="409">
        <f>'RAB Pasang'!K432*60%</f>
        <v>511692.3</v>
      </c>
      <c r="L432" s="387">
        <f t="shared" si="55"/>
        <v>0</v>
      </c>
      <c r="M432" s="387">
        <f t="shared" si="56"/>
        <v>0</v>
      </c>
      <c r="N432" s="422">
        <f t="shared" si="57"/>
        <v>0</v>
      </c>
    </row>
    <row r="433" spans="1:14" ht="13.2" customHeight="1" x14ac:dyDescent="0.3">
      <c r="A433" s="401"/>
      <c r="B433" s="403" t="s">
        <v>1827</v>
      </c>
      <c r="C433" s="404" t="s">
        <v>652</v>
      </c>
      <c r="D433" s="404" t="s">
        <v>630</v>
      </c>
      <c r="E433" s="405" t="s">
        <v>235</v>
      </c>
      <c r="F433" s="406">
        <f>IF(REKAP!$Q$9=$D433,F$29,0)</f>
        <v>0</v>
      </c>
      <c r="G433" s="406">
        <f>IF(REKAP!$Q$9=$D433,G$29,0)</f>
        <v>0</v>
      </c>
      <c r="H433" s="576"/>
      <c r="I433" s="406">
        <f t="shared" si="54"/>
        <v>0</v>
      </c>
      <c r="J433" s="406"/>
      <c r="K433" s="369">
        <f>'RAB Pasang'!K433*60%</f>
        <v>238272.3</v>
      </c>
      <c r="L433" s="469">
        <f t="shared" si="55"/>
        <v>0</v>
      </c>
      <c r="M433" s="469">
        <f t="shared" si="56"/>
        <v>0</v>
      </c>
      <c r="N433" s="470">
        <f t="shared" si="57"/>
        <v>0</v>
      </c>
    </row>
    <row r="434" spans="1:14" ht="13.2" customHeight="1" x14ac:dyDescent="0.3">
      <c r="A434" s="410"/>
      <c r="B434" s="408"/>
      <c r="C434" s="390" t="s">
        <v>652</v>
      </c>
      <c r="D434" s="390" t="s">
        <v>1569</v>
      </c>
      <c r="E434" s="391" t="s">
        <v>235</v>
      </c>
      <c r="F434" s="409">
        <f>IF(REKAP!$Q$9=$D434,F$29,0)</f>
        <v>0</v>
      </c>
      <c r="G434" s="409">
        <f>IF(REKAP!$Q$9=$D434,G$29,0)</f>
        <v>0</v>
      </c>
      <c r="H434" s="577"/>
      <c r="I434" s="409">
        <f t="shared" si="54"/>
        <v>0</v>
      </c>
      <c r="J434" s="409"/>
      <c r="K434" s="409">
        <f>'RAB Pasang'!K434*60%</f>
        <v>645932.69999999995</v>
      </c>
      <c r="L434" s="471">
        <f t="shared" si="55"/>
        <v>0</v>
      </c>
      <c r="M434" s="471">
        <f t="shared" si="56"/>
        <v>0</v>
      </c>
      <c r="N434" s="472">
        <f t="shared" si="57"/>
        <v>0</v>
      </c>
    </row>
    <row r="435" spans="1:14" ht="13.2" customHeight="1" x14ac:dyDescent="0.3">
      <c r="A435" s="397">
        <v>3</v>
      </c>
      <c r="B435" s="398" t="s">
        <v>1571</v>
      </c>
      <c r="C435" s="371"/>
      <c r="D435" s="371"/>
      <c r="E435" s="367"/>
      <c r="F435" s="527"/>
      <c r="G435" s="527"/>
      <c r="H435" s="527"/>
      <c r="I435" s="372">
        <f t="shared" si="54"/>
        <v>0</v>
      </c>
      <c r="J435" s="372"/>
      <c r="K435" s="372"/>
      <c r="L435" s="387">
        <f t="shared" si="55"/>
        <v>0</v>
      </c>
      <c r="M435" s="387">
        <f t="shared" si="56"/>
        <v>0</v>
      </c>
      <c r="N435" s="422">
        <f t="shared" si="57"/>
        <v>0</v>
      </c>
    </row>
    <row r="436" spans="1:14" ht="13.2" customHeight="1" x14ac:dyDescent="0.3">
      <c r="A436" s="401"/>
      <c r="B436" s="402" t="s">
        <v>1828</v>
      </c>
      <c r="C436" s="371" t="s">
        <v>650</v>
      </c>
      <c r="D436" s="371" t="s">
        <v>651</v>
      </c>
      <c r="E436" s="367" t="s">
        <v>235</v>
      </c>
      <c r="F436" s="527">
        <f>IF(REKAP!$Q$9="Kota Kupang",F$30,0)</f>
        <v>0</v>
      </c>
      <c r="G436" s="527">
        <f>IF(REKAP!$Q$9="Kota Kupang",G$30,0)</f>
        <v>0</v>
      </c>
      <c r="H436" s="539"/>
      <c r="I436" s="372">
        <f t="shared" ref="I436:I458" si="58">SUM(F436:H436)</f>
        <v>0</v>
      </c>
      <c r="J436" s="372"/>
      <c r="K436" s="372">
        <f>'RAB Pasang'!K436*60%</f>
        <v>243000</v>
      </c>
      <c r="L436" s="387">
        <f t="shared" ref="L436:L458" si="59">J436*I436</f>
        <v>0</v>
      </c>
      <c r="M436" s="387">
        <f t="shared" ref="M436:M458" si="60">K436*I436</f>
        <v>0</v>
      </c>
      <c r="N436" s="422">
        <f t="shared" ref="N436:N458" si="61">SUM(L436:M436)</f>
        <v>0</v>
      </c>
    </row>
    <row r="437" spans="1:14" ht="13.2" customHeight="1" x14ac:dyDescent="0.3">
      <c r="A437" s="401"/>
      <c r="B437" s="402"/>
      <c r="C437" s="371" t="s">
        <v>652</v>
      </c>
      <c r="D437" s="371" t="s">
        <v>651</v>
      </c>
      <c r="E437" s="367" t="s">
        <v>235</v>
      </c>
      <c r="F437" s="527">
        <f>IF(REKAP!$Q$9=$D437,F$30,0)</f>
        <v>0</v>
      </c>
      <c r="G437" s="527">
        <f>IF(REKAP!$Q$9=$D437,G$30,0)</f>
        <v>0</v>
      </c>
      <c r="H437" s="539"/>
      <c r="I437" s="372">
        <f t="shared" si="58"/>
        <v>0</v>
      </c>
      <c r="J437" s="372"/>
      <c r="K437" s="372">
        <f>'RAB Pasang'!K437*60%</f>
        <v>216000</v>
      </c>
      <c r="L437" s="387">
        <f t="shared" si="59"/>
        <v>0</v>
      </c>
      <c r="M437" s="387">
        <f t="shared" si="60"/>
        <v>0</v>
      </c>
      <c r="N437" s="422">
        <f t="shared" si="61"/>
        <v>0</v>
      </c>
    </row>
    <row r="438" spans="1:14" ht="13.2" customHeight="1" x14ac:dyDescent="0.3">
      <c r="A438" s="401"/>
      <c r="B438" s="402"/>
      <c r="C438" s="371" t="s">
        <v>652</v>
      </c>
      <c r="D438" s="371" t="s">
        <v>653</v>
      </c>
      <c r="E438" s="367" t="s">
        <v>235</v>
      </c>
      <c r="F438" s="527">
        <f>IF(REKAP!$Q$9=$D438,F$30,0)</f>
        <v>0</v>
      </c>
      <c r="G438" s="527">
        <f>IF(REKAP!$Q$9=$D438,G$30,0)</f>
        <v>0</v>
      </c>
      <c r="H438" s="539"/>
      <c r="I438" s="372">
        <f t="shared" si="58"/>
        <v>0</v>
      </c>
      <c r="J438" s="372"/>
      <c r="K438" s="372">
        <f>'RAB Pasang'!K438*60%</f>
        <v>340200</v>
      </c>
      <c r="L438" s="387">
        <f t="shared" si="59"/>
        <v>0</v>
      </c>
      <c r="M438" s="387">
        <f t="shared" si="60"/>
        <v>0</v>
      </c>
      <c r="N438" s="422">
        <f t="shared" si="61"/>
        <v>0</v>
      </c>
    </row>
    <row r="439" spans="1:14" ht="13.2" customHeight="1" x14ac:dyDescent="0.3">
      <c r="A439" s="401"/>
      <c r="B439" s="402"/>
      <c r="C439" s="371" t="s">
        <v>652</v>
      </c>
      <c r="D439" s="371" t="s">
        <v>654</v>
      </c>
      <c r="E439" s="367" t="s">
        <v>235</v>
      </c>
      <c r="F439" s="527">
        <f>IF(REKAP!$Q$9=$D439,F$30,0)</f>
        <v>0</v>
      </c>
      <c r="G439" s="527">
        <f>IF(REKAP!$Q$9=$D439,G$30,0)</f>
        <v>0</v>
      </c>
      <c r="H439" s="539"/>
      <c r="I439" s="372">
        <f t="shared" si="58"/>
        <v>0</v>
      </c>
      <c r="J439" s="372"/>
      <c r="K439" s="372">
        <f>'RAB Pasang'!K439*60%</f>
        <v>378000</v>
      </c>
      <c r="L439" s="387">
        <f t="shared" si="59"/>
        <v>0</v>
      </c>
      <c r="M439" s="387">
        <f t="shared" si="60"/>
        <v>0</v>
      </c>
      <c r="N439" s="422">
        <f t="shared" si="61"/>
        <v>0</v>
      </c>
    </row>
    <row r="440" spans="1:14" ht="13.2" customHeight="1" x14ac:dyDescent="0.3">
      <c r="A440" s="401"/>
      <c r="B440" s="402"/>
      <c r="C440" s="371" t="s">
        <v>652</v>
      </c>
      <c r="D440" s="371" t="s">
        <v>655</v>
      </c>
      <c r="E440" s="367" t="s">
        <v>235</v>
      </c>
      <c r="F440" s="527"/>
      <c r="G440" s="527"/>
      <c r="H440" s="539"/>
      <c r="I440" s="372">
        <f t="shared" si="58"/>
        <v>0</v>
      </c>
      <c r="J440" s="372"/>
      <c r="K440" s="372">
        <f>'RAB Pasang'!K440*60%</f>
        <v>486000</v>
      </c>
      <c r="L440" s="387">
        <f t="shared" si="59"/>
        <v>0</v>
      </c>
      <c r="M440" s="387">
        <f t="shared" si="60"/>
        <v>0</v>
      </c>
      <c r="N440" s="422">
        <f t="shared" si="61"/>
        <v>0</v>
      </c>
    </row>
    <row r="441" spans="1:14" ht="13.2" customHeight="1" x14ac:dyDescent="0.3">
      <c r="A441" s="401"/>
      <c r="B441" s="402"/>
      <c r="C441" s="371" t="s">
        <v>652</v>
      </c>
      <c r="D441" s="371" t="s">
        <v>656</v>
      </c>
      <c r="E441" s="367" t="s">
        <v>235</v>
      </c>
      <c r="F441" s="527"/>
      <c r="G441" s="527"/>
      <c r="H441" s="539"/>
      <c r="I441" s="372">
        <f t="shared" si="58"/>
        <v>0</v>
      </c>
      <c r="J441" s="372"/>
      <c r="K441" s="372">
        <f>'RAB Pasang'!K441*60%</f>
        <v>540000</v>
      </c>
      <c r="L441" s="387">
        <f t="shared" si="59"/>
        <v>0</v>
      </c>
      <c r="M441" s="387">
        <f t="shared" si="60"/>
        <v>0</v>
      </c>
      <c r="N441" s="422">
        <f t="shared" si="61"/>
        <v>0</v>
      </c>
    </row>
    <row r="442" spans="1:14" ht="13.2" customHeight="1" x14ac:dyDescent="0.3">
      <c r="A442" s="401"/>
      <c r="B442" s="402"/>
      <c r="C442" s="371" t="s">
        <v>652</v>
      </c>
      <c r="D442" s="371" t="s">
        <v>657</v>
      </c>
      <c r="E442" s="367" t="s">
        <v>235</v>
      </c>
      <c r="F442" s="527"/>
      <c r="G442" s="527"/>
      <c r="H442" s="539"/>
      <c r="I442" s="372">
        <f t="shared" si="58"/>
        <v>0</v>
      </c>
      <c r="J442" s="372"/>
      <c r="K442" s="372">
        <f>'RAB Pasang'!K442*60%</f>
        <v>540000</v>
      </c>
      <c r="L442" s="387">
        <f t="shared" si="59"/>
        <v>0</v>
      </c>
      <c r="M442" s="387">
        <f t="shared" si="60"/>
        <v>0</v>
      </c>
      <c r="N442" s="422">
        <f t="shared" si="61"/>
        <v>0</v>
      </c>
    </row>
    <row r="443" spans="1:14" ht="12.75" customHeight="1" x14ac:dyDescent="0.3">
      <c r="A443" s="401"/>
      <c r="B443" s="402"/>
      <c r="C443" s="371" t="s">
        <v>652</v>
      </c>
      <c r="D443" s="371" t="s">
        <v>658</v>
      </c>
      <c r="E443" s="367" t="s">
        <v>235</v>
      </c>
      <c r="F443" s="527"/>
      <c r="G443" s="527"/>
      <c r="H443" s="539"/>
      <c r="I443" s="372">
        <f t="shared" si="58"/>
        <v>0</v>
      </c>
      <c r="J443" s="372"/>
      <c r="K443" s="372">
        <f>'RAB Pasang'!K443*60%</f>
        <v>702000</v>
      </c>
      <c r="L443" s="387">
        <f t="shared" si="59"/>
        <v>0</v>
      </c>
      <c r="M443" s="387">
        <f t="shared" si="60"/>
        <v>0</v>
      </c>
      <c r="N443" s="422">
        <f t="shared" si="61"/>
        <v>0</v>
      </c>
    </row>
    <row r="444" spans="1:14" ht="12.75" customHeight="1" x14ac:dyDescent="0.3">
      <c r="A444" s="401"/>
      <c r="B444" s="402"/>
      <c r="C444" s="371" t="s">
        <v>652</v>
      </c>
      <c r="D444" s="371" t="s">
        <v>659</v>
      </c>
      <c r="E444" s="367" t="s">
        <v>235</v>
      </c>
      <c r="F444" s="527"/>
      <c r="G444" s="527"/>
      <c r="H444" s="539"/>
      <c r="I444" s="372">
        <f t="shared" si="58"/>
        <v>0</v>
      </c>
      <c r="J444" s="372"/>
      <c r="K444" s="372">
        <f>'RAB Pasang'!K444*60%</f>
        <v>1269000</v>
      </c>
      <c r="L444" s="387">
        <f t="shared" si="59"/>
        <v>0</v>
      </c>
      <c r="M444" s="387">
        <f t="shared" si="60"/>
        <v>0</v>
      </c>
      <c r="N444" s="422">
        <f t="shared" si="61"/>
        <v>0</v>
      </c>
    </row>
    <row r="445" spans="1:14" ht="12.75" customHeight="1" x14ac:dyDescent="0.3">
      <c r="A445" s="401"/>
      <c r="B445" s="402"/>
      <c r="C445" s="371" t="s">
        <v>652</v>
      </c>
      <c r="D445" s="371" t="s">
        <v>660</v>
      </c>
      <c r="E445" s="367" t="s">
        <v>235</v>
      </c>
      <c r="F445" s="527"/>
      <c r="G445" s="527"/>
      <c r="H445" s="539"/>
      <c r="I445" s="372">
        <f t="shared" si="58"/>
        <v>0</v>
      </c>
      <c r="J445" s="372"/>
      <c r="K445" s="372">
        <f>'RAB Pasang'!K445*60%</f>
        <v>945000</v>
      </c>
      <c r="L445" s="387">
        <f t="shared" si="59"/>
        <v>0</v>
      </c>
      <c r="M445" s="387">
        <f t="shared" si="60"/>
        <v>0</v>
      </c>
      <c r="N445" s="422">
        <f t="shared" si="61"/>
        <v>0</v>
      </c>
    </row>
    <row r="446" spans="1:14" ht="12.75" customHeight="1" x14ac:dyDescent="0.3">
      <c r="A446" s="401"/>
      <c r="B446" s="402"/>
      <c r="C446" s="371" t="s">
        <v>652</v>
      </c>
      <c r="D446" s="371" t="s">
        <v>661</v>
      </c>
      <c r="E446" s="367" t="s">
        <v>235</v>
      </c>
      <c r="F446" s="527"/>
      <c r="G446" s="527"/>
      <c r="H446" s="539"/>
      <c r="I446" s="372">
        <f t="shared" si="58"/>
        <v>0</v>
      </c>
      <c r="J446" s="372"/>
      <c r="K446" s="372">
        <f>'RAB Pasang'!K446*60%</f>
        <v>1647000</v>
      </c>
      <c r="L446" s="387">
        <f t="shared" si="59"/>
        <v>0</v>
      </c>
      <c r="M446" s="387">
        <f t="shared" si="60"/>
        <v>0</v>
      </c>
      <c r="N446" s="422">
        <f t="shared" si="61"/>
        <v>0</v>
      </c>
    </row>
    <row r="447" spans="1:14" ht="12.75" customHeight="1" x14ac:dyDescent="0.3">
      <c r="A447" s="401"/>
      <c r="B447" s="402"/>
      <c r="C447" s="371" t="s">
        <v>652</v>
      </c>
      <c r="D447" s="371" t="s">
        <v>662</v>
      </c>
      <c r="E447" s="367" t="s">
        <v>235</v>
      </c>
      <c r="F447" s="527"/>
      <c r="G447" s="527"/>
      <c r="H447" s="539"/>
      <c r="I447" s="372">
        <f t="shared" si="58"/>
        <v>0</v>
      </c>
      <c r="J447" s="372"/>
      <c r="K447" s="372">
        <f>'RAB Pasang'!K447*60%</f>
        <v>1350000</v>
      </c>
      <c r="L447" s="387">
        <f t="shared" si="59"/>
        <v>0</v>
      </c>
      <c r="M447" s="387">
        <f t="shared" si="60"/>
        <v>0</v>
      </c>
      <c r="N447" s="422">
        <f t="shared" si="61"/>
        <v>0</v>
      </c>
    </row>
    <row r="448" spans="1:14" ht="12.75" customHeight="1" x14ac:dyDescent="0.3">
      <c r="A448" s="401"/>
      <c r="B448" s="402"/>
      <c r="C448" s="371" t="s">
        <v>652</v>
      </c>
      <c r="D448" s="371" t="s">
        <v>663</v>
      </c>
      <c r="E448" s="367" t="s">
        <v>235</v>
      </c>
      <c r="F448" s="527"/>
      <c r="G448" s="527"/>
      <c r="H448" s="539"/>
      <c r="I448" s="372">
        <f t="shared" si="58"/>
        <v>0</v>
      </c>
      <c r="J448" s="372"/>
      <c r="K448" s="372">
        <f>'RAB Pasang'!K448*60%</f>
        <v>2160000</v>
      </c>
      <c r="L448" s="387">
        <f t="shared" si="59"/>
        <v>0</v>
      </c>
      <c r="M448" s="387">
        <f t="shared" si="60"/>
        <v>0</v>
      </c>
      <c r="N448" s="422">
        <f t="shared" si="61"/>
        <v>0</v>
      </c>
    </row>
    <row r="449" spans="1:14" ht="12.75" customHeight="1" x14ac:dyDescent="0.3">
      <c r="A449" s="401"/>
      <c r="B449" s="402"/>
      <c r="C449" s="373" t="s">
        <v>652</v>
      </c>
      <c r="D449" s="373" t="s">
        <v>664</v>
      </c>
      <c r="E449" s="374" t="s">
        <v>235</v>
      </c>
      <c r="F449" s="527">
        <f>IF(REKAP!$Q$9=$D449,F$30,0)</f>
        <v>0</v>
      </c>
      <c r="G449" s="527">
        <f>IF(REKAP!$Q$9=$D449,G$30,0)</f>
        <v>0</v>
      </c>
      <c r="H449" s="571"/>
      <c r="I449" s="375">
        <f t="shared" si="58"/>
        <v>0</v>
      </c>
      <c r="J449" s="375"/>
      <c r="K449" s="372">
        <f>'RAB Pasang'!K449*60%</f>
        <v>302400</v>
      </c>
      <c r="L449" s="399">
        <f t="shared" si="59"/>
        <v>0</v>
      </c>
      <c r="M449" s="399">
        <f t="shared" si="60"/>
        <v>0</v>
      </c>
      <c r="N449" s="400">
        <f t="shared" si="61"/>
        <v>0</v>
      </c>
    </row>
    <row r="450" spans="1:14" ht="13.2" customHeight="1" x14ac:dyDescent="0.3">
      <c r="A450" s="401"/>
      <c r="B450" s="403" t="s">
        <v>1824</v>
      </c>
      <c r="C450" s="404" t="s">
        <v>652</v>
      </c>
      <c r="D450" s="404" t="s">
        <v>655</v>
      </c>
      <c r="E450" s="405" t="s">
        <v>235</v>
      </c>
      <c r="F450" s="406">
        <f>IF(REKAP!$Q$9=$D450,F$30,0)</f>
        <v>0</v>
      </c>
      <c r="G450" s="406">
        <f>IF(REKAP!$Q$9=$D450,G$30,0)</f>
        <v>0</v>
      </c>
      <c r="H450" s="576"/>
      <c r="I450" s="406">
        <f t="shared" si="58"/>
        <v>0</v>
      </c>
      <c r="J450" s="406"/>
      <c r="K450" s="406">
        <f>'RAB Pasang'!K450*60%</f>
        <v>372600</v>
      </c>
      <c r="L450" s="469">
        <f t="shared" si="59"/>
        <v>0</v>
      </c>
      <c r="M450" s="469">
        <f t="shared" si="60"/>
        <v>0</v>
      </c>
      <c r="N450" s="470">
        <f t="shared" si="61"/>
        <v>0</v>
      </c>
    </row>
    <row r="451" spans="1:14" ht="13.2" customHeight="1" x14ac:dyDescent="0.3">
      <c r="A451" s="401"/>
      <c r="B451" s="407"/>
      <c r="C451" s="371" t="s">
        <v>652</v>
      </c>
      <c r="D451" s="371" t="s">
        <v>656</v>
      </c>
      <c r="E451" s="367" t="s">
        <v>235</v>
      </c>
      <c r="F451" s="372">
        <f>IF(REKAP!$Q$9=$D451,F$30,0)</f>
        <v>0</v>
      </c>
      <c r="G451" s="372">
        <f>IF(REKAP!$Q$9=$D451,G$30,0)</f>
        <v>0</v>
      </c>
      <c r="H451" s="539"/>
      <c r="I451" s="372">
        <f t="shared" si="58"/>
        <v>0</v>
      </c>
      <c r="J451" s="372"/>
      <c r="K451" s="372">
        <f>'RAB Pasang'!K451*60%</f>
        <v>264600</v>
      </c>
      <c r="L451" s="387">
        <f t="shared" si="59"/>
        <v>0</v>
      </c>
      <c r="M451" s="387">
        <f t="shared" si="60"/>
        <v>0</v>
      </c>
      <c r="N451" s="422">
        <f t="shared" si="61"/>
        <v>0</v>
      </c>
    </row>
    <row r="452" spans="1:14" ht="13.2" customHeight="1" x14ac:dyDescent="0.3">
      <c r="A452" s="401"/>
      <c r="B452" s="408"/>
      <c r="C452" s="390" t="s">
        <v>652</v>
      </c>
      <c r="D452" s="390" t="s">
        <v>657</v>
      </c>
      <c r="E452" s="391" t="s">
        <v>235</v>
      </c>
      <c r="F452" s="409">
        <f>IF(REKAP!$Q$9=$D452,F$30,0)</f>
        <v>0</v>
      </c>
      <c r="G452" s="409">
        <f>IF(REKAP!$Q$9=$D452,G$30,0)</f>
        <v>0</v>
      </c>
      <c r="H452" s="577"/>
      <c r="I452" s="409">
        <f t="shared" si="58"/>
        <v>0</v>
      </c>
      <c r="J452" s="409"/>
      <c r="K452" s="375">
        <f>'RAB Pasang'!K452*60%</f>
        <v>340200</v>
      </c>
      <c r="L452" s="471">
        <f t="shared" si="59"/>
        <v>0</v>
      </c>
      <c r="M452" s="471">
        <f t="shared" si="60"/>
        <v>0</v>
      </c>
      <c r="N452" s="472">
        <f t="shared" si="61"/>
        <v>0</v>
      </c>
    </row>
    <row r="453" spans="1:14" ht="13.2" customHeight="1" x14ac:dyDescent="0.3">
      <c r="A453" s="401"/>
      <c r="B453" s="403" t="s">
        <v>1825</v>
      </c>
      <c r="C453" s="404" t="s">
        <v>652</v>
      </c>
      <c r="D453" s="371" t="s">
        <v>662</v>
      </c>
      <c r="E453" s="405" t="s">
        <v>235</v>
      </c>
      <c r="F453" s="406">
        <f>IF(REKAP!$Q$9=$D453,F$30,0)</f>
        <v>0</v>
      </c>
      <c r="G453" s="406">
        <f>IF(REKAP!$Q$9=$D453,G$30,0)</f>
        <v>0</v>
      </c>
      <c r="H453" s="576"/>
      <c r="I453" s="406">
        <f t="shared" si="58"/>
        <v>0</v>
      </c>
      <c r="J453" s="406"/>
      <c r="K453" s="406">
        <f>'RAB Pasang'!K453*60%</f>
        <v>270000</v>
      </c>
      <c r="L453" s="469">
        <f t="shared" si="59"/>
        <v>0</v>
      </c>
      <c r="M453" s="469">
        <f t="shared" si="60"/>
        <v>0</v>
      </c>
      <c r="N453" s="470">
        <f t="shared" si="61"/>
        <v>0</v>
      </c>
    </row>
    <row r="454" spans="1:14" ht="13.2" customHeight="1" x14ac:dyDescent="0.3">
      <c r="A454" s="401"/>
      <c r="B454" s="407"/>
      <c r="C454" s="371" t="s">
        <v>652</v>
      </c>
      <c r="D454" s="371" t="s">
        <v>663</v>
      </c>
      <c r="E454" s="367" t="s">
        <v>235</v>
      </c>
      <c r="F454" s="372">
        <f>IF(REKAP!$Q$9=$D454,F$30,0)</f>
        <v>0</v>
      </c>
      <c r="G454" s="372">
        <f>IF(REKAP!$Q$9=$D454,G$30,0)</f>
        <v>0</v>
      </c>
      <c r="H454" s="539"/>
      <c r="I454" s="372">
        <f t="shared" si="58"/>
        <v>0</v>
      </c>
      <c r="J454" s="372"/>
      <c r="K454" s="375">
        <f>'RAB Pasang'!K454*60%</f>
        <v>702000</v>
      </c>
      <c r="L454" s="387">
        <f t="shared" si="59"/>
        <v>0</v>
      </c>
      <c r="M454" s="387">
        <f t="shared" si="60"/>
        <v>0</v>
      </c>
      <c r="N454" s="422">
        <f t="shared" si="61"/>
        <v>0</v>
      </c>
    </row>
    <row r="455" spans="1:14" ht="13.2" customHeight="1" x14ac:dyDescent="0.3">
      <c r="A455" s="401"/>
      <c r="B455" s="403" t="s">
        <v>1826</v>
      </c>
      <c r="C455" s="404" t="s">
        <v>652</v>
      </c>
      <c r="D455" s="371" t="s">
        <v>658</v>
      </c>
      <c r="E455" s="405" t="s">
        <v>235</v>
      </c>
      <c r="F455" s="406">
        <f>IF(REKAP!$Q$9=$D455,F$30,0)</f>
        <v>0</v>
      </c>
      <c r="G455" s="406">
        <f>IF(REKAP!$Q$9=$D455,G$30,0)</f>
        <v>0</v>
      </c>
      <c r="H455" s="576"/>
      <c r="I455" s="406">
        <f t="shared" si="58"/>
        <v>0</v>
      </c>
      <c r="J455" s="406"/>
      <c r="K455" s="406">
        <f>'RAB Pasang'!K455*60%</f>
        <v>243000</v>
      </c>
      <c r="L455" s="469">
        <f t="shared" si="59"/>
        <v>0</v>
      </c>
      <c r="M455" s="469">
        <f t="shared" si="60"/>
        <v>0</v>
      </c>
      <c r="N455" s="470">
        <f t="shared" si="61"/>
        <v>0</v>
      </c>
    </row>
    <row r="456" spans="1:14" ht="13.2" customHeight="1" x14ac:dyDescent="0.3">
      <c r="A456" s="401"/>
      <c r="B456" s="407"/>
      <c r="C456" s="371" t="s">
        <v>652</v>
      </c>
      <c r="D456" s="371" t="s">
        <v>659</v>
      </c>
      <c r="E456" s="367" t="s">
        <v>235</v>
      </c>
      <c r="F456" s="372">
        <f>IF(REKAP!$Q$9=$D456,F$30,0)</f>
        <v>0</v>
      </c>
      <c r="G456" s="372">
        <f>IF(REKAP!$Q$9=$D456,G$30,0)</f>
        <v>0</v>
      </c>
      <c r="H456" s="539"/>
      <c r="I456" s="372">
        <f t="shared" si="58"/>
        <v>0</v>
      </c>
      <c r="J456" s="372"/>
      <c r="K456" s="372">
        <f>'RAB Pasang'!K456*60%</f>
        <v>567000</v>
      </c>
      <c r="L456" s="387">
        <f t="shared" si="59"/>
        <v>0</v>
      </c>
      <c r="M456" s="387">
        <f t="shared" si="60"/>
        <v>0</v>
      </c>
      <c r="N456" s="422">
        <f t="shared" si="61"/>
        <v>0</v>
      </c>
    </row>
    <row r="457" spans="1:14" ht="13.2" customHeight="1" x14ac:dyDescent="0.3">
      <c r="A457" s="401"/>
      <c r="B457" s="403" t="s">
        <v>1827</v>
      </c>
      <c r="C457" s="404" t="s">
        <v>652</v>
      </c>
      <c r="D457" s="404" t="s">
        <v>630</v>
      </c>
      <c r="E457" s="405" t="s">
        <v>235</v>
      </c>
      <c r="F457" s="406">
        <f>IF(REKAP!$Q$9=$D457,F$30,0)</f>
        <v>0</v>
      </c>
      <c r="G457" s="406">
        <f>IF(REKAP!$Q$9=$D457,G$30,0)</f>
        <v>0</v>
      </c>
      <c r="H457" s="576"/>
      <c r="I457" s="406">
        <f t="shared" si="58"/>
        <v>0</v>
      </c>
      <c r="J457" s="406"/>
      <c r="K457" s="406">
        <f>'RAB Pasang'!K457*60%</f>
        <v>243000</v>
      </c>
      <c r="L457" s="469">
        <f t="shared" si="59"/>
        <v>0</v>
      </c>
      <c r="M457" s="469">
        <f t="shared" si="60"/>
        <v>0</v>
      </c>
      <c r="N457" s="470">
        <f t="shared" si="61"/>
        <v>0</v>
      </c>
    </row>
    <row r="458" spans="1:14" ht="13.2" customHeight="1" x14ac:dyDescent="0.3">
      <c r="A458" s="410"/>
      <c r="B458" s="408"/>
      <c r="C458" s="390" t="s">
        <v>652</v>
      </c>
      <c r="D458" s="390" t="s">
        <v>1569</v>
      </c>
      <c r="E458" s="391" t="s">
        <v>235</v>
      </c>
      <c r="F458" s="409">
        <f>IF(REKAP!$Q$9=$D458,F$30,0)</f>
        <v>0</v>
      </c>
      <c r="G458" s="409">
        <f>IF(REKAP!$Q$9=$D458,G$30,0)</f>
        <v>0</v>
      </c>
      <c r="H458" s="577"/>
      <c r="I458" s="409">
        <f t="shared" si="58"/>
        <v>0</v>
      </c>
      <c r="J458" s="409"/>
      <c r="K458" s="409">
        <f>'RAB Pasang'!K458*60%</f>
        <v>707400</v>
      </c>
      <c r="L458" s="471">
        <f t="shared" si="59"/>
        <v>0</v>
      </c>
      <c r="M458" s="471">
        <f t="shared" si="60"/>
        <v>0</v>
      </c>
      <c r="N458" s="472">
        <f t="shared" si="61"/>
        <v>0</v>
      </c>
    </row>
    <row r="459" spans="1:14" ht="13.2" customHeight="1" x14ac:dyDescent="0.3">
      <c r="A459" s="397">
        <v>2</v>
      </c>
      <c r="B459" s="411" t="s">
        <v>1570</v>
      </c>
      <c r="C459" s="371"/>
      <c r="D459" s="371"/>
      <c r="E459" s="367"/>
      <c r="F459" s="527"/>
      <c r="G459" s="527"/>
      <c r="H459" s="527"/>
      <c r="I459" s="372">
        <f t="shared" si="29"/>
        <v>0</v>
      </c>
      <c r="J459" s="372"/>
      <c r="K459" s="372"/>
      <c r="L459" s="387">
        <f t="shared" si="30"/>
        <v>0</v>
      </c>
      <c r="M459" s="387">
        <f t="shared" si="31"/>
        <v>0</v>
      </c>
      <c r="N459" s="422">
        <f t="shared" si="32"/>
        <v>0</v>
      </c>
    </row>
    <row r="460" spans="1:14" ht="13.2" customHeight="1" x14ac:dyDescent="0.3">
      <c r="A460" s="401"/>
      <c r="B460" s="402" t="s">
        <v>1828</v>
      </c>
      <c r="C460" s="371" t="s">
        <v>650</v>
      </c>
      <c r="D460" s="371" t="s">
        <v>651</v>
      </c>
      <c r="E460" s="367" t="s">
        <v>235</v>
      </c>
      <c r="F460" s="527">
        <f>IF(REKAP!$Q$9="Kota Kupang",'RAB Bongkar'!F$31,0)</f>
        <v>0</v>
      </c>
      <c r="G460" s="527">
        <f>IF(REKAP!$Q$9="Kota Kupang",'RAB Bongkar'!G$31,0)</f>
        <v>0</v>
      </c>
      <c r="H460" s="539"/>
      <c r="I460" s="372">
        <f t="shared" si="29"/>
        <v>0</v>
      </c>
      <c r="J460" s="372"/>
      <c r="K460" s="372">
        <f>'RAB Pasang'!K460*60%</f>
        <v>275400</v>
      </c>
      <c r="L460" s="387">
        <f t="shared" si="30"/>
        <v>0</v>
      </c>
      <c r="M460" s="387">
        <f t="shared" si="31"/>
        <v>0</v>
      </c>
      <c r="N460" s="422">
        <f t="shared" si="32"/>
        <v>0</v>
      </c>
    </row>
    <row r="461" spans="1:14" ht="13.2" customHeight="1" x14ac:dyDescent="0.3">
      <c r="A461" s="401"/>
      <c r="B461" s="402"/>
      <c r="C461" s="371" t="s">
        <v>652</v>
      </c>
      <c r="D461" s="371" t="s">
        <v>651</v>
      </c>
      <c r="E461" s="367" t="s">
        <v>235</v>
      </c>
      <c r="F461" s="527">
        <f>IF(REKAP!$Q$9=$D461,'RAB Bongkar'!F$31,0)</f>
        <v>0</v>
      </c>
      <c r="G461" s="527">
        <f>IF(REKAP!$Q$9=$D461,'RAB Bongkar'!G$31,0)</f>
        <v>0</v>
      </c>
      <c r="H461" s="539"/>
      <c r="I461" s="372">
        <f t="shared" si="29"/>
        <v>0</v>
      </c>
      <c r="J461" s="372"/>
      <c r="K461" s="372">
        <f>'RAB Pasang'!K461*60%</f>
        <v>345600</v>
      </c>
      <c r="L461" s="387">
        <f t="shared" si="30"/>
        <v>0</v>
      </c>
      <c r="M461" s="387">
        <f t="shared" si="31"/>
        <v>0</v>
      </c>
      <c r="N461" s="422">
        <f t="shared" si="32"/>
        <v>0</v>
      </c>
    </row>
    <row r="462" spans="1:14" ht="13.2" customHeight="1" x14ac:dyDescent="0.3">
      <c r="A462" s="401"/>
      <c r="B462" s="402"/>
      <c r="C462" s="371" t="s">
        <v>652</v>
      </c>
      <c r="D462" s="371" t="s">
        <v>653</v>
      </c>
      <c r="E462" s="367" t="s">
        <v>235</v>
      </c>
      <c r="F462" s="527">
        <f>IF(REKAP!$Q$9=$D462,'RAB Bongkar'!F$31,0)</f>
        <v>0</v>
      </c>
      <c r="G462" s="527">
        <f>IF(REKAP!$Q$9=$D462,'RAB Bongkar'!G$31,0)</f>
        <v>0</v>
      </c>
      <c r="H462" s="539"/>
      <c r="I462" s="372">
        <f t="shared" si="29"/>
        <v>0</v>
      </c>
      <c r="J462" s="372"/>
      <c r="K462" s="372">
        <f>'RAB Pasang'!K462*60%</f>
        <v>415800</v>
      </c>
      <c r="L462" s="387">
        <f t="shared" si="30"/>
        <v>0</v>
      </c>
      <c r="M462" s="387">
        <f t="shared" si="31"/>
        <v>0</v>
      </c>
      <c r="N462" s="422">
        <f t="shared" si="32"/>
        <v>0</v>
      </c>
    </row>
    <row r="463" spans="1:14" ht="13.2" customHeight="1" x14ac:dyDescent="0.3">
      <c r="A463" s="401"/>
      <c r="B463" s="402"/>
      <c r="C463" s="371" t="s">
        <v>652</v>
      </c>
      <c r="D463" s="371" t="s">
        <v>654</v>
      </c>
      <c r="E463" s="367" t="s">
        <v>235</v>
      </c>
      <c r="F463" s="527">
        <f>IF(REKAP!$Q$9=$D463,'RAB Bongkar'!F$31,0)</f>
        <v>0</v>
      </c>
      <c r="G463" s="527">
        <f>IF(REKAP!$Q$9=$D463,'RAB Bongkar'!G$31,0)</f>
        <v>0</v>
      </c>
      <c r="H463" s="539"/>
      <c r="I463" s="372">
        <f t="shared" si="29"/>
        <v>0</v>
      </c>
      <c r="J463" s="372"/>
      <c r="K463" s="372">
        <f>'RAB Pasang'!K463*60%</f>
        <v>459000</v>
      </c>
      <c r="L463" s="387">
        <f t="shared" si="30"/>
        <v>0</v>
      </c>
      <c r="M463" s="387">
        <f t="shared" si="31"/>
        <v>0</v>
      </c>
      <c r="N463" s="422">
        <f t="shared" si="32"/>
        <v>0</v>
      </c>
    </row>
    <row r="464" spans="1:14" ht="13.2" customHeight="1" x14ac:dyDescent="0.3">
      <c r="A464" s="401"/>
      <c r="B464" s="402"/>
      <c r="C464" s="371" t="s">
        <v>652</v>
      </c>
      <c r="D464" s="371" t="s">
        <v>655</v>
      </c>
      <c r="E464" s="367" t="s">
        <v>235</v>
      </c>
      <c r="F464" s="527"/>
      <c r="G464" s="527"/>
      <c r="H464" s="539"/>
      <c r="I464" s="372">
        <f t="shared" si="29"/>
        <v>0</v>
      </c>
      <c r="J464" s="372"/>
      <c r="K464" s="372">
        <f>'RAB Pasang'!K464*60%</f>
        <v>610200</v>
      </c>
      <c r="L464" s="387">
        <f t="shared" si="30"/>
        <v>0</v>
      </c>
      <c r="M464" s="387">
        <f t="shared" si="31"/>
        <v>0</v>
      </c>
      <c r="N464" s="422">
        <f t="shared" si="32"/>
        <v>0</v>
      </c>
    </row>
    <row r="465" spans="1:14" ht="13.2" customHeight="1" x14ac:dyDescent="0.3">
      <c r="A465" s="401"/>
      <c r="B465" s="402"/>
      <c r="C465" s="371" t="s">
        <v>652</v>
      </c>
      <c r="D465" s="371" t="s">
        <v>656</v>
      </c>
      <c r="E465" s="367" t="s">
        <v>235</v>
      </c>
      <c r="F465" s="527"/>
      <c r="G465" s="527"/>
      <c r="H465" s="539"/>
      <c r="I465" s="372">
        <f t="shared" si="29"/>
        <v>0</v>
      </c>
      <c r="J465" s="372"/>
      <c r="K465" s="372">
        <f>'RAB Pasang'!K465*60%</f>
        <v>685800</v>
      </c>
      <c r="L465" s="387">
        <f t="shared" si="30"/>
        <v>0</v>
      </c>
      <c r="M465" s="387">
        <f t="shared" si="31"/>
        <v>0</v>
      </c>
      <c r="N465" s="422">
        <f t="shared" si="32"/>
        <v>0</v>
      </c>
    </row>
    <row r="466" spans="1:14" ht="13.2" customHeight="1" x14ac:dyDescent="0.3">
      <c r="A466" s="401"/>
      <c r="B466" s="402"/>
      <c r="C466" s="371" t="s">
        <v>652</v>
      </c>
      <c r="D466" s="371" t="s">
        <v>657</v>
      </c>
      <c r="E466" s="367" t="s">
        <v>235</v>
      </c>
      <c r="F466" s="527"/>
      <c r="G466" s="527"/>
      <c r="H466" s="539"/>
      <c r="I466" s="372">
        <f t="shared" si="29"/>
        <v>0</v>
      </c>
      <c r="J466" s="372"/>
      <c r="K466" s="372">
        <f>'RAB Pasang'!K466*60%</f>
        <v>685800</v>
      </c>
      <c r="L466" s="387">
        <f t="shared" si="30"/>
        <v>0</v>
      </c>
      <c r="M466" s="387">
        <f t="shared" si="31"/>
        <v>0</v>
      </c>
      <c r="N466" s="422">
        <f t="shared" si="32"/>
        <v>0</v>
      </c>
    </row>
    <row r="467" spans="1:14" ht="13.2" customHeight="1" x14ac:dyDescent="0.3">
      <c r="A467" s="401"/>
      <c r="B467" s="402"/>
      <c r="C467" s="371" t="s">
        <v>652</v>
      </c>
      <c r="D467" s="371" t="s">
        <v>658</v>
      </c>
      <c r="E467" s="367" t="s">
        <v>235</v>
      </c>
      <c r="F467" s="527"/>
      <c r="G467" s="527"/>
      <c r="H467" s="539"/>
      <c r="I467" s="372">
        <f t="shared" si="29"/>
        <v>0</v>
      </c>
      <c r="J467" s="372"/>
      <c r="K467" s="372">
        <f>'RAB Pasang'!K467*60%</f>
        <v>907200</v>
      </c>
      <c r="L467" s="387">
        <f t="shared" si="30"/>
        <v>0</v>
      </c>
      <c r="M467" s="387">
        <f t="shared" si="31"/>
        <v>0</v>
      </c>
      <c r="N467" s="422">
        <f t="shared" si="32"/>
        <v>0</v>
      </c>
    </row>
    <row r="468" spans="1:14" ht="13.2" customHeight="1" x14ac:dyDescent="0.3">
      <c r="A468" s="401"/>
      <c r="B468" s="402"/>
      <c r="C468" s="371" t="s">
        <v>652</v>
      </c>
      <c r="D468" s="371" t="s">
        <v>659</v>
      </c>
      <c r="E468" s="367" t="s">
        <v>235</v>
      </c>
      <c r="F468" s="527"/>
      <c r="G468" s="527"/>
      <c r="H468" s="539"/>
      <c r="I468" s="372">
        <f t="shared" si="29"/>
        <v>0</v>
      </c>
      <c r="J468" s="372"/>
      <c r="K468" s="372">
        <f>'RAB Pasang'!K468*60%</f>
        <v>1625400</v>
      </c>
      <c r="L468" s="387">
        <f t="shared" si="30"/>
        <v>0</v>
      </c>
      <c r="M468" s="387">
        <f t="shared" si="31"/>
        <v>0</v>
      </c>
      <c r="N468" s="422">
        <f t="shared" si="32"/>
        <v>0</v>
      </c>
    </row>
    <row r="469" spans="1:14" ht="13.2" customHeight="1" x14ac:dyDescent="0.3">
      <c r="A469" s="401"/>
      <c r="B469" s="402"/>
      <c r="C469" s="371" t="s">
        <v>652</v>
      </c>
      <c r="D469" s="371" t="s">
        <v>660</v>
      </c>
      <c r="E469" s="367" t="s">
        <v>235</v>
      </c>
      <c r="F469" s="527"/>
      <c r="G469" s="527"/>
      <c r="H469" s="539"/>
      <c r="I469" s="372">
        <f t="shared" si="29"/>
        <v>0</v>
      </c>
      <c r="J469" s="372"/>
      <c r="K469" s="372">
        <f>'RAB Pasang'!K469*60%</f>
        <v>1247400</v>
      </c>
      <c r="L469" s="387">
        <f t="shared" si="30"/>
        <v>0</v>
      </c>
      <c r="M469" s="387">
        <f t="shared" si="31"/>
        <v>0</v>
      </c>
      <c r="N469" s="422">
        <f t="shared" si="32"/>
        <v>0</v>
      </c>
    </row>
    <row r="470" spans="1:14" ht="13.2" customHeight="1" x14ac:dyDescent="0.3">
      <c r="A470" s="401"/>
      <c r="B470" s="402"/>
      <c r="C470" s="371" t="s">
        <v>652</v>
      </c>
      <c r="D470" s="371" t="s">
        <v>661</v>
      </c>
      <c r="E470" s="367" t="s">
        <v>235</v>
      </c>
      <c r="F470" s="527"/>
      <c r="G470" s="527"/>
      <c r="H470" s="539"/>
      <c r="I470" s="372">
        <f t="shared" si="29"/>
        <v>0</v>
      </c>
      <c r="J470" s="372"/>
      <c r="K470" s="372">
        <f>'RAB Pasang'!K470*60%</f>
        <v>2154600</v>
      </c>
      <c r="L470" s="387">
        <f t="shared" si="30"/>
        <v>0</v>
      </c>
      <c r="M470" s="387">
        <f t="shared" si="31"/>
        <v>0</v>
      </c>
      <c r="N470" s="422">
        <f t="shared" si="32"/>
        <v>0</v>
      </c>
    </row>
    <row r="471" spans="1:14" ht="13.2" customHeight="1" x14ac:dyDescent="0.3">
      <c r="A471" s="401"/>
      <c r="B471" s="402"/>
      <c r="C471" s="371" t="s">
        <v>652</v>
      </c>
      <c r="D471" s="371" t="s">
        <v>662</v>
      </c>
      <c r="E471" s="367" t="s">
        <v>235</v>
      </c>
      <c r="F471" s="527"/>
      <c r="G471" s="527"/>
      <c r="H471" s="539"/>
      <c r="I471" s="372">
        <f t="shared" si="29"/>
        <v>0</v>
      </c>
      <c r="J471" s="372"/>
      <c r="K471" s="372">
        <f>'RAB Pasang'!K471*60%</f>
        <v>1744200</v>
      </c>
      <c r="L471" s="387">
        <f t="shared" si="30"/>
        <v>0</v>
      </c>
      <c r="M471" s="387">
        <f t="shared" si="31"/>
        <v>0</v>
      </c>
      <c r="N471" s="422">
        <f t="shared" si="32"/>
        <v>0</v>
      </c>
    </row>
    <row r="472" spans="1:14" ht="13.2" customHeight="1" x14ac:dyDescent="0.3">
      <c r="A472" s="401"/>
      <c r="B472" s="402"/>
      <c r="C472" s="371" t="s">
        <v>652</v>
      </c>
      <c r="D472" s="371" t="s">
        <v>663</v>
      </c>
      <c r="E472" s="367" t="s">
        <v>235</v>
      </c>
      <c r="F472" s="527"/>
      <c r="G472" s="527"/>
      <c r="H472" s="539"/>
      <c r="I472" s="372">
        <f t="shared" si="29"/>
        <v>0</v>
      </c>
      <c r="J472" s="372"/>
      <c r="K472" s="372">
        <f>'RAB Pasang'!K472*60%</f>
        <v>2867400</v>
      </c>
      <c r="L472" s="387">
        <f t="shared" si="30"/>
        <v>0</v>
      </c>
      <c r="M472" s="387">
        <f t="shared" si="31"/>
        <v>0</v>
      </c>
      <c r="N472" s="422">
        <f t="shared" si="32"/>
        <v>0</v>
      </c>
    </row>
    <row r="473" spans="1:14" ht="13.2" customHeight="1" x14ac:dyDescent="0.3">
      <c r="A473" s="401"/>
      <c r="B473" s="402"/>
      <c r="C473" s="373" t="s">
        <v>652</v>
      </c>
      <c r="D473" s="373" t="s">
        <v>664</v>
      </c>
      <c r="E473" s="374" t="s">
        <v>235</v>
      </c>
      <c r="F473" s="528">
        <f>IF(REKAP!$Q$9=$D473,'RAB Bongkar'!F$31,0)</f>
        <v>0</v>
      </c>
      <c r="G473" s="528">
        <f>IF(REKAP!$Q$9=$D473,'RAB Bongkar'!G$31,0)</f>
        <v>0</v>
      </c>
      <c r="H473" s="571"/>
      <c r="I473" s="375">
        <f t="shared" si="29"/>
        <v>0</v>
      </c>
      <c r="J473" s="375"/>
      <c r="K473" s="372">
        <f>'RAB Pasang'!K473*60%</f>
        <v>464400</v>
      </c>
      <c r="L473" s="399">
        <f t="shared" si="30"/>
        <v>0</v>
      </c>
      <c r="M473" s="399">
        <f t="shared" si="31"/>
        <v>0</v>
      </c>
      <c r="N473" s="400">
        <f t="shared" si="32"/>
        <v>0</v>
      </c>
    </row>
    <row r="474" spans="1:14" ht="13.2" customHeight="1" x14ac:dyDescent="0.3">
      <c r="A474" s="401"/>
      <c r="B474" s="403" t="s">
        <v>1824</v>
      </c>
      <c r="C474" s="404" t="s">
        <v>652</v>
      </c>
      <c r="D474" s="404" t="s">
        <v>655</v>
      </c>
      <c r="E474" s="405" t="s">
        <v>235</v>
      </c>
      <c r="F474" s="406">
        <f>IF(REKAP!$Q$9=$D474,'RAB Bongkar'!F$31,0)</f>
        <v>0</v>
      </c>
      <c r="G474" s="406">
        <f>IF(REKAP!$Q$9=$D474,'RAB Bongkar'!G$31,0)</f>
        <v>0</v>
      </c>
      <c r="H474" s="576"/>
      <c r="I474" s="406">
        <f t="shared" si="29"/>
        <v>0</v>
      </c>
      <c r="J474" s="406"/>
      <c r="K474" s="406">
        <f>'RAB Pasang'!K474*60%</f>
        <v>2149200</v>
      </c>
      <c r="L474" s="469">
        <f t="shared" si="30"/>
        <v>0</v>
      </c>
      <c r="M474" s="469">
        <f t="shared" si="31"/>
        <v>0</v>
      </c>
      <c r="N474" s="470">
        <f t="shared" si="32"/>
        <v>0</v>
      </c>
    </row>
    <row r="475" spans="1:14" ht="13.2" customHeight="1" x14ac:dyDescent="0.3">
      <c r="A475" s="401"/>
      <c r="B475" s="407"/>
      <c r="C475" s="371" t="s">
        <v>652</v>
      </c>
      <c r="D475" s="371" t="s">
        <v>656</v>
      </c>
      <c r="E475" s="367" t="s">
        <v>235</v>
      </c>
      <c r="F475" s="372">
        <f>IF(REKAP!$Q$9=$D475,'RAB Bongkar'!F$31,0)</f>
        <v>0</v>
      </c>
      <c r="G475" s="372">
        <f>IF(REKAP!$Q$9=$D475,'RAB Bongkar'!G$31,0)</f>
        <v>0</v>
      </c>
      <c r="H475" s="539"/>
      <c r="I475" s="372">
        <f t="shared" si="29"/>
        <v>0</v>
      </c>
      <c r="J475" s="372"/>
      <c r="K475" s="406">
        <f>'RAB Pasang'!K475*60%</f>
        <v>1744200</v>
      </c>
      <c r="L475" s="387">
        <f t="shared" si="30"/>
        <v>0</v>
      </c>
      <c r="M475" s="387">
        <f t="shared" si="31"/>
        <v>0</v>
      </c>
      <c r="N475" s="422">
        <f t="shared" si="32"/>
        <v>0</v>
      </c>
    </row>
    <row r="476" spans="1:14" ht="13.2" customHeight="1" x14ac:dyDescent="0.3">
      <c r="A476" s="401"/>
      <c r="B476" s="408"/>
      <c r="C476" s="390" t="s">
        <v>652</v>
      </c>
      <c r="D476" s="390" t="s">
        <v>657</v>
      </c>
      <c r="E476" s="391" t="s">
        <v>235</v>
      </c>
      <c r="F476" s="409">
        <f>IF(REKAP!$Q$9=$D476,'RAB Bongkar'!F$31,0)</f>
        <v>0</v>
      </c>
      <c r="G476" s="409">
        <f>IF(REKAP!$Q$9=$D476,'RAB Bongkar'!G$31,0)</f>
        <v>0</v>
      </c>
      <c r="H476" s="577"/>
      <c r="I476" s="409">
        <f t="shared" si="29"/>
        <v>0</v>
      </c>
      <c r="J476" s="409"/>
      <c r="K476" s="406">
        <f>'RAB Pasang'!K476*60%</f>
        <v>2872800</v>
      </c>
      <c r="L476" s="471">
        <f t="shared" si="30"/>
        <v>0</v>
      </c>
      <c r="M476" s="471">
        <f t="shared" si="31"/>
        <v>0</v>
      </c>
      <c r="N476" s="472">
        <f t="shared" si="32"/>
        <v>0</v>
      </c>
    </row>
    <row r="477" spans="1:14" ht="13.2" customHeight="1" x14ac:dyDescent="0.3">
      <c r="A477" s="401"/>
      <c r="B477" s="403" t="s">
        <v>1825</v>
      </c>
      <c r="C477" s="404" t="s">
        <v>652</v>
      </c>
      <c r="D477" s="371" t="s">
        <v>662</v>
      </c>
      <c r="E477" s="405" t="s">
        <v>235</v>
      </c>
      <c r="F477" s="406">
        <f>IF(REKAP!$Q$9=$D477,'RAB Bongkar'!F$31,0)</f>
        <v>0</v>
      </c>
      <c r="G477" s="406">
        <f>IF(REKAP!$Q$9=$D477,'RAB Bongkar'!G$31,0)</f>
        <v>0</v>
      </c>
      <c r="H477" s="576"/>
      <c r="I477" s="406">
        <f t="shared" si="29"/>
        <v>0</v>
      </c>
      <c r="J477" s="406"/>
      <c r="K477" s="406">
        <f>'RAB Pasang'!K477*60%</f>
        <v>464400</v>
      </c>
      <c r="L477" s="469">
        <f t="shared" si="30"/>
        <v>0</v>
      </c>
      <c r="M477" s="469">
        <f t="shared" si="31"/>
        <v>0</v>
      </c>
      <c r="N477" s="470">
        <f t="shared" si="32"/>
        <v>0</v>
      </c>
    </row>
    <row r="478" spans="1:14" ht="13.2" customHeight="1" x14ac:dyDescent="0.3">
      <c r="A478" s="401"/>
      <c r="B478" s="407"/>
      <c r="C478" s="371" t="s">
        <v>652</v>
      </c>
      <c r="D478" s="371" t="s">
        <v>663</v>
      </c>
      <c r="E478" s="367" t="s">
        <v>235</v>
      </c>
      <c r="F478" s="372">
        <f>IF(REKAP!$Q$9=$D478,'RAB Bongkar'!F$31,0)</f>
        <v>0</v>
      </c>
      <c r="G478" s="372">
        <f>IF(REKAP!$Q$9=$D478,'RAB Bongkar'!G$31,0)</f>
        <v>0</v>
      </c>
      <c r="H478" s="539"/>
      <c r="I478" s="372">
        <f t="shared" si="29"/>
        <v>0</v>
      </c>
      <c r="J478" s="372"/>
      <c r="K478" s="372">
        <f>'RAB Pasang'!K478*60%</f>
        <v>448200</v>
      </c>
      <c r="L478" s="387">
        <f t="shared" si="30"/>
        <v>0</v>
      </c>
      <c r="M478" s="387">
        <f t="shared" si="31"/>
        <v>0</v>
      </c>
      <c r="N478" s="422">
        <f t="shared" si="32"/>
        <v>0</v>
      </c>
    </row>
    <row r="479" spans="1:14" ht="13.2" customHeight="1" x14ac:dyDescent="0.3">
      <c r="A479" s="401"/>
      <c r="B479" s="403" t="s">
        <v>1826</v>
      </c>
      <c r="C479" s="404" t="s">
        <v>652</v>
      </c>
      <c r="D479" s="371" t="s">
        <v>658</v>
      </c>
      <c r="E479" s="405" t="s">
        <v>235</v>
      </c>
      <c r="F479" s="406">
        <f>IF(REKAP!$Q$9=$D479,'RAB Bongkar'!F$31,0)</f>
        <v>0</v>
      </c>
      <c r="G479" s="406">
        <f>IF(REKAP!$Q$9=$D479,'RAB Bongkar'!G$31,0)</f>
        <v>0</v>
      </c>
      <c r="H479" s="576"/>
      <c r="I479" s="406">
        <f t="shared" si="29"/>
        <v>0</v>
      </c>
      <c r="J479" s="406"/>
      <c r="K479" s="406">
        <f>'RAB Pasang'!K479*60%</f>
        <v>302400</v>
      </c>
      <c r="L479" s="469">
        <f t="shared" si="30"/>
        <v>0</v>
      </c>
      <c r="M479" s="469">
        <f t="shared" si="31"/>
        <v>0</v>
      </c>
      <c r="N479" s="470">
        <f t="shared" si="32"/>
        <v>0</v>
      </c>
    </row>
    <row r="480" spans="1:14" ht="13.2" customHeight="1" x14ac:dyDescent="0.3">
      <c r="A480" s="401"/>
      <c r="B480" s="407"/>
      <c r="C480" s="371" t="s">
        <v>652</v>
      </c>
      <c r="D480" s="371" t="s">
        <v>659</v>
      </c>
      <c r="E480" s="367" t="s">
        <v>235</v>
      </c>
      <c r="F480" s="372">
        <f>IF(REKAP!$Q$9=$D480,'RAB Bongkar'!F$31,0)</f>
        <v>0</v>
      </c>
      <c r="G480" s="372">
        <f>IF(REKAP!$Q$9=$D480,'RAB Bongkar'!G$31,0)</f>
        <v>0</v>
      </c>
      <c r="H480" s="539"/>
      <c r="I480" s="372">
        <f t="shared" si="29"/>
        <v>0</v>
      </c>
      <c r="J480" s="372"/>
      <c r="K480" s="372">
        <f>'RAB Pasang'!K480*60%</f>
        <v>405000</v>
      </c>
      <c r="L480" s="387">
        <f t="shared" si="30"/>
        <v>0</v>
      </c>
      <c r="M480" s="387">
        <f t="shared" si="31"/>
        <v>0</v>
      </c>
      <c r="N480" s="422">
        <f t="shared" si="32"/>
        <v>0</v>
      </c>
    </row>
    <row r="481" spans="1:14" ht="13.2" customHeight="1" x14ac:dyDescent="0.3">
      <c r="A481" s="401"/>
      <c r="B481" s="403" t="s">
        <v>1827</v>
      </c>
      <c r="C481" s="404" t="s">
        <v>652</v>
      </c>
      <c r="D481" s="404" t="s">
        <v>630</v>
      </c>
      <c r="E481" s="405" t="s">
        <v>235</v>
      </c>
      <c r="F481" s="406">
        <f>IF(REKAP!$Q$9=$D481,'RAB Bongkar'!F$31,0)</f>
        <v>0</v>
      </c>
      <c r="G481" s="406">
        <f>IF(REKAP!$Q$9=$D481,'RAB Bongkar'!G$31,0)</f>
        <v>0</v>
      </c>
      <c r="H481" s="576"/>
      <c r="I481" s="406">
        <f t="shared" si="29"/>
        <v>0</v>
      </c>
      <c r="J481" s="406"/>
      <c r="K481" s="406">
        <f>'RAB Pasang'!K481*60%</f>
        <v>313200</v>
      </c>
      <c r="L481" s="469">
        <f t="shared" si="30"/>
        <v>0</v>
      </c>
      <c r="M481" s="469">
        <f t="shared" si="31"/>
        <v>0</v>
      </c>
      <c r="N481" s="470">
        <f t="shared" si="32"/>
        <v>0</v>
      </c>
    </row>
    <row r="482" spans="1:14" ht="13.2" customHeight="1" x14ac:dyDescent="0.3">
      <c r="A482" s="410"/>
      <c r="B482" s="408"/>
      <c r="C482" s="390" t="s">
        <v>652</v>
      </c>
      <c r="D482" s="390" t="s">
        <v>1569</v>
      </c>
      <c r="E482" s="391" t="s">
        <v>235</v>
      </c>
      <c r="F482" s="409">
        <f>IF(REKAP!$Q$9=$D482,'RAB Bongkar'!F$31,0)</f>
        <v>0</v>
      </c>
      <c r="G482" s="409">
        <f>IF(REKAP!$Q$9=$D482,'RAB Bongkar'!G$31,0)</f>
        <v>0</v>
      </c>
      <c r="H482" s="577"/>
      <c r="I482" s="409">
        <f t="shared" si="29"/>
        <v>0</v>
      </c>
      <c r="J482" s="409"/>
      <c r="K482" s="409">
        <f>'RAB Pasang'!K482*60%</f>
        <v>907200</v>
      </c>
      <c r="L482" s="471">
        <f t="shared" si="30"/>
        <v>0</v>
      </c>
      <c r="M482" s="471">
        <f t="shared" si="31"/>
        <v>0</v>
      </c>
      <c r="N482" s="472">
        <f t="shared" si="32"/>
        <v>0</v>
      </c>
    </row>
    <row r="483" spans="1:14" ht="13.2" customHeight="1" x14ac:dyDescent="0.3">
      <c r="A483" s="397">
        <v>14</v>
      </c>
      <c r="B483" s="398" t="s">
        <v>1582</v>
      </c>
      <c r="C483" s="371"/>
      <c r="D483" s="371"/>
      <c r="E483" s="367"/>
      <c r="F483" s="527"/>
      <c r="G483" s="527"/>
      <c r="H483" s="527"/>
      <c r="I483" s="372">
        <f t="shared" ref="I483:I538" si="62">SUM(F483:H483)</f>
        <v>0</v>
      </c>
      <c r="J483" s="372"/>
      <c r="K483" s="372"/>
      <c r="L483" s="387">
        <f t="shared" ref="L483:L538" si="63">J483*I483</f>
        <v>0</v>
      </c>
      <c r="M483" s="387">
        <f t="shared" ref="M483:M538" si="64">K483*I483</f>
        <v>0</v>
      </c>
      <c r="N483" s="422">
        <f t="shared" ref="N483:N538" si="65">SUM(L483:M483)</f>
        <v>0</v>
      </c>
    </row>
    <row r="484" spans="1:14" ht="13.2" customHeight="1" x14ac:dyDescent="0.3">
      <c r="A484" s="401"/>
      <c r="B484" s="402" t="s">
        <v>1828</v>
      </c>
      <c r="C484" s="371" t="s">
        <v>650</v>
      </c>
      <c r="D484" s="371" t="s">
        <v>620</v>
      </c>
      <c r="E484" s="367" t="s">
        <v>235</v>
      </c>
      <c r="F484" s="539"/>
      <c r="G484" s="539"/>
      <c r="H484" s="372">
        <f>IF(REKAP!$Q$9="Kota Kupang",H$19,0)</f>
        <v>0</v>
      </c>
      <c r="I484" s="372">
        <f t="shared" si="62"/>
        <v>0</v>
      </c>
      <c r="J484" s="372"/>
      <c r="K484" s="372">
        <f>'RAB Pasang'!K484*60%</f>
        <v>410400</v>
      </c>
      <c r="L484" s="387">
        <f t="shared" si="63"/>
        <v>0</v>
      </c>
      <c r="M484" s="387">
        <f t="shared" si="64"/>
        <v>0</v>
      </c>
      <c r="N484" s="422">
        <f t="shared" si="65"/>
        <v>0</v>
      </c>
    </row>
    <row r="485" spans="1:14" ht="13.2" customHeight="1" x14ac:dyDescent="0.3">
      <c r="A485" s="401"/>
      <c r="B485" s="402"/>
      <c r="C485" s="371" t="s">
        <v>652</v>
      </c>
      <c r="D485" s="371" t="s">
        <v>621</v>
      </c>
      <c r="E485" s="367" t="s">
        <v>235</v>
      </c>
      <c r="F485" s="539"/>
      <c r="G485" s="539"/>
      <c r="H485" s="372">
        <f>IF(REKAP!$Q$9=$D485,H$19,0)</f>
        <v>0</v>
      </c>
      <c r="I485" s="372">
        <f t="shared" si="62"/>
        <v>0</v>
      </c>
      <c r="J485" s="372"/>
      <c r="K485" s="372">
        <f>'RAB Pasang'!K485*60%</f>
        <v>496800</v>
      </c>
      <c r="L485" s="387">
        <f t="shared" si="63"/>
        <v>0</v>
      </c>
      <c r="M485" s="387">
        <f t="shared" si="64"/>
        <v>0</v>
      </c>
      <c r="N485" s="422">
        <f t="shared" si="65"/>
        <v>0</v>
      </c>
    </row>
    <row r="486" spans="1:14" ht="13.2" customHeight="1" x14ac:dyDescent="0.3">
      <c r="A486" s="401"/>
      <c r="B486" s="402"/>
      <c r="C486" s="371" t="s">
        <v>652</v>
      </c>
      <c r="D486" s="371" t="s">
        <v>622</v>
      </c>
      <c r="E486" s="367" t="s">
        <v>235</v>
      </c>
      <c r="F486" s="539"/>
      <c r="G486" s="539"/>
      <c r="H486" s="372">
        <f>IF(REKAP!$Q$9=$D486,H$19,0)</f>
        <v>0</v>
      </c>
      <c r="I486" s="372">
        <f t="shared" si="62"/>
        <v>0</v>
      </c>
      <c r="J486" s="372"/>
      <c r="K486" s="372">
        <f>'RAB Pasang'!K486*60%</f>
        <v>604800</v>
      </c>
      <c r="L486" s="387">
        <f t="shared" si="63"/>
        <v>0</v>
      </c>
      <c r="M486" s="387">
        <f t="shared" si="64"/>
        <v>0</v>
      </c>
      <c r="N486" s="422">
        <f t="shared" si="65"/>
        <v>0</v>
      </c>
    </row>
    <row r="487" spans="1:14" ht="13.2" customHeight="1" x14ac:dyDescent="0.3">
      <c r="A487" s="401"/>
      <c r="B487" s="402"/>
      <c r="C487" s="371" t="s">
        <v>652</v>
      </c>
      <c r="D487" s="371" t="s">
        <v>623</v>
      </c>
      <c r="E487" s="367" t="s">
        <v>235</v>
      </c>
      <c r="F487" s="539"/>
      <c r="G487" s="539"/>
      <c r="H487" s="372">
        <f>IF(REKAP!$Q$9=$D487,H$19,0)</f>
        <v>0</v>
      </c>
      <c r="I487" s="372">
        <f t="shared" si="62"/>
        <v>0</v>
      </c>
      <c r="J487" s="372"/>
      <c r="K487" s="372">
        <f>'RAB Pasang'!K487*60%</f>
        <v>675000</v>
      </c>
      <c r="L487" s="387">
        <f t="shared" si="63"/>
        <v>0</v>
      </c>
      <c r="M487" s="387">
        <f t="shared" si="64"/>
        <v>0</v>
      </c>
      <c r="N487" s="422">
        <f t="shared" si="65"/>
        <v>0</v>
      </c>
    </row>
    <row r="488" spans="1:14" ht="13.2" customHeight="1" x14ac:dyDescent="0.3">
      <c r="A488" s="401"/>
      <c r="B488" s="402"/>
      <c r="C488" s="371" t="s">
        <v>652</v>
      </c>
      <c r="D488" s="371" t="s">
        <v>628</v>
      </c>
      <c r="E488" s="367" t="s">
        <v>235</v>
      </c>
      <c r="F488" s="539"/>
      <c r="G488" s="539"/>
      <c r="H488" s="372">
        <f>IF(REKAP!$Q$9=$D488,H$19,0)</f>
        <v>0</v>
      </c>
      <c r="I488" s="372">
        <f t="shared" si="62"/>
        <v>0</v>
      </c>
      <c r="J488" s="372"/>
      <c r="K488" s="372">
        <f>'RAB Pasang'!K488*60%</f>
        <v>750600</v>
      </c>
      <c r="L488" s="387">
        <f t="shared" si="63"/>
        <v>0</v>
      </c>
      <c r="M488" s="387">
        <f t="shared" si="64"/>
        <v>0</v>
      </c>
      <c r="N488" s="422">
        <f t="shared" si="65"/>
        <v>0</v>
      </c>
    </row>
    <row r="489" spans="1:14" ht="13.2" customHeight="1" x14ac:dyDescent="0.3">
      <c r="A489" s="401"/>
      <c r="B489" s="402"/>
      <c r="C489" s="371" t="s">
        <v>652</v>
      </c>
      <c r="D489" s="371" t="s">
        <v>629</v>
      </c>
      <c r="E489" s="367" t="s">
        <v>235</v>
      </c>
      <c r="F489" s="539"/>
      <c r="G489" s="539"/>
      <c r="H489" s="372">
        <f>IF(REKAP!$Q$9=$D489,H$19,0)</f>
        <v>0</v>
      </c>
      <c r="I489" s="372">
        <f t="shared" si="62"/>
        <v>0</v>
      </c>
      <c r="J489" s="372"/>
      <c r="K489" s="372">
        <f>'RAB Pasang'!K489*60%</f>
        <v>750600</v>
      </c>
      <c r="L489" s="387">
        <f t="shared" si="63"/>
        <v>0</v>
      </c>
      <c r="M489" s="387">
        <f t="shared" si="64"/>
        <v>0</v>
      </c>
      <c r="N489" s="422">
        <f t="shared" si="65"/>
        <v>0</v>
      </c>
    </row>
    <row r="490" spans="1:14" ht="13.2" customHeight="1" x14ac:dyDescent="0.3">
      <c r="A490" s="401"/>
      <c r="B490" s="402"/>
      <c r="C490" s="371" t="s">
        <v>652</v>
      </c>
      <c r="D490" s="371" t="s">
        <v>624</v>
      </c>
      <c r="E490" s="367" t="s">
        <v>235</v>
      </c>
      <c r="F490" s="539"/>
      <c r="G490" s="539"/>
      <c r="H490" s="372">
        <f>IF(REKAP!$Q$9=$D490,H$19,0)</f>
        <v>0</v>
      </c>
      <c r="I490" s="372">
        <f t="shared" si="62"/>
        <v>0</v>
      </c>
      <c r="J490" s="372"/>
      <c r="K490" s="372">
        <f>'RAB Pasang'!K490*60%</f>
        <v>1074600</v>
      </c>
      <c r="L490" s="387">
        <f t="shared" si="63"/>
        <v>0</v>
      </c>
      <c r="M490" s="387">
        <f t="shared" si="64"/>
        <v>0</v>
      </c>
      <c r="N490" s="422">
        <f t="shared" si="65"/>
        <v>0</v>
      </c>
    </row>
    <row r="491" spans="1:14" ht="13.2" customHeight="1" x14ac:dyDescent="0.3">
      <c r="A491" s="401"/>
      <c r="B491" s="402"/>
      <c r="C491" s="371" t="s">
        <v>652</v>
      </c>
      <c r="D491" s="371" t="s">
        <v>625</v>
      </c>
      <c r="E491" s="367" t="s">
        <v>235</v>
      </c>
      <c r="F491" s="539"/>
      <c r="G491" s="539"/>
      <c r="H491" s="372">
        <f>IF(REKAP!$Q$9=$D491,H$19,0)</f>
        <v>0</v>
      </c>
      <c r="I491" s="372">
        <f t="shared" si="62"/>
        <v>0</v>
      </c>
      <c r="J491" s="372"/>
      <c r="K491" s="372">
        <f>'RAB Pasang'!K491*60%</f>
        <v>1215000</v>
      </c>
      <c r="L491" s="387">
        <f t="shared" si="63"/>
        <v>0</v>
      </c>
      <c r="M491" s="387">
        <f t="shared" si="64"/>
        <v>0</v>
      </c>
      <c r="N491" s="422">
        <f t="shared" si="65"/>
        <v>0</v>
      </c>
    </row>
    <row r="492" spans="1:14" ht="13.2" customHeight="1" x14ac:dyDescent="0.3">
      <c r="A492" s="401"/>
      <c r="B492" s="402"/>
      <c r="C492" s="371" t="s">
        <v>652</v>
      </c>
      <c r="D492" s="371" t="s">
        <v>626</v>
      </c>
      <c r="E492" s="367" t="s">
        <v>235</v>
      </c>
      <c r="F492" s="539"/>
      <c r="G492" s="539"/>
      <c r="H492" s="372">
        <f>IF(REKAP!$Q$9=$D492,H$19,0)</f>
        <v>0</v>
      </c>
      <c r="I492" s="372">
        <f t="shared" si="62"/>
        <v>0</v>
      </c>
      <c r="J492" s="372"/>
      <c r="K492" s="372">
        <f>'RAB Pasang'!K492*60%</f>
        <v>1976400</v>
      </c>
      <c r="L492" s="387">
        <f t="shared" si="63"/>
        <v>0</v>
      </c>
      <c r="M492" s="387">
        <f t="shared" si="64"/>
        <v>0</v>
      </c>
      <c r="N492" s="422">
        <f t="shared" si="65"/>
        <v>0</v>
      </c>
    </row>
    <row r="493" spans="1:14" ht="13.2" customHeight="1" x14ac:dyDescent="0.3">
      <c r="A493" s="401"/>
      <c r="B493" s="402"/>
      <c r="C493" s="373" t="s">
        <v>652</v>
      </c>
      <c r="D493" s="373" t="s">
        <v>627</v>
      </c>
      <c r="E493" s="374" t="s">
        <v>235</v>
      </c>
      <c r="F493" s="571"/>
      <c r="G493" s="571"/>
      <c r="H493" s="375">
        <f>IF(REKAP!$Q$9=$D493,H$19,0)</f>
        <v>0</v>
      </c>
      <c r="I493" s="375">
        <f t="shared" si="62"/>
        <v>0</v>
      </c>
      <c r="J493" s="375"/>
      <c r="K493" s="375">
        <f>'RAB Pasang'!K493*60%</f>
        <v>2975400</v>
      </c>
      <c r="L493" s="399">
        <f t="shared" si="63"/>
        <v>0</v>
      </c>
      <c r="M493" s="399">
        <f t="shared" si="64"/>
        <v>0</v>
      </c>
      <c r="N493" s="400">
        <f t="shared" si="65"/>
        <v>0</v>
      </c>
    </row>
    <row r="494" spans="1:14" ht="13.2" customHeight="1" x14ac:dyDescent="0.3">
      <c r="A494" s="531">
        <v>13</v>
      </c>
      <c r="B494" s="532" t="s">
        <v>1581</v>
      </c>
      <c r="C494" s="404"/>
      <c r="D494" s="404"/>
      <c r="E494" s="405"/>
      <c r="F494" s="575"/>
      <c r="G494" s="575"/>
      <c r="H494" s="575"/>
      <c r="I494" s="406">
        <f t="shared" ref="I494:I526" si="66">SUM(F494:H494)</f>
        <v>0</v>
      </c>
      <c r="J494" s="406"/>
      <c r="K494" s="406"/>
      <c r="L494" s="469">
        <f t="shared" ref="L494:L526" si="67">J494*I494</f>
        <v>0</v>
      </c>
      <c r="M494" s="469">
        <f t="shared" ref="M494:M526" si="68">K494*I494</f>
        <v>0</v>
      </c>
      <c r="N494" s="470">
        <f t="shared" ref="N494:N526" si="69">SUM(L494:M494)</f>
        <v>0</v>
      </c>
    </row>
    <row r="495" spans="1:14" ht="13.2" customHeight="1" x14ac:dyDescent="0.3">
      <c r="A495" s="401"/>
      <c r="B495" s="402" t="s">
        <v>1828</v>
      </c>
      <c r="C495" s="371" t="s">
        <v>650</v>
      </c>
      <c r="D495" s="371" t="s">
        <v>620</v>
      </c>
      <c r="E495" s="367" t="s">
        <v>235</v>
      </c>
      <c r="F495" s="372">
        <f>IF(REKAP!$Q$9="Kota Kupang",F$20,0)</f>
        <v>0</v>
      </c>
      <c r="G495" s="372">
        <f>IF(REKAP!$Q$9="Kota Kupang",G$20,0)</f>
        <v>0</v>
      </c>
      <c r="H495" s="539"/>
      <c r="I495" s="372">
        <f t="shared" si="66"/>
        <v>0</v>
      </c>
      <c r="J495" s="372"/>
      <c r="K495" s="372">
        <f>'RAB Pasang'!K495*60%</f>
        <v>583200</v>
      </c>
      <c r="L495" s="387">
        <f t="shared" si="67"/>
        <v>0</v>
      </c>
      <c r="M495" s="387">
        <f t="shared" si="68"/>
        <v>0</v>
      </c>
      <c r="N495" s="422">
        <f t="shared" si="69"/>
        <v>0</v>
      </c>
    </row>
    <row r="496" spans="1:14" ht="13.2" customHeight="1" x14ac:dyDescent="0.3">
      <c r="A496" s="401"/>
      <c r="B496" s="402"/>
      <c r="C496" s="371" t="s">
        <v>652</v>
      </c>
      <c r="D496" s="371" t="s">
        <v>621</v>
      </c>
      <c r="E496" s="367" t="s">
        <v>235</v>
      </c>
      <c r="F496" s="372">
        <f>IF(REKAP!$Q$9=$D496,F$20,0)</f>
        <v>0</v>
      </c>
      <c r="G496" s="372">
        <f>IF(REKAP!$Q$9=$D496,G$20,0)</f>
        <v>0</v>
      </c>
      <c r="H496" s="539"/>
      <c r="I496" s="372">
        <f t="shared" si="66"/>
        <v>0</v>
      </c>
      <c r="J496" s="372"/>
      <c r="K496" s="372">
        <f>'RAB Pasang'!K496*60%</f>
        <v>707400</v>
      </c>
      <c r="L496" s="387">
        <f t="shared" si="67"/>
        <v>0</v>
      </c>
      <c r="M496" s="387">
        <f t="shared" si="68"/>
        <v>0</v>
      </c>
      <c r="N496" s="422">
        <f t="shared" si="69"/>
        <v>0</v>
      </c>
    </row>
    <row r="497" spans="1:14" ht="13.2" customHeight="1" x14ac:dyDescent="0.3">
      <c r="A497" s="401"/>
      <c r="B497" s="402"/>
      <c r="C497" s="371" t="s">
        <v>652</v>
      </c>
      <c r="D497" s="371" t="s">
        <v>622</v>
      </c>
      <c r="E497" s="367" t="s">
        <v>235</v>
      </c>
      <c r="F497" s="372">
        <f>IF(REKAP!$Q$9=$D497,F$20,0)</f>
        <v>0</v>
      </c>
      <c r="G497" s="372">
        <f>IF(REKAP!$Q$9=$D497,G$20,0)</f>
        <v>0</v>
      </c>
      <c r="H497" s="539"/>
      <c r="I497" s="372">
        <f t="shared" si="66"/>
        <v>0</v>
      </c>
      <c r="J497" s="372"/>
      <c r="K497" s="372">
        <f>'RAB Pasang'!K497*60%</f>
        <v>912600</v>
      </c>
      <c r="L497" s="387">
        <f t="shared" si="67"/>
        <v>0</v>
      </c>
      <c r="M497" s="387">
        <f t="shared" si="68"/>
        <v>0</v>
      </c>
      <c r="N497" s="422">
        <f t="shared" si="69"/>
        <v>0</v>
      </c>
    </row>
    <row r="498" spans="1:14" ht="13.2" customHeight="1" x14ac:dyDescent="0.3">
      <c r="A498" s="401"/>
      <c r="B498" s="402"/>
      <c r="C498" s="371" t="s">
        <v>652</v>
      </c>
      <c r="D498" s="371" t="s">
        <v>623</v>
      </c>
      <c r="E498" s="367" t="s">
        <v>235</v>
      </c>
      <c r="F498" s="372">
        <f>IF(REKAP!$Q$9=$D498,F$20,0)</f>
        <v>0</v>
      </c>
      <c r="G498" s="372">
        <f>IF(REKAP!$Q$9=$D498,G$20,0)</f>
        <v>0</v>
      </c>
      <c r="H498" s="539"/>
      <c r="I498" s="372">
        <f t="shared" si="66"/>
        <v>0</v>
      </c>
      <c r="J498" s="372"/>
      <c r="K498" s="372">
        <f>'RAB Pasang'!K498*60%</f>
        <v>1155600</v>
      </c>
      <c r="L498" s="387">
        <f t="shared" si="67"/>
        <v>0</v>
      </c>
      <c r="M498" s="387">
        <f t="shared" si="68"/>
        <v>0</v>
      </c>
      <c r="N498" s="422">
        <f t="shared" si="69"/>
        <v>0</v>
      </c>
    </row>
    <row r="499" spans="1:14" ht="13.2" customHeight="1" x14ac:dyDescent="0.3">
      <c r="A499" s="401"/>
      <c r="B499" s="402"/>
      <c r="C499" s="371" t="s">
        <v>652</v>
      </c>
      <c r="D499" s="371" t="s">
        <v>628</v>
      </c>
      <c r="E499" s="367" t="s">
        <v>235</v>
      </c>
      <c r="F499" s="372">
        <f>IF(REKAP!$Q$9=$D499,F$20,0)</f>
        <v>0</v>
      </c>
      <c r="G499" s="372">
        <f>IF(REKAP!$Q$9=$D499,G$20,0)</f>
        <v>0</v>
      </c>
      <c r="H499" s="539"/>
      <c r="I499" s="372">
        <f t="shared" si="66"/>
        <v>0</v>
      </c>
      <c r="J499" s="372"/>
      <c r="K499" s="372">
        <f>'RAB Pasang'!K499*60%</f>
        <v>1236600</v>
      </c>
      <c r="L499" s="387">
        <f t="shared" si="67"/>
        <v>0</v>
      </c>
      <c r="M499" s="387">
        <f t="shared" si="68"/>
        <v>0</v>
      </c>
      <c r="N499" s="422">
        <f t="shared" si="69"/>
        <v>0</v>
      </c>
    </row>
    <row r="500" spans="1:14" ht="13.2" customHeight="1" x14ac:dyDescent="0.3">
      <c r="A500" s="401"/>
      <c r="B500" s="402"/>
      <c r="C500" s="371" t="s">
        <v>652</v>
      </c>
      <c r="D500" s="371" t="s">
        <v>629</v>
      </c>
      <c r="E500" s="367" t="s">
        <v>235</v>
      </c>
      <c r="F500" s="372">
        <f>IF(REKAP!$Q$9=$D500,F$20,0)</f>
        <v>0</v>
      </c>
      <c r="G500" s="372">
        <f>IF(REKAP!$Q$9=$D500,G$20,0)</f>
        <v>0</v>
      </c>
      <c r="H500" s="539"/>
      <c r="I500" s="372">
        <f t="shared" si="66"/>
        <v>0</v>
      </c>
      <c r="J500" s="372"/>
      <c r="K500" s="372">
        <f>'RAB Pasang'!K500*60%</f>
        <v>1269000</v>
      </c>
      <c r="L500" s="387">
        <f t="shared" si="67"/>
        <v>0</v>
      </c>
      <c r="M500" s="387">
        <f t="shared" si="68"/>
        <v>0</v>
      </c>
      <c r="N500" s="422">
        <f t="shared" si="69"/>
        <v>0</v>
      </c>
    </row>
    <row r="501" spans="1:14" ht="13.2" customHeight="1" x14ac:dyDescent="0.3">
      <c r="A501" s="401"/>
      <c r="B501" s="402"/>
      <c r="C501" s="371" t="s">
        <v>652</v>
      </c>
      <c r="D501" s="371" t="s">
        <v>624</v>
      </c>
      <c r="E501" s="367" t="s">
        <v>235</v>
      </c>
      <c r="F501" s="372">
        <f>IF(REKAP!$Q$9=$D501,F$20,0)</f>
        <v>0</v>
      </c>
      <c r="G501" s="372">
        <f>IF(REKAP!$Q$9=$D501,G$20,0)</f>
        <v>0</v>
      </c>
      <c r="H501" s="539"/>
      <c r="I501" s="372">
        <f t="shared" si="66"/>
        <v>0</v>
      </c>
      <c r="J501" s="372"/>
      <c r="K501" s="372">
        <f>'RAB Pasang'!K501*60%</f>
        <v>1539000</v>
      </c>
      <c r="L501" s="387">
        <f t="shared" si="67"/>
        <v>0</v>
      </c>
      <c r="M501" s="387">
        <f t="shared" si="68"/>
        <v>0</v>
      </c>
      <c r="N501" s="422">
        <f t="shared" si="69"/>
        <v>0</v>
      </c>
    </row>
    <row r="502" spans="1:14" ht="13.2" customHeight="1" x14ac:dyDescent="0.3">
      <c r="A502" s="401"/>
      <c r="B502" s="402"/>
      <c r="C502" s="371" t="s">
        <v>652</v>
      </c>
      <c r="D502" s="371" t="s">
        <v>625</v>
      </c>
      <c r="E502" s="367" t="s">
        <v>235</v>
      </c>
      <c r="F502" s="372">
        <f>IF(REKAP!$Q$9=$D502,F$20,0)</f>
        <v>0</v>
      </c>
      <c r="G502" s="372">
        <f>IF(REKAP!$Q$9=$D502,G$20,0)</f>
        <v>0</v>
      </c>
      <c r="H502" s="539"/>
      <c r="I502" s="372">
        <f t="shared" si="66"/>
        <v>0</v>
      </c>
      <c r="J502" s="372"/>
      <c r="K502" s="372">
        <f>'RAB Pasang'!K502*60%</f>
        <v>1738800</v>
      </c>
      <c r="L502" s="387">
        <f t="shared" si="67"/>
        <v>0</v>
      </c>
      <c r="M502" s="387">
        <f t="shared" si="68"/>
        <v>0</v>
      </c>
      <c r="N502" s="422">
        <f t="shared" si="69"/>
        <v>0</v>
      </c>
    </row>
    <row r="503" spans="1:14" ht="13.2" customHeight="1" x14ac:dyDescent="0.3">
      <c r="A503" s="401"/>
      <c r="B503" s="402"/>
      <c r="C503" s="371" t="s">
        <v>652</v>
      </c>
      <c r="D503" s="371" t="s">
        <v>626</v>
      </c>
      <c r="E503" s="367" t="s">
        <v>235</v>
      </c>
      <c r="F503" s="372">
        <f>IF(REKAP!$Q$9=$D503,F$20,0)</f>
        <v>0</v>
      </c>
      <c r="G503" s="372">
        <f>IF(REKAP!$Q$9=$D503,G$20,0)</f>
        <v>0</v>
      </c>
      <c r="H503" s="539"/>
      <c r="I503" s="372">
        <f t="shared" si="66"/>
        <v>0</v>
      </c>
      <c r="J503" s="372"/>
      <c r="K503" s="372">
        <f>'RAB Pasang'!K503*60%</f>
        <v>2829600</v>
      </c>
      <c r="L503" s="387">
        <f t="shared" si="67"/>
        <v>0</v>
      </c>
      <c r="M503" s="387">
        <f t="shared" si="68"/>
        <v>0</v>
      </c>
      <c r="N503" s="422">
        <f t="shared" si="69"/>
        <v>0</v>
      </c>
    </row>
    <row r="504" spans="1:14" ht="13.2" customHeight="1" x14ac:dyDescent="0.3">
      <c r="A504" s="410"/>
      <c r="B504" s="533"/>
      <c r="C504" s="390" t="s">
        <v>652</v>
      </c>
      <c r="D504" s="390" t="s">
        <v>627</v>
      </c>
      <c r="E504" s="391" t="s">
        <v>235</v>
      </c>
      <c r="F504" s="409">
        <f>IF(REKAP!$Q$9=$D504,F$20,0)</f>
        <v>0</v>
      </c>
      <c r="G504" s="409">
        <f>IF(REKAP!$Q$9=$D504,G$20,0)</f>
        <v>0</v>
      </c>
      <c r="H504" s="577"/>
      <c r="I504" s="409">
        <f t="shared" si="66"/>
        <v>0</v>
      </c>
      <c r="J504" s="409"/>
      <c r="K504" s="409">
        <f>'RAB Pasang'!K504*60%</f>
        <v>4249800</v>
      </c>
      <c r="L504" s="471">
        <f t="shared" si="67"/>
        <v>0</v>
      </c>
      <c r="M504" s="471">
        <f t="shared" si="68"/>
        <v>0</v>
      </c>
      <c r="N504" s="472">
        <f t="shared" si="69"/>
        <v>0</v>
      </c>
    </row>
    <row r="505" spans="1:14" ht="13.2" customHeight="1" x14ac:dyDescent="0.3">
      <c r="A505" s="530">
        <v>12</v>
      </c>
      <c r="B505" s="411" t="s">
        <v>1580</v>
      </c>
      <c r="C505" s="362"/>
      <c r="D505" s="362"/>
      <c r="E505" s="368"/>
      <c r="F505" s="535"/>
      <c r="G505" s="535"/>
      <c r="H505" s="535"/>
      <c r="I505" s="369">
        <f t="shared" si="66"/>
        <v>0</v>
      </c>
      <c r="J505" s="369"/>
      <c r="K505" s="369"/>
      <c r="L505" s="385">
        <f t="shared" si="67"/>
        <v>0</v>
      </c>
      <c r="M505" s="385">
        <f t="shared" si="68"/>
        <v>0</v>
      </c>
      <c r="N505" s="388">
        <f t="shared" si="69"/>
        <v>0</v>
      </c>
    </row>
    <row r="506" spans="1:14" ht="13.2" customHeight="1" x14ac:dyDescent="0.3">
      <c r="A506" s="401"/>
      <c r="B506" s="402" t="s">
        <v>649</v>
      </c>
      <c r="C506" s="371" t="s">
        <v>650</v>
      </c>
      <c r="D506" s="371" t="s">
        <v>620</v>
      </c>
      <c r="E506" s="367" t="s">
        <v>235</v>
      </c>
      <c r="F506" s="372">
        <f>IF(REKAP!$Q$9="Kota Kupang",F$21,0)</f>
        <v>0</v>
      </c>
      <c r="G506" s="372">
        <f>IF(REKAP!$Q$9="Kota Kupang",G$21,0)</f>
        <v>0</v>
      </c>
      <c r="H506" s="539"/>
      <c r="I506" s="372">
        <f t="shared" si="66"/>
        <v>0</v>
      </c>
      <c r="J506" s="372"/>
      <c r="K506" s="372">
        <f>'RAB Pasang'!K506*60%</f>
        <v>648000</v>
      </c>
      <c r="L506" s="387">
        <f t="shared" si="67"/>
        <v>0</v>
      </c>
      <c r="M506" s="387">
        <f t="shared" si="68"/>
        <v>0</v>
      </c>
      <c r="N506" s="422">
        <f t="shared" si="69"/>
        <v>0</v>
      </c>
    </row>
    <row r="507" spans="1:14" ht="13.2" customHeight="1" x14ac:dyDescent="0.3">
      <c r="A507" s="401"/>
      <c r="B507" s="402"/>
      <c r="C507" s="371" t="s">
        <v>652</v>
      </c>
      <c r="D507" s="371" t="s">
        <v>621</v>
      </c>
      <c r="E507" s="367" t="s">
        <v>235</v>
      </c>
      <c r="F507" s="372">
        <f>IF(REKAP!$Q$9=$D507,F$21,0)</f>
        <v>0</v>
      </c>
      <c r="G507" s="372">
        <f>IF(REKAP!$Q$9=$D507,G$21,0)</f>
        <v>0</v>
      </c>
      <c r="H507" s="539"/>
      <c r="I507" s="372">
        <f t="shared" si="66"/>
        <v>0</v>
      </c>
      <c r="J507" s="372"/>
      <c r="K507" s="372">
        <f>'RAB Pasang'!K507*60%</f>
        <v>777600</v>
      </c>
      <c r="L507" s="387">
        <f t="shared" si="67"/>
        <v>0</v>
      </c>
      <c r="M507" s="387">
        <f t="shared" si="68"/>
        <v>0</v>
      </c>
      <c r="N507" s="422">
        <f t="shared" si="69"/>
        <v>0</v>
      </c>
    </row>
    <row r="508" spans="1:14" ht="13.2" customHeight="1" x14ac:dyDescent="0.3">
      <c r="A508" s="401"/>
      <c r="B508" s="402"/>
      <c r="C508" s="371" t="s">
        <v>652</v>
      </c>
      <c r="D508" s="371" t="s">
        <v>622</v>
      </c>
      <c r="E508" s="367" t="s">
        <v>235</v>
      </c>
      <c r="F508" s="372">
        <f>IF(REKAP!$Q$9=$D508,F$21,0)</f>
        <v>0</v>
      </c>
      <c r="G508" s="372">
        <f>IF(REKAP!$Q$9=$D508,G$21,0)</f>
        <v>0</v>
      </c>
      <c r="H508" s="539"/>
      <c r="I508" s="372">
        <f t="shared" si="66"/>
        <v>0</v>
      </c>
      <c r="J508" s="372"/>
      <c r="K508" s="372">
        <f>'RAB Pasang'!K508*60%</f>
        <v>1009800</v>
      </c>
      <c r="L508" s="387">
        <f t="shared" si="67"/>
        <v>0</v>
      </c>
      <c r="M508" s="387">
        <f t="shared" si="68"/>
        <v>0</v>
      </c>
      <c r="N508" s="422">
        <f t="shared" si="69"/>
        <v>0</v>
      </c>
    </row>
    <row r="509" spans="1:14" ht="13.2" customHeight="1" x14ac:dyDescent="0.3">
      <c r="A509" s="401"/>
      <c r="B509" s="402"/>
      <c r="C509" s="371" t="s">
        <v>652</v>
      </c>
      <c r="D509" s="371" t="s">
        <v>623</v>
      </c>
      <c r="E509" s="367" t="s">
        <v>235</v>
      </c>
      <c r="F509" s="372">
        <f>IF(REKAP!$Q$9=$D509,F$21,0)</f>
        <v>0</v>
      </c>
      <c r="G509" s="372">
        <f>IF(REKAP!$Q$9=$D509,G$21,0)</f>
        <v>0</v>
      </c>
      <c r="H509" s="539"/>
      <c r="I509" s="372">
        <f t="shared" si="66"/>
        <v>0</v>
      </c>
      <c r="J509" s="372"/>
      <c r="K509" s="372">
        <f>'RAB Pasang'!K509*60%</f>
        <v>1279800</v>
      </c>
      <c r="L509" s="387">
        <f t="shared" si="67"/>
        <v>0</v>
      </c>
      <c r="M509" s="387">
        <f t="shared" si="68"/>
        <v>0</v>
      </c>
      <c r="N509" s="422">
        <f t="shared" si="69"/>
        <v>0</v>
      </c>
    </row>
    <row r="510" spans="1:14" ht="13.2" customHeight="1" x14ac:dyDescent="0.3">
      <c r="A510" s="401"/>
      <c r="B510" s="402"/>
      <c r="C510" s="371" t="s">
        <v>652</v>
      </c>
      <c r="D510" s="371" t="s">
        <v>628</v>
      </c>
      <c r="E510" s="367" t="s">
        <v>235</v>
      </c>
      <c r="F510" s="372">
        <f>IF(REKAP!$Q$9=$D510,F$21,0)</f>
        <v>0</v>
      </c>
      <c r="G510" s="372">
        <f>IF(REKAP!$Q$9=$D510,G$21,0)</f>
        <v>0</v>
      </c>
      <c r="H510" s="539"/>
      <c r="I510" s="372">
        <f t="shared" si="66"/>
        <v>0</v>
      </c>
      <c r="J510" s="372"/>
      <c r="K510" s="372">
        <f>'RAB Pasang'!K510*60%</f>
        <v>1366200</v>
      </c>
      <c r="L510" s="387">
        <f t="shared" si="67"/>
        <v>0</v>
      </c>
      <c r="M510" s="387">
        <f t="shared" si="68"/>
        <v>0</v>
      </c>
      <c r="N510" s="422">
        <f t="shared" si="69"/>
        <v>0</v>
      </c>
    </row>
    <row r="511" spans="1:14" ht="13.2" customHeight="1" x14ac:dyDescent="0.3">
      <c r="A511" s="401"/>
      <c r="B511" s="402"/>
      <c r="C511" s="371" t="s">
        <v>652</v>
      </c>
      <c r="D511" s="371" t="s">
        <v>629</v>
      </c>
      <c r="E511" s="367" t="s">
        <v>235</v>
      </c>
      <c r="F511" s="372">
        <f>IF(REKAP!$Q$9=$D511,F$21,0)</f>
        <v>0</v>
      </c>
      <c r="G511" s="372">
        <f>IF(REKAP!$Q$9=$D511,G$21,0)</f>
        <v>0</v>
      </c>
      <c r="H511" s="539"/>
      <c r="I511" s="372">
        <f t="shared" si="66"/>
        <v>0</v>
      </c>
      <c r="J511" s="372"/>
      <c r="K511" s="372">
        <f>'RAB Pasang'!K511*60%</f>
        <v>1398600</v>
      </c>
      <c r="L511" s="387">
        <f t="shared" si="67"/>
        <v>0</v>
      </c>
      <c r="M511" s="387">
        <f t="shared" si="68"/>
        <v>0</v>
      </c>
      <c r="N511" s="422">
        <f t="shared" si="69"/>
        <v>0</v>
      </c>
    </row>
    <row r="512" spans="1:14" ht="13.2" customHeight="1" x14ac:dyDescent="0.3">
      <c r="A512" s="401"/>
      <c r="B512" s="402"/>
      <c r="C512" s="371" t="s">
        <v>652</v>
      </c>
      <c r="D512" s="371" t="s">
        <v>624</v>
      </c>
      <c r="E512" s="367" t="s">
        <v>235</v>
      </c>
      <c r="F512" s="372">
        <f>IF(REKAP!$Q$9=$D512,F$21,0)</f>
        <v>0</v>
      </c>
      <c r="G512" s="372">
        <f>IF(REKAP!$Q$9=$D512,G$21,0)</f>
        <v>0</v>
      </c>
      <c r="H512" s="539"/>
      <c r="I512" s="372">
        <f t="shared" si="66"/>
        <v>0</v>
      </c>
      <c r="J512" s="372"/>
      <c r="K512" s="372">
        <f>'RAB Pasang'!K512*60%</f>
        <v>1879200</v>
      </c>
      <c r="L512" s="387">
        <f t="shared" si="67"/>
        <v>0</v>
      </c>
      <c r="M512" s="387">
        <f t="shared" si="68"/>
        <v>0</v>
      </c>
      <c r="N512" s="422">
        <f t="shared" si="69"/>
        <v>0</v>
      </c>
    </row>
    <row r="513" spans="1:14" ht="13.2" customHeight="1" x14ac:dyDescent="0.3">
      <c r="A513" s="401"/>
      <c r="B513" s="402"/>
      <c r="C513" s="371" t="s">
        <v>652</v>
      </c>
      <c r="D513" s="371" t="s">
        <v>625</v>
      </c>
      <c r="E513" s="367" t="s">
        <v>235</v>
      </c>
      <c r="F513" s="372">
        <f>IF(REKAP!$Q$9=$D513,F$21,0)</f>
        <v>0</v>
      </c>
      <c r="G513" s="372">
        <f>IF(REKAP!$Q$9=$D513,G$21,0)</f>
        <v>0</v>
      </c>
      <c r="H513" s="539"/>
      <c r="I513" s="372">
        <f t="shared" si="66"/>
        <v>0</v>
      </c>
      <c r="J513" s="372"/>
      <c r="K513" s="372">
        <f>'RAB Pasang'!K513*60%</f>
        <v>2262600</v>
      </c>
      <c r="L513" s="387">
        <f t="shared" si="67"/>
        <v>0</v>
      </c>
      <c r="M513" s="387">
        <f t="shared" si="68"/>
        <v>0</v>
      </c>
      <c r="N513" s="422">
        <f t="shared" si="69"/>
        <v>0</v>
      </c>
    </row>
    <row r="514" spans="1:14" ht="13.2" customHeight="1" x14ac:dyDescent="0.3">
      <c r="A514" s="401"/>
      <c r="B514" s="402"/>
      <c r="C514" s="371" t="s">
        <v>652</v>
      </c>
      <c r="D514" s="371" t="s">
        <v>626</v>
      </c>
      <c r="E514" s="367" t="s">
        <v>235</v>
      </c>
      <c r="F514" s="372">
        <f>IF(REKAP!$Q$9=$D514,F$21,0)</f>
        <v>0</v>
      </c>
      <c r="G514" s="372">
        <f>IF(REKAP!$Q$9=$D514,G$21,0)</f>
        <v>0</v>
      </c>
      <c r="H514" s="539"/>
      <c r="I514" s="372">
        <f t="shared" si="66"/>
        <v>0</v>
      </c>
      <c r="J514" s="372"/>
      <c r="K514" s="372">
        <f>'RAB Pasang'!K514*60%</f>
        <v>3277800</v>
      </c>
      <c r="L514" s="387">
        <f t="shared" si="67"/>
        <v>0</v>
      </c>
      <c r="M514" s="387">
        <f t="shared" si="68"/>
        <v>0</v>
      </c>
      <c r="N514" s="422">
        <f t="shared" si="69"/>
        <v>0</v>
      </c>
    </row>
    <row r="515" spans="1:14" ht="13.2" customHeight="1" x14ac:dyDescent="0.3">
      <c r="A515" s="401"/>
      <c r="B515" s="402"/>
      <c r="C515" s="373" t="s">
        <v>652</v>
      </c>
      <c r="D515" s="373" t="s">
        <v>627</v>
      </c>
      <c r="E515" s="374" t="s">
        <v>235</v>
      </c>
      <c r="F515" s="409">
        <f>IF(REKAP!$Q$9=$D515,F$21,0)</f>
        <v>0</v>
      </c>
      <c r="G515" s="409">
        <f>IF(REKAP!$Q$9=$D515,G$21,0)</f>
        <v>0</v>
      </c>
      <c r="H515" s="571"/>
      <c r="I515" s="375">
        <f t="shared" si="66"/>
        <v>0</v>
      </c>
      <c r="J515" s="375"/>
      <c r="K515" s="375">
        <f>'RAB Pasang'!K515*60%</f>
        <v>4725000</v>
      </c>
      <c r="L515" s="399">
        <f t="shared" si="67"/>
        <v>0</v>
      </c>
      <c r="M515" s="399">
        <f t="shared" si="68"/>
        <v>0</v>
      </c>
      <c r="N515" s="400">
        <f t="shared" si="69"/>
        <v>0</v>
      </c>
    </row>
    <row r="516" spans="1:14" ht="13.2" customHeight="1" x14ac:dyDescent="0.3">
      <c r="A516" s="531">
        <v>11</v>
      </c>
      <c r="B516" s="532" t="s">
        <v>1579</v>
      </c>
      <c r="C516" s="404"/>
      <c r="D516" s="404"/>
      <c r="E516" s="405"/>
      <c r="F516" s="575"/>
      <c r="G516" s="575"/>
      <c r="H516" s="575"/>
      <c r="I516" s="406">
        <f t="shared" si="66"/>
        <v>0</v>
      </c>
      <c r="J516" s="406"/>
      <c r="K516" s="406"/>
      <c r="L516" s="469">
        <f t="shared" si="67"/>
        <v>0</v>
      </c>
      <c r="M516" s="469">
        <f t="shared" si="68"/>
        <v>0</v>
      </c>
      <c r="N516" s="470">
        <f t="shared" si="69"/>
        <v>0</v>
      </c>
    </row>
    <row r="517" spans="1:14" ht="13.2" customHeight="1" x14ac:dyDescent="0.3">
      <c r="A517" s="401"/>
      <c r="B517" s="402" t="s">
        <v>1828</v>
      </c>
      <c r="C517" s="371" t="s">
        <v>650</v>
      </c>
      <c r="D517" s="371" t="s">
        <v>620</v>
      </c>
      <c r="E517" s="367" t="s">
        <v>235</v>
      </c>
      <c r="F517" s="372">
        <f>IF(REKAP!$Q$9="Kota Kupang",F$22,0)</f>
        <v>0</v>
      </c>
      <c r="G517" s="372">
        <f>IF(REKAP!$Q$9="Kota Kupang",G$22,0)</f>
        <v>0</v>
      </c>
      <c r="H517" s="539"/>
      <c r="I517" s="372">
        <f t="shared" si="66"/>
        <v>0</v>
      </c>
      <c r="J517" s="372"/>
      <c r="K517" s="372">
        <f>'RAB Pasang'!K517*60%</f>
        <v>648000</v>
      </c>
      <c r="L517" s="387">
        <f t="shared" si="67"/>
        <v>0</v>
      </c>
      <c r="M517" s="387">
        <f t="shared" si="68"/>
        <v>0</v>
      </c>
      <c r="N517" s="422">
        <f t="shared" si="69"/>
        <v>0</v>
      </c>
    </row>
    <row r="518" spans="1:14" ht="13.2" customHeight="1" x14ac:dyDescent="0.3">
      <c r="A518" s="401"/>
      <c r="B518" s="402"/>
      <c r="C518" s="371" t="s">
        <v>652</v>
      </c>
      <c r="D518" s="371" t="s">
        <v>621</v>
      </c>
      <c r="E518" s="367" t="s">
        <v>235</v>
      </c>
      <c r="F518" s="372">
        <f>IF(REKAP!$Q$9=$D518,F$22,0)</f>
        <v>0</v>
      </c>
      <c r="G518" s="372">
        <f>IF(REKAP!$Q$9=$D518,G$22,0)</f>
        <v>0</v>
      </c>
      <c r="H518" s="539"/>
      <c r="I518" s="372">
        <f t="shared" si="66"/>
        <v>0</v>
      </c>
      <c r="J518" s="372"/>
      <c r="K518" s="372">
        <f>'RAB Pasang'!K518*60%</f>
        <v>777600</v>
      </c>
      <c r="L518" s="387">
        <f t="shared" si="67"/>
        <v>0</v>
      </c>
      <c r="M518" s="387">
        <f t="shared" si="68"/>
        <v>0</v>
      </c>
      <c r="N518" s="422">
        <f t="shared" si="69"/>
        <v>0</v>
      </c>
    </row>
    <row r="519" spans="1:14" ht="13.2" customHeight="1" x14ac:dyDescent="0.3">
      <c r="A519" s="401"/>
      <c r="B519" s="402"/>
      <c r="C519" s="371" t="s">
        <v>652</v>
      </c>
      <c r="D519" s="371" t="s">
        <v>622</v>
      </c>
      <c r="E519" s="367" t="s">
        <v>235</v>
      </c>
      <c r="F519" s="372">
        <f>IF(REKAP!$Q$9=$D519,F$22,0)</f>
        <v>0</v>
      </c>
      <c r="G519" s="372">
        <f>IF(REKAP!$Q$9=$D519,G$22,0)</f>
        <v>0</v>
      </c>
      <c r="H519" s="539"/>
      <c r="I519" s="372">
        <f t="shared" si="66"/>
        <v>0</v>
      </c>
      <c r="J519" s="372"/>
      <c r="K519" s="372">
        <f>'RAB Pasang'!K519*60%</f>
        <v>1009800</v>
      </c>
      <c r="L519" s="387">
        <f t="shared" si="67"/>
        <v>0</v>
      </c>
      <c r="M519" s="387">
        <f t="shared" si="68"/>
        <v>0</v>
      </c>
      <c r="N519" s="422">
        <f t="shared" si="69"/>
        <v>0</v>
      </c>
    </row>
    <row r="520" spans="1:14" ht="13.2" customHeight="1" x14ac:dyDescent="0.3">
      <c r="A520" s="401"/>
      <c r="B520" s="402"/>
      <c r="C520" s="371" t="s">
        <v>652</v>
      </c>
      <c r="D520" s="371" t="s">
        <v>623</v>
      </c>
      <c r="E520" s="367" t="s">
        <v>235</v>
      </c>
      <c r="F520" s="372">
        <f>IF(REKAP!$Q$9=$D520,F$22,0)</f>
        <v>0</v>
      </c>
      <c r="G520" s="372">
        <f>IF(REKAP!$Q$9=$D520,G$22,0)</f>
        <v>0</v>
      </c>
      <c r="H520" s="539"/>
      <c r="I520" s="372">
        <f t="shared" si="66"/>
        <v>0</v>
      </c>
      <c r="J520" s="372"/>
      <c r="K520" s="372">
        <f>'RAB Pasang'!K520*60%</f>
        <v>1279800</v>
      </c>
      <c r="L520" s="387">
        <f t="shared" si="67"/>
        <v>0</v>
      </c>
      <c r="M520" s="387">
        <f t="shared" si="68"/>
        <v>0</v>
      </c>
      <c r="N520" s="422">
        <f t="shared" si="69"/>
        <v>0</v>
      </c>
    </row>
    <row r="521" spans="1:14" ht="13.2" customHeight="1" x14ac:dyDescent="0.3">
      <c r="A521" s="401"/>
      <c r="B521" s="402"/>
      <c r="C521" s="371" t="s">
        <v>652</v>
      </c>
      <c r="D521" s="371" t="s">
        <v>628</v>
      </c>
      <c r="E521" s="367" t="s">
        <v>235</v>
      </c>
      <c r="F521" s="372">
        <f>IF(REKAP!$Q$9=$D521,F$22,0)</f>
        <v>0</v>
      </c>
      <c r="G521" s="372">
        <f>IF(REKAP!$Q$9=$D521,G$22,0)</f>
        <v>0</v>
      </c>
      <c r="H521" s="539"/>
      <c r="I521" s="372">
        <f t="shared" si="66"/>
        <v>0</v>
      </c>
      <c r="J521" s="372"/>
      <c r="K521" s="372">
        <f>'RAB Pasang'!K521*60%</f>
        <v>1366200</v>
      </c>
      <c r="L521" s="387">
        <f t="shared" si="67"/>
        <v>0</v>
      </c>
      <c r="M521" s="387">
        <f t="shared" si="68"/>
        <v>0</v>
      </c>
      <c r="N521" s="422">
        <f t="shared" si="69"/>
        <v>0</v>
      </c>
    </row>
    <row r="522" spans="1:14" ht="13.2" customHeight="1" x14ac:dyDescent="0.3">
      <c r="A522" s="401"/>
      <c r="B522" s="402"/>
      <c r="C522" s="371" t="s">
        <v>652</v>
      </c>
      <c r="D522" s="371" t="s">
        <v>629</v>
      </c>
      <c r="E522" s="367" t="s">
        <v>235</v>
      </c>
      <c r="F522" s="372">
        <f>IF(REKAP!$Q$9=$D522,F$22,0)</f>
        <v>0</v>
      </c>
      <c r="G522" s="372">
        <f>IF(REKAP!$Q$9=$D522,G$22,0)</f>
        <v>0</v>
      </c>
      <c r="H522" s="539"/>
      <c r="I522" s="372">
        <f t="shared" si="66"/>
        <v>0</v>
      </c>
      <c r="J522" s="372"/>
      <c r="K522" s="372">
        <f>'RAB Pasang'!K522*60%</f>
        <v>1398600</v>
      </c>
      <c r="L522" s="387">
        <f t="shared" si="67"/>
        <v>0</v>
      </c>
      <c r="M522" s="387">
        <f t="shared" si="68"/>
        <v>0</v>
      </c>
      <c r="N522" s="422">
        <f t="shared" si="69"/>
        <v>0</v>
      </c>
    </row>
    <row r="523" spans="1:14" ht="13.2" customHeight="1" x14ac:dyDescent="0.3">
      <c r="A523" s="401"/>
      <c r="B523" s="402"/>
      <c r="C523" s="371" t="s">
        <v>652</v>
      </c>
      <c r="D523" s="371" t="s">
        <v>624</v>
      </c>
      <c r="E523" s="367" t="s">
        <v>235</v>
      </c>
      <c r="F523" s="372">
        <f>IF(REKAP!$Q$9=$D523,F$22,0)</f>
        <v>0</v>
      </c>
      <c r="G523" s="372">
        <f>IF(REKAP!$Q$9=$D523,G$22,0)</f>
        <v>0</v>
      </c>
      <c r="H523" s="539"/>
      <c r="I523" s="372">
        <f t="shared" si="66"/>
        <v>0</v>
      </c>
      <c r="J523" s="372"/>
      <c r="K523" s="372">
        <f>'RAB Pasang'!K523*60%</f>
        <v>1879200</v>
      </c>
      <c r="L523" s="387">
        <f t="shared" si="67"/>
        <v>0</v>
      </c>
      <c r="M523" s="387">
        <f t="shared" si="68"/>
        <v>0</v>
      </c>
      <c r="N523" s="422">
        <f t="shared" si="69"/>
        <v>0</v>
      </c>
    </row>
    <row r="524" spans="1:14" ht="13.2" customHeight="1" x14ac:dyDescent="0.3">
      <c r="A524" s="401"/>
      <c r="B524" s="402"/>
      <c r="C524" s="371" t="s">
        <v>652</v>
      </c>
      <c r="D524" s="371" t="s">
        <v>625</v>
      </c>
      <c r="E524" s="367" t="s">
        <v>235</v>
      </c>
      <c r="F524" s="372">
        <f>IF(REKAP!$Q$9=$D524,F$22,0)</f>
        <v>0</v>
      </c>
      <c r="G524" s="372">
        <f>IF(REKAP!$Q$9=$D524,G$22,0)</f>
        <v>0</v>
      </c>
      <c r="H524" s="539"/>
      <c r="I524" s="372">
        <f t="shared" si="66"/>
        <v>0</v>
      </c>
      <c r="J524" s="372"/>
      <c r="K524" s="372">
        <f>'RAB Pasang'!K524*60%</f>
        <v>2262600</v>
      </c>
      <c r="L524" s="387">
        <f t="shared" si="67"/>
        <v>0</v>
      </c>
      <c r="M524" s="387">
        <f t="shared" si="68"/>
        <v>0</v>
      </c>
      <c r="N524" s="422">
        <f t="shared" si="69"/>
        <v>0</v>
      </c>
    </row>
    <row r="525" spans="1:14" ht="13.2" customHeight="1" x14ac:dyDescent="0.3">
      <c r="A525" s="401"/>
      <c r="B525" s="402"/>
      <c r="C525" s="371" t="s">
        <v>652</v>
      </c>
      <c r="D525" s="371" t="s">
        <v>626</v>
      </c>
      <c r="E525" s="367" t="s">
        <v>235</v>
      </c>
      <c r="F525" s="372">
        <f>IF(REKAP!$Q$9=$D525,F$22,0)</f>
        <v>0</v>
      </c>
      <c r="G525" s="372">
        <f>IF(REKAP!$Q$9=$D525,G$22,0)</f>
        <v>0</v>
      </c>
      <c r="H525" s="539"/>
      <c r="I525" s="372">
        <f t="shared" si="66"/>
        <v>0</v>
      </c>
      <c r="J525" s="372"/>
      <c r="K525" s="372">
        <f>'RAB Pasang'!K525*60%</f>
        <v>3277800</v>
      </c>
      <c r="L525" s="387">
        <f t="shared" si="67"/>
        <v>0</v>
      </c>
      <c r="M525" s="387">
        <f t="shared" si="68"/>
        <v>0</v>
      </c>
      <c r="N525" s="422">
        <f t="shared" si="69"/>
        <v>0</v>
      </c>
    </row>
    <row r="526" spans="1:14" ht="13.2" customHeight="1" x14ac:dyDescent="0.3">
      <c r="A526" s="410"/>
      <c r="B526" s="533"/>
      <c r="C526" s="390" t="s">
        <v>652</v>
      </c>
      <c r="D526" s="390" t="s">
        <v>627</v>
      </c>
      <c r="E526" s="391" t="s">
        <v>235</v>
      </c>
      <c r="F526" s="409">
        <f>IF(REKAP!$Q$9=$D526,F$22,0)</f>
        <v>0</v>
      </c>
      <c r="G526" s="409">
        <f>IF(REKAP!$Q$9=$D526,G$22,0)</f>
        <v>0</v>
      </c>
      <c r="H526" s="577"/>
      <c r="I526" s="409">
        <f t="shared" si="66"/>
        <v>0</v>
      </c>
      <c r="J526" s="409"/>
      <c r="K526" s="409">
        <f>'RAB Pasang'!K526*60%</f>
        <v>4725000</v>
      </c>
      <c r="L526" s="471">
        <f t="shared" si="67"/>
        <v>0</v>
      </c>
      <c r="M526" s="471">
        <f t="shared" si="68"/>
        <v>0</v>
      </c>
      <c r="N526" s="472">
        <f t="shared" si="69"/>
        <v>0</v>
      </c>
    </row>
    <row r="527" spans="1:14" ht="13.2" customHeight="1" x14ac:dyDescent="0.3">
      <c r="A527" s="530">
        <v>10</v>
      </c>
      <c r="B527" s="411" t="s">
        <v>1578</v>
      </c>
      <c r="C527" s="362"/>
      <c r="D527" s="362"/>
      <c r="E527" s="368"/>
      <c r="F527" s="535"/>
      <c r="G527" s="535"/>
      <c r="H527" s="535"/>
      <c r="I527" s="369">
        <f t="shared" ref="I527:I537" si="70">SUM(F527:H527)</f>
        <v>0</v>
      </c>
      <c r="J527" s="369"/>
      <c r="K527" s="369"/>
      <c r="L527" s="385">
        <f t="shared" ref="L527:L537" si="71">J527*I527</f>
        <v>0</v>
      </c>
      <c r="M527" s="385">
        <f t="shared" ref="M527:M537" si="72">K527*I527</f>
        <v>0</v>
      </c>
      <c r="N527" s="388">
        <f t="shared" ref="N527:N537" si="73">SUM(L527:M527)</f>
        <v>0</v>
      </c>
    </row>
    <row r="528" spans="1:14" ht="13.2" customHeight="1" x14ac:dyDescent="0.3">
      <c r="A528" s="401"/>
      <c r="B528" s="402" t="s">
        <v>1828</v>
      </c>
      <c r="C528" s="371" t="s">
        <v>650</v>
      </c>
      <c r="D528" s="371" t="s">
        <v>620</v>
      </c>
      <c r="E528" s="367" t="s">
        <v>235</v>
      </c>
      <c r="F528" s="372">
        <f>IF(REKAP!$Q$9="Kota Kupang",F$23,0)</f>
        <v>0</v>
      </c>
      <c r="G528" s="372">
        <f>IF(REKAP!$Q$9="Kota Kupang",G$23,0)</f>
        <v>0</v>
      </c>
      <c r="H528" s="539"/>
      <c r="I528" s="372">
        <f t="shared" si="70"/>
        <v>0</v>
      </c>
      <c r="J528" s="372"/>
      <c r="K528" s="372">
        <f>'RAB Pasang'!K528*60%</f>
        <v>707400</v>
      </c>
      <c r="L528" s="387">
        <f t="shared" si="71"/>
        <v>0</v>
      </c>
      <c r="M528" s="387">
        <f t="shared" si="72"/>
        <v>0</v>
      </c>
      <c r="N528" s="422">
        <f t="shared" si="73"/>
        <v>0</v>
      </c>
    </row>
    <row r="529" spans="1:14" ht="13.2" customHeight="1" x14ac:dyDescent="0.3">
      <c r="A529" s="401"/>
      <c r="B529" s="402"/>
      <c r="C529" s="371" t="s">
        <v>652</v>
      </c>
      <c r="D529" s="371" t="s">
        <v>621</v>
      </c>
      <c r="E529" s="367" t="s">
        <v>235</v>
      </c>
      <c r="F529" s="372">
        <f>IF(REKAP!$Q$9=$D529,F$23,0)</f>
        <v>0</v>
      </c>
      <c r="G529" s="372">
        <f>IF(REKAP!$Q$9=$D529,G$23,0)</f>
        <v>0</v>
      </c>
      <c r="H529" s="539"/>
      <c r="I529" s="372">
        <f t="shared" si="70"/>
        <v>0</v>
      </c>
      <c r="J529" s="372"/>
      <c r="K529" s="372">
        <f>'RAB Pasang'!K529*60%</f>
        <v>831600</v>
      </c>
      <c r="L529" s="387">
        <f t="shared" si="71"/>
        <v>0</v>
      </c>
      <c r="M529" s="387">
        <f t="shared" si="72"/>
        <v>0</v>
      </c>
      <c r="N529" s="422">
        <f t="shared" si="73"/>
        <v>0</v>
      </c>
    </row>
    <row r="530" spans="1:14" ht="13.2" customHeight="1" x14ac:dyDescent="0.3">
      <c r="A530" s="401"/>
      <c r="B530" s="402"/>
      <c r="C530" s="371" t="s">
        <v>652</v>
      </c>
      <c r="D530" s="371" t="s">
        <v>622</v>
      </c>
      <c r="E530" s="367" t="s">
        <v>235</v>
      </c>
      <c r="F530" s="372">
        <f>IF(REKAP!$Q$9=$D530,F$23,0)</f>
        <v>0</v>
      </c>
      <c r="G530" s="372">
        <f>IF(REKAP!$Q$9=$D530,G$23,0)</f>
        <v>0</v>
      </c>
      <c r="H530" s="539"/>
      <c r="I530" s="372">
        <f t="shared" si="70"/>
        <v>0</v>
      </c>
      <c r="J530" s="372"/>
      <c r="K530" s="372">
        <f>'RAB Pasang'!K530*60%</f>
        <v>1096200</v>
      </c>
      <c r="L530" s="387">
        <f t="shared" si="71"/>
        <v>0</v>
      </c>
      <c r="M530" s="387">
        <f t="shared" si="72"/>
        <v>0</v>
      </c>
      <c r="N530" s="422">
        <f t="shared" si="73"/>
        <v>0</v>
      </c>
    </row>
    <row r="531" spans="1:14" ht="13.2" customHeight="1" x14ac:dyDescent="0.3">
      <c r="A531" s="401"/>
      <c r="B531" s="402"/>
      <c r="C531" s="371" t="s">
        <v>652</v>
      </c>
      <c r="D531" s="371" t="s">
        <v>623</v>
      </c>
      <c r="E531" s="367" t="s">
        <v>235</v>
      </c>
      <c r="F531" s="372">
        <f>IF(REKAP!$Q$9=$D531,F$23,0)</f>
        <v>0</v>
      </c>
      <c r="G531" s="372">
        <f>IF(REKAP!$Q$9=$D531,G$23,0)</f>
        <v>0</v>
      </c>
      <c r="H531" s="539"/>
      <c r="I531" s="372">
        <f t="shared" si="70"/>
        <v>0</v>
      </c>
      <c r="J531" s="372"/>
      <c r="K531" s="372">
        <f>'RAB Pasang'!K531*60%</f>
        <v>1387800</v>
      </c>
      <c r="L531" s="387">
        <f t="shared" si="71"/>
        <v>0</v>
      </c>
      <c r="M531" s="387">
        <f t="shared" si="72"/>
        <v>0</v>
      </c>
      <c r="N531" s="422">
        <f t="shared" si="73"/>
        <v>0</v>
      </c>
    </row>
    <row r="532" spans="1:14" ht="13.2" customHeight="1" x14ac:dyDescent="0.3">
      <c r="A532" s="401"/>
      <c r="B532" s="402"/>
      <c r="C532" s="371" t="s">
        <v>652</v>
      </c>
      <c r="D532" s="371" t="s">
        <v>628</v>
      </c>
      <c r="E532" s="367" t="s">
        <v>235</v>
      </c>
      <c r="F532" s="372">
        <f>IF(REKAP!$Q$9=$D532,F$23,0)</f>
        <v>0</v>
      </c>
      <c r="G532" s="372">
        <f>IF(REKAP!$Q$9=$D532,G$23,0)</f>
        <v>0</v>
      </c>
      <c r="H532" s="539"/>
      <c r="I532" s="372">
        <f t="shared" si="70"/>
        <v>0</v>
      </c>
      <c r="J532" s="372"/>
      <c r="K532" s="372">
        <f>'RAB Pasang'!K532*60%</f>
        <v>1490400</v>
      </c>
      <c r="L532" s="387">
        <f t="shared" si="71"/>
        <v>0</v>
      </c>
      <c r="M532" s="387">
        <f t="shared" si="72"/>
        <v>0</v>
      </c>
      <c r="N532" s="422">
        <f t="shared" si="73"/>
        <v>0</v>
      </c>
    </row>
    <row r="533" spans="1:14" ht="13.2" customHeight="1" x14ac:dyDescent="0.3">
      <c r="A533" s="401"/>
      <c r="B533" s="402"/>
      <c r="C533" s="371" t="s">
        <v>652</v>
      </c>
      <c r="D533" s="371" t="s">
        <v>629</v>
      </c>
      <c r="E533" s="367" t="s">
        <v>235</v>
      </c>
      <c r="F533" s="372">
        <f>IF(REKAP!$Q$9=$D533,F$23,0)</f>
        <v>0</v>
      </c>
      <c r="G533" s="372">
        <f>IF(REKAP!$Q$9=$D533,G$23,0)</f>
        <v>0</v>
      </c>
      <c r="H533" s="539"/>
      <c r="I533" s="372">
        <f t="shared" si="70"/>
        <v>0</v>
      </c>
      <c r="J533" s="372"/>
      <c r="K533" s="372">
        <f>'RAB Pasang'!K533*60%</f>
        <v>1528200</v>
      </c>
      <c r="L533" s="387">
        <f t="shared" si="71"/>
        <v>0</v>
      </c>
      <c r="M533" s="387">
        <f t="shared" si="72"/>
        <v>0</v>
      </c>
      <c r="N533" s="422">
        <f t="shared" si="73"/>
        <v>0</v>
      </c>
    </row>
    <row r="534" spans="1:14" ht="13.2" customHeight="1" x14ac:dyDescent="0.3">
      <c r="A534" s="401"/>
      <c r="B534" s="402"/>
      <c r="C534" s="371" t="s">
        <v>652</v>
      </c>
      <c r="D534" s="371" t="s">
        <v>624</v>
      </c>
      <c r="E534" s="367" t="s">
        <v>235</v>
      </c>
      <c r="F534" s="372">
        <f>IF(REKAP!$Q$9=$D534,F$23,0)</f>
        <v>0</v>
      </c>
      <c r="G534" s="372">
        <f>IF(REKAP!$Q$9=$D534,G$23,0)</f>
        <v>0</v>
      </c>
      <c r="H534" s="539"/>
      <c r="I534" s="372">
        <f t="shared" si="70"/>
        <v>0</v>
      </c>
      <c r="J534" s="372"/>
      <c r="K534" s="372">
        <f>'RAB Pasang'!K534*60%</f>
        <v>2062800</v>
      </c>
      <c r="L534" s="387">
        <f t="shared" si="71"/>
        <v>0</v>
      </c>
      <c r="M534" s="387">
        <f t="shared" si="72"/>
        <v>0</v>
      </c>
      <c r="N534" s="422">
        <f t="shared" si="73"/>
        <v>0</v>
      </c>
    </row>
    <row r="535" spans="1:14" ht="13.2" customHeight="1" x14ac:dyDescent="0.3">
      <c r="A535" s="401"/>
      <c r="B535" s="402"/>
      <c r="C535" s="371" t="s">
        <v>652</v>
      </c>
      <c r="D535" s="371" t="s">
        <v>625</v>
      </c>
      <c r="E535" s="367" t="s">
        <v>235</v>
      </c>
      <c r="F535" s="372">
        <f>IF(REKAP!$Q$9=$D535,F$23,0)</f>
        <v>0</v>
      </c>
      <c r="G535" s="372">
        <f>IF(REKAP!$Q$9=$D535,G$23,0)</f>
        <v>0</v>
      </c>
      <c r="H535" s="539"/>
      <c r="I535" s="372">
        <f t="shared" si="70"/>
        <v>0</v>
      </c>
      <c r="J535" s="372"/>
      <c r="K535" s="372">
        <f>'RAB Pasang'!K535*60%</f>
        <v>2521800</v>
      </c>
      <c r="L535" s="387">
        <f t="shared" si="71"/>
        <v>0</v>
      </c>
      <c r="M535" s="387">
        <f t="shared" si="72"/>
        <v>0</v>
      </c>
      <c r="N535" s="422">
        <f t="shared" si="73"/>
        <v>0</v>
      </c>
    </row>
    <row r="536" spans="1:14" ht="13.2" customHeight="1" x14ac:dyDescent="0.3">
      <c r="A536" s="401"/>
      <c r="B536" s="402"/>
      <c r="C536" s="371" t="s">
        <v>652</v>
      </c>
      <c r="D536" s="371" t="s">
        <v>626</v>
      </c>
      <c r="E536" s="367" t="s">
        <v>235</v>
      </c>
      <c r="F536" s="372">
        <f>IF(REKAP!$Q$9=$D536,F$23,0)</f>
        <v>0</v>
      </c>
      <c r="G536" s="372">
        <f>IF(REKAP!$Q$9=$D536,G$23,0)</f>
        <v>0</v>
      </c>
      <c r="H536" s="539"/>
      <c r="I536" s="372">
        <f t="shared" si="70"/>
        <v>0</v>
      </c>
      <c r="J536" s="372"/>
      <c r="K536" s="372">
        <f>'RAB Pasang'!K536*60%</f>
        <v>3369600</v>
      </c>
      <c r="L536" s="387">
        <f t="shared" si="71"/>
        <v>0</v>
      </c>
      <c r="M536" s="387">
        <f t="shared" si="72"/>
        <v>0</v>
      </c>
      <c r="N536" s="422">
        <f t="shared" si="73"/>
        <v>0</v>
      </c>
    </row>
    <row r="537" spans="1:14" ht="13.2" customHeight="1" x14ac:dyDescent="0.3">
      <c r="A537" s="401"/>
      <c r="B537" s="402"/>
      <c r="C537" s="373" t="s">
        <v>652</v>
      </c>
      <c r="D537" s="373" t="s">
        <v>627</v>
      </c>
      <c r="E537" s="374" t="s">
        <v>235</v>
      </c>
      <c r="F537" s="409">
        <f>IF(REKAP!$Q$9=$D537,F$23,0)</f>
        <v>0</v>
      </c>
      <c r="G537" s="409">
        <f>IF(REKAP!$Q$9=$D537,G$23,0)</f>
        <v>0</v>
      </c>
      <c r="H537" s="571"/>
      <c r="I537" s="375">
        <f t="shared" si="70"/>
        <v>0</v>
      </c>
      <c r="J537" s="375"/>
      <c r="K537" s="372">
        <f>'RAB Pasang'!K537*60%</f>
        <v>5005800</v>
      </c>
      <c r="L537" s="399">
        <f t="shared" si="71"/>
        <v>0</v>
      </c>
      <c r="M537" s="399">
        <f t="shared" si="72"/>
        <v>0</v>
      </c>
      <c r="N537" s="400">
        <f t="shared" si="73"/>
        <v>0</v>
      </c>
    </row>
    <row r="538" spans="1:14" ht="13.2" customHeight="1" x14ac:dyDescent="0.3">
      <c r="A538" s="412">
        <v>15</v>
      </c>
      <c r="B538" s="413" t="s">
        <v>665</v>
      </c>
      <c r="C538" s="414"/>
      <c r="D538" s="414"/>
      <c r="E538" s="415" t="s">
        <v>642</v>
      </c>
      <c r="F538" s="567"/>
      <c r="G538" s="567"/>
      <c r="H538" s="567"/>
      <c r="I538" s="463">
        <f t="shared" si="62"/>
        <v>0</v>
      </c>
      <c r="J538" s="416"/>
      <c r="K538" s="416"/>
      <c r="L538" s="377">
        <f t="shared" si="63"/>
        <v>0</v>
      </c>
      <c r="M538" s="377">
        <f t="shared" si="64"/>
        <v>0</v>
      </c>
      <c r="N538" s="464">
        <f t="shared" si="65"/>
        <v>0</v>
      </c>
    </row>
    <row r="539" spans="1:14" ht="13.2" customHeight="1" x14ac:dyDescent="0.3">
      <c r="A539" s="485"/>
      <c r="B539" s="486" t="s">
        <v>666</v>
      </c>
      <c r="C539" s="487"/>
      <c r="D539" s="487"/>
      <c r="E539" s="488"/>
      <c r="F539" s="540"/>
      <c r="G539" s="540"/>
      <c r="H539" s="540"/>
      <c r="I539" s="489"/>
      <c r="J539" s="492"/>
      <c r="K539" s="492"/>
      <c r="L539" s="490">
        <f>SUM(L268:L538)</f>
        <v>0</v>
      </c>
      <c r="M539" s="490">
        <f>SUM(M268:M538)</f>
        <v>0</v>
      </c>
      <c r="N539" s="491">
        <f>SUM(N268:N538)</f>
        <v>0</v>
      </c>
    </row>
    <row r="540" spans="1:14" ht="7.2" customHeight="1" x14ac:dyDescent="0.3">
      <c r="A540" s="392"/>
      <c r="B540" s="393"/>
      <c r="C540" s="394"/>
      <c r="D540" s="394"/>
      <c r="E540" s="395"/>
      <c r="F540" s="563"/>
      <c r="G540" s="563"/>
      <c r="H540" s="563"/>
      <c r="I540" s="467"/>
      <c r="J540" s="417"/>
      <c r="K540" s="417"/>
      <c r="L540" s="383"/>
      <c r="M540" s="383"/>
      <c r="N540" s="396"/>
    </row>
    <row r="541" spans="1:14" ht="13.95" customHeight="1" x14ac:dyDescent="0.3">
      <c r="A541" s="477" t="s">
        <v>609</v>
      </c>
      <c r="B541" s="478" t="s">
        <v>667</v>
      </c>
      <c r="C541" s="479"/>
      <c r="D541" s="480"/>
      <c r="E541" s="493"/>
      <c r="F541" s="568"/>
      <c r="G541" s="568"/>
      <c r="H541" s="568"/>
      <c r="I541" s="483"/>
      <c r="J541" s="494"/>
      <c r="K541" s="494"/>
      <c r="L541" s="481"/>
      <c r="M541" s="481"/>
      <c r="N541" s="482"/>
    </row>
    <row r="542" spans="1:14" ht="13.95" customHeight="1" x14ac:dyDescent="0.3">
      <c r="A542" s="360" t="s">
        <v>1447</v>
      </c>
      <c r="B542" s="411" t="s">
        <v>1476</v>
      </c>
      <c r="C542" s="361"/>
      <c r="D542" s="362"/>
      <c r="E542" s="367"/>
      <c r="F542" s="529"/>
      <c r="G542" s="529"/>
      <c r="H542" s="529"/>
      <c r="I542" s="461"/>
      <c r="J542" s="369"/>
      <c r="K542" s="369"/>
      <c r="L542" s="363"/>
      <c r="M542" s="363"/>
      <c r="N542" s="364"/>
    </row>
    <row r="543" spans="1:14" ht="13.2" customHeight="1" x14ac:dyDescent="0.3">
      <c r="A543" s="365">
        <v>1</v>
      </c>
      <c r="B543" s="376" t="s">
        <v>668</v>
      </c>
      <c r="C543" s="361"/>
      <c r="D543" s="362"/>
      <c r="E543" s="367" t="s">
        <v>399</v>
      </c>
      <c r="F543" s="538"/>
      <c r="G543" s="538"/>
      <c r="H543" s="535"/>
      <c r="I543" s="369">
        <f t="shared" ref="I543:I606" si="74">SUM(F543:H543)</f>
        <v>0</v>
      </c>
      <c r="J543" s="369"/>
      <c r="K543" s="369">
        <f>'RAB Pasang'!K543*60%</f>
        <v>218898</v>
      </c>
      <c r="L543" s="369">
        <f t="shared" ref="L543:L606" si="75">J543*I543</f>
        <v>0</v>
      </c>
      <c r="M543" s="369">
        <f t="shared" ref="M543:M606" si="76">K543*I543</f>
        <v>0</v>
      </c>
      <c r="N543" s="459">
        <f t="shared" ref="N543:N606" si="77">SUM(L543:M543)</f>
        <v>0</v>
      </c>
    </row>
    <row r="544" spans="1:14" ht="13.2" customHeight="1" x14ac:dyDescent="0.3">
      <c r="A544" s="365">
        <f>A543+1</f>
        <v>2</v>
      </c>
      <c r="B544" s="376" t="s">
        <v>669</v>
      </c>
      <c r="C544" s="361"/>
      <c r="D544" s="362"/>
      <c r="E544" s="367" t="s">
        <v>399</v>
      </c>
      <c r="F544" s="535"/>
      <c r="G544" s="535"/>
      <c r="H544" s="538"/>
      <c r="I544" s="369">
        <f t="shared" si="74"/>
        <v>0</v>
      </c>
      <c r="J544" s="369"/>
      <c r="K544" s="369">
        <f>'RAB Pasang'!K544*60%</f>
        <v>317478</v>
      </c>
      <c r="L544" s="369">
        <f t="shared" si="75"/>
        <v>0</v>
      </c>
      <c r="M544" s="369">
        <f t="shared" si="76"/>
        <v>0</v>
      </c>
      <c r="N544" s="459">
        <f t="shared" si="77"/>
        <v>0</v>
      </c>
    </row>
    <row r="545" spans="1:14" ht="13.2" customHeight="1" x14ac:dyDescent="0.3">
      <c r="A545" s="365">
        <f t="shared" ref="A545:A608" si="78">A544+1</f>
        <v>3</v>
      </c>
      <c r="B545" s="376" t="s">
        <v>670</v>
      </c>
      <c r="C545" s="361"/>
      <c r="D545" s="362"/>
      <c r="E545" s="367" t="s">
        <v>399</v>
      </c>
      <c r="F545" s="535"/>
      <c r="G545" s="535"/>
      <c r="H545" s="538"/>
      <c r="I545" s="369">
        <f t="shared" si="74"/>
        <v>0</v>
      </c>
      <c r="J545" s="369"/>
      <c r="K545" s="369">
        <f>'RAB Pasang'!K545*60%</f>
        <v>317478</v>
      </c>
      <c r="L545" s="369">
        <f t="shared" si="75"/>
        <v>0</v>
      </c>
      <c r="M545" s="369">
        <f t="shared" si="76"/>
        <v>0</v>
      </c>
      <c r="N545" s="459">
        <f t="shared" si="77"/>
        <v>0</v>
      </c>
    </row>
    <row r="546" spans="1:14" ht="13.2" customHeight="1" x14ac:dyDescent="0.3">
      <c r="A546" s="365">
        <f t="shared" si="78"/>
        <v>4</v>
      </c>
      <c r="B546" s="376" t="s">
        <v>671</v>
      </c>
      <c r="C546" s="361"/>
      <c r="D546" s="362"/>
      <c r="E546" s="367" t="s">
        <v>399</v>
      </c>
      <c r="F546" s="535"/>
      <c r="G546" s="535"/>
      <c r="H546" s="538"/>
      <c r="I546" s="369">
        <f t="shared" si="74"/>
        <v>0</v>
      </c>
      <c r="J546" s="369"/>
      <c r="K546" s="369">
        <f>'RAB Pasang'!K546*60%</f>
        <v>317478</v>
      </c>
      <c r="L546" s="369">
        <f t="shared" si="75"/>
        <v>0</v>
      </c>
      <c r="M546" s="369">
        <f t="shared" si="76"/>
        <v>0</v>
      </c>
      <c r="N546" s="459">
        <f t="shared" si="77"/>
        <v>0</v>
      </c>
    </row>
    <row r="547" spans="1:14" ht="13.2" customHeight="1" x14ac:dyDescent="0.3">
      <c r="A547" s="365">
        <f t="shared" si="78"/>
        <v>5</v>
      </c>
      <c r="B547" s="376" t="s">
        <v>672</v>
      </c>
      <c r="C547" s="361"/>
      <c r="D547" s="362"/>
      <c r="E547" s="367" t="s">
        <v>399</v>
      </c>
      <c r="F547" s="535"/>
      <c r="G547" s="535"/>
      <c r="H547" s="538"/>
      <c r="I547" s="369">
        <f t="shared" si="74"/>
        <v>0</v>
      </c>
      <c r="J547" s="369"/>
      <c r="K547" s="369">
        <f>'RAB Pasang'!K547*60%</f>
        <v>317478</v>
      </c>
      <c r="L547" s="369">
        <f t="shared" si="75"/>
        <v>0</v>
      </c>
      <c r="M547" s="369">
        <f t="shared" si="76"/>
        <v>0</v>
      </c>
      <c r="N547" s="459">
        <f t="shared" si="77"/>
        <v>0</v>
      </c>
    </row>
    <row r="548" spans="1:14" ht="13.2" customHeight="1" x14ac:dyDescent="0.3">
      <c r="A548" s="365">
        <f t="shared" si="78"/>
        <v>6</v>
      </c>
      <c r="B548" s="376" t="s">
        <v>888</v>
      </c>
      <c r="C548" s="361"/>
      <c r="D548" s="362"/>
      <c r="E548" s="367" t="s">
        <v>399</v>
      </c>
      <c r="F548" s="538"/>
      <c r="G548" s="538"/>
      <c r="H548" s="535"/>
      <c r="I548" s="369">
        <f t="shared" si="74"/>
        <v>0</v>
      </c>
      <c r="J548" s="369"/>
      <c r="K548" s="369">
        <f>'RAB Pasang'!K548*60%</f>
        <v>175116</v>
      </c>
      <c r="L548" s="369">
        <f t="shared" si="75"/>
        <v>0</v>
      </c>
      <c r="M548" s="369">
        <f t="shared" si="76"/>
        <v>0</v>
      </c>
      <c r="N548" s="459">
        <f t="shared" si="77"/>
        <v>0</v>
      </c>
    </row>
    <row r="549" spans="1:14" ht="13.2" customHeight="1" x14ac:dyDescent="0.3">
      <c r="A549" s="365">
        <f t="shared" si="78"/>
        <v>7</v>
      </c>
      <c r="B549" s="376" t="s">
        <v>673</v>
      </c>
      <c r="C549" s="371"/>
      <c r="D549" s="371"/>
      <c r="E549" s="367" t="s">
        <v>399</v>
      </c>
      <c r="F549" s="539"/>
      <c r="G549" s="539"/>
      <c r="H549" s="527"/>
      <c r="I549" s="372">
        <f t="shared" si="74"/>
        <v>0</v>
      </c>
      <c r="J549" s="372"/>
      <c r="K549" s="372">
        <f>'RAB Pasang'!K549*60%</f>
        <v>218898</v>
      </c>
      <c r="L549" s="369">
        <f t="shared" si="75"/>
        <v>0</v>
      </c>
      <c r="M549" s="369">
        <f t="shared" si="76"/>
        <v>0</v>
      </c>
      <c r="N549" s="459">
        <f t="shared" si="77"/>
        <v>0</v>
      </c>
    </row>
    <row r="550" spans="1:14" ht="13.2" customHeight="1" x14ac:dyDescent="0.3">
      <c r="A550" s="365">
        <f t="shared" si="78"/>
        <v>8</v>
      </c>
      <c r="B550" s="376" t="s">
        <v>674</v>
      </c>
      <c r="C550" s="371"/>
      <c r="D550" s="371"/>
      <c r="E550" s="367" t="s">
        <v>399</v>
      </c>
      <c r="F550" s="539"/>
      <c r="G550" s="539"/>
      <c r="H550" s="527"/>
      <c r="I550" s="372">
        <f t="shared" si="74"/>
        <v>0</v>
      </c>
      <c r="J550" s="372"/>
      <c r="K550" s="372">
        <f>'RAB Pasang'!K550*60%</f>
        <v>218898</v>
      </c>
      <c r="L550" s="369">
        <f t="shared" si="75"/>
        <v>0</v>
      </c>
      <c r="M550" s="369">
        <f t="shared" si="76"/>
        <v>0</v>
      </c>
      <c r="N550" s="459">
        <f t="shared" si="77"/>
        <v>0</v>
      </c>
    </row>
    <row r="551" spans="1:14" ht="13.2" customHeight="1" x14ac:dyDescent="0.3">
      <c r="A551" s="365">
        <f t="shared" si="78"/>
        <v>9</v>
      </c>
      <c r="B551" s="376" t="s">
        <v>675</v>
      </c>
      <c r="C551" s="371"/>
      <c r="D551" s="371"/>
      <c r="E551" s="367" t="s">
        <v>399</v>
      </c>
      <c r="F551" s="539"/>
      <c r="G551" s="539"/>
      <c r="H551" s="527"/>
      <c r="I551" s="372">
        <f t="shared" si="74"/>
        <v>0</v>
      </c>
      <c r="J551" s="372"/>
      <c r="K551" s="372">
        <f>'RAB Pasang'!K551*60%</f>
        <v>242574</v>
      </c>
      <c r="L551" s="369">
        <f t="shared" si="75"/>
        <v>0</v>
      </c>
      <c r="M551" s="369">
        <f t="shared" si="76"/>
        <v>0</v>
      </c>
      <c r="N551" s="459">
        <f t="shared" si="77"/>
        <v>0</v>
      </c>
    </row>
    <row r="552" spans="1:14" ht="13.2" customHeight="1" x14ac:dyDescent="0.3">
      <c r="A552" s="365">
        <f t="shared" si="78"/>
        <v>10</v>
      </c>
      <c r="B552" s="376" t="s">
        <v>676</v>
      </c>
      <c r="C552" s="371"/>
      <c r="D552" s="371"/>
      <c r="E552" s="367" t="s">
        <v>399</v>
      </c>
      <c r="F552" s="527"/>
      <c r="G552" s="527"/>
      <c r="H552" s="539"/>
      <c r="I552" s="372">
        <f t="shared" si="74"/>
        <v>0</v>
      </c>
      <c r="J552" s="372"/>
      <c r="K552" s="372">
        <f>'RAB Pasang'!K552*60%</f>
        <v>317478</v>
      </c>
      <c r="L552" s="369">
        <f t="shared" si="75"/>
        <v>0</v>
      </c>
      <c r="M552" s="369">
        <f t="shared" si="76"/>
        <v>0</v>
      </c>
      <c r="N552" s="459">
        <f t="shared" si="77"/>
        <v>0</v>
      </c>
    </row>
    <row r="553" spans="1:14" ht="13.2" customHeight="1" x14ac:dyDescent="0.3">
      <c r="A553" s="365">
        <f t="shared" si="78"/>
        <v>11</v>
      </c>
      <c r="B553" s="376" t="s">
        <v>677</v>
      </c>
      <c r="C553" s="361"/>
      <c r="D553" s="362"/>
      <c r="E553" s="367" t="s">
        <v>399</v>
      </c>
      <c r="F553" s="535"/>
      <c r="G553" s="535"/>
      <c r="H553" s="538"/>
      <c r="I553" s="369">
        <f t="shared" si="74"/>
        <v>0</v>
      </c>
      <c r="J553" s="369"/>
      <c r="K553" s="369">
        <f>'RAB Pasang'!K553*60%</f>
        <v>317478</v>
      </c>
      <c r="L553" s="369">
        <f t="shared" si="75"/>
        <v>0</v>
      </c>
      <c r="M553" s="369">
        <f t="shared" si="76"/>
        <v>0</v>
      </c>
      <c r="N553" s="459">
        <f t="shared" si="77"/>
        <v>0</v>
      </c>
    </row>
    <row r="554" spans="1:14" ht="13.2" customHeight="1" x14ac:dyDescent="0.3">
      <c r="A554" s="365">
        <f t="shared" si="78"/>
        <v>12</v>
      </c>
      <c r="B554" s="376" t="s">
        <v>678</v>
      </c>
      <c r="C554" s="361"/>
      <c r="D554" s="362"/>
      <c r="E554" s="367" t="s">
        <v>399</v>
      </c>
      <c r="F554" s="535"/>
      <c r="G554" s="535"/>
      <c r="H554" s="538"/>
      <c r="I554" s="369">
        <f t="shared" si="74"/>
        <v>0</v>
      </c>
      <c r="J554" s="369"/>
      <c r="K554" s="369">
        <f>'RAB Pasang'!K554*60%</f>
        <v>317478</v>
      </c>
      <c r="L554" s="369">
        <f t="shared" si="75"/>
        <v>0</v>
      </c>
      <c r="M554" s="369">
        <f t="shared" si="76"/>
        <v>0</v>
      </c>
      <c r="N554" s="459">
        <f t="shared" si="77"/>
        <v>0</v>
      </c>
    </row>
    <row r="555" spans="1:14" ht="13.2" customHeight="1" x14ac:dyDescent="0.3">
      <c r="A555" s="365">
        <f t="shared" si="78"/>
        <v>13</v>
      </c>
      <c r="B555" s="376" t="s">
        <v>679</v>
      </c>
      <c r="C555" s="361"/>
      <c r="D555" s="362"/>
      <c r="E555" s="367" t="s">
        <v>399</v>
      </c>
      <c r="F555" s="535"/>
      <c r="G555" s="535"/>
      <c r="H555" s="538"/>
      <c r="I555" s="369">
        <f t="shared" si="74"/>
        <v>0</v>
      </c>
      <c r="J555" s="369"/>
      <c r="K555" s="369">
        <f>'RAB Pasang'!K555*60%</f>
        <v>317478</v>
      </c>
      <c r="L555" s="369">
        <f t="shared" si="75"/>
        <v>0</v>
      </c>
      <c r="M555" s="369">
        <f t="shared" si="76"/>
        <v>0</v>
      </c>
      <c r="N555" s="459">
        <f t="shared" si="77"/>
        <v>0</v>
      </c>
    </row>
    <row r="556" spans="1:14" ht="13.2" customHeight="1" x14ac:dyDescent="0.3">
      <c r="A556" s="365">
        <f t="shared" si="78"/>
        <v>14</v>
      </c>
      <c r="B556" s="376" t="s">
        <v>680</v>
      </c>
      <c r="C556" s="361"/>
      <c r="D556" s="362"/>
      <c r="E556" s="367" t="s">
        <v>399</v>
      </c>
      <c r="F556" s="527"/>
      <c r="G556" s="527"/>
      <c r="H556" s="538"/>
      <c r="I556" s="372">
        <f t="shared" si="74"/>
        <v>0</v>
      </c>
      <c r="J556" s="372"/>
      <c r="K556" s="372">
        <f>'RAB Pasang'!K556*60%</f>
        <v>433926</v>
      </c>
      <c r="L556" s="369">
        <f t="shared" si="75"/>
        <v>0</v>
      </c>
      <c r="M556" s="369">
        <f t="shared" si="76"/>
        <v>0</v>
      </c>
      <c r="N556" s="459">
        <f t="shared" si="77"/>
        <v>0</v>
      </c>
    </row>
    <row r="557" spans="1:14" ht="13.2" customHeight="1" x14ac:dyDescent="0.3">
      <c r="A557" s="365">
        <f t="shared" si="78"/>
        <v>15</v>
      </c>
      <c r="B557" s="376" t="s">
        <v>681</v>
      </c>
      <c r="C557" s="361"/>
      <c r="D557" s="362"/>
      <c r="E557" s="367" t="s">
        <v>399</v>
      </c>
      <c r="F557" s="527"/>
      <c r="G557" s="527"/>
      <c r="H557" s="538"/>
      <c r="I557" s="372">
        <f t="shared" si="74"/>
        <v>0</v>
      </c>
      <c r="J557" s="372"/>
      <c r="K557" s="372">
        <f>'RAB Pasang'!K557*60%</f>
        <v>433926</v>
      </c>
      <c r="L557" s="369">
        <f t="shared" si="75"/>
        <v>0</v>
      </c>
      <c r="M557" s="369">
        <f t="shared" si="76"/>
        <v>0</v>
      </c>
      <c r="N557" s="459">
        <f t="shared" si="77"/>
        <v>0</v>
      </c>
    </row>
    <row r="558" spans="1:14" ht="13.2" customHeight="1" x14ac:dyDescent="0.3">
      <c r="A558" s="365">
        <f t="shared" si="78"/>
        <v>16</v>
      </c>
      <c r="B558" s="376" t="s">
        <v>682</v>
      </c>
      <c r="C558" s="361"/>
      <c r="D558" s="362"/>
      <c r="E558" s="367" t="s">
        <v>399</v>
      </c>
      <c r="F558" s="527"/>
      <c r="G558" s="527"/>
      <c r="H558" s="538"/>
      <c r="I558" s="372">
        <f t="shared" si="74"/>
        <v>0</v>
      </c>
      <c r="J558" s="372"/>
      <c r="K558" s="372">
        <f>'RAB Pasang'!K558*60%</f>
        <v>433926</v>
      </c>
      <c r="L558" s="369">
        <f t="shared" si="75"/>
        <v>0</v>
      </c>
      <c r="M558" s="369">
        <f t="shared" si="76"/>
        <v>0</v>
      </c>
      <c r="N558" s="459">
        <f t="shared" si="77"/>
        <v>0</v>
      </c>
    </row>
    <row r="559" spans="1:14" ht="13.2" customHeight="1" x14ac:dyDescent="0.3">
      <c r="A559" s="365">
        <f t="shared" si="78"/>
        <v>17</v>
      </c>
      <c r="B559" s="376" t="s">
        <v>683</v>
      </c>
      <c r="C559" s="361"/>
      <c r="D559" s="362"/>
      <c r="E559" s="367" t="s">
        <v>399</v>
      </c>
      <c r="F559" s="527"/>
      <c r="G559" s="527"/>
      <c r="H559" s="538"/>
      <c r="I559" s="372">
        <f t="shared" si="74"/>
        <v>0</v>
      </c>
      <c r="J559" s="372"/>
      <c r="K559" s="372">
        <f>'RAB Pasang'!K559*60%</f>
        <v>433926</v>
      </c>
      <c r="L559" s="369">
        <f t="shared" si="75"/>
        <v>0</v>
      </c>
      <c r="M559" s="369">
        <f t="shared" si="76"/>
        <v>0</v>
      </c>
      <c r="N559" s="459">
        <f t="shared" si="77"/>
        <v>0</v>
      </c>
    </row>
    <row r="560" spans="1:14" ht="13.2" customHeight="1" x14ac:dyDescent="0.3">
      <c r="A560" s="365">
        <f t="shared" si="78"/>
        <v>18</v>
      </c>
      <c r="B560" s="376" t="s">
        <v>684</v>
      </c>
      <c r="C560" s="361"/>
      <c r="D560" s="362"/>
      <c r="E560" s="367" t="s">
        <v>399</v>
      </c>
      <c r="F560" s="538"/>
      <c r="G560" s="538"/>
      <c r="H560" s="527"/>
      <c r="I560" s="372">
        <f t="shared" si="74"/>
        <v>0</v>
      </c>
      <c r="J560" s="372"/>
      <c r="K560" s="372">
        <f>'RAB Pasang'!K560*60%</f>
        <v>347142</v>
      </c>
      <c r="L560" s="369">
        <f t="shared" si="75"/>
        <v>0</v>
      </c>
      <c r="M560" s="369">
        <f t="shared" si="76"/>
        <v>0</v>
      </c>
      <c r="N560" s="459">
        <f t="shared" si="77"/>
        <v>0</v>
      </c>
    </row>
    <row r="561" spans="1:14" ht="13.2" customHeight="1" x14ac:dyDescent="0.3">
      <c r="A561" s="365">
        <f t="shared" si="78"/>
        <v>19</v>
      </c>
      <c r="B561" s="376" t="s">
        <v>685</v>
      </c>
      <c r="C561" s="361"/>
      <c r="D561" s="362"/>
      <c r="E561" s="367" t="s">
        <v>399</v>
      </c>
      <c r="F561" s="535"/>
      <c r="G561" s="535"/>
      <c r="H561" s="538"/>
      <c r="I561" s="369">
        <f t="shared" si="74"/>
        <v>0</v>
      </c>
      <c r="J561" s="369"/>
      <c r="K561" s="369">
        <f>'RAB Pasang'!K561*60%</f>
        <v>433926</v>
      </c>
      <c r="L561" s="369">
        <f t="shared" si="75"/>
        <v>0</v>
      </c>
      <c r="M561" s="369">
        <f t="shared" si="76"/>
        <v>0</v>
      </c>
      <c r="N561" s="459">
        <f t="shared" si="77"/>
        <v>0</v>
      </c>
    </row>
    <row r="562" spans="1:14" ht="13.2" customHeight="1" x14ac:dyDescent="0.3">
      <c r="A562" s="365">
        <f t="shared" si="78"/>
        <v>20</v>
      </c>
      <c r="B562" s="376" t="s">
        <v>686</v>
      </c>
      <c r="C562" s="361"/>
      <c r="D562" s="362"/>
      <c r="E562" s="367" t="s">
        <v>399</v>
      </c>
      <c r="F562" s="535"/>
      <c r="G562" s="535"/>
      <c r="H562" s="538"/>
      <c r="I562" s="369">
        <f t="shared" si="74"/>
        <v>0</v>
      </c>
      <c r="J562" s="369"/>
      <c r="K562" s="369">
        <f>'RAB Pasang'!K562*60%</f>
        <v>433926</v>
      </c>
      <c r="L562" s="369">
        <f t="shared" si="75"/>
        <v>0</v>
      </c>
      <c r="M562" s="369">
        <f t="shared" si="76"/>
        <v>0</v>
      </c>
      <c r="N562" s="459">
        <f t="shared" si="77"/>
        <v>0</v>
      </c>
    </row>
    <row r="563" spans="1:14" ht="13.2" customHeight="1" x14ac:dyDescent="0.3">
      <c r="A563" s="365">
        <f t="shared" si="78"/>
        <v>21</v>
      </c>
      <c r="B563" s="376" t="s">
        <v>687</v>
      </c>
      <c r="C563" s="361"/>
      <c r="D563" s="362"/>
      <c r="E563" s="367" t="s">
        <v>399</v>
      </c>
      <c r="F563" s="535"/>
      <c r="G563" s="535"/>
      <c r="H563" s="538"/>
      <c r="I563" s="369">
        <f t="shared" si="74"/>
        <v>0</v>
      </c>
      <c r="J563" s="369"/>
      <c r="K563" s="369">
        <f>'RAB Pasang'!K563*60%</f>
        <v>433926</v>
      </c>
      <c r="L563" s="369">
        <f t="shared" si="75"/>
        <v>0</v>
      </c>
      <c r="M563" s="369">
        <f t="shared" si="76"/>
        <v>0</v>
      </c>
      <c r="N563" s="459">
        <f t="shared" si="77"/>
        <v>0</v>
      </c>
    </row>
    <row r="564" spans="1:14" ht="13.2" customHeight="1" x14ac:dyDescent="0.3">
      <c r="A564" s="365">
        <f t="shared" si="78"/>
        <v>22</v>
      </c>
      <c r="B564" s="376" t="s">
        <v>688</v>
      </c>
      <c r="C564" s="371"/>
      <c r="D564" s="371"/>
      <c r="E564" s="367" t="s">
        <v>399</v>
      </c>
      <c r="F564" s="527"/>
      <c r="G564" s="527"/>
      <c r="H564" s="538"/>
      <c r="I564" s="372">
        <f t="shared" si="74"/>
        <v>0</v>
      </c>
      <c r="J564" s="372"/>
      <c r="K564" s="372">
        <f>'RAB Pasang'!K564*60%</f>
        <v>433926</v>
      </c>
      <c r="L564" s="369">
        <f t="shared" si="75"/>
        <v>0</v>
      </c>
      <c r="M564" s="369">
        <f t="shared" si="76"/>
        <v>0</v>
      </c>
      <c r="N564" s="459">
        <f t="shared" si="77"/>
        <v>0</v>
      </c>
    </row>
    <row r="565" spans="1:14" ht="13.2" customHeight="1" x14ac:dyDescent="0.3">
      <c r="A565" s="365">
        <f t="shared" si="78"/>
        <v>23</v>
      </c>
      <c r="B565" s="376" t="s">
        <v>689</v>
      </c>
      <c r="C565" s="371"/>
      <c r="D565" s="371"/>
      <c r="E565" s="367" t="s">
        <v>399</v>
      </c>
      <c r="F565" s="538"/>
      <c r="G565" s="538"/>
      <c r="H565" s="527"/>
      <c r="I565" s="372">
        <f t="shared" si="74"/>
        <v>0</v>
      </c>
      <c r="J565" s="372"/>
      <c r="K565" s="372">
        <f>'RAB Pasang'!K565*60%</f>
        <v>385710</v>
      </c>
      <c r="L565" s="369">
        <f t="shared" si="75"/>
        <v>0</v>
      </c>
      <c r="M565" s="369">
        <f t="shared" si="76"/>
        <v>0</v>
      </c>
      <c r="N565" s="459">
        <f t="shared" si="77"/>
        <v>0</v>
      </c>
    </row>
    <row r="566" spans="1:14" ht="13.2" customHeight="1" x14ac:dyDescent="0.3">
      <c r="A566" s="365">
        <f t="shared" si="78"/>
        <v>24</v>
      </c>
      <c r="B566" s="376" t="s">
        <v>690</v>
      </c>
      <c r="C566" s="371"/>
      <c r="D566" s="371"/>
      <c r="E566" s="367" t="s">
        <v>399</v>
      </c>
      <c r="F566" s="538"/>
      <c r="G566" s="538"/>
      <c r="H566" s="527"/>
      <c r="I566" s="372">
        <f t="shared" si="74"/>
        <v>0</v>
      </c>
      <c r="J566" s="372"/>
      <c r="K566" s="372">
        <f>'RAB Pasang'!K566*60%</f>
        <v>347142</v>
      </c>
      <c r="L566" s="369">
        <f t="shared" si="75"/>
        <v>0</v>
      </c>
      <c r="M566" s="369">
        <f t="shared" si="76"/>
        <v>0</v>
      </c>
      <c r="N566" s="459">
        <f t="shared" si="77"/>
        <v>0</v>
      </c>
    </row>
    <row r="567" spans="1:14" ht="13.2" customHeight="1" x14ac:dyDescent="0.3">
      <c r="A567" s="365">
        <f t="shared" si="78"/>
        <v>25</v>
      </c>
      <c r="B567" s="376" t="s">
        <v>691</v>
      </c>
      <c r="C567" s="371"/>
      <c r="D567" s="371"/>
      <c r="E567" s="367" t="s">
        <v>399</v>
      </c>
      <c r="F567" s="538"/>
      <c r="G567" s="538"/>
      <c r="H567" s="527"/>
      <c r="I567" s="372">
        <f t="shared" si="74"/>
        <v>0</v>
      </c>
      <c r="J567" s="372"/>
      <c r="K567" s="372">
        <f>'RAB Pasang'!K567*60%</f>
        <v>347142</v>
      </c>
      <c r="L567" s="369">
        <f t="shared" si="75"/>
        <v>0</v>
      </c>
      <c r="M567" s="369">
        <f t="shared" si="76"/>
        <v>0</v>
      </c>
      <c r="N567" s="459">
        <f t="shared" si="77"/>
        <v>0</v>
      </c>
    </row>
    <row r="568" spans="1:14" ht="13.2" customHeight="1" x14ac:dyDescent="0.3">
      <c r="A568" s="365">
        <f t="shared" si="78"/>
        <v>26</v>
      </c>
      <c r="B568" s="376" t="s">
        <v>766</v>
      </c>
      <c r="C568" s="371"/>
      <c r="D568" s="371"/>
      <c r="E568" s="367" t="s">
        <v>399</v>
      </c>
      <c r="F568" s="538"/>
      <c r="G568" s="538"/>
      <c r="H568" s="527"/>
      <c r="I568" s="372">
        <f t="shared" si="74"/>
        <v>0</v>
      </c>
      <c r="J568" s="372"/>
      <c r="K568" s="372">
        <f>'RAB Pasang'!K568*60%</f>
        <v>290316</v>
      </c>
      <c r="L568" s="369">
        <f t="shared" si="75"/>
        <v>0</v>
      </c>
      <c r="M568" s="369">
        <f t="shared" si="76"/>
        <v>0</v>
      </c>
      <c r="N568" s="459">
        <f t="shared" si="77"/>
        <v>0</v>
      </c>
    </row>
    <row r="569" spans="1:14" ht="13.2" customHeight="1" x14ac:dyDescent="0.3">
      <c r="A569" s="365">
        <f t="shared" si="78"/>
        <v>27</v>
      </c>
      <c r="B569" s="376" t="s">
        <v>692</v>
      </c>
      <c r="C569" s="361"/>
      <c r="D569" s="362"/>
      <c r="E569" s="367" t="s">
        <v>399</v>
      </c>
      <c r="F569" s="527"/>
      <c r="G569" s="527"/>
      <c r="H569" s="538"/>
      <c r="I569" s="372">
        <f t="shared" si="74"/>
        <v>0</v>
      </c>
      <c r="J569" s="372"/>
      <c r="K569" s="372">
        <f>'RAB Pasang'!K569*60%</f>
        <v>433926</v>
      </c>
      <c r="L569" s="369">
        <f t="shared" si="75"/>
        <v>0</v>
      </c>
      <c r="M569" s="369">
        <f t="shared" si="76"/>
        <v>0</v>
      </c>
      <c r="N569" s="459">
        <f t="shared" si="77"/>
        <v>0</v>
      </c>
    </row>
    <row r="570" spans="1:14" ht="13.2" customHeight="1" x14ac:dyDescent="0.3">
      <c r="A570" s="365">
        <f t="shared" si="78"/>
        <v>28</v>
      </c>
      <c r="B570" s="376" t="s">
        <v>693</v>
      </c>
      <c r="C570" s="361"/>
      <c r="D570" s="362"/>
      <c r="E570" s="367" t="s">
        <v>399</v>
      </c>
      <c r="F570" s="527"/>
      <c r="G570" s="527"/>
      <c r="H570" s="538"/>
      <c r="I570" s="372">
        <f t="shared" si="74"/>
        <v>0</v>
      </c>
      <c r="J570" s="372"/>
      <c r="K570" s="372">
        <f>'RAB Pasang'!K570*60%</f>
        <v>433926</v>
      </c>
      <c r="L570" s="369">
        <f t="shared" si="75"/>
        <v>0</v>
      </c>
      <c r="M570" s="369">
        <f t="shared" si="76"/>
        <v>0</v>
      </c>
      <c r="N570" s="459">
        <f t="shared" si="77"/>
        <v>0</v>
      </c>
    </row>
    <row r="571" spans="1:14" ht="13.2" customHeight="1" x14ac:dyDescent="0.3">
      <c r="A571" s="365">
        <f t="shared" si="78"/>
        <v>29</v>
      </c>
      <c r="B571" s="376" t="s">
        <v>694</v>
      </c>
      <c r="C571" s="361"/>
      <c r="D571" s="362"/>
      <c r="E571" s="367" t="s">
        <v>399</v>
      </c>
      <c r="F571" s="527"/>
      <c r="G571" s="527"/>
      <c r="H571" s="538"/>
      <c r="I571" s="372">
        <f t="shared" si="74"/>
        <v>0</v>
      </c>
      <c r="J571" s="372"/>
      <c r="K571" s="372">
        <f>'RAB Pasang'!K571*60%</f>
        <v>433926</v>
      </c>
      <c r="L571" s="369">
        <f t="shared" si="75"/>
        <v>0</v>
      </c>
      <c r="M571" s="369">
        <f t="shared" si="76"/>
        <v>0</v>
      </c>
      <c r="N571" s="459">
        <f t="shared" si="77"/>
        <v>0</v>
      </c>
    </row>
    <row r="572" spans="1:14" ht="13.2" customHeight="1" x14ac:dyDescent="0.3">
      <c r="A572" s="365">
        <f t="shared" si="78"/>
        <v>30</v>
      </c>
      <c r="B572" s="376" t="s">
        <v>695</v>
      </c>
      <c r="C572" s="361"/>
      <c r="D572" s="362"/>
      <c r="E572" s="367" t="s">
        <v>399</v>
      </c>
      <c r="F572" s="527"/>
      <c r="G572" s="527"/>
      <c r="H572" s="538"/>
      <c r="I572" s="372">
        <f t="shared" si="74"/>
        <v>0</v>
      </c>
      <c r="J572" s="372"/>
      <c r="K572" s="372">
        <f>'RAB Pasang'!K572*60%</f>
        <v>433926</v>
      </c>
      <c r="L572" s="369">
        <f t="shared" si="75"/>
        <v>0</v>
      </c>
      <c r="M572" s="369">
        <f t="shared" si="76"/>
        <v>0</v>
      </c>
      <c r="N572" s="459">
        <f t="shared" si="77"/>
        <v>0</v>
      </c>
    </row>
    <row r="573" spans="1:14" ht="13.2" customHeight="1" x14ac:dyDescent="0.3">
      <c r="A573" s="365">
        <f t="shared" si="78"/>
        <v>31</v>
      </c>
      <c r="B573" s="376" t="s">
        <v>696</v>
      </c>
      <c r="C573" s="361"/>
      <c r="D573" s="362"/>
      <c r="E573" s="367" t="s">
        <v>399</v>
      </c>
      <c r="F573" s="538"/>
      <c r="G573" s="538"/>
      <c r="H573" s="527"/>
      <c r="I573" s="372">
        <f t="shared" si="74"/>
        <v>0</v>
      </c>
      <c r="J573" s="372"/>
      <c r="K573" s="372">
        <f>'RAB Pasang'!K573*60%</f>
        <v>347142</v>
      </c>
      <c r="L573" s="369">
        <f t="shared" si="75"/>
        <v>0</v>
      </c>
      <c r="M573" s="369">
        <f t="shared" si="76"/>
        <v>0</v>
      </c>
      <c r="N573" s="459">
        <f t="shared" si="77"/>
        <v>0</v>
      </c>
    </row>
    <row r="574" spans="1:14" ht="13.2" customHeight="1" x14ac:dyDescent="0.3">
      <c r="A574" s="365">
        <f t="shared" si="78"/>
        <v>32</v>
      </c>
      <c r="B574" s="376" t="s">
        <v>697</v>
      </c>
      <c r="C574" s="361"/>
      <c r="D574" s="362"/>
      <c r="E574" s="367" t="s">
        <v>399</v>
      </c>
      <c r="F574" s="535"/>
      <c r="G574" s="535"/>
      <c r="H574" s="538"/>
      <c r="I574" s="369">
        <f t="shared" si="74"/>
        <v>0</v>
      </c>
      <c r="J574" s="369"/>
      <c r="K574" s="369">
        <f>'RAB Pasang'!K574*60%</f>
        <v>433926</v>
      </c>
      <c r="L574" s="369">
        <f t="shared" si="75"/>
        <v>0</v>
      </c>
      <c r="M574" s="369">
        <f t="shared" si="76"/>
        <v>0</v>
      </c>
      <c r="N574" s="459">
        <f t="shared" si="77"/>
        <v>0</v>
      </c>
    </row>
    <row r="575" spans="1:14" ht="13.2" customHeight="1" x14ac:dyDescent="0.3">
      <c r="A575" s="365">
        <f t="shared" si="78"/>
        <v>33</v>
      </c>
      <c r="B575" s="376" t="s">
        <v>698</v>
      </c>
      <c r="C575" s="361"/>
      <c r="D575" s="362"/>
      <c r="E575" s="367" t="s">
        <v>399</v>
      </c>
      <c r="F575" s="535"/>
      <c r="G575" s="535"/>
      <c r="H575" s="538"/>
      <c r="I575" s="369">
        <f t="shared" si="74"/>
        <v>0</v>
      </c>
      <c r="J575" s="369"/>
      <c r="K575" s="369">
        <f>'RAB Pasang'!K575*60%</f>
        <v>433926</v>
      </c>
      <c r="L575" s="369">
        <f t="shared" si="75"/>
        <v>0</v>
      </c>
      <c r="M575" s="369">
        <f t="shared" si="76"/>
        <v>0</v>
      </c>
      <c r="N575" s="459">
        <f t="shared" si="77"/>
        <v>0</v>
      </c>
    </row>
    <row r="576" spans="1:14" ht="13.2" customHeight="1" x14ac:dyDescent="0.3">
      <c r="A576" s="365">
        <f t="shared" si="78"/>
        <v>34</v>
      </c>
      <c r="B576" s="376" t="s">
        <v>699</v>
      </c>
      <c r="C576" s="361"/>
      <c r="D576" s="362"/>
      <c r="E576" s="367" t="s">
        <v>399</v>
      </c>
      <c r="F576" s="535"/>
      <c r="G576" s="535"/>
      <c r="H576" s="538"/>
      <c r="I576" s="369">
        <f t="shared" si="74"/>
        <v>0</v>
      </c>
      <c r="J576" s="369"/>
      <c r="K576" s="369">
        <f>'RAB Pasang'!K576*60%</f>
        <v>433926</v>
      </c>
      <c r="L576" s="369">
        <f t="shared" si="75"/>
        <v>0</v>
      </c>
      <c r="M576" s="369">
        <f t="shared" si="76"/>
        <v>0</v>
      </c>
      <c r="N576" s="459">
        <f t="shared" si="77"/>
        <v>0</v>
      </c>
    </row>
    <row r="577" spans="1:14" ht="13.2" customHeight="1" x14ac:dyDescent="0.3">
      <c r="A577" s="365">
        <f t="shared" si="78"/>
        <v>35</v>
      </c>
      <c r="B577" s="376" t="s">
        <v>700</v>
      </c>
      <c r="C577" s="371"/>
      <c r="D577" s="371"/>
      <c r="E577" s="367" t="s">
        <v>399</v>
      </c>
      <c r="F577" s="527"/>
      <c r="G577" s="527"/>
      <c r="H577" s="538"/>
      <c r="I577" s="372">
        <f t="shared" si="74"/>
        <v>0</v>
      </c>
      <c r="J577" s="372"/>
      <c r="K577" s="372">
        <f>'RAB Pasang'!K577*60%</f>
        <v>433926</v>
      </c>
      <c r="L577" s="369">
        <f t="shared" si="75"/>
        <v>0</v>
      </c>
      <c r="M577" s="369">
        <f t="shared" si="76"/>
        <v>0</v>
      </c>
      <c r="N577" s="459">
        <f t="shared" si="77"/>
        <v>0</v>
      </c>
    </row>
    <row r="578" spans="1:14" ht="13.2" customHeight="1" x14ac:dyDescent="0.3">
      <c r="A578" s="365">
        <f t="shared" si="78"/>
        <v>36</v>
      </c>
      <c r="B578" s="376" t="s">
        <v>1604</v>
      </c>
      <c r="C578" s="371"/>
      <c r="D578" s="371"/>
      <c r="E578" s="367" t="s">
        <v>399</v>
      </c>
      <c r="F578" s="538"/>
      <c r="G578" s="538"/>
      <c r="H578" s="527"/>
      <c r="I578" s="372">
        <f t="shared" si="74"/>
        <v>0</v>
      </c>
      <c r="J578" s="372"/>
      <c r="K578" s="372">
        <f>'RAB Pasang'!K578*60%</f>
        <v>385710</v>
      </c>
      <c r="L578" s="369">
        <f t="shared" si="75"/>
        <v>0</v>
      </c>
      <c r="M578" s="369">
        <f t="shared" si="76"/>
        <v>0</v>
      </c>
      <c r="N578" s="459">
        <f t="shared" si="77"/>
        <v>0</v>
      </c>
    </row>
    <row r="579" spans="1:14" ht="13.2" customHeight="1" x14ac:dyDescent="0.3">
      <c r="A579" s="365">
        <f t="shared" si="78"/>
        <v>37</v>
      </c>
      <c r="B579" s="376" t="s">
        <v>1605</v>
      </c>
      <c r="C579" s="371"/>
      <c r="D579" s="371"/>
      <c r="E579" s="367" t="s">
        <v>399</v>
      </c>
      <c r="F579" s="538"/>
      <c r="G579" s="538"/>
      <c r="H579" s="527"/>
      <c r="I579" s="372">
        <f t="shared" si="74"/>
        <v>0</v>
      </c>
      <c r="J579" s="372"/>
      <c r="K579" s="372">
        <f>'RAB Pasang'!K579*60%</f>
        <v>347142</v>
      </c>
      <c r="L579" s="369">
        <f t="shared" si="75"/>
        <v>0</v>
      </c>
      <c r="M579" s="369">
        <f t="shared" si="76"/>
        <v>0</v>
      </c>
      <c r="N579" s="459">
        <f t="shared" si="77"/>
        <v>0</v>
      </c>
    </row>
    <row r="580" spans="1:14" ht="13.2" customHeight="1" x14ac:dyDescent="0.3">
      <c r="A580" s="365">
        <f t="shared" si="78"/>
        <v>38</v>
      </c>
      <c r="B580" s="376" t="s">
        <v>1606</v>
      </c>
      <c r="C580" s="371"/>
      <c r="D580" s="371"/>
      <c r="E580" s="367" t="s">
        <v>399</v>
      </c>
      <c r="F580" s="538"/>
      <c r="G580" s="538"/>
      <c r="H580" s="527"/>
      <c r="I580" s="372">
        <f t="shared" si="74"/>
        <v>0</v>
      </c>
      <c r="J580" s="372"/>
      <c r="K580" s="372">
        <f>'RAB Pasang'!K580*60%</f>
        <v>347142</v>
      </c>
      <c r="L580" s="369">
        <f t="shared" si="75"/>
        <v>0</v>
      </c>
      <c r="M580" s="369">
        <f t="shared" si="76"/>
        <v>0</v>
      </c>
      <c r="N580" s="459">
        <f t="shared" si="77"/>
        <v>0</v>
      </c>
    </row>
    <row r="581" spans="1:14" ht="13.2" customHeight="1" x14ac:dyDescent="0.3">
      <c r="A581" s="365">
        <f t="shared" si="78"/>
        <v>39</v>
      </c>
      <c r="B581" s="376" t="s">
        <v>1607</v>
      </c>
      <c r="C581" s="371"/>
      <c r="D581" s="371"/>
      <c r="E581" s="367" t="s">
        <v>399</v>
      </c>
      <c r="F581" s="538"/>
      <c r="G581" s="538"/>
      <c r="H581" s="527"/>
      <c r="I581" s="372">
        <f t="shared" si="74"/>
        <v>0</v>
      </c>
      <c r="J581" s="372"/>
      <c r="K581" s="372">
        <f>'RAB Pasang'!K581*60%</f>
        <v>290316</v>
      </c>
      <c r="L581" s="369">
        <f t="shared" si="75"/>
        <v>0</v>
      </c>
      <c r="M581" s="369">
        <f t="shared" si="76"/>
        <v>0</v>
      </c>
      <c r="N581" s="459">
        <f t="shared" si="77"/>
        <v>0</v>
      </c>
    </row>
    <row r="582" spans="1:14" ht="13.2" customHeight="1" x14ac:dyDescent="0.3">
      <c r="A582" s="365">
        <f t="shared" si="78"/>
        <v>40</v>
      </c>
      <c r="B582" s="376" t="s">
        <v>701</v>
      </c>
      <c r="C582" s="361"/>
      <c r="D582" s="362"/>
      <c r="E582" s="367" t="s">
        <v>399</v>
      </c>
      <c r="F582" s="527"/>
      <c r="G582" s="527"/>
      <c r="H582" s="538"/>
      <c r="I582" s="372">
        <f t="shared" si="74"/>
        <v>0</v>
      </c>
      <c r="J582" s="372"/>
      <c r="K582" s="372">
        <f>'RAB Pasang'!K582*60%</f>
        <v>694278</v>
      </c>
      <c r="L582" s="369">
        <f t="shared" si="75"/>
        <v>0</v>
      </c>
      <c r="M582" s="369">
        <f t="shared" si="76"/>
        <v>0</v>
      </c>
      <c r="N582" s="459">
        <f t="shared" si="77"/>
        <v>0</v>
      </c>
    </row>
    <row r="583" spans="1:14" ht="13.2" customHeight="1" x14ac:dyDescent="0.3">
      <c r="A583" s="365">
        <f t="shared" si="78"/>
        <v>41</v>
      </c>
      <c r="B583" s="376" t="s">
        <v>778</v>
      </c>
      <c r="C583" s="361"/>
      <c r="D583" s="362"/>
      <c r="E583" s="367" t="s">
        <v>399</v>
      </c>
      <c r="F583" s="527"/>
      <c r="G583" s="527"/>
      <c r="H583" s="538"/>
      <c r="I583" s="372">
        <f t="shared" si="74"/>
        <v>0</v>
      </c>
      <c r="J583" s="372"/>
      <c r="K583" s="372">
        <f>'RAB Pasang'!K583*60%</f>
        <v>694278</v>
      </c>
      <c r="L583" s="369">
        <f t="shared" si="75"/>
        <v>0</v>
      </c>
      <c r="M583" s="369">
        <f t="shared" si="76"/>
        <v>0</v>
      </c>
      <c r="N583" s="459">
        <f t="shared" si="77"/>
        <v>0</v>
      </c>
    </row>
    <row r="584" spans="1:14" ht="13.2" customHeight="1" x14ac:dyDescent="0.3">
      <c r="A584" s="365">
        <f t="shared" si="78"/>
        <v>42</v>
      </c>
      <c r="B584" s="376" t="s">
        <v>779</v>
      </c>
      <c r="C584" s="361"/>
      <c r="D584" s="362"/>
      <c r="E584" s="367" t="s">
        <v>399</v>
      </c>
      <c r="F584" s="527"/>
      <c r="G584" s="527"/>
      <c r="H584" s="538"/>
      <c r="I584" s="372">
        <f t="shared" si="74"/>
        <v>0</v>
      </c>
      <c r="J584" s="372"/>
      <c r="K584" s="372">
        <f>'RAB Pasang'!K584*60%</f>
        <v>694278</v>
      </c>
      <c r="L584" s="369">
        <f t="shared" si="75"/>
        <v>0</v>
      </c>
      <c r="M584" s="369">
        <f t="shared" si="76"/>
        <v>0</v>
      </c>
      <c r="N584" s="459">
        <f t="shared" si="77"/>
        <v>0</v>
      </c>
    </row>
    <row r="585" spans="1:14" ht="13.2" customHeight="1" x14ac:dyDescent="0.3">
      <c r="A585" s="365">
        <f t="shared" si="78"/>
        <v>43</v>
      </c>
      <c r="B585" s="376" t="s">
        <v>887</v>
      </c>
      <c r="C585" s="361"/>
      <c r="D585" s="362"/>
      <c r="E585" s="367" t="s">
        <v>399</v>
      </c>
      <c r="F585" s="527"/>
      <c r="G585" s="527"/>
      <c r="H585" s="538"/>
      <c r="I585" s="372">
        <f t="shared" si="74"/>
        <v>0</v>
      </c>
      <c r="J585" s="372"/>
      <c r="K585" s="372">
        <f>'RAB Pasang'!K585*60%</f>
        <v>694278</v>
      </c>
      <c r="L585" s="369">
        <f t="shared" si="75"/>
        <v>0</v>
      </c>
      <c r="M585" s="369">
        <f t="shared" si="76"/>
        <v>0</v>
      </c>
      <c r="N585" s="459">
        <f t="shared" si="77"/>
        <v>0</v>
      </c>
    </row>
    <row r="586" spans="1:14" ht="13.2" customHeight="1" x14ac:dyDescent="0.3">
      <c r="A586" s="365">
        <f t="shared" si="78"/>
        <v>44</v>
      </c>
      <c r="B586" s="376" t="s">
        <v>2323</v>
      </c>
      <c r="C586" s="361"/>
      <c r="D586" s="362"/>
      <c r="E586" s="367" t="s">
        <v>399</v>
      </c>
      <c r="F586" s="538"/>
      <c r="G586" s="538"/>
      <c r="H586" s="527"/>
      <c r="I586" s="372">
        <f t="shared" si="74"/>
        <v>0</v>
      </c>
      <c r="J586" s="372"/>
      <c r="K586" s="372">
        <f>'RAB Pasang'!K586*60%</f>
        <v>578568</v>
      </c>
      <c r="L586" s="369">
        <f t="shared" si="75"/>
        <v>0</v>
      </c>
      <c r="M586" s="369">
        <f t="shared" si="76"/>
        <v>0</v>
      </c>
      <c r="N586" s="459">
        <f t="shared" si="77"/>
        <v>0</v>
      </c>
    </row>
    <row r="587" spans="1:14" ht="13.2" customHeight="1" x14ac:dyDescent="0.3">
      <c r="A587" s="365">
        <f t="shared" si="78"/>
        <v>45</v>
      </c>
      <c r="B587" s="376" t="s">
        <v>702</v>
      </c>
      <c r="C587" s="361"/>
      <c r="D587" s="362"/>
      <c r="E587" s="367" t="s">
        <v>399</v>
      </c>
      <c r="F587" s="535"/>
      <c r="G587" s="535"/>
      <c r="H587" s="538"/>
      <c r="I587" s="369">
        <f t="shared" si="74"/>
        <v>0</v>
      </c>
      <c r="J587" s="369"/>
      <c r="K587" s="369">
        <f>'RAB Pasang'!K587*60%</f>
        <v>694278</v>
      </c>
      <c r="L587" s="369">
        <f t="shared" si="75"/>
        <v>0</v>
      </c>
      <c r="M587" s="369">
        <f t="shared" si="76"/>
        <v>0</v>
      </c>
      <c r="N587" s="459">
        <f t="shared" si="77"/>
        <v>0</v>
      </c>
    </row>
    <row r="588" spans="1:14" ht="13.2" customHeight="1" x14ac:dyDescent="0.3">
      <c r="A588" s="365">
        <f t="shared" si="78"/>
        <v>46</v>
      </c>
      <c r="B588" s="376" t="s">
        <v>703</v>
      </c>
      <c r="C588" s="361"/>
      <c r="D588" s="362"/>
      <c r="E588" s="367" t="s">
        <v>399</v>
      </c>
      <c r="F588" s="535"/>
      <c r="G588" s="535"/>
      <c r="H588" s="538"/>
      <c r="I588" s="369">
        <f t="shared" si="74"/>
        <v>0</v>
      </c>
      <c r="J588" s="369"/>
      <c r="K588" s="369">
        <f>'RAB Pasang'!K588*60%</f>
        <v>694278</v>
      </c>
      <c r="L588" s="369">
        <f t="shared" si="75"/>
        <v>0</v>
      </c>
      <c r="M588" s="369">
        <f t="shared" si="76"/>
        <v>0</v>
      </c>
      <c r="N588" s="459">
        <f t="shared" si="77"/>
        <v>0</v>
      </c>
    </row>
    <row r="589" spans="1:14" ht="13.2" customHeight="1" x14ac:dyDescent="0.3">
      <c r="A589" s="365">
        <f t="shared" si="78"/>
        <v>47</v>
      </c>
      <c r="B589" s="376" t="s">
        <v>704</v>
      </c>
      <c r="C589" s="361"/>
      <c r="D589" s="362"/>
      <c r="E589" s="367" t="s">
        <v>399</v>
      </c>
      <c r="F589" s="535"/>
      <c r="G589" s="535"/>
      <c r="H589" s="538"/>
      <c r="I589" s="369">
        <f t="shared" si="74"/>
        <v>0</v>
      </c>
      <c r="J589" s="369"/>
      <c r="K589" s="369">
        <f>'RAB Pasang'!K589*60%</f>
        <v>694278</v>
      </c>
      <c r="L589" s="369">
        <f t="shared" si="75"/>
        <v>0</v>
      </c>
      <c r="M589" s="369">
        <f t="shared" si="76"/>
        <v>0</v>
      </c>
      <c r="N589" s="459">
        <f t="shared" si="77"/>
        <v>0</v>
      </c>
    </row>
    <row r="590" spans="1:14" ht="13.2" customHeight="1" x14ac:dyDescent="0.3">
      <c r="A590" s="365">
        <f t="shared" si="78"/>
        <v>48</v>
      </c>
      <c r="B590" s="376" t="s">
        <v>705</v>
      </c>
      <c r="C590" s="371"/>
      <c r="D590" s="371"/>
      <c r="E590" s="367" t="s">
        <v>399</v>
      </c>
      <c r="F590" s="527"/>
      <c r="G590" s="527"/>
      <c r="H590" s="538"/>
      <c r="I590" s="372">
        <f t="shared" si="74"/>
        <v>0</v>
      </c>
      <c r="J590" s="372"/>
      <c r="K590" s="372">
        <f>'RAB Pasang'!K590*60%</f>
        <v>694278</v>
      </c>
      <c r="L590" s="369">
        <f t="shared" si="75"/>
        <v>0</v>
      </c>
      <c r="M590" s="369">
        <f t="shared" si="76"/>
        <v>0</v>
      </c>
      <c r="N590" s="459">
        <f t="shared" si="77"/>
        <v>0</v>
      </c>
    </row>
    <row r="591" spans="1:14" ht="13.2" customHeight="1" x14ac:dyDescent="0.3">
      <c r="A591" s="365">
        <f t="shared" si="78"/>
        <v>49</v>
      </c>
      <c r="B591" s="376" t="s">
        <v>2324</v>
      </c>
      <c r="C591" s="371"/>
      <c r="D591" s="371"/>
      <c r="E591" s="367" t="s">
        <v>399</v>
      </c>
      <c r="F591" s="538"/>
      <c r="G591" s="538"/>
      <c r="H591" s="527"/>
      <c r="I591" s="372">
        <f t="shared" si="74"/>
        <v>0</v>
      </c>
      <c r="J591" s="372"/>
      <c r="K591" s="372">
        <f>'RAB Pasang'!K591*60%</f>
        <v>482568</v>
      </c>
      <c r="L591" s="369">
        <f t="shared" si="75"/>
        <v>0</v>
      </c>
      <c r="M591" s="369">
        <f t="shared" si="76"/>
        <v>0</v>
      </c>
      <c r="N591" s="459">
        <f t="shared" si="77"/>
        <v>0</v>
      </c>
    </row>
    <row r="592" spans="1:14" ht="13.2" customHeight="1" x14ac:dyDescent="0.3">
      <c r="A592" s="365">
        <f t="shared" si="78"/>
        <v>50</v>
      </c>
      <c r="B592" s="376" t="s">
        <v>706</v>
      </c>
      <c r="C592" s="371"/>
      <c r="D592" s="371"/>
      <c r="E592" s="367" t="s">
        <v>399</v>
      </c>
      <c r="F592" s="538"/>
      <c r="G592" s="538"/>
      <c r="H592" s="527"/>
      <c r="I592" s="372">
        <f t="shared" si="74"/>
        <v>0</v>
      </c>
      <c r="J592" s="372"/>
      <c r="K592" s="372">
        <f>'RAB Pasang'!K592*60%</f>
        <v>578568</v>
      </c>
      <c r="L592" s="369">
        <f t="shared" si="75"/>
        <v>0</v>
      </c>
      <c r="M592" s="369">
        <f t="shared" si="76"/>
        <v>0</v>
      </c>
      <c r="N592" s="459">
        <f t="shared" si="77"/>
        <v>0</v>
      </c>
    </row>
    <row r="593" spans="1:14" ht="13.2" customHeight="1" x14ac:dyDescent="0.3">
      <c r="A593" s="365">
        <f t="shared" si="78"/>
        <v>51</v>
      </c>
      <c r="B593" s="376" t="s">
        <v>707</v>
      </c>
      <c r="C593" s="371"/>
      <c r="D593" s="371"/>
      <c r="E593" s="367" t="s">
        <v>399</v>
      </c>
      <c r="F593" s="538"/>
      <c r="G593" s="538"/>
      <c r="H593" s="527"/>
      <c r="I593" s="372">
        <f t="shared" si="74"/>
        <v>0</v>
      </c>
      <c r="J593" s="372"/>
      <c r="K593" s="372">
        <f>'RAB Pasang'!K593*60%</f>
        <v>578568</v>
      </c>
      <c r="L593" s="369">
        <f t="shared" si="75"/>
        <v>0</v>
      </c>
      <c r="M593" s="369">
        <f t="shared" si="76"/>
        <v>0</v>
      </c>
      <c r="N593" s="459">
        <f t="shared" si="77"/>
        <v>0</v>
      </c>
    </row>
    <row r="594" spans="1:14" ht="13.2" customHeight="1" x14ac:dyDescent="0.3">
      <c r="A594" s="365">
        <f t="shared" si="78"/>
        <v>52</v>
      </c>
      <c r="B594" s="376" t="s">
        <v>782</v>
      </c>
      <c r="C594" s="373"/>
      <c r="D594" s="373"/>
      <c r="E594" s="374" t="s">
        <v>399</v>
      </c>
      <c r="F594" s="538"/>
      <c r="G594" s="538"/>
      <c r="H594" s="528"/>
      <c r="I594" s="375">
        <f t="shared" si="74"/>
        <v>0</v>
      </c>
      <c r="J594" s="375"/>
      <c r="K594" s="375">
        <f>'RAB Pasang'!K594*60%</f>
        <v>483858</v>
      </c>
      <c r="L594" s="369">
        <f t="shared" si="75"/>
        <v>0</v>
      </c>
      <c r="M594" s="369">
        <f t="shared" si="76"/>
        <v>0</v>
      </c>
      <c r="N594" s="459">
        <f t="shared" si="77"/>
        <v>0</v>
      </c>
    </row>
    <row r="595" spans="1:14" ht="13.2" customHeight="1" x14ac:dyDescent="0.3">
      <c r="A595" s="365">
        <f t="shared" si="78"/>
        <v>53</v>
      </c>
      <c r="B595" s="370" t="s">
        <v>1051</v>
      </c>
      <c r="C595" s="371"/>
      <c r="D595" s="371"/>
      <c r="E595" s="367" t="s">
        <v>399</v>
      </c>
      <c r="F595" s="527"/>
      <c r="G595" s="527"/>
      <c r="H595" s="538"/>
      <c r="I595" s="372">
        <f t="shared" si="74"/>
        <v>0</v>
      </c>
      <c r="J595" s="372"/>
      <c r="K595" s="372">
        <f>'RAB Pasang'!K595*60%</f>
        <v>151620</v>
      </c>
      <c r="L595" s="369">
        <f t="shared" si="75"/>
        <v>0</v>
      </c>
      <c r="M595" s="369">
        <f t="shared" si="76"/>
        <v>0</v>
      </c>
      <c r="N595" s="459">
        <f t="shared" si="77"/>
        <v>0</v>
      </c>
    </row>
    <row r="596" spans="1:14" ht="13.2" customHeight="1" x14ac:dyDescent="0.3">
      <c r="A596" s="365">
        <f t="shared" si="78"/>
        <v>54</v>
      </c>
      <c r="B596" s="370" t="s">
        <v>1052</v>
      </c>
      <c r="C596" s="371"/>
      <c r="D596" s="371"/>
      <c r="E596" s="367" t="s">
        <v>399</v>
      </c>
      <c r="F596" s="527"/>
      <c r="G596" s="527"/>
      <c r="H596" s="538"/>
      <c r="I596" s="372">
        <f t="shared" si="74"/>
        <v>0</v>
      </c>
      <c r="J596" s="372"/>
      <c r="K596" s="372">
        <f>'RAB Pasang'!K596*60%</f>
        <v>151620</v>
      </c>
      <c r="L596" s="369">
        <f t="shared" si="75"/>
        <v>0</v>
      </c>
      <c r="M596" s="369">
        <f t="shared" si="76"/>
        <v>0</v>
      </c>
      <c r="N596" s="459">
        <f t="shared" si="77"/>
        <v>0</v>
      </c>
    </row>
    <row r="597" spans="1:14" ht="13.2" customHeight="1" x14ac:dyDescent="0.3">
      <c r="A597" s="365">
        <f t="shared" si="78"/>
        <v>55</v>
      </c>
      <c r="B597" s="370" t="s">
        <v>1053</v>
      </c>
      <c r="C597" s="371"/>
      <c r="D597" s="371"/>
      <c r="E597" s="367" t="s">
        <v>399</v>
      </c>
      <c r="F597" s="527"/>
      <c r="G597" s="527"/>
      <c r="H597" s="538"/>
      <c r="I597" s="372">
        <f t="shared" si="74"/>
        <v>0</v>
      </c>
      <c r="J597" s="372"/>
      <c r="K597" s="372">
        <f>'RAB Pasang'!K597*60%</f>
        <v>151620</v>
      </c>
      <c r="L597" s="369">
        <f t="shared" si="75"/>
        <v>0</v>
      </c>
      <c r="M597" s="369">
        <f t="shared" si="76"/>
        <v>0</v>
      </c>
      <c r="N597" s="459">
        <f t="shared" si="77"/>
        <v>0</v>
      </c>
    </row>
    <row r="598" spans="1:14" ht="13.2" customHeight="1" x14ac:dyDescent="0.3">
      <c r="A598" s="365">
        <f t="shared" si="78"/>
        <v>56</v>
      </c>
      <c r="B598" s="370" t="s">
        <v>1054</v>
      </c>
      <c r="C598" s="371"/>
      <c r="D598" s="371"/>
      <c r="E598" s="367" t="s">
        <v>399</v>
      </c>
      <c r="F598" s="527"/>
      <c r="G598" s="527"/>
      <c r="H598" s="538"/>
      <c r="I598" s="372">
        <f t="shared" si="74"/>
        <v>0</v>
      </c>
      <c r="J598" s="372"/>
      <c r="K598" s="372">
        <f>'RAB Pasang'!K598*60%</f>
        <v>151620</v>
      </c>
      <c r="L598" s="369">
        <f t="shared" si="75"/>
        <v>0</v>
      </c>
      <c r="M598" s="369">
        <f t="shared" si="76"/>
        <v>0</v>
      </c>
      <c r="N598" s="459">
        <f t="shared" si="77"/>
        <v>0</v>
      </c>
    </row>
    <row r="599" spans="1:14" ht="13.2" customHeight="1" x14ac:dyDescent="0.3">
      <c r="A599" s="365">
        <f t="shared" si="78"/>
        <v>57</v>
      </c>
      <c r="B599" s="370" t="s">
        <v>1055</v>
      </c>
      <c r="C599" s="371"/>
      <c r="D599" s="371"/>
      <c r="E599" s="367" t="s">
        <v>399</v>
      </c>
      <c r="F599" s="527"/>
      <c r="G599" s="527"/>
      <c r="H599" s="538"/>
      <c r="I599" s="372">
        <f t="shared" si="74"/>
        <v>0</v>
      </c>
      <c r="J599" s="372"/>
      <c r="K599" s="372">
        <f>'RAB Pasang'!K599*60%</f>
        <v>151620</v>
      </c>
      <c r="L599" s="369">
        <f t="shared" si="75"/>
        <v>0</v>
      </c>
      <c r="M599" s="369">
        <f t="shared" si="76"/>
        <v>0</v>
      </c>
      <c r="N599" s="459">
        <f t="shared" si="77"/>
        <v>0</v>
      </c>
    </row>
    <row r="600" spans="1:14" ht="13.2" customHeight="1" x14ac:dyDescent="0.3">
      <c r="A600" s="365">
        <f t="shared" si="78"/>
        <v>58</v>
      </c>
      <c r="B600" s="370" t="s">
        <v>1061</v>
      </c>
      <c r="C600" s="371"/>
      <c r="D600" s="371"/>
      <c r="E600" s="367" t="s">
        <v>399</v>
      </c>
      <c r="F600" s="527"/>
      <c r="G600" s="527"/>
      <c r="H600" s="538"/>
      <c r="I600" s="372">
        <f t="shared" si="74"/>
        <v>0</v>
      </c>
      <c r="J600" s="372"/>
      <c r="K600" s="372">
        <f>'RAB Pasang'!K600*60%</f>
        <v>151620</v>
      </c>
      <c r="L600" s="369">
        <f t="shared" si="75"/>
        <v>0</v>
      </c>
      <c r="M600" s="369">
        <f t="shared" si="76"/>
        <v>0</v>
      </c>
      <c r="N600" s="459">
        <f t="shared" si="77"/>
        <v>0</v>
      </c>
    </row>
    <row r="601" spans="1:14" ht="13.2" customHeight="1" x14ac:dyDescent="0.3">
      <c r="A601" s="365">
        <f t="shared" si="78"/>
        <v>59</v>
      </c>
      <c r="B601" s="370" t="s">
        <v>1062</v>
      </c>
      <c r="C601" s="371"/>
      <c r="D601" s="371"/>
      <c r="E601" s="367" t="s">
        <v>399</v>
      </c>
      <c r="F601" s="527"/>
      <c r="G601" s="527"/>
      <c r="H601" s="538"/>
      <c r="I601" s="372">
        <f t="shared" si="74"/>
        <v>0</v>
      </c>
      <c r="J601" s="372"/>
      <c r="K601" s="372">
        <f>'RAB Pasang'!K601*60%</f>
        <v>151620</v>
      </c>
      <c r="L601" s="369">
        <f t="shared" si="75"/>
        <v>0</v>
      </c>
      <c r="M601" s="369">
        <f t="shared" si="76"/>
        <v>0</v>
      </c>
      <c r="N601" s="459">
        <f t="shared" si="77"/>
        <v>0</v>
      </c>
    </row>
    <row r="602" spans="1:14" ht="13.2" customHeight="1" x14ac:dyDescent="0.3">
      <c r="A602" s="365">
        <f t="shared" si="78"/>
        <v>60</v>
      </c>
      <c r="B602" s="370" t="s">
        <v>1063</v>
      </c>
      <c r="C602" s="371"/>
      <c r="D602" s="371"/>
      <c r="E602" s="367" t="s">
        <v>399</v>
      </c>
      <c r="F602" s="527"/>
      <c r="G602" s="527"/>
      <c r="H602" s="538"/>
      <c r="I602" s="372">
        <f t="shared" si="74"/>
        <v>0</v>
      </c>
      <c r="J602" s="372"/>
      <c r="K602" s="372">
        <f>'RAB Pasang'!K602*60%</f>
        <v>151620</v>
      </c>
      <c r="L602" s="369">
        <f t="shared" si="75"/>
        <v>0</v>
      </c>
      <c r="M602" s="369">
        <f t="shared" si="76"/>
        <v>0</v>
      </c>
      <c r="N602" s="459">
        <f t="shared" si="77"/>
        <v>0</v>
      </c>
    </row>
    <row r="603" spans="1:14" ht="13.2" customHeight="1" x14ac:dyDescent="0.3">
      <c r="A603" s="365">
        <f t="shared" si="78"/>
        <v>61</v>
      </c>
      <c r="B603" s="370" t="s">
        <v>1064</v>
      </c>
      <c r="C603" s="371"/>
      <c r="D603" s="371"/>
      <c r="E603" s="367" t="s">
        <v>399</v>
      </c>
      <c r="F603" s="527"/>
      <c r="G603" s="527"/>
      <c r="H603" s="538"/>
      <c r="I603" s="372">
        <f t="shared" si="74"/>
        <v>0</v>
      </c>
      <c r="J603" s="372"/>
      <c r="K603" s="372">
        <f>'RAB Pasang'!K603*60%</f>
        <v>151620</v>
      </c>
      <c r="L603" s="369">
        <f t="shared" si="75"/>
        <v>0</v>
      </c>
      <c r="M603" s="369">
        <f t="shared" si="76"/>
        <v>0</v>
      </c>
      <c r="N603" s="459">
        <f t="shared" si="77"/>
        <v>0</v>
      </c>
    </row>
    <row r="604" spans="1:14" ht="13.2" customHeight="1" x14ac:dyDescent="0.3">
      <c r="A604" s="365">
        <f t="shared" si="78"/>
        <v>62</v>
      </c>
      <c r="B604" s="370" t="s">
        <v>1065</v>
      </c>
      <c r="C604" s="371"/>
      <c r="D604" s="371"/>
      <c r="E604" s="367" t="s">
        <v>399</v>
      </c>
      <c r="F604" s="527"/>
      <c r="G604" s="527"/>
      <c r="H604" s="538"/>
      <c r="I604" s="372">
        <f t="shared" si="74"/>
        <v>0</v>
      </c>
      <c r="J604" s="372"/>
      <c r="K604" s="372">
        <f>'RAB Pasang'!K604*60%</f>
        <v>151620</v>
      </c>
      <c r="L604" s="369">
        <f t="shared" si="75"/>
        <v>0</v>
      </c>
      <c r="M604" s="369">
        <f t="shared" si="76"/>
        <v>0</v>
      </c>
      <c r="N604" s="459">
        <f t="shared" si="77"/>
        <v>0</v>
      </c>
    </row>
    <row r="605" spans="1:14" ht="13.2" customHeight="1" x14ac:dyDescent="0.3">
      <c r="A605" s="365">
        <f t="shared" si="78"/>
        <v>63</v>
      </c>
      <c r="B605" s="370" t="s">
        <v>1674</v>
      </c>
      <c r="C605" s="371"/>
      <c r="D605" s="371"/>
      <c r="E605" s="367" t="s">
        <v>399</v>
      </c>
      <c r="F605" s="527"/>
      <c r="G605" s="527"/>
      <c r="H605" s="538"/>
      <c r="I605" s="372">
        <f t="shared" si="74"/>
        <v>0</v>
      </c>
      <c r="J605" s="372"/>
      <c r="K605" s="372">
        <f>'RAB Pasang'!K605*60%</f>
        <v>145932</v>
      </c>
      <c r="L605" s="369">
        <f t="shared" si="75"/>
        <v>0</v>
      </c>
      <c r="M605" s="369">
        <f t="shared" si="76"/>
        <v>0</v>
      </c>
      <c r="N605" s="459">
        <f t="shared" si="77"/>
        <v>0</v>
      </c>
    </row>
    <row r="606" spans="1:14" ht="13.2" customHeight="1" x14ac:dyDescent="0.3">
      <c r="A606" s="365">
        <f t="shared" si="78"/>
        <v>64</v>
      </c>
      <c r="B606" s="370" t="s">
        <v>1675</v>
      </c>
      <c r="C606" s="371"/>
      <c r="D606" s="371"/>
      <c r="E606" s="367" t="s">
        <v>399</v>
      </c>
      <c r="F606" s="527"/>
      <c r="G606" s="527"/>
      <c r="H606" s="538"/>
      <c r="I606" s="372">
        <f t="shared" si="74"/>
        <v>0</v>
      </c>
      <c r="J606" s="372"/>
      <c r="K606" s="372">
        <f>'RAB Pasang'!K606*60%</f>
        <v>145932</v>
      </c>
      <c r="L606" s="369">
        <f t="shared" si="75"/>
        <v>0</v>
      </c>
      <c r="M606" s="369">
        <f t="shared" si="76"/>
        <v>0</v>
      </c>
      <c r="N606" s="459">
        <f t="shared" si="77"/>
        <v>0</v>
      </c>
    </row>
    <row r="607" spans="1:14" ht="13.2" customHeight="1" x14ac:dyDescent="0.3">
      <c r="A607" s="365">
        <f t="shared" si="78"/>
        <v>65</v>
      </c>
      <c r="B607" s="370" t="s">
        <v>1679</v>
      </c>
      <c r="C607" s="371"/>
      <c r="D607" s="371"/>
      <c r="E607" s="367" t="s">
        <v>399</v>
      </c>
      <c r="F607" s="527"/>
      <c r="G607" s="527"/>
      <c r="H607" s="538"/>
      <c r="I607" s="372">
        <f t="shared" ref="I607:I621" si="79">SUM(F607:H607)</f>
        <v>0</v>
      </c>
      <c r="J607" s="372"/>
      <c r="K607" s="372">
        <f>'RAB Pasang'!K607*60%</f>
        <v>145932</v>
      </c>
      <c r="L607" s="369">
        <f t="shared" ref="L607:L621" si="80">J607*I607</f>
        <v>0</v>
      </c>
      <c r="M607" s="369">
        <f t="shared" ref="M607:M621" si="81">K607*I607</f>
        <v>0</v>
      </c>
      <c r="N607" s="459">
        <f t="shared" ref="N607:N621" si="82">SUM(L607:M607)</f>
        <v>0</v>
      </c>
    </row>
    <row r="608" spans="1:14" ht="13.2" customHeight="1" x14ac:dyDescent="0.3">
      <c r="A608" s="365">
        <f t="shared" si="78"/>
        <v>66</v>
      </c>
      <c r="B608" s="370" t="s">
        <v>1680</v>
      </c>
      <c r="C608" s="371"/>
      <c r="D608" s="371"/>
      <c r="E608" s="367" t="s">
        <v>399</v>
      </c>
      <c r="F608" s="527"/>
      <c r="G608" s="527"/>
      <c r="H608" s="538"/>
      <c r="I608" s="372">
        <f t="shared" si="79"/>
        <v>0</v>
      </c>
      <c r="J608" s="372"/>
      <c r="K608" s="372">
        <f>'RAB Pasang'!K608*60%</f>
        <v>145932</v>
      </c>
      <c r="L608" s="369">
        <f t="shared" si="80"/>
        <v>0</v>
      </c>
      <c r="M608" s="369">
        <f t="shared" si="81"/>
        <v>0</v>
      </c>
      <c r="N608" s="459">
        <f t="shared" si="82"/>
        <v>0</v>
      </c>
    </row>
    <row r="609" spans="1:14" ht="13.2" customHeight="1" x14ac:dyDescent="0.3">
      <c r="A609" s="365">
        <f t="shared" ref="A609:A621" si="83">A608+1</f>
        <v>67</v>
      </c>
      <c r="B609" s="370" t="s">
        <v>1681</v>
      </c>
      <c r="C609" s="371"/>
      <c r="D609" s="371"/>
      <c r="E609" s="367" t="s">
        <v>399</v>
      </c>
      <c r="F609" s="527"/>
      <c r="G609" s="527"/>
      <c r="H609" s="538"/>
      <c r="I609" s="372">
        <f t="shared" si="79"/>
        <v>0</v>
      </c>
      <c r="J609" s="372"/>
      <c r="K609" s="372">
        <f>'RAB Pasang'!K609*60%</f>
        <v>145932</v>
      </c>
      <c r="L609" s="369">
        <f t="shared" si="80"/>
        <v>0</v>
      </c>
      <c r="M609" s="369">
        <f t="shared" si="81"/>
        <v>0</v>
      </c>
      <c r="N609" s="459">
        <f t="shared" si="82"/>
        <v>0</v>
      </c>
    </row>
    <row r="610" spans="1:14" ht="13.2" customHeight="1" x14ac:dyDescent="0.3">
      <c r="A610" s="365">
        <f t="shared" si="83"/>
        <v>68</v>
      </c>
      <c r="B610" s="370" t="s">
        <v>1982</v>
      </c>
      <c r="C610" s="371"/>
      <c r="D610" s="371"/>
      <c r="E610" s="367" t="s">
        <v>399</v>
      </c>
      <c r="F610" s="527"/>
      <c r="G610" s="527"/>
      <c r="H610" s="539"/>
      <c r="I610" s="372">
        <f t="shared" si="79"/>
        <v>0</v>
      </c>
      <c r="J610" s="372"/>
      <c r="K610" s="372">
        <f>'RAB Pasang'!K610*60%</f>
        <v>18480</v>
      </c>
      <c r="L610" s="369">
        <f t="shared" si="80"/>
        <v>0</v>
      </c>
      <c r="M610" s="369">
        <f t="shared" si="81"/>
        <v>0</v>
      </c>
      <c r="N610" s="459">
        <f t="shared" si="82"/>
        <v>0</v>
      </c>
    </row>
    <row r="611" spans="1:14" ht="13.2" customHeight="1" x14ac:dyDescent="0.3">
      <c r="A611" s="365">
        <f t="shared" si="83"/>
        <v>69</v>
      </c>
      <c r="B611" s="370" t="s">
        <v>1455</v>
      </c>
      <c r="C611" s="371"/>
      <c r="D611" s="371"/>
      <c r="E611" s="367" t="s">
        <v>399</v>
      </c>
      <c r="F611" s="527"/>
      <c r="G611" s="527"/>
      <c r="H611" s="539"/>
      <c r="I611" s="372">
        <f t="shared" si="79"/>
        <v>0</v>
      </c>
      <c r="J611" s="372"/>
      <c r="K611" s="372">
        <f>'RAB Pasang'!K611*60%</f>
        <v>18480</v>
      </c>
      <c r="L611" s="369">
        <f t="shared" si="80"/>
        <v>0</v>
      </c>
      <c r="M611" s="369">
        <f t="shared" si="81"/>
        <v>0</v>
      </c>
      <c r="N611" s="459">
        <f t="shared" si="82"/>
        <v>0</v>
      </c>
    </row>
    <row r="612" spans="1:14" ht="13.2" customHeight="1" x14ac:dyDescent="0.3">
      <c r="A612" s="365">
        <f t="shared" si="83"/>
        <v>70</v>
      </c>
      <c r="B612" s="370" t="s">
        <v>1456</v>
      </c>
      <c r="C612" s="371"/>
      <c r="D612" s="371"/>
      <c r="E612" s="367" t="s">
        <v>399</v>
      </c>
      <c r="F612" s="527"/>
      <c r="G612" s="527"/>
      <c r="H612" s="539"/>
      <c r="I612" s="372">
        <f t="shared" si="79"/>
        <v>0</v>
      </c>
      <c r="J612" s="372"/>
      <c r="K612" s="372">
        <f>'RAB Pasang'!K612*60%</f>
        <v>18480</v>
      </c>
      <c r="L612" s="369">
        <f t="shared" si="80"/>
        <v>0</v>
      </c>
      <c r="M612" s="369">
        <f t="shared" si="81"/>
        <v>0</v>
      </c>
      <c r="N612" s="459">
        <f t="shared" si="82"/>
        <v>0</v>
      </c>
    </row>
    <row r="613" spans="1:14" ht="13.2" customHeight="1" x14ac:dyDescent="0.3">
      <c r="A613" s="365">
        <f t="shared" si="83"/>
        <v>71</v>
      </c>
      <c r="B613" s="370" t="s">
        <v>1457</v>
      </c>
      <c r="C613" s="371"/>
      <c r="D613" s="371"/>
      <c r="E613" s="367" t="s">
        <v>399</v>
      </c>
      <c r="F613" s="527"/>
      <c r="G613" s="527"/>
      <c r="H613" s="539"/>
      <c r="I613" s="372">
        <f t="shared" si="79"/>
        <v>0</v>
      </c>
      <c r="J613" s="372"/>
      <c r="K613" s="372">
        <f>'RAB Pasang'!K613*60%</f>
        <v>18480</v>
      </c>
      <c r="L613" s="369">
        <f t="shared" si="80"/>
        <v>0</v>
      </c>
      <c r="M613" s="369">
        <f t="shared" si="81"/>
        <v>0</v>
      </c>
      <c r="N613" s="459">
        <f t="shared" si="82"/>
        <v>0</v>
      </c>
    </row>
    <row r="614" spans="1:14" ht="13.2" customHeight="1" x14ac:dyDescent="0.3">
      <c r="A614" s="365">
        <f t="shared" si="83"/>
        <v>72</v>
      </c>
      <c r="B614" s="370" t="s">
        <v>1458</v>
      </c>
      <c r="C614" s="371"/>
      <c r="D614" s="371"/>
      <c r="E614" s="367" t="s">
        <v>399</v>
      </c>
      <c r="F614" s="527"/>
      <c r="G614" s="527"/>
      <c r="H614" s="539"/>
      <c r="I614" s="372">
        <f t="shared" si="79"/>
        <v>0</v>
      </c>
      <c r="J614" s="372"/>
      <c r="K614" s="372">
        <f>'RAB Pasang'!K614*60%</f>
        <v>18480</v>
      </c>
      <c r="L614" s="369">
        <f t="shared" si="80"/>
        <v>0</v>
      </c>
      <c r="M614" s="369">
        <f t="shared" si="81"/>
        <v>0</v>
      </c>
      <c r="N614" s="459">
        <f t="shared" si="82"/>
        <v>0</v>
      </c>
    </row>
    <row r="615" spans="1:14" ht="13.2" customHeight="1" x14ac:dyDescent="0.3">
      <c r="A615" s="365">
        <f t="shared" si="83"/>
        <v>73</v>
      </c>
      <c r="B615" s="370" t="s">
        <v>1617</v>
      </c>
      <c r="C615" s="371"/>
      <c r="D615" s="371"/>
      <c r="E615" s="367" t="s">
        <v>399</v>
      </c>
      <c r="F615" s="527"/>
      <c r="G615" s="527"/>
      <c r="H615" s="539"/>
      <c r="I615" s="372">
        <f t="shared" si="79"/>
        <v>0</v>
      </c>
      <c r="J615" s="372"/>
      <c r="K615" s="372">
        <f>'RAB Pasang'!K615*60%</f>
        <v>18480</v>
      </c>
      <c r="L615" s="369">
        <f t="shared" si="80"/>
        <v>0</v>
      </c>
      <c r="M615" s="369">
        <f t="shared" si="81"/>
        <v>0</v>
      </c>
      <c r="N615" s="459">
        <f t="shared" si="82"/>
        <v>0</v>
      </c>
    </row>
    <row r="616" spans="1:14" ht="13.2" customHeight="1" x14ac:dyDescent="0.3">
      <c r="A616" s="365">
        <f t="shared" si="83"/>
        <v>74</v>
      </c>
      <c r="B616" s="370" t="s">
        <v>1619</v>
      </c>
      <c r="C616" s="371"/>
      <c r="D616" s="371"/>
      <c r="E616" s="367" t="s">
        <v>399</v>
      </c>
      <c r="F616" s="527"/>
      <c r="G616" s="527"/>
      <c r="H616" s="539"/>
      <c r="I616" s="372">
        <f t="shared" si="79"/>
        <v>0</v>
      </c>
      <c r="J616" s="372"/>
      <c r="K616" s="372">
        <f>'RAB Pasang'!K616*60%</f>
        <v>18480</v>
      </c>
      <c r="L616" s="369">
        <f t="shared" si="80"/>
        <v>0</v>
      </c>
      <c r="M616" s="369">
        <f t="shared" si="81"/>
        <v>0</v>
      </c>
      <c r="N616" s="459">
        <f t="shared" si="82"/>
        <v>0</v>
      </c>
    </row>
    <row r="617" spans="1:14" ht="13.2" customHeight="1" x14ac:dyDescent="0.3">
      <c r="A617" s="365">
        <f t="shared" si="83"/>
        <v>75</v>
      </c>
      <c r="B617" s="370" t="s">
        <v>1621</v>
      </c>
      <c r="C617" s="371"/>
      <c r="D617" s="371"/>
      <c r="E617" s="367" t="s">
        <v>399</v>
      </c>
      <c r="F617" s="527"/>
      <c r="G617" s="527"/>
      <c r="H617" s="539"/>
      <c r="I617" s="372">
        <f t="shared" si="79"/>
        <v>0</v>
      </c>
      <c r="J617" s="372"/>
      <c r="K617" s="372">
        <f>'RAB Pasang'!K617*60%</f>
        <v>18480</v>
      </c>
      <c r="L617" s="369">
        <f t="shared" si="80"/>
        <v>0</v>
      </c>
      <c r="M617" s="369">
        <f t="shared" si="81"/>
        <v>0</v>
      </c>
      <c r="N617" s="459">
        <f t="shared" si="82"/>
        <v>0</v>
      </c>
    </row>
    <row r="618" spans="1:14" ht="13.2" customHeight="1" x14ac:dyDescent="0.3">
      <c r="A618" s="365">
        <f t="shared" si="83"/>
        <v>76</v>
      </c>
      <c r="B618" s="370" t="s">
        <v>1626</v>
      </c>
      <c r="C618" s="371"/>
      <c r="D618" s="371"/>
      <c r="E618" s="367" t="s">
        <v>399</v>
      </c>
      <c r="F618" s="527"/>
      <c r="G618" s="527"/>
      <c r="H618" s="539"/>
      <c r="I618" s="372">
        <f t="shared" si="79"/>
        <v>0</v>
      </c>
      <c r="J618" s="372"/>
      <c r="K618" s="372">
        <f>'RAB Pasang'!K618*60%</f>
        <v>18480</v>
      </c>
      <c r="L618" s="369">
        <f t="shared" si="80"/>
        <v>0</v>
      </c>
      <c r="M618" s="369">
        <f t="shared" si="81"/>
        <v>0</v>
      </c>
      <c r="N618" s="459">
        <f t="shared" si="82"/>
        <v>0</v>
      </c>
    </row>
    <row r="619" spans="1:14" ht="13.2" customHeight="1" x14ac:dyDescent="0.3">
      <c r="A619" s="365">
        <f t="shared" si="83"/>
        <v>77</v>
      </c>
      <c r="B619" s="370" t="s">
        <v>1624</v>
      </c>
      <c r="C619" s="371"/>
      <c r="D619" s="371"/>
      <c r="E619" s="367" t="s">
        <v>399</v>
      </c>
      <c r="F619" s="527"/>
      <c r="G619" s="527"/>
      <c r="H619" s="539"/>
      <c r="I619" s="372">
        <f t="shared" si="79"/>
        <v>0</v>
      </c>
      <c r="J619" s="372"/>
      <c r="K619" s="372">
        <f>'RAB Pasang'!K619*60%</f>
        <v>18480</v>
      </c>
      <c r="L619" s="369">
        <f t="shared" si="80"/>
        <v>0</v>
      </c>
      <c r="M619" s="369">
        <f t="shared" si="81"/>
        <v>0</v>
      </c>
      <c r="N619" s="459">
        <f t="shared" si="82"/>
        <v>0</v>
      </c>
    </row>
    <row r="620" spans="1:14" ht="13.2" customHeight="1" x14ac:dyDescent="0.3">
      <c r="A620" s="418">
        <f t="shared" si="83"/>
        <v>78</v>
      </c>
      <c r="B620" s="370" t="s">
        <v>1210</v>
      </c>
      <c r="C620" s="371"/>
      <c r="D620" s="371"/>
      <c r="E620" s="367" t="s">
        <v>399</v>
      </c>
      <c r="F620" s="527"/>
      <c r="G620" s="527"/>
      <c r="H620" s="539"/>
      <c r="I620" s="375">
        <f t="shared" si="79"/>
        <v>0</v>
      </c>
      <c r="J620" s="372"/>
      <c r="K620" s="372">
        <f>'RAB Pasang'!K620*60%</f>
        <v>73932</v>
      </c>
      <c r="L620" s="369">
        <f t="shared" si="80"/>
        <v>0</v>
      </c>
      <c r="M620" s="369">
        <f t="shared" si="81"/>
        <v>0</v>
      </c>
      <c r="N620" s="459">
        <f t="shared" si="82"/>
        <v>0</v>
      </c>
    </row>
    <row r="621" spans="1:14" ht="13.2" customHeight="1" x14ac:dyDescent="0.3">
      <c r="A621" s="418">
        <f t="shared" si="83"/>
        <v>79</v>
      </c>
      <c r="B621" s="370" t="s">
        <v>1211</v>
      </c>
      <c r="C621" s="371"/>
      <c r="D621" s="371"/>
      <c r="E621" s="367" t="s">
        <v>399</v>
      </c>
      <c r="F621" s="527"/>
      <c r="G621" s="527"/>
      <c r="H621" s="539"/>
      <c r="I621" s="375">
        <f t="shared" si="79"/>
        <v>0</v>
      </c>
      <c r="J621" s="372"/>
      <c r="K621" s="372">
        <f>'RAB Pasang'!K621*60%</f>
        <v>122250</v>
      </c>
      <c r="L621" s="369">
        <f t="shared" si="80"/>
        <v>0</v>
      </c>
      <c r="M621" s="369">
        <f t="shared" si="81"/>
        <v>0</v>
      </c>
      <c r="N621" s="459">
        <f t="shared" si="82"/>
        <v>0</v>
      </c>
    </row>
    <row r="622" spans="1:14" ht="15" customHeight="1" x14ac:dyDescent="0.3">
      <c r="A622" s="498"/>
      <c r="B622" s="497" t="s">
        <v>1716</v>
      </c>
      <c r="C622" s="487"/>
      <c r="D622" s="487"/>
      <c r="E622" s="488"/>
      <c r="F622" s="540"/>
      <c r="G622" s="540"/>
      <c r="H622" s="540"/>
      <c r="I622" s="489"/>
      <c r="J622" s="492"/>
      <c r="K622" s="492"/>
      <c r="L622" s="490">
        <f t="shared" ref="L622:N622" si="84">SUM(L543:L621)</f>
        <v>0</v>
      </c>
      <c r="M622" s="490">
        <f t="shared" si="84"/>
        <v>0</v>
      </c>
      <c r="N622" s="491">
        <f t="shared" si="84"/>
        <v>0</v>
      </c>
    </row>
    <row r="623" spans="1:14" ht="9" customHeight="1" x14ac:dyDescent="0.3">
      <c r="A623" s="419"/>
      <c r="B623" s="379"/>
      <c r="C623" s="380"/>
      <c r="D623" s="380"/>
      <c r="E623" s="395"/>
      <c r="F623" s="563"/>
      <c r="G623" s="563"/>
      <c r="H623" s="563"/>
      <c r="I623" s="467"/>
      <c r="J623" s="417"/>
      <c r="K623" s="417"/>
      <c r="L623" s="383"/>
      <c r="M623" s="383"/>
      <c r="N623" s="396"/>
    </row>
    <row r="624" spans="1:14" ht="15" customHeight="1" x14ac:dyDescent="0.3">
      <c r="A624" s="495" t="s">
        <v>1448</v>
      </c>
      <c r="B624" s="478" t="s">
        <v>1441</v>
      </c>
      <c r="C624" s="480"/>
      <c r="D624" s="480"/>
      <c r="E624" s="493"/>
      <c r="F624" s="568"/>
      <c r="G624" s="568"/>
      <c r="H624" s="568"/>
      <c r="I624" s="483"/>
      <c r="J624" s="494"/>
      <c r="K624" s="494"/>
      <c r="L624" s="484"/>
      <c r="M624" s="484"/>
      <c r="N624" s="496"/>
    </row>
    <row r="625" spans="1:14" ht="13.2" customHeight="1" x14ac:dyDescent="0.3">
      <c r="A625" s="365">
        <v>1</v>
      </c>
      <c r="B625" s="370" t="s">
        <v>788</v>
      </c>
      <c r="C625" s="371"/>
      <c r="D625" s="371"/>
      <c r="E625" s="367" t="s">
        <v>399</v>
      </c>
      <c r="F625" s="527"/>
      <c r="G625" s="527"/>
      <c r="H625" s="539"/>
      <c r="I625" s="372">
        <f t="shared" ref="I625:I654" si="85">SUM(F625:H625)</f>
        <v>0</v>
      </c>
      <c r="J625" s="372"/>
      <c r="K625" s="372">
        <f>'RAB Pasang'!K625*60%</f>
        <v>151620</v>
      </c>
      <c r="L625" s="387">
        <f t="shared" ref="L625:L654" si="86">J625*I625</f>
        <v>0</v>
      </c>
      <c r="M625" s="387">
        <f t="shared" ref="M625:M654" si="87">K625*I625</f>
        <v>0</v>
      </c>
      <c r="N625" s="422">
        <f t="shared" ref="N625:N654" si="88">SUM(L625:M625)</f>
        <v>0</v>
      </c>
    </row>
    <row r="626" spans="1:14" ht="13.2" customHeight="1" x14ac:dyDescent="0.3">
      <c r="A626" s="365">
        <f t="shared" ref="A626:A654" si="89">A625+1</f>
        <v>2</v>
      </c>
      <c r="B626" s="370" t="s">
        <v>790</v>
      </c>
      <c r="C626" s="371"/>
      <c r="D626" s="371"/>
      <c r="E626" s="367" t="s">
        <v>399</v>
      </c>
      <c r="F626" s="527"/>
      <c r="G626" s="527"/>
      <c r="H626" s="539"/>
      <c r="I626" s="372">
        <f t="shared" si="85"/>
        <v>0</v>
      </c>
      <c r="J626" s="372"/>
      <c r="K626" s="372">
        <f>'RAB Pasang'!K626*60%</f>
        <v>151620</v>
      </c>
      <c r="L626" s="387">
        <f t="shared" si="86"/>
        <v>0</v>
      </c>
      <c r="M626" s="387">
        <f t="shared" si="87"/>
        <v>0</v>
      </c>
      <c r="N626" s="422">
        <f t="shared" si="88"/>
        <v>0</v>
      </c>
    </row>
    <row r="627" spans="1:14" ht="13.2" customHeight="1" x14ac:dyDescent="0.3">
      <c r="A627" s="365">
        <f t="shared" si="89"/>
        <v>3</v>
      </c>
      <c r="B627" s="370" t="s">
        <v>794</v>
      </c>
      <c r="C627" s="371"/>
      <c r="D627" s="371"/>
      <c r="E627" s="367" t="s">
        <v>399</v>
      </c>
      <c r="F627" s="527"/>
      <c r="G627" s="527"/>
      <c r="H627" s="539"/>
      <c r="I627" s="372">
        <f t="shared" si="85"/>
        <v>0</v>
      </c>
      <c r="J627" s="372"/>
      <c r="K627" s="372">
        <f>'RAB Pasang'!K627*60%</f>
        <v>151620</v>
      </c>
      <c r="L627" s="387">
        <f t="shared" si="86"/>
        <v>0</v>
      </c>
      <c r="M627" s="387">
        <f t="shared" si="87"/>
        <v>0</v>
      </c>
      <c r="N627" s="422">
        <f t="shared" si="88"/>
        <v>0</v>
      </c>
    </row>
    <row r="628" spans="1:14" ht="13.2" customHeight="1" x14ac:dyDescent="0.3">
      <c r="A628" s="365">
        <f t="shared" si="89"/>
        <v>4</v>
      </c>
      <c r="B628" s="370" t="s">
        <v>798</v>
      </c>
      <c r="C628" s="371"/>
      <c r="D628" s="371"/>
      <c r="E628" s="367" t="s">
        <v>399</v>
      </c>
      <c r="F628" s="527"/>
      <c r="G628" s="527"/>
      <c r="H628" s="539"/>
      <c r="I628" s="372">
        <f t="shared" si="85"/>
        <v>0</v>
      </c>
      <c r="J628" s="372"/>
      <c r="K628" s="372">
        <f>'RAB Pasang'!K628*60%</f>
        <v>151620</v>
      </c>
      <c r="L628" s="387">
        <f t="shared" si="86"/>
        <v>0</v>
      </c>
      <c r="M628" s="387">
        <f t="shared" si="87"/>
        <v>0</v>
      </c>
      <c r="N628" s="422">
        <f t="shared" si="88"/>
        <v>0</v>
      </c>
    </row>
    <row r="629" spans="1:14" ht="13.2" customHeight="1" x14ac:dyDescent="0.3">
      <c r="A629" s="365">
        <f t="shared" si="89"/>
        <v>5</v>
      </c>
      <c r="B629" s="370" t="s">
        <v>799</v>
      </c>
      <c r="C629" s="371"/>
      <c r="D629" s="371"/>
      <c r="E629" s="367" t="s">
        <v>399</v>
      </c>
      <c r="F629" s="527"/>
      <c r="G629" s="527"/>
      <c r="H629" s="539"/>
      <c r="I629" s="372">
        <f t="shared" si="85"/>
        <v>0</v>
      </c>
      <c r="J629" s="372"/>
      <c r="K629" s="372">
        <f>'RAB Pasang'!K629*60%</f>
        <v>151620</v>
      </c>
      <c r="L629" s="387">
        <f t="shared" si="86"/>
        <v>0</v>
      </c>
      <c r="M629" s="387">
        <f t="shared" si="87"/>
        <v>0</v>
      </c>
      <c r="N629" s="422">
        <f t="shared" si="88"/>
        <v>0</v>
      </c>
    </row>
    <row r="630" spans="1:14" ht="13.2" customHeight="1" x14ac:dyDescent="0.3">
      <c r="A630" s="365">
        <f t="shared" si="89"/>
        <v>6</v>
      </c>
      <c r="B630" s="370" t="s">
        <v>828</v>
      </c>
      <c r="C630" s="371"/>
      <c r="D630" s="371"/>
      <c r="E630" s="367" t="s">
        <v>399</v>
      </c>
      <c r="F630" s="527"/>
      <c r="G630" s="527"/>
      <c r="H630" s="539"/>
      <c r="I630" s="372">
        <f t="shared" si="85"/>
        <v>0</v>
      </c>
      <c r="J630" s="372"/>
      <c r="K630" s="372">
        <f>'RAB Pasang'!K630*60%</f>
        <v>151620</v>
      </c>
      <c r="L630" s="387">
        <f t="shared" si="86"/>
        <v>0</v>
      </c>
      <c r="M630" s="387">
        <f t="shared" si="87"/>
        <v>0</v>
      </c>
      <c r="N630" s="422">
        <f t="shared" si="88"/>
        <v>0</v>
      </c>
    </row>
    <row r="631" spans="1:14" ht="13.2" customHeight="1" x14ac:dyDescent="0.3">
      <c r="A631" s="365">
        <f t="shared" si="89"/>
        <v>7</v>
      </c>
      <c r="B631" s="370" t="s">
        <v>829</v>
      </c>
      <c r="C631" s="371"/>
      <c r="D631" s="371"/>
      <c r="E631" s="367" t="s">
        <v>399</v>
      </c>
      <c r="F631" s="527"/>
      <c r="G631" s="527"/>
      <c r="H631" s="539"/>
      <c r="I631" s="372">
        <f t="shared" si="85"/>
        <v>0</v>
      </c>
      <c r="J631" s="372"/>
      <c r="K631" s="372">
        <f>'RAB Pasang'!K631*60%</f>
        <v>151620</v>
      </c>
      <c r="L631" s="387">
        <f t="shared" si="86"/>
        <v>0</v>
      </c>
      <c r="M631" s="387">
        <f t="shared" si="87"/>
        <v>0</v>
      </c>
      <c r="N631" s="422">
        <f t="shared" si="88"/>
        <v>0</v>
      </c>
    </row>
    <row r="632" spans="1:14" ht="13.2" customHeight="1" x14ac:dyDescent="0.3">
      <c r="A632" s="365">
        <f t="shared" si="89"/>
        <v>8</v>
      </c>
      <c r="B632" s="370" t="s">
        <v>830</v>
      </c>
      <c r="C632" s="371"/>
      <c r="D632" s="371"/>
      <c r="E632" s="367" t="s">
        <v>399</v>
      </c>
      <c r="F632" s="527"/>
      <c r="G632" s="527"/>
      <c r="H632" s="539"/>
      <c r="I632" s="372">
        <f t="shared" si="85"/>
        <v>0</v>
      </c>
      <c r="J632" s="372"/>
      <c r="K632" s="372">
        <f>'RAB Pasang'!K632*60%</f>
        <v>151620</v>
      </c>
      <c r="L632" s="387">
        <f t="shared" si="86"/>
        <v>0</v>
      </c>
      <c r="M632" s="387">
        <f t="shared" si="87"/>
        <v>0</v>
      </c>
      <c r="N632" s="422">
        <f t="shared" si="88"/>
        <v>0</v>
      </c>
    </row>
    <row r="633" spans="1:14" ht="13.2" customHeight="1" x14ac:dyDescent="0.3">
      <c r="A633" s="365">
        <f t="shared" si="89"/>
        <v>9</v>
      </c>
      <c r="B633" s="370" t="s">
        <v>831</v>
      </c>
      <c r="C633" s="371"/>
      <c r="D633" s="371"/>
      <c r="E633" s="367" t="s">
        <v>399</v>
      </c>
      <c r="F633" s="527"/>
      <c r="G633" s="527"/>
      <c r="H633" s="539"/>
      <c r="I633" s="372">
        <f t="shared" si="85"/>
        <v>0</v>
      </c>
      <c r="J633" s="372"/>
      <c r="K633" s="372">
        <f>'RAB Pasang'!K633*60%</f>
        <v>151620</v>
      </c>
      <c r="L633" s="387">
        <f t="shared" si="86"/>
        <v>0</v>
      </c>
      <c r="M633" s="387">
        <f t="shared" si="87"/>
        <v>0</v>
      </c>
      <c r="N633" s="422">
        <f t="shared" si="88"/>
        <v>0</v>
      </c>
    </row>
    <row r="634" spans="1:14" ht="13.2" customHeight="1" x14ac:dyDescent="0.3">
      <c r="A634" s="365">
        <f t="shared" si="89"/>
        <v>10</v>
      </c>
      <c r="B634" s="370" t="s">
        <v>832</v>
      </c>
      <c r="C634" s="371"/>
      <c r="D634" s="371"/>
      <c r="E634" s="367" t="s">
        <v>399</v>
      </c>
      <c r="F634" s="527"/>
      <c r="G634" s="527"/>
      <c r="H634" s="539"/>
      <c r="I634" s="372">
        <f t="shared" si="85"/>
        <v>0</v>
      </c>
      <c r="J634" s="372"/>
      <c r="K634" s="372">
        <f>'RAB Pasang'!K634*60%</f>
        <v>151620</v>
      </c>
      <c r="L634" s="387">
        <f t="shared" si="86"/>
        <v>0</v>
      </c>
      <c r="M634" s="387">
        <f t="shared" si="87"/>
        <v>0</v>
      </c>
      <c r="N634" s="422">
        <f t="shared" si="88"/>
        <v>0</v>
      </c>
    </row>
    <row r="635" spans="1:14" ht="13.2" customHeight="1" x14ac:dyDescent="0.3">
      <c r="A635" s="365">
        <f t="shared" si="89"/>
        <v>11</v>
      </c>
      <c r="B635" s="370" t="s">
        <v>803</v>
      </c>
      <c r="C635" s="371"/>
      <c r="D635" s="371"/>
      <c r="E635" s="367" t="s">
        <v>399</v>
      </c>
      <c r="F635" s="527"/>
      <c r="G635" s="539"/>
      <c r="H635" s="539"/>
      <c r="I635" s="372">
        <f t="shared" si="85"/>
        <v>0</v>
      </c>
      <c r="J635" s="372"/>
      <c r="K635" s="372">
        <f>'RAB Pasang'!K635*60%</f>
        <v>218898</v>
      </c>
      <c r="L635" s="387">
        <f t="shared" si="86"/>
        <v>0</v>
      </c>
      <c r="M635" s="387">
        <f t="shared" si="87"/>
        <v>0</v>
      </c>
      <c r="N635" s="422">
        <f t="shared" si="88"/>
        <v>0</v>
      </c>
    </row>
    <row r="636" spans="1:14" ht="13.2" customHeight="1" x14ac:dyDescent="0.3">
      <c r="A636" s="365">
        <f t="shared" si="89"/>
        <v>12</v>
      </c>
      <c r="B636" s="370" t="s">
        <v>815</v>
      </c>
      <c r="C636" s="371"/>
      <c r="D636" s="371"/>
      <c r="E636" s="367" t="s">
        <v>399</v>
      </c>
      <c r="F636" s="527"/>
      <c r="G636" s="539"/>
      <c r="H636" s="539"/>
      <c r="I636" s="372">
        <f t="shared" si="85"/>
        <v>0</v>
      </c>
      <c r="J636" s="372"/>
      <c r="K636" s="372">
        <f>'RAB Pasang'!K636*60%</f>
        <v>218898</v>
      </c>
      <c r="L636" s="387">
        <f t="shared" si="86"/>
        <v>0</v>
      </c>
      <c r="M636" s="387">
        <f t="shared" si="87"/>
        <v>0</v>
      </c>
      <c r="N636" s="422">
        <f t="shared" si="88"/>
        <v>0</v>
      </c>
    </row>
    <row r="637" spans="1:14" ht="13.2" customHeight="1" x14ac:dyDescent="0.3">
      <c r="A637" s="365">
        <f t="shared" si="89"/>
        <v>13</v>
      </c>
      <c r="B637" s="370" t="s">
        <v>816</v>
      </c>
      <c r="C637" s="371"/>
      <c r="D637" s="371"/>
      <c r="E637" s="367" t="s">
        <v>399</v>
      </c>
      <c r="F637" s="527"/>
      <c r="G637" s="539"/>
      <c r="H637" s="539"/>
      <c r="I637" s="372">
        <f t="shared" si="85"/>
        <v>0</v>
      </c>
      <c r="J637" s="372"/>
      <c r="K637" s="372">
        <f>'RAB Pasang'!K637*60%</f>
        <v>218898</v>
      </c>
      <c r="L637" s="387">
        <f t="shared" si="86"/>
        <v>0</v>
      </c>
      <c r="M637" s="387">
        <f t="shared" si="87"/>
        <v>0</v>
      </c>
      <c r="N637" s="422">
        <f t="shared" si="88"/>
        <v>0</v>
      </c>
    </row>
    <row r="638" spans="1:14" ht="13.2" customHeight="1" x14ac:dyDescent="0.3">
      <c r="A638" s="365">
        <f t="shared" si="89"/>
        <v>14</v>
      </c>
      <c r="B638" s="370" t="s">
        <v>817</v>
      </c>
      <c r="C638" s="371"/>
      <c r="D638" s="371"/>
      <c r="E638" s="367" t="s">
        <v>399</v>
      </c>
      <c r="F638" s="527"/>
      <c r="G638" s="539"/>
      <c r="H638" s="539"/>
      <c r="I638" s="372">
        <f t="shared" si="85"/>
        <v>0</v>
      </c>
      <c r="J638" s="372"/>
      <c r="K638" s="372">
        <f>'RAB Pasang'!K638*60%</f>
        <v>218898</v>
      </c>
      <c r="L638" s="387">
        <f t="shared" si="86"/>
        <v>0</v>
      </c>
      <c r="M638" s="387">
        <f t="shared" si="87"/>
        <v>0</v>
      </c>
      <c r="N638" s="422">
        <f t="shared" si="88"/>
        <v>0</v>
      </c>
    </row>
    <row r="639" spans="1:14" ht="13.2" customHeight="1" x14ac:dyDescent="0.3">
      <c r="A639" s="365">
        <f t="shared" si="89"/>
        <v>15</v>
      </c>
      <c r="B639" s="370" t="s">
        <v>818</v>
      </c>
      <c r="C639" s="371"/>
      <c r="D639" s="371"/>
      <c r="E639" s="367" t="s">
        <v>399</v>
      </c>
      <c r="F639" s="527"/>
      <c r="G639" s="539"/>
      <c r="H639" s="539"/>
      <c r="I639" s="372">
        <f t="shared" si="85"/>
        <v>0</v>
      </c>
      <c r="J639" s="372"/>
      <c r="K639" s="372">
        <f>'RAB Pasang'!K639*60%</f>
        <v>218898</v>
      </c>
      <c r="L639" s="387">
        <f t="shared" si="86"/>
        <v>0</v>
      </c>
      <c r="M639" s="387">
        <f t="shared" si="87"/>
        <v>0</v>
      </c>
      <c r="N639" s="422">
        <f t="shared" si="88"/>
        <v>0</v>
      </c>
    </row>
    <row r="640" spans="1:14" ht="13.2" customHeight="1" x14ac:dyDescent="0.3">
      <c r="A640" s="365">
        <f t="shared" si="89"/>
        <v>16</v>
      </c>
      <c r="B640" s="370" t="s">
        <v>819</v>
      </c>
      <c r="C640" s="371"/>
      <c r="D640" s="371"/>
      <c r="E640" s="367" t="s">
        <v>399</v>
      </c>
      <c r="F640" s="527"/>
      <c r="G640" s="527"/>
      <c r="H640" s="539"/>
      <c r="I640" s="372">
        <f t="shared" si="85"/>
        <v>0</v>
      </c>
      <c r="J640" s="372"/>
      <c r="K640" s="372">
        <f>'RAB Pasang'!K640*60%</f>
        <v>218898</v>
      </c>
      <c r="L640" s="387">
        <f t="shared" si="86"/>
        <v>0</v>
      </c>
      <c r="M640" s="387">
        <f t="shared" si="87"/>
        <v>0</v>
      </c>
      <c r="N640" s="422">
        <f t="shared" si="88"/>
        <v>0</v>
      </c>
    </row>
    <row r="641" spans="1:14" ht="13.2" customHeight="1" x14ac:dyDescent="0.3">
      <c r="A641" s="365">
        <f t="shared" si="89"/>
        <v>17</v>
      </c>
      <c r="B641" s="370" t="s">
        <v>824</v>
      </c>
      <c r="C641" s="371"/>
      <c r="D641" s="371"/>
      <c r="E641" s="367" t="s">
        <v>399</v>
      </c>
      <c r="F641" s="527"/>
      <c r="G641" s="527"/>
      <c r="H641" s="539"/>
      <c r="I641" s="372">
        <f t="shared" si="85"/>
        <v>0</v>
      </c>
      <c r="J641" s="372"/>
      <c r="K641" s="372">
        <f>'RAB Pasang'!K641*60%</f>
        <v>218898</v>
      </c>
      <c r="L641" s="387">
        <f t="shared" si="86"/>
        <v>0</v>
      </c>
      <c r="M641" s="387">
        <f t="shared" si="87"/>
        <v>0</v>
      </c>
      <c r="N641" s="422">
        <f t="shared" si="88"/>
        <v>0</v>
      </c>
    </row>
    <row r="642" spans="1:14" ht="13.2" customHeight="1" x14ac:dyDescent="0.3">
      <c r="A642" s="365">
        <f t="shared" si="89"/>
        <v>18</v>
      </c>
      <c r="B642" s="370" t="s">
        <v>825</v>
      </c>
      <c r="C642" s="371"/>
      <c r="D642" s="371"/>
      <c r="E642" s="367" t="s">
        <v>399</v>
      </c>
      <c r="F642" s="527"/>
      <c r="G642" s="527"/>
      <c r="H642" s="539"/>
      <c r="I642" s="372">
        <f t="shared" si="85"/>
        <v>0</v>
      </c>
      <c r="J642" s="372"/>
      <c r="K642" s="372">
        <f>'RAB Pasang'!K642*60%</f>
        <v>218898</v>
      </c>
      <c r="L642" s="387">
        <f t="shared" si="86"/>
        <v>0</v>
      </c>
      <c r="M642" s="387">
        <f t="shared" si="87"/>
        <v>0</v>
      </c>
      <c r="N642" s="422">
        <f t="shared" si="88"/>
        <v>0</v>
      </c>
    </row>
    <row r="643" spans="1:14" ht="13.2" customHeight="1" x14ac:dyDescent="0.3">
      <c r="A643" s="365">
        <f t="shared" si="89"/>
        <v>19</v>
      </c>
      <c r="B643" s="370" t="s">
        <v>826</v>
      </c>
      <c r="C643" s="371"/>
      <c r="D643" s="371"/>
      <c r="E643" s="367" t="s">
        <v>399</v>
      </c>
      <c r="F643" s="527"/>
      <c r="G643" s="527"/>
      <c r="H643" s="539"/>
      <c r="I643" s="372">
        <f t="shared" si="85"/>
        <v>0</v>
      </c>
      <c r="J643" s="372"/>
      <c r="K643" s="372">
        <f>'RAB Pasang'!K643*60%</f>
        <v>218898</v>
      </c>
      <c r="L643" s="387">
        <f t="shared" si="86"/>
        <v>0</v>
      </c>
      <c r="M643" s="387">
        <f t="shared" si="87"/>
        <v>0</v>
      </c>
      <c r="N643" s="422">
        <f t="shared" si="88"/>
        <v>0</v>
      </c>
    </row>
    <row r="644" spans="1:14" ht="13.2" customHeight="1" x14ac:dyDescent="0.3">
      <c r="A644" s="365">
        <f t="shared" si="89"/>
        <v>20</v>
      </c>
      <c r="B644" s="370" t="s">
        <v>827</v>
      </c>
      <c r="C644" s="371"/>
      <c r="D644" s="371"/>
      <c r="E644" s="367" t="s">
        <v>399</v>
      </c>
      <c r="F644" s="527"/>
      <c r="G644" s="527"/>
      <c r="H644" s="539"/>
      <c r="I644" s="372">
        <f t="shared" si="85"/>
        <v>0</v>
      </c>
      <c r="J644" s="372"/>
      <c r="K644" s="372">
        <f>'RAB Pasang'!K644*60%</f>
        <v>218898</v>
      </c>
      <c r="L644" s="387">
        <f t="shared" si="86"/>
        <v>0</v>
      </c>
      <c r="M644" s="387">
        <f t="shared" si="87"/>
        <v>0</v>
      </c>
      <c r="N644" s="422">
        <f t="shared" si="88"/>
        <v>0</v>
      </c>
    </row>
    <row r="645" spans="1:14" ht="13.2" customHeight="1" x14ac:dyDescent="0.3">
      <c r="A645" s="365">
        <f t="shared" si="89"/>
        <v>21</v>
      </c>
      <c r="B645" s="370" t="s">
        <v>1036</v>
      </c>
      <c r="C645" s="371"/>
      <c r="D645" s="371"/>
      <c r="E645" s="367" t="s">
        <v>399</v>
      </c>
      <c r="F645" s="527"/>
      <c r="G645" s="527"/>
      <c r="H645" s="539"/>
      <c r="I645" s="372">
        <f t="shared" si="85"/>
        <v>0</v>
      </c>
      <c r="J645" s="372"/>
      <c r="K645" s="372">
        <f>'RAB Pasang'!K645*60%</f>
        <v>357582</v>
      </c>
      <c r="L645" s="387">
        <f t="shared" si="86"/>
        <v>0</v>
      </c>
      <c r="M645" s="387">
        <f t="shared" si="87"/>
        <v>0</v>
      </c>
      <c r="N645" s="422">
        <f t="shared" si="88"/>
        <v>0</v>
      </c>
    </row>
    <row r="646" spans="1:14" ht="13.2" customHeight="1" x14ac:dyDescent="0.3">
      <c r="A646" s="365">
        <f t="shared" si="89"/>
        <v>22</v>
      </c>
      <c r="B646" s="370" t="s">
        <v>1037</v>
      </c>
      <c r="C646" s="371"/>
      <c r="D646" s="371"/>
      <c r="E646" s="367" t="s">
        <v>399</v>
      </c>
      <c r="F646" s="527"/>
      <c r="G646" s="527"/>
      <c r="H646" s="539"/>
      <c r="I646" s="372">
        <f t="shared" si="85"/>
        <v>0</v>
      </c>
      <c r="J646" s="372"/>
      <c r="K646" s="372">
        <f>'RAB Pasang'!K646*60%</f>
        <v>357582</v>
      </c>
      <c r="L646" s="387">
        <f t="shared" si="86"/>
        <v>0</v>
      </c>
      <c r="M646" s="387">
        <f t="shared" si="87"/>
        <v>0</v>
      </c>
      <c r="N646" s="422">
        <f t="shared" si="88"/>
        <v>0</v>
      </c>
    </row>
    <row r="647" spans="1:14" ht="13.2" customHeight="1" x14ac:dyDescent="0.3">
      <c r="A647" s="365">
        <f t="shared" si="89"/>
        <v>23</v>
      </c>
      <c r="B647" s="370" t="s">
        <v>1045</v>
      </c>
      <c r="C647" s="371"/>
      <c r="D647" s="371"/>
      <c r="E647" s="367" t="s">
        <v>399</v>
      </c>
      <c r="F647" s="527"/>
      <c r="G647" s="527"/>
      <c r="H647" s="539"/>
      <c r="I647" s="372">
        <f t="shared" si="85"/>
        <v>0</v>
      </c>
      <c r="J647" s="372"/>
      <c r="K647" s="372">
        <f>'RAB Pasang'!K647*60%</f>
        <v>357582</v>
      </c>
      <c r="L647" s="387">
        <f t="shared" si="86"/>
        <v>0</v>
      </c>
      <c r="M647" s="387">
        <f t="shared" si="87"/>
        <v>0</v>
      </c>
      <c r="N647" s="422">
        <f t="shared" si="88"/>
        <v>0</v>
      </c>
    </row>
    <row r="648" spans="1:14" ht="13.2" customHeight="1" x14ac:dyDescent="0.3">
      <c r="A648" s="365">
        <f t="shared" si="89"/>
        <v>24</v>
      </c>
      <c r="B648" s="370" t="s">
        <v>1038</v>
      </c>
      <c r="C648" s="371"/>
      <c r="D648" s="371"/>
      <c r="E648" s="367" t="s">
        <v>399</v>
      </c>
      <c r="F648" s="527"/>
      <c r="G648" s="527"/>
      <c r="H648" s="539"/>
      <c r="I648" s="372">
        <f t="shared" si="85"/>
        <v>0</v>
      </c>
      <c r="J648" s="372"/>
      <c r="K648" s="372">
        <f>'RAB Pasang'!K648*60%</f>
        <v>357582</v>
      </c>
      <c r="L648" s="387">
        <f t="shared" si="86"/>
        <v>0</v>
      </c>
      <c r="M648" s="387">
        <f t="shared" si="87"/>
        <v>0</v>
      </c>
      <c r="N648" s="422">
        <f t="shared" si="88"/>
        <v>0</v>
      </c>
    </row>
    <row r="649" spans="1:14" ht="13.2" customHeight="1" x14ac:dyDescent="0.3">
      <c r="A649" s="365">
        <f t="shared" si="89"/>
        <v>25</v>
      </c>
      <c r="B649" s="370" t="s">
        <v>1039</v>
      </c>
      <c r="C649" s="371"/>
      <c r="D649" s="371"/>
      <c r="E649" s="367" t="s">
        <v>399</v>
      </c>
      <c r="F649" s="527"/>
      <c r="G649" s="527"/>
      <c r="H649" s="539"/>
      <c r="I649" s="372">
        <f t="shared" si="85"/>
        <v>0</v>
      </c>
      <c r="J649" s="372"/>
      <c r="K649" s="372">
        <f>'RAB Pasang'!K649*60%</f>
        <v>357582</v>
      </c>
      <c r="L649" s="387">
        <f t="shared" si="86"/>
        <v>0</v>
      </c>
      <c r="M649" s="387">
        <f t="shared" si="87"/>
        <v>0</v>
      </c>
      <c r="N649" s="422">
        <f t="shared" si="88"/>
        <v>0</v>
      </c>
    </row>
    <row r="650" spans="1:14" ht="13.2" customHeight="1" x14ac:dyDescent="0.3">
      <c r="A650" s="365">
        <f t="shared" si="89"/>
        <v>26</v>
      </c>
      <c r="B650" s="370" t="s">
        <v>1040</v>
      </c>
      <c r="C650" s="371"/>
      <c r="D650" s="371"/>
      <c r="E650" s="367" t="s">
        <v>399</v>
      </c>
      <c r="F650" s="527"/>
      <c r="G650" s="527"/>
      <c r="H650" s="539"/>
      <c r="I650" s="372">
        <f t="shared" si="85"/>
        <v>0</v>
      </c>
      <c r="J650" s="372"/>
      <c r="K650" s="372">
        <f>'RAB Pasang'!K650*60%</f>
        <v>306498</v>
      </c>
      <c r="L650" s="387">
        <f t="shared" si="86"/>
        <v>0</v>
      </c>
      <c r="M650" s="387">
        <f t="shared" si="87"/>
        <v>0</v>
      </c>
      <c r="N650" s="422">
        <f t="shared" si="88"/>
        <v>0</v>
      </c>
    </row>
    <row r="651" spans="1:14" ht="13.2" customHeight="1" x14ac:dyDescent="0.3">
      <c r="A651" s="365">
        <f t="shared" si="89"/>
        <v>27</v>
      </c>
      <c r="B651" s="370" t="s">
        <v>1041</v>
      </c>
      <c r="C651" s="371"/>
      <c r="D651" s="371"/>
      <c r="E651" s="367" t="s">
        <v>399</v>
      </c>
      <c r="F651" s="527"/>
      <c r="G651" s="527"/>
      <c r="H651" s="539"/>
      <c r="I651" s="372">
        <f t="shared" si="85"/>
        <v>0</v>
      </c>
      <c r="J651" s="372"/>
      <c r="K651" s="372">
        <f>'RAB Pasang'!K651*60%</f>
        <v>306498</v>
      </c>
      <c r="L651" s="387">
        <f t="shared" si="86"/>
        <v>0</v>
      </c>
      <c r="M651" s="387">
        <f t="shared" si="87"/>
        <v>0</v>
      </c>
      <c r="N651" s="422">
        <f t="shared" si="88"/>
        <v>0</v>
      </c>
    </row>
    <row r="652" spans="1:14" ht="13.2" customHeight="1" x14ac:dyDescent="0.3">
      <c r="A652" s="365">
        <f t="shared" si="89"/>
        <v>28</v>
      </c>
      <c r="B652" s="370" t="s">
        <v>1042</v>
      </c>
      <c r="C652" s="371"/>
      <c r="D652" s="371"/>
      <c r="E652" s="367" t="s">
        <v>399</v>
      </c>
      <c r="F652" s="527"/>
      <c r="G652" s="527"/>
      <c r="H652" s="539"/>
      <c r="I652" s="372">
        <f t="shared" si="85"/>
        <v>0</v>
      </c>
      <c r="J652" s="372"/>
      <c r="K652" s="372">
        <f>'RAB Pasang'!K652*60%</f>
        <v>306498</v>
      </c>
      <c r="L652" s="387">
        <f t="shared" si="86"/>
        <v>0</v>
      </c>
      <c r="M652" s="387">
        <f t="shared" si="87"/>
        <v>0</v>
      </c>
      <c r="N652" s="422">
        <f t="shared" si="88"/>
        <v>0</v>
      </c>
    </row>
    <row r="653" spans="1:14" ht="13.2" customHeight="1" x14ac:dyDescent="0.3">
      <c r="A653" s="365">
        <f t="shared" si="89"/>
        <v>29</v>
      </c>
      <c r="B653" s="370" t="s">
        <v>1043</v>
      </c>
      <c r="C653" s="371"/>
      <c r="D653" s="371"/>
      <c r="E653" s="367" t="s">
        <v>399</v>
      </c>
      <c r="F653" s="527"/>
      <c r="G653" s="527"/>
      <c r="H653" s="539"/>
      <c r="I653" s="372">
        <f t="shared" si="85"/>
        <v>0</v>
      </c>
      <c r="J653" s="372"/>
      <c r="K653" s="372">
        <f>'RAB Pasang'!K653*60%</f>
        <v>306498</v>
      </c>
      <c r="L653" s="387">
        <f t="shared" si="86"/>
        <v>0</v>
      </c>
      <c r="M653" s="387">
        <f t="shared" si="87"/>
        <v>0</v>
      </c>
      <c r="N653" s="422">
        <f t="shared" si="88"/>
        <v>0</v>
      </c>
    </row>
    <row r="654" spans="1:14" ht="13.2" customHeight="1" x14ac:dyDescent="0.3">
      <c r="A654" s="365">
        <f t="shared" si="89"/>
        <v>30</v>
      </c>
      <c r="B654" s="370" t="s">
        <v>1044</v>
      </c>
      <c r="C654" s="371"/>
      <c r="D654" s="371"/>
      <c r="E654" s="367" t="s">
        <v>399</v>
      </c>
      <c r="F654" s="527"/>
      <c r="G654" s="527"/>
      <c r="H654" s="539"/>
      <c r="I654" s="372">
        <f t="shared" si="85"/>
        <v>0</v>
      </c>
      <c r="J654" s="372"/>
      <c r="K654" s="372">
        <f>'RAB Pasang'!K654*60%</f>
        <v>306498</v>
      </c>
      <c r="L654" s="387">
        <f t="shared" si="86"/>
        <v>0</v>
      </c>
      <c r="M654" s="387">
        <f t="shared" si="87"/>
        <v>0</v>
      </c>
      <c r="N654" s="422">
        <f t="shared" si="88"/>
        <v>0</v>
      </c>
    </row>
    <row r="655" spans="1:14" ht="14.4" customHeight="1" x14ac:dyDescent="0.3">
      <c r="A655" s="485"/>
      <c r="B655" s="497" t="s">
        <v>1715</v>
      </c>
      <c r="C655" s="487"/>
      <c r="D655" s="487"/>
      <c r="E655" s="488"/>
      <c r="F655" s="492"/>
      <c r="G655" s="492"/>
      <c r="H655" s="492"/>
      <c r="I655" s="543"/>
      <c r="J655" s="492"/>
      <c r="K655" s="492"/>
      <c r="L655" s="490">
        <f t="shared" ref="L655:N655" si="90">SUM(L625:L654)</f>
        <v>0</v>
      </c>
      <c r="M655" s="490">
        <f t="shared" si="90"/>
        <v>0</v>
      </c>
      <c r="N655" s="491">
        <f t="shared" si="90"/>
        <v>0</v>
      </c>
    </row>
    <row r="657" spans="1:14" ht="15" customHeight="1" x14ac:dyDescent="0.3">
      <c r="A657" s="495" t="s">
        <v>618</v>
      </c>
      <c r="B657" s="478" t="s">
        <v>1449</v>
      </c>
      <c r="C657" s="480"/>
      <c r="D657" s="480"/>
      <c r="E657" s="493"/>
      <c r="F657" s="579"/>
      <c r="G657" s="579"/>
      <c r="H657" s="579"/>
      <c r="I657" s="494"/>
      <c r="J657" s="494"/>
      <c r="K657" s="494"/>
      <c r="L657" s="484"/>
      <c r="M657" s="484"/>
      <c r="N657" s="496"/>
    </row>
    <row r="658" spans="1:14" ht="13.2" customHeight="1" x14ac:dyDescent="0.3">
      <c r="A658" s="365">
        <v>1</v>
      </c>
      <c r="B658" s="370" t="s">
        <v>1236</v>
      </c>
      <c r="C658" s="371"/>
      <c r="D658" s="371"/>
      <c r="E658" s="367" t="s">
        <v>399</v>
      </c>
      <c r="F658" s="527"/>
      <c r="G658" s="539"/>
      <c r="H658" s="539"/>
      <c r="I658" s="372">
        <f t="shared" ref="I658:I721" si="91">SUM(F658:H658)</f>
        <v>0</v>
      </c>
      <c r="J658" s="372"/>
      <c r="K658" s="372">
        <f>'RAB Pasang'!K658*60%</f>
        <v>106890</v>
      </c>
      <c r="L658" s="387">
        <f t="shared" ref="L658:L721" si="92">J658*I658</f>
        <v>0</v>
      </c>
      <c r="M658" s="387">
        <f t="shared" ref="M658:M721" si="93">K658*I658</f>
        <v>0</v>
      </c>
      <c r="N658" s="422">
        <f t="shared" ref="N658:N721" si="94">SUM(L658:M658)</f>
        <v>0</v>
      </c>
    </row>
    <row r="659" spans="1:14" ht="13.2" customHeight="1" x14ac:dyDescent="0.3">
      <c r="A659" s="365">
        <f>A658+1</f>
        <v>2</v>
      </c>
      <c r="B659" s="370" t="s">
        <v>1243</v>
      </c>
      <c r="C659" s="371"/>
      <c r="D659" s="371"/>
      <c r="E659" s="367" t="s">
        <v>399</v>
      </c>
      <c r="F659" s="527"/>
      <c r="G659" s="539"/>
      <c r="H659" s="539"/>
      <c r="I659" s="372">
        <f t="shared" si="91"/>
        <v>0</v>
      </c>
      <c r="J659" s="372"/>
      <c r="K659" s="372">
        <f>'RAB Pasang'!K659*60%</f>
        <v>106890</v>
      </c>
      <c r="L659" s="387">
        <f t="shared" si="92"/>
        <v>0</v>
      </c>
      <c r="M659" s="387">
        <f t="shared" si="93"/>
        <v>0</v>
      </c>
      <c r="N659" s="422">
        <f t="shared" si="94"/>
        <v>0</v>
      </c>
    </row>
    <row r="660" spans="1:14" ht="13.2" customHeight="1" x14ac:dyDescent="0.3">
      <c r="A660" s="365">
        <f t="shared" ref="A660:A723" si="95">A659+1</f>
        <v>3</v>
      </c>
      <c r="B660" s="370" t="s">
        <v>1244</v>
      </c>
      <c r="C660" s="371"/>
      <c r="D660" s="371"/>
      <c r="E660" s="367" t="s">
        <v>399</v>
      </c>
      <c r="F660" s="527"/>
      <c r="G660" s="539"/>
      <c r="H660" s="539"/>
      <c r="I660" s="372">
        <f t="shared" si="91"/>
        <v>0</v>
      </c>
      <c r="J660" s="372"/>
      <c r="K660" s="372">
        <f>'RAB Pasang'!K660*60%</f>
        <v>106890</v>
      </c>
      <c r="L660" s="387">
        <f t="shared" si="92"/>
        <v>0</v>
      </c>
      <c r="M660" s="387">
        <f t="shared" si="93"/>
        <v>0</v>
      </c>
      <c r="N660" s="422">
        <f t="shared" si="94"/>
        <v>0</v>
      </c>
    </row>
    <row r="661" spans="1:14" ht="13.2" customHeight="1" x14ac:dyDescent="0.3">
      <c r="A661" s="365">
        <f t="shared" si="95"/>
        <v>4</v>
      </c>
      <c r="B661" s="370" t="s">
        <v>1245</v>
      </c>
      <c r="C661" s="371"/>
      <c r="D661" s="371"/>
      <c r="E661" s="367" t="s">
        <v>399</v>
      </c>
      <c r="F661" s="527"/>
      <c r="G661" s="539"/>
      <c r="H661" s="539"/>
      <c r="I661" s="372">
        <f t="shared" si="91"/>
        <v>0</v>
      </c>
      <c r="J661" s="372"/>
      <c r="K661" s="372">
        <f>'RAB Pasang'!K661*60%</f>
        <v>106890</v>
      </c>
      <c r="L661" s="387">
        <f t="shared" si="92"/>
        <v>0</v>
      </c>
      <c r="M661" s="387">
        <f t="shared" si="93"/>
        <v>0</v>
      </c>
      <c r="N661" s="422">
        <f t="shared" si="94"/>
        <v>0</v>
      </c>
    </row>
    <row r="662" spans="1:14" ht="13.2" customHeight="1" x14ac:dyDescent="0.3">
      <c r="A662" s="365">
        <f t="shared" si="95"/>
        <v>5</v>
      </c>
      <c r="B662" s="370" t="s">
        <v>1246</v>
      </c>
      <c r="C662" s="371"/>
      <c r="D662" s="371"/>
      <c r="E662" s="367" t="s">
        <v>399</v>
      </c>
      <c r="F662" s="527"/>
      <c r="G662" s="539"/>
      <c r="H662" s="539"/>
      <c r="I662" s="372">
        <f t="shared" si="91"/>
        <v>0</v>
      </c>
      <c r="J662" s="372"/>
      <c r="K662" s="372">
        <f>'RAB Pasang'!K662*60%</f>
        <v>106890</v>
      </c>
      <c r="L662" s="387">
        <f t="shared" si="92"/>
        <v>0</v>
      </c>
      <c r="M662" s="387">
        <f t="shared" si="93"/>
        <v>0</v>
      </c>
      <c r="N662" s="422">
        <f t="shared" si="94"/>
        <v>0</v>
      </c>
    </row>
    <row r="663" spans="1:14" ht="13.2" customHeight="1" x14ac:dyDescent="0.3">
      <c r="A663" s="365">
        <f t="shared" si="95"/>
        <v>6</v>
      </c>
      <c r="B663" s="370" t="s">
        <v>2297</v>
      </c>
      <c r="C663" s="371"/>
      <c r="D663" s="371"/>
      <c r="E663" s="367" t="s">
        <v>399</v>
      </c>
      <c r="F663" s="527"/>
      <c r="G663" s="539"/>
      <c r="H663" s="539"/>
      <c r="I663" s="372">
        <f t="shared" si="91"/>
        <v>0</v>
      </c>
      <c r="J663" s="372"/>
      <c r="K663" s="372">
        <f>'RAB Pasang'!K663*60%</f>
        <v>133608</v>
      </c>
      <c r="L663" s="387">
        <f t="shared" si="92"/>
        <v>0</v>
      </c>
      <c r="M663" s="387">
        <f t="shared" si="93"/>
        <v>0</v>
      </c>
      <c r="N663" s="422">
        <f t="shared" si="94"/>
        <v>0</v>
      </c>
    </row>
    <row r="664" spans="1:14" ht="13.2" customHeight="1" x14ac:dyDescent="0.3">
      <c r="A664" s="365">
        <f t="shared" si="95"/>
        <v>7</v>
      </c>
      <c r="B664" s="370" t="s">
        <v>2298</v>
      </c>
      <c r="C664" s="371"/>
      <c r="D664" s="371"/>
      <c r="E664" s="367" t="s">
        <v>399</v>
      </c>
      <c r="F664" s="527"/>
      <c r="G664" s="539"/>
      <c r="H664" s="539"/>
      <c r="I664" s="372">
        <f t="shared" si="91"/>
        <v>0</v>
      </c>
      <c r="J664" s="372"/>
      <c r="K664" s="372">
        <f>'RAB Pasang'!K664*60%</f>
        <v>133608</v>
      </c>
      <c r="L664" s="387">
        <f t="shared" si="92"/>
        <v>0</v>
      </c>
      <c r="M664" s="387">
        <f t="shared" si="93"/>
        <v>0</v>
      </c>
      <c r="N664" s="422">
        <f t="shared" si="94"/>
        <v>0</v>
      </c>
    </row>
    <row r="665" spans="1:14" ht="13.2" customHeight="1" x14ac:dyDescent="0.3">
      <c r="A665" s="365">
        <f t="shared" si="95"/>
        <v>8</v>
      </c>
      <c r="B665" s="370" t="s">
        <v>2036</v>
      </c>
      <c r="C665" s="371"/>
      <c r="D665" s="371"/>
      <c r="E665" s="367" t="s">
        <v>399</v>
      </c>
      <c r="F665" s="527"/>
      <c r="G665" s="539"/>
      <c r="H665" s="539"/>
      <c r="I665" s="372">
        <f t="shared" si="91"/>
        <v>0</v>
      </c>
      <c r="J665" s="372"/>
      <c r="K665" s="372">
        <f>'RAB Pasang'!K665*60%</f>
        <v>133608</v>
      </c>
      <c r="L665" s="387">
        <f t="shared" si="92"/>
        <v>0</v>
      </c>
      <c r="M665" s="387">
        <f t="shared" si="93"/>
        <v>0</v>
      </c>
      <c r="N665" s="422">
        <f t="shared" si="94"/>
        <v>0</v>
      </c>
    </row>
    <row r="666" spans="1:14" ht="13.2" customHeight="1" x14ac:dyDescent="0.3">
      <c r="A666" s="365">
        <f t="shared" si="95"/>
        <v>9</v>
      </c>
      <c r="B666" s="370" t="s">
        <v>2037</v>
      </c>
      <c r="C666" s="371"/>
      <c r="D666" s="371"/>
      <c r="E666" s="367" t="s">
        <v>399</v>
      </c>
      <c r="F666" s="527"/>
      <c r="G666" s="539"/>
      <c r="H666" s="539"/>
      <c r="I666" s="372">
        <f t="shared" si="91"/>
        <v>0</v>
      </c>
      <c r="J666" s="372"/>
      <c r="K666" s="372">
        <f>'RAB Pasang'!K666*60%</f>
        <v>133608</v>
      </c>
      <c r="L666" s="387">
        <f t="shared" si="92"/>
        <v>0</v>
      </c>
      <c r="M666" s="387">
        <f t="shared" si="93"/>
        <v>0</v>
      </c>
      <c r="N666" s="422">
        <f t="shared" si="94"/>
        <v>0</v>
      </c>
    </row>
    <row r="667" spans="1:14" ht="13.2" customHeight="1" x14ac:dyDescent="0.3">
      <c r="A667" s="365">
        <f t="shared" si="95"/>
        <v>10</v>
      </c>
      <c r="B667" s="370" t="s">
        <v>2038</v>
      </c>
      <c r="C667" s="371"/>
      <c r="D667" s="371"/>
      <c r="E667" s="367" t="s">
        <v>399</v>
      </c>
      <c r="F667" s="527"/>
      <c r="G667" s="539"/>
      <c r="H667" s="539"/>
      <c r="I667" s="372">
        <f t="shared" si="91"/>
        <v>0</v>
      </c>
      <c r="J667" s="372"/>
      <c r="K667" s="372">
        <f>'RAB Pasang'!K667*60%</f>
        <v>133608</v>
      </c>
      <c r="L667" s="387">
        <f t="shared" si="92"/>
        <v>0</v>
      </c>
      <c r="M667" s="387">
        <f t="shared" si="93"/>
        <v>0</v>
      </c>
      <c r="N667" s="422">
        <f t="shared" si="94"/>
        <v>0</v>
      </c>
    </row>
    <row r="668" spans="1:14" ht="13.2" customHeight="1" x14ac:dyDescent="0.3">
      <c r="A668" s="365">
        <f t="shared" si="95"/>
        <v>11</v>
      </c>
      <c r="B668" s="370" t="s">
        <v>2039</v>
      </c>
      <c r="C668" s="371"/>
      <c r="D668" s="371"/>
      <c r="E668" s="367" t="s">
        <v>399</v>
      </c>
      <c r="F668" s="527"/>
      <c r="G668" s="539"/>
      <c r="H668" s="539"/>
      <c r="I668" s="372">
        <f t="shared" si="91"/>
        <v>0</v>
      </c>
      <c r="J668" s="372"/>
      <c r="K668" s="372">
        <f>'RAB Pasang'!K668*60%</f>
        <v>133608</v>
      </c>
      <c r="L668" s="387">
        <f t="shared" si="92"/>
        <v>0</v>
      </c>
      <c r="M668" s="387">
        <f t="shared" si="93"/>
        <v>0</v>
      </c>
      <c r="N668" s="422">
        <f t="shared" si="94"/>
        <v>0</v>
      </c>
    </row>
    <row r="669" spans="1:14" ht="13.2" customHeight="1" x14ac:dyDescent="0.3">
      <c r="A669" s="365">
        <f t="shared" si="95"/>
        <v>12</v>
      </c>
      <c r="B669" s="370" t="s">
        <v>2040</v>
      </c>
      <c r="C669" s="371"/>
      <c r="D669" s="371"/>
      <c r="E669" s="367" t="s">
        <v>399</v>
      </c>
      <c r="F669" s="527"/>
      <c r="G669" s="539"/>
      <c r="H669" s="539"/>
      <c r="I669" s="372">
        <f t="shared" si="91"/>
        <v>0</v>
      </c>
      <c r="J669" s="372"/>
      <c r="K669" s="372">
        <f>'RAB Pasang'!K669*60%</f>
        <v>133608</v>
      </c>
      <c r="L669" s="387">
        <f t="shared" si="92"/>
        <v>0</v>
      </c>
      <c r="M669" s="387">
        <f t="shared" si="93"/>
        <v>0</v>
      </c>
      <c r="N669" s="422">
        <f t="shared" si="94"/>
        <v>0</v>
      </c>
    </row>
    <row r="670" spans="1:14" ht="13.2" customHeight="1" x14ac:dyDescent="0.3">
      <c r="A670" s="365">
        <f t="shared" si="95"/>
        <v>13</v>
      </c>
      <c r="B670" s="370" t="s">
        <v>2041</v>
      </c>
      <c r="C670" s="371"/>
      <c r="D670" s="371"/>
      <c r="E670" s="367" t="s">
        <v>399</v>
      </c>
      <c r="F670" s="527"/>
      <c r="G670" s="539"/>
      <c r="H670" s="539"/>
      <c r="I670" s="372">
        <f t="shared" si="91"/>
        <v>0</v>
      </c>
      <c r="J670" s="372"/>
      <c r="K670" s="372">
        <f>'RAB Pasang'!K670*60%</f>
        <v>133608</v>
      </c>
      <c r="L670" s="387">
        <f t="shared" si="92"/>
        <v>0</v>
      </c>
      <c r="M670" s="387">
        <f t="shared" si="93"/>
        <v>0</v>
      </c>
      <c r="N670" s="422">
        <f t="shared" si="94"/>
        <v>0</v>
      </c>
    </row>
    <row r="671" spans="1:14" ht="13.2" customHeight="1" x14ac:dyDescent="0.3">
      <c r="A671" s="365">
        <f t="shared" si="95"/>
        <v>14</v>
      </c>
      <c r="B671" s="370" t="s">
        <v>2042</v>
      </c>
      <c r="C671" s="371"/>
      <c r="D671" s="371"/>
      <c r="E671" s="367" t="s">
        <v>399</v>
      </c>
      <c r="F671" s="527"/>
      <c r="G671" s="539"/>
      <c r="H671" s="539"/>
      <c r="I671" s="372">
        <f t="shared" si="91"/>
        <v>0</v>
      </c>
      <c r="J671" s="372"/>
      <c r="K671" s="372">
        <f>'RAB Pasang'!K671*60%</f>
        <v>133608</v>
      </c>
      <c r="L671" s="387">
        <f t="shared" si="92"/>
        <v>0</v>
      </c>
      <c r="M671" s="387">
        <f t="shared" si="93"/>
        <v>0</v>
      </c>
      <c r="N671" s="422">
        <f t="shared" si="94"/>
        <v>0</v>
      </c>
    </row>
    <row r="672" spans="1:14" ht="13.2" customHeight="1" x14ac:dyDescent="0.3">
      <c r="A672" s="365">
        <f t="shared" si="95"/>
        <v>15</v>
      </c>
      <c r="B672" s="370" t="s">
        <v>2043</v>
      </c>
      <c r="C672" s="371"/>
      <c r="D672" s="371"/>
      <c r="E672" s="367" t="s">
        <v>399</v>
      </c>
      <c r="F672" s="527"/>
      <c r="G672" s="539"/>
      <c r="H672" s="539"/>
      <c r="I672" s="372">
        <f t="shared" si="91"/>
        <v>0</v>
      </c>
      <c r="J672" s="372"/>
      <c r="K672" s="372">
        <f>'RAB Pasang'!K672*60%</f>
        <v>133608</v>
      </c>
      <c r="L672" s="387">
        <f t="shared" si="92"/>
        <v>0</v>
      </c>
      <c r="M672" s="387">
        <f t="shared" si="93"/>
        <v>0</v>
      </c>
      <c r="N672" s="422">
        <f t="shared" si="94"/>
        <v>0</v>
      </c>
    </row>
    <row r="673" spans="1:14" ht="13.2" customHeight="1" x14ac:dyDescent="0.3">
      <c r="A673" s="365">
        <f t="shared" si="95"/>
        <v>16</v>
      </c>
      <c r="B673" s="370" t="s">
        <v>2044</v>
      </c>
      <c r="C673" s="371"/>
      <c r="D673" s="371"/>
      <c r="E673" s="367" t="s">
        <v>399</v>
      </c>
      <c r="F673" s="527"/>
      <c r="G673" s="539"/>
      <c r="H673" s="539"/>
      <c r="I673" s="372">
        <f t="shared" si="91"/>
        <v>0</v>
      </c>
      <c r="J673" s="372"/>
      <c r="K673" s="372">
        <f>'RAB Pasang'!K673*60%</f>
        <v>133608</v>
      </c>
      <c r="L673" s="387">
        <f t="shared" si="92"/>
        <v>0</v>
      </c>
      <c r="M673" s="387">
        <f t="shared" si="93"/>
        <v>0</v>
      </c>
      <c r="N673" s="422">
        <f t="shared" si="94"/>
        <v>0</v>
      </c>
    </row>
    <row r="674" spans="1:14" ht="13.2" customHeight="1" x14ac:dyDescent="0.3">
      <c r="A674" s="365">
        <f t="shared" si="95"/>
        <v>17</v>
      </c>
      <c r="B674" s="370" t="s">
        <v>2045</v>
      </c>
      <c r="C674" s="371"/>
      <c r="D674" s="371"/>
      <c r="E674" s="367" t="s">
        <v>399</v>
      </c>
      <c r="F674" s="527"/>
      <c r="G674" s="539"/>
      <c r="H674" s="539"/>
      <c r="I674" s="372">
        <f t="shared" si="91"/>
        <v>0</v>
      </c>
      <c r="J674" s="372"/>
      <c r="K674" s="372">
        <f>'RAB Pasang'!K674*60%</f>
        <v>133608</v>
      </c>
      <c r="L674" s="387">
        <f t="shared" si="92"/>
        <v>0</v>
      </c>
      <c r="M674" s="387">
        <f t="shared" si="93"/>
        <v>0</v>
      </c>
      <c r="N674" s="422">
        <f t="shared" si="94"/>
        <v>0</v>
      </c>
    </row>
    <row r="675" spans="1:14" ht="13.2" customHeight="1" x14ac:dyDescent="0.3">
      <c r="A675" s="365">
        <f t="shared" si="95"/>
        <v>18</v>
      </c>
      <c r="B675" s="370" t="s">
        <v>2046</v>
      </c>
      <c r="C675" s="371"/>
      <c r="D675" s="371"/>
      <c r="E675" s="367" t="s">
        <v>399</v>
      </c>
      <c r="F675" s="527"/>
      <c r="G675" s="539"/>
      <c r="H675" s="539"/>
      <c r="I675" s="372">
        <f t="shared" si="91"/>
        <v>0</v>
      </c>
      <c r="J675" s="372"/>
      <c r="K675" s="372">
        <f>'RAB Pasang'!K675*60%</f>
        <v>133608</v>
      </c>
      <c r="L675" s="387">
        <f t="shared" si="92"/>
        <v>0</v>
      </c>
      <c r="M675" s="387">
        <f t="shared" si="93"/>
        <v>0</v>
      </c>
      <c r="N675" s="422">
        <f t="shared" si="94"/>
        <v>0</v>
      </c>
    </row>
    <row r="676" spans="1:14" ht="13.2" customHeight="1" x14ac:dyDescent="0.3">
      <c r="A676" s="365">
        <f t="shared" si="95"/>
        <v>19</v>
      </c>
      <c r="B676" s="370" t="s">
        <v>2047</v>
      </c>
      <c r="C676" s="371"/>
      <c r="D676" s="371"/>
      <c r="E676" s="367" t="s">
        <v>399</v>
      </c>
      <c r="F676" s="527"/>
      <c r="G676" s="539"/>
      <c r="H676" s="539"/>
      <c r="I676" s="372">
        <f t="shared" si="91"/>
        <v>0</v>
      </c>
      <c r="J676" s="372"/>
      <c r="K676" s="372">
        <f>'RAB Pasang'!K676*60%</f>
        <v>133608</v>
      </c>
      <c r="L676" s="387">
        <f t="shared" si="92"/>
        <v>0</v>
      </c>
      <c r="M676" s="387">
        <f t="shared" si="93"/>
        <v>0</v>
      </c>
      <c r="N676" s="422">
        <f t="shared" si="94"/>
        <v>0</v>
      </c>
    </row>
    <row r="677" spans="1:14" ht="13.2" customHeight="1" x14ac:dyDescent="0.3">
      <c r="A677" s="365">
        <f t="shared" si="95"/>
        <v>20</v>
      </c>
      <c r="B677" s="370" t="s">
        <v>2048</v>
      </c>
      <c r="C677" s="371"/>
      <c r="D677" s="371"/>
      <c r="E677" s="367" t="s">
        <v>399</v>
      </c>
      <c r="F677" s="527"/>
      <c r="G677" s="539"/>
      <c r="H677" s="539"/>
      <c r="I677" s="372">
        <f t="shared" si="91"/>
        <v>0</v>
      </c>
      <c r="J677" s="372"/>
      <c r="K677" s="372">
        <f>'RAB Pasang'!K677*60%</f>
        <v>133608</v>
      </c>
      <c r="L677" s="387">
        <f t="shared" si="92"/>
        <v>0</v>
      </c>
      <c r="M677" s="387">
        <f t="shared" si="93"/>
        <v>0</v>
      </c>
      <c r="N677" s="422">
        <f t="shared" si="94"/>
        <v>0</v>
      </c>
    </row>
    <row r="678" spans="1:14" ht="13.2" customHeight="1" x14ac:dyDescent="0.3">
      <c r="A678" s="365">
        <f t="shared" si="95"/>
        <v>21</v>
      </c>
      <c r="B678" s="370" t="s">
        <v>2049</v>
      </c>
      <c r="C678" s="371"/>
      <c r="D678" s="371"/>
      <c r="E678" s="367" t="s">
        <v>399</v>
      </c>
      <c r="F678" s="527"/>
      <c r="G678" s="539"/>
      <c r="H678" s="539"/>
      <c r="I678" s="372">
        <f t="shared" si="91"/>
        <v>0</v>
      </c>
      <c r="J678" s="372"/>
      <c r="K678" s="372">
        <f>'RAB Pasang'!K678*60%</f>
        <v>125748</v>
      </c>
      <c r="L678" s="387">
        <f t="shared" si="92"/>
        <v>0</v>
      </c>
      <c r="M678" s="387">
        <f t="shared" si="93"/>
        <v>0</v>
      </c>
      <c r="N678" s="422">
        <f t="shared" si="94"/>
        <v>0</v>
      </c>
    </row>
    <row r="679" spans="1:14" ht="13.2" customHeight="1" x14ac:dyDescent="0.3">
      <c r="A679" s="365">
        <f t="shared" si="95"/>
        <v>22</v>
      </c>
      <c r="B679" s="370" t="s">
        <v>2050</v>
      </c>
      <c r="C679" s="371"/>
      <c r="D679" s="371"/>
      <c r="E679" s="367" t="s">
        <v>399</v>
      </c>
      <c r="F679" s="527"/>
      <c r="G679" s="539"/>
      <c r="H679" s="539"/>
      <c r="I679" s="372">
        <f t="shared" si="91"/>
        <v>0</v>
      </c>
      <c r="J679" s="372"/>
      <c r="K679" s="372">
        <f>'RAB Pasang'!K679*60%</f>
        <v>125748</v>
      </c>
      <c r="L679" s="387">
        <f t="shared" si="92"/>
        <v>0</v>
      </c>
      <c r="M679" s="387">
        <f t="shared" si="93"/>
        <v>0</v>
      </c>
      <c r="N679" s="422">
        <f t="shared" si="94"/>
        <v>0</v>
      </c>
    </row>
    <row r="680" spans="1:14" ht="13.2" customHeight="1" x14ac:dyDescent="0.3">
      <c r="A680" s="365">
        <f t="shared" si="95"/>
        <v>23</v>
      </c>
      <c r="B680" s="370" t="s">
        <v>2051</v>
      </c>
      <c r="C680" s="371"/>
      <c r="D680" s="371"/>
      <c r="E680" s="367" t="s">
        <v>399</v>
      </c>
      <c r="F680" s="527"/>
      <c r="G680" s="539"/>
      <c r="H680" s="539"/>
      <c r="I680" s="372">
        <f t="shared" si="91"/>
        <v>0</v>
      </c>
      <c r="J680" s="372"/>
      <c r="K680" s="372">
        <f>'RAB Pasang'!K680*60%</f>
        <v>125748</v>
      </c>
      <c r="L680" s="387">
        <f t="shared" si="92"/>
        <v>0</v>
      </c>
      <c r="M680" s="387">
        <f t="shared" si="93"/>
        <v>0</v>
      </c>
      <c r="N680" s="422">
        <f t="shared" si="94"/>
        <v>0</v>
      </c>
    </row>
    <row r="681" spans="1:14" ht="13.2" customHeight="1" x14ac:dyDescent="0.3">
      <c r="A681" s="365">
        <f t="shared" si="95"/>
        <v>24</v>
      </c>
      <c r="B681" s="370" t="s">
        <v>2052</v>
      </c>
      <c r="C681" s="371"/>
      <c r="D681" s="371"/>
      <c r="E681" s="367" t="s">
        <v>399</v>
      </c>
      <c r="F681" s="527"/>
      <c r="G681" s="539"/>
      <c r="H681" s="539"/>
      <c r="I681" s="372">
        <f t="shared" si="91"/>
        <v>0</v>
      </c>
      <c r="J681" s="372"/>
      <c r="K681" s="372">
        <f>'RAB Pasang'!K681*60%</f>
        <v>125748</v>
      </c>
      <c r="L681" s="387">
        <f t="shared" si="92"/>
        <v>0</v>
      </c>
      <c r="M681" s="387">
        <f t="shared" si="93"/>
        <v>0</v>
      </c>
      <c r="N681" s="422">
        <f t="shared" si="94"/>
        <v>0</v>
      </c>
    </row>
    <row r="682" spans="1:14" ht="13.2" customHeight="1" x14ac:dyDescent="0.3">
      <c r="A682" s="365">
        <f t="shared" si="95"/>
        <v>25</v>
      </c>
      <c r="B682" s="370" t="s">
        <v>2053</v>
      </c>
      <c r="C682" s="371"/>
      <c r="D682" s="371"/>
      <c r="E682" s="367" t="s">
        <v>399</v>
      </c>
      <c r="F682" s="527"/>
      <c r="G682" s="539"/>
      <c r="H682" s="539"/>
      <c r="I682" s="372">
        <f t="shared" si="91"/>
        <v>0</v>
      </c>
      <c r="J682" s="372"/>
      <c r="K682" s="372">
        <f>'RAB Pasang'!K682*60%</f>
        <v>125748</v>
      </c>
      <c r="L682" s="387">
        <f t="shared" si="92"/>
        <v>0</v>
      </c>
      <c r="M682" s="387">
        <f t="shared" si="93"/>
        <v>0</v>
      </c>
      <c r="N682" s="422">
        <f t="shared" si="94"/>
        <v>0</v>
      </c>
    </row>
    <row r="683" spans="1:14" ht="13.2" customHeight="1" x14ac:dyDescent="0.3">
      <c r="A683" s="365">
        <f t="shared" si="95"/>
        <v>26</v>
      </c>
      <c r="B683" s="370" t="s">
        <v>2054</v>
      </c>
      <c r="C683" s="371"/>
      <c r="D683" s="371"/>
      <c r="E683" s="367" t="s">
        <v>399</v>
      </c>
      <c r="F683" s="527"/>
      <c r="G683" s="539"/>
      <c r="H683" s="539"/>
      <c r="I683" s="372">
        <f t="shared" si="91"/>
        <v>0</v>
      </c>
      <c r="J683" s="372"/>
      <c r="K683" s="372">
        <f>'RAB Pasang'!K683*60%</f>
        <v>125748</v>
      </c>
      <c r="L683" s="387">
        <f t="shared" si="92"/>
        <v>0</v>
      </c>
      <c r="M683" s="387">
        <f t="shared" si="93"/>
        <v>0</v>
      </c>
      <c r="N683" s="422">
        <f t="shared" si="94"/>
        <v>0</v>
      </c>
    </row>
    <row r="684" spans="1:14" ht="13.2" customHeight="1" x14ac:dyDescent="0.3">
      <c r="A684" s="365">
        <f t="shared" si="95"/>
        <v>27</v>
      </c>
      <c r="B684" s="370" t="s">
        <v>2055</v>
      </c>
      <c r="C684" s="371"/>
      <c r="D684" s="371"/>
      <c r="E684" s="367" t="s">
        <v>399</v>
      </c>
      <c r="F684" s="527"/>
      <c r="G684" s="539"/>
      <c r="H684" s="539"/>
      <c r="I684" s="372">
        <f t="shared" si="91"/>
        <v>0</v>
      </c>
      <c r="J684" s="372"/>
      <c r="K684" s="372">
        <f>'RAB Pasang'!K684*60%</f>
        <v>125748</v>
      </c>
      <c r="L684" s="387">
        <f t="shared" si="92"/>
        <v>0</v>
      </c>
      <c r="M684" s="387">
        <f t="shared" si="93"/>
        <v>0</v>
      </c>
      <c r="N684" s="422">
        <f t="shared" si="94"/>
        <v>0</v>
      </c>
    </row>
    <row r="685" spans="1:14" ht="13.2" customHeight="1" x14ac:dyDescent="0.3">
      <c r="A685" s="365">
        <f t="shared" si="95"/>
        <v>28</v>
      </c>
      <c r="B685" s="370" t="s">
        <v>2056</v>
      </c>
      <c r="C685" s="371"/>
      <c r="D685" s="371"/>
      <c r="E685" s="367" t="s">
        <v>399</v>
      </c>
      <c r="F685" s="527"/>
      <c r="G685" s="539"/>
      <c r="H685" s="539"/>
      <c r="I685" s="372">
        <f t="shared" si="91"/>
        <v>0</v>
      </c>
      <c r="J685" s="372"/>
      <c r="K685" s="372">
        <f>'RAB Pasang'!K685*60%</f>
        <v>125748</v>
      </c>
      <c r="L685" s="387">
        <f t="shared" si="92"/>
        <v>0</v>
      </c>
      <c r="M685" s="387">
        <f t="shared" si="93"/>
        <v>0</v>
      </c>
      <c r="N685" s="422">
        <f t="shared" si="94"/>
        <v>0</v>
      </c>
    </row>
    <row r="686" spans="1:14" ht="13.2" customHeight="1" x14ac:dyDescent="0.3">
      <c r="A686" s="365">
        <f t="shared" si="95"/>
        <v>29</v>
      </c>
      <c r="B686" s="370" t="s">
        <v>2057</v>
      </c>
      <c r="C686" s="371"/>
      <c r="D686" s="371"/>
      <c r="E686" s="367" t="s">
        <v>399</v>
      </c>
      <c r="F686" s="527"/>
      <c r="G686" s="539"/>
      <c r="H686" s="539"/>
      <c r="I686" s="372">
        <f t="shared" si="91"/>
        <v>0</v>
      </c>
      <c r="J686" s="372"/>
      <c r="K686" s="372">
        <f>'RAB Pasang'!K686*60%</f>
        <v>125748</v>
      </c>
      <c r="L686" s="387">
        <f t="shared" si="92"/>
        <v>0</v>
      </c>
      <c r="M686" s="387">
        <f t="shared" si="93"/>
        <v>0</v>
      </c>
      <c r="N686" s="422">
        <f t="shared" si="94"/>
        <v>0</v>
      </c>
    </row>
    <row r="687" spans="1:14" ht="13.2" customHeight="1" x14ac:dyDescent="0.3">
      <c r="A687" s="365">
        <f t="shared" si="95"/>
        <v>30</v>
      </c>
      <c r="B687" s="370" t="s">
        <v>2058</v>
      </c>
      <c r="C687" s="371"/>
      <c r="D687" s="371"/>
      <c r="E687" s="367" t="s">
        <v>399</v>
      </c>
      <c r="F687" s="527"/>
      <c r="G687" s="539"/>
      <c r="H687" s="539"/>
      <c r="I687" s="372">
        <f t="shared" si="91"/>
        <v>0</v>
      </c>
      <c r="J687" s="372"/>
      <c r="K687" s="372">
        <f>'RAB Pasang'!K687*60%</f>
        <v>125748</v>
      </c>
      <c r="L687" s="387">
        <f t="shared" si="92"/>
        <v>0</v>
      </c>
      <c r="M687" s="387">
        <f t="shared" si="93"/>
        <v>0</v>
      </c>
      <c r="N687" s="422">
        <f t="shared" si="94"/>
        <v>0</v>
      </c>
    </row>
    <row r="688" spans="1:14" ht="13.2" customHeight="1" x14ac:dyDescent="0.3">
      <c r="A688" s="365">
        <f t="shared" si="95"/>
        <v>31</v>
      </c>
      <c r="B688" s="370" t="s">
        <v>2059</v>
      </c>
      <c r="C688" s="371"/>
      <c r="D688" s="371"/>
      <c r="E688" s="367" t="s">
        <v>399</v>
      </c>
      <c r="F688" s="527"/>
      <c r="G688" s="539"/>
      <c r="H688" s="539"/>
      <c r="I688" s="372">
        <f t="shared" si="91"/>
        <v>0</v>
      </c>
      <c r="J688" s="372"/>
      <c r="K688" s="372">
        <f>'RAB Pasang'!K688*60%</f>
        <v>125748</v>
      </c>
      <c r="L688" s="387">
        <f t="shared" si="92"/>
        <v>0</v>
      </c>
      <c r="M688" s="387">
        <f t="shared" si="93"/>
        <v>0</v>
      </c>
      <c r="N688" s="422">
        <f t="shared" si="94"/>
        <v>0</v>
      </c>
    </row>
    <row r="689" spans="1:14" ht="13.2" customHeight="1" x14ac:dyDescent="0.3">
      <c r="A689" s="365">
        <f t="shared" si="95"/>
        <v>32</v>
      </c>
      <c r="B689" s="370" t="s">
        <v>2060</v>
      </c>
      <c r="C689" s="371"/>
      <c r="D689" s="371"/>
      <c r="E689" s="367" t="s">
        <v>399</v>
      </c>
      <c r="F689" s="527"/>
      <c r="G689" s="539"/>
      <c r="H689" s="539"/>
      <c r="I689" s="372">
        <f t="shared" si="91"/>
        <v>0</v>
      </c>
      <c r="J689" s="372"/>
      <c r="K689" s="372">
        <f>'RAB Pasang'!K689*60%</f>
        <v>125748</v>
      </c>
      <c r="L689" s="387">
        <f t="shared" si="92"/>
        <v>0</v>
      </c>
      <c r="M689" s="387">
        <f t="shared" si="93"/>
        <v>0</v>
      </c>
      <c r="N689" s="422">
        <f t="shared" si="94"/>
        <v>0</v>
      </c>
    </row>
    <row r="690" spans="1:14" ht="13.2" customHeight="1" x14ac:dyDescent="0.3">
      <c r="A690" s="365">
        <f t="shared" si="95"/>
        <v>33</v>
      </c>
      <c r="B690" s="370" t="s">
        <v>2061</v>
      </c>
      <c r="C690" s="371"/>
      <c r="D690" s="371"/>
      <c r="E690" s="367" t="s">
        <v>399</v>
      </c>
      <c r="F690" s="527"/>
      <c r="G690" s="539"/>
      <c r="H690" s="539"/>
      <c r="I690" s="372">
        <f t="shared" si="91"/>
        <v>0</v>
      </c>
      <c r="J690" s="372"/>
      <c r="K690" s="372">
        <f>'RAB Pasang'!K690*60%</f>
        <v>125748</v>
      </c>
      <c r="L690" s="387">
        <f t="shared" si="92"/>
        <v>0</v>
      </c>
      <c r="M690" s="387">
        <f t="shared" si="93"/>
        <v>0</v>
      </c>
      <c r="N690" s="422">
        <f t="shared" si="94"/>
        <v>0</v>
      </c>
    </row>
    <row r="691" spans="1:14" ht="13.2" customHeight="1" x14ac:dyDescent="0.3">
      <c r="A691" s="365">
        <f t="shared" si="95"/>
        <v>34</v>
      </c>
      <c r="B691" s="370" t="s">
        <v>2062</v>
      </c>
      <c r="C691" s="371"/>
      <c r="D691" s="371"/>
      <c r="E691" s="367" t="s">
        <v>399</v>
      </c>
      <c r="F691" s="527"/>
      <c r="G691" s="539"/>
      <c r="H691" s="539"/>
      <c r="I691" s="372">
        <f t="shared" si="91"/>
        <v>0</v>
      </c>
      <c r="J691" s="372"/>
      <c r="K691" s="372">
        <f>'RAB Pasang'!K691*60%</f>
        <v>125748</v>
      </c>
      <c r="L691" s="387">
        <f t="shared" si="92"/>
        <v>0</v>
      </c>
      <c r="M691" s="387">
        <f t="shared" si="93"/>
        <v>0</v>
      </c>
      <c r="N691" s="422">
        <f t="shared" si="94"/>
        <v>0</v>
      </c>
    </row>
    <row r="692" spans="1:14" ht="13.2" customHeight="1" x14ac:dyDescent="0.3">
      <c r="A692" s="365">
        <f t="shared" si="95"/>
        <v>35</v>
      </c>
      <c r="B692" s="370" t="s">
        <v>2063</v>
      </c>
      <c r="C692" s="371"/>
      <c r="D692" s="371"/>
      <c r="E692" s="367" t="s">
        <v>399</v>
      </c>
      <c r="F692" s="527"/>
      <c r="G692" s="539"/>
      <c r="H692" s="539"/>
      <c r="I692" s="372">
        <f t="shared" si="91"/>
        <v>0</v>
      </c>
      <c r="J692" s="372"/>
      <c r="K692" s="372">
        <f>'RAB Pasang'!K692*60%</f>
        <v>125748</v>
      </c>
      <c r="L692" s="387">
        <f t="shared" si="92"/>
        <v>0</v>
      </c>
      <c r="M692" s="387">
        <f t="shared" si="93"/>
        <v>0</v>
      </c>
      <c r="N692" s="422">
        <f t="shared" si="94"/>
        <v>0</v>
      </c>
    </row>
    <row r="693" spans="1:14" ht="13.2" customHeight="1" x14ac:dyDescent="0.3">
      <c r="A693" s="365">
        <f t="shared" si="95"/>
        <v>36</v>
      </c>
      <c r="B693" s="370" t="s">
        <v>2270</v>
      </c>
      <c r="C693" s="371"/>
      <c r="D693" s="371"/>
      <c r="E693" s="367" t="s">
        <v>399</v>
      </c>
      <c r="F693" s="527"/>
      <c r="G693" s="539"/>
      <c r="H693" s="539"/>
      <c r="I693" s="372">
        <f t="shared" si="91"/>
        <v>0</v>
      </c>
      <c r="J693" s="372"/>
      <c r="K693" s="372">
        <f>'RAB Pasang'!K693*60%</f>
        <v>106890</v>
      </c>
      <c r="L693" s="387">
        <f t="shared" si="92"/>
        <v>0</v>
      </c>
      <c r="M693" s="387">
        <f t="shared" si="93"/>
        <v>0</v>
      </c>
      <c r="N693" s="422">
        <f t="shared" si="94"/>
        <v>0</v>
      </c>
    </row>
    <row r="694" spans="1:14" ht="13.2" customHeight="1" x14ac:dyDescent="0.3">
      <c r="A694" s="365">
        <f t="shared" si="95"/>
        <v>37</v>
      </c>
      <c r="B694" s="370" t="s">
        <v>2271</v>
      </c>
      <c r="C694" s="371"/>
      <c r="D694" s="371"/>
      <c r="E694" s="367" t="s">
        <v>399</v>
      </c>
      <c r="F694" s="527"/>
      <c r="G694" s="539"/>
      <c r="H694" s="539"/>
      <c r="I694" s="372">
        <f t="shared" si="91"/>
        <v>0</v>
      </c>
      <c r="J694" s="372"/>
      <c r="K694" s="372">
        <f>'RAB Pasang'!K694*60%</f>
        <v>106890</v>
      </c>
      <c r="L694" s="387">
        <f t="shared" si="92"/>
        <v>0</v>
      </c>
      <c r="M694" s="387">
        <f t="shared" si="93"/>
        <v>0</v>
      </c>
      <c r="N694" s="422">
        <f t="shared" si="94"/>
        <v>0</v>
      </c>
    </row>
    <row r="695" spans="1:14" ht="13.2" customHeight="1" x14ac:dyDescent="0.3">
      <c r="A695" s="365">
        <f t="shared" si="95"/>
        <v>38</v>
      </c>
      <c r="B695" s="370" t="s">
        <v>2272</v>
      </c>
      <c r="C695" s="371"/>
      <c r="D695" s="371"/>
      <c r="E695" s="367" t="s">
        <v>399</v>
      </c>
      <c r="F695" s="527"/>
      <c r="G695" s="539"/>
      <c r="H695" s="539"/>
      <c r="I695" s="372">
        <f t="shared" si="91"/>
        <v>0</v>
      </c>
      <c r="J695" s="372"/>
      <c r="K695" s="372">
        <f>'RAB Pasang'!K695*60%</f>
        <v>106890</v>
      </c>
      <c r="L695" s="387">
        <f t="shared" si="92"/>
        <v>0</v>
      </c>
      <c r="M695" s="387">
        <f t="shared" si="93"/>
        <v>0</v>
      </c>
      <c r="N695" s="422">
        <f t="shared" si="94"/>
        <v>0</v>
      </c>
    </row>
    <row r="696" spans="1:14" ht="13.2" customHeight="1" x14ac:dyDescent="0.3">
      <c r="A696" s="365">
        <f t="shared" si="95"/>
        <v>39</v>
      </c>
      <c r="B696" s="370" t="s">
        <v>2273</v>
      </c>
      <c r="C696" s="371"/>
      <c r="D696" s="371"/>
      <c r="E696" s="367" t="s">
        <v>399</v>
      </c>
      <c r="F696" s="527"/>
      <c r="G696" s="539"/>
      <c r="H696" s="539"/>
      <c r="I696" s="372">
        <f t="shared" si="91"/>
        <v>0</v>
      </c>
      <c r="J696" s="372"/>
      <c r="K696" s="372">
        <f>'RAB Pasang'!K696*60%</f>
        <v>106890</v>
      </c>
      <c r="L696" s="387">
        <f t="shared" si="92"/>
        <v>0</v>
      </c>
      <c r="M696" s="387">
        <f t="shared" si="93"/>
        <v>0</v>
      </c>
      <c r="N696" s="422">
        <f t="shared" si="94"/>
        <v>0</v>
      </c>
    </row>
    <row r="697" spans="1:14" ht="13.2" customHeight="1" x14ac:dyDescent="0.3">
      <c r="A697" s="365">
        <f t="shared" si="95"/>
        <v>40</v>
      </c>
      <c r="B697" s="370" t="s">
        <v>2274</v>
      </c>
      <c r="C697" s="371"/>
      <c r="D697" s="371"/>
      <c r="E697" s="367" t="s">
        <v>399</v>
      </c>
      <c r="F697" s="527"/>
      <c r="G697" s="539"/>
      <c r="H697" s="539"/>
      <c r="I697" s="372">
        <f t="shared" si="91"/>
        <v>0</v>
      </c>
      <c r="J697" s="372"/>
      <c r="K697" s="372">
        <f>'RAB Pasang'!K697*60%</f>
        <v>106890</v>
      </c>
      <c r="L697" s="387">
        <f t="shared" si="92"/>
        <v>0</v>
      </c>
      <c r="M697" s="387">
        <f t="shared" si="93"/>
        <v>0</v>
      </c>
      <c r="N697" s="422">
        <f t="shared" si="94"/>
        <v>0</v>
      </c>
    </row>
    <row r="698" spans="1:14" ht="13.2" customHeight="1" x14ac:dyDescent="0.3">
      <c r="A698" s="365">
        <f t="shared" si="95"/>
        <v>41</v>
      </c>
      <c r="B698" s="370" t="s">
        <v>2275</v>
      </c>
      <c r="C698" s="371"/>
      <c r="D698" s="371"/>
      <c r="E698" s="367" t="s">
        <v>399</v>
      </c>
      <c r="F698" s="527"/>
      <c r="G698" s="539"/>
      <c r="H698" s="539"/>
      <c r="I698" s="372">
        <f t="shared" si="91"/>
        <v>0</v>
      </c>
      <c r="J698" s="372"/>
      <c r="K698" s="372">
        <f>'RAB Pasang'!K698*60%</f>
        <v>106890</v>
      </c>
      <c r="L698" s="387">
        <f t="shared" si="92"/>
        <v>0</v>
      </c>
      <c r="M698" s="387">
        <f t="shared" si="93"/>
        <v>0</v>
      </c>
      <c r="N698" s="422">
        <f t="shared" si="94"/>
        <v>0</v>
      </c>
    </row>
    <row r="699" spans="1:14" ht="13.2" customHeight="1" x14ac:dyDescent="0.3">
      <c r="A699" s="365">
        <f t="shared" si="95"/>
        <v>42</v>
      </c>
      <c r="B699" s="370" t="s">
        <v>2276</v>
      </c>
      <c r="C699" s="371"/>
      <c r="D699" s="371"/>
      <c r="E699" s="367" t="s">
        <v>399</v>
      </c>
      <c r="F699" s="527"/>
      <c r="G699" s="539"/>
      <c r="H699" s="539"/>
      <c r="I699" s="372">
        <f t="shared" si="91"/>
        <v>0</v>
      </c>
      <c r="J699" s="372"/>
      <c r="K699" s="372">
        <f>'RAB Pasang'!K699*60%</f>
        <v>106890</v>
      </c>
      <c r="L699" s="387">
        <f t="shared" si="92"/>
        <v>0</v>
      </c>
      <c r="M699" s="387">
        <f t="shared" si="93"/>
        <v>0</v>
      </c>
      <c r="N699" s="422">
        <f t="shared" si="94"/>
        <v>0</v>
      </c>
    </row>
    <row r="700" spans="1:14" ht="13.2" customHeight="1" x14ac:dyDescent="0.3">
      <c r="A700" s="365">
        <f t="shared" si="95"/>
        <v>43</v>
      </c>
      <c r="B700" s="370" t="s">
        <v>2277</v>
      </c>
      <c r="C700" s="371"/>
      <c r="D700" s="371"/>
      <c r="E700" s="367" t="s">
        <v>399</v>
      </c>
      <c r="F700" s="527"/>
      <c r="G700" s="539"/>
      <c r="H700" s="539"/>
      <c r="I700" s="372">
        <f t="shared" si="91"/>
        <v>0</v>
      </c>
      <c r="J700" s="372"/>
      <c r="K700" s="372">
        <f>'RAB Pasang'!K700*60%</f>
        <v>106890</v>
      </c>
      <c r="L700" s="387">
        <f t="shared" si="92"/>
        <v>0</v>
      </c>
      <c r="M700" s="387">
        <f t="shared" si="93"/>
        <v>0</v>
      </c>
      <c r="N700" s="422">
        <f t="shared" si="94"/>
        <v>0</v>
      </c>
    </row>
    <row r="701" spans="1:14" ht="13.2" customHeight="1" x14ac:dyDescent="0.3">
      <c r="A701" s="365">
        <f t="shared" si="95"/>
        <v>44</v>
      </c>
      <c r="B701" s="370" t="s">
        <v>2278</v>
      </c>
      <c r="C701" s="371"/>
      <c r="D701" s="371"/>
      <c r="E701" s="367" t="s">
        <v>399</v>
      </c>
      <c r="F701" s="527"/>
      <c r="G701" s="539"/>
      <c r="H701" s="539"/>
      <c r="I701" s="372">
        <f t="shared" si="91"/>
        <v>0</v>
      </c>
      <c r="J701" s="372"/>
      <c r="K701" s="372">
        <f>'RAB Pasang'!K701*60%</f>
        <v>106890</v>
      </c>
      <c r="L701" s="387">
        <f t="shared" si="92"/>
        <v>0</v>
      </c>
      <c r="M701" s="387">
        <f t="shared" si="93"/>
        <v>0</v>
      </c>
      <c r="N701" s="422">
        <f t="shared" si="94"/>
        <v>0</v>
      </c>
    </row>
    <row r="702" spans="1:14" ht="13.2" customHeight="1" x14ac:dyDescent="0.3">
      <c r="A702" s="365">
        <f t="shared" si="95"/>
        <v>45</v>
      </c>
      <c r="B702" s="370" t="s">
        <v>2279</v>
      </c>
      <c r="C702" s="371"/>
      <c r="D702" s="371"/>
      <c r="E702" s="367" t="s">
        <v>399</v>
      </c>
      <c r="F702" s="527"/>
      <c r="G702" s="539"/>
      <c r="H702" s="539"/>
      <c r="I702" s="372">
        <f t="shared" si="91"/>
        <v>0</v>
      </c>
      <c r="J702" s="372"/>
      <c r="K702" s="372">
        <f>'RAB Pasang'!K702*60%</f>
        <v>106890</v>
      </c>
      <c r="L702" s="387">
        <f t="shared" si="92"/>
        <v>0</v>
      </c>
      <c r="M702" s="387">
        <f t="shared" si="93"/>
        <v>0</v>
      </c>
      <c r="N702" s="422">
        <f t="shared" si="94"/>
        <v>0</v>
      </c>
    </row>
    <row r="703" spans="1:14" ht="13.2" customHeight="1" x14ac:dyDescent="0.3">
      <c r="A703" s="365">
        <f t="shared" si="95"/>
        <v>46</v>
      </c>
      <c r="B703" s="370" t="s">
        <v>2280</v>
      </c>
      <c r="C703" s="371"/>
      <c r="D703" s="371"/>
      <c r="E703" s="367" t="s">
        <v>399</v>
      </c>
      <c r="F703" s="527"/>
      <c r="G703" s="539"/>
      <c r="H703" s="539"/>
      <c r="I703" s="372">
        <f t="shared" si="91"/>
        <v>0</v>
      </c>
      <c r="J703" s="372"/>
      <c r="K703" s="372">
        <f>'RAB Pasang'!K703*60%</f>
        <v>133608</v>
      </c>
      <c r="L703" s="387">
        <f t="shared" si="92"/>
        <v>0</v>
      </c>
      <c r="M703" s="387">
        <f t="shared" si="93"/>
        <v>0</v>
      </c>
      <c r="N703" s="422">
        <f t="shared" si="94"/>
        <v>0</v>
      </c>
    </row>
    <row r="704" spans="1:14" ht="13.2" customHeight="1" x14ac:dyDescent="0.3">
      <c r="A704" s="365">
        <f t="shared" si="95"/>
        <v>47</v>
      </c>
      <c r="B704" s="370" t="s">
        <v>2281</v>
      </c>
      <c r="C704" s="371"/>
      <c r="D704" s="371"/>
      <c r="E704" s="367" t="s">
        <v>399</v>
      </c>
      <c r="F704" s="527"/>
      <c r="G704" s="539"/>
      <c r="H704" s="539"/>
      <c r="I704" s="372">
        <f t="shared" si="91"/>
        <v>0</v>
      </c>
      <c r="J704" s="372"/>
      <c r="K704" s="372">
        <f>'RAB Pasang'!K704*60%</f>
        <v>133608</v>
      </c>
      <c r="L704" s="387">
        <f t="shared" si="92"/>
        <v>0</v>
      </c>
      <c r="M704" s="387">
        <f t="shared" si="93"/>
        <v>0</v>
      </c>
      <c r="N704" s="422">
        <f t="shared" si="94"/>
        <v>0</v>
      </c>
    </row>
    <row r="705" spans="1:14" ht="13.2" customHeight="1" x14ac:dyDescent="0.3">
      <c r="A705" s="365">
        <f t="shared" si="95"/>
        <v>48</v>
      </c>
      <c r="B705" s="370" t="s">
        <v>2282</v>
      </c>
      <c r="C705" s="371"/>
      <c r="D705" s="371"/>
      <c r="E705" s="367" t="s">
        <v>399</v>
      </c>
      <c r="F705" s="527"/>
      <c r="G705" s="539"/>
      <c r="H705" s="539"/>
      <c r="I705" s="372">
        <f t="shared" si="91"/>
        <v>0</v>
      </c>
      <c r="J705" s="372"/>
      <c r="K705" s="372">
        <f>'RAB Pasang'!K705*60%</f>
        <v>133608</v>
      </c>
      <c r="L705" s="387">
        <f t="shared" si="92"/>
        <v>0</v>
      </c>
      <c r="M705" s="387">
        <f t="shared" si="93"/>
        <v>0</v>
      </c>
      <c r="N705" s="422">
        <f t="shared" si="94"/>
        <v>0</v>
      </c>
    </row>
    <row r="706" spans="1:14" ht="13.2" customHeight="1" x14ac:dyDescent="0.3">
      <c r="A706" s="365">
        <f t="shared" si="95"/>
        <v>49</v>
      </c>
      <c r="B706" s="370" t="s">
        <v>2283</v>
      </c>
      <c r="C706" s="371"/>
      <c r="D706" s="371"/>
      <c r="E706" s="367" t="s">
        <v>399</v>
      </c>
      <c r="F706" s="527"/>
      <c r="G706" s="539"/>
      <c r="H706" s="539"/>
      <c r="I706" s="372">
        <f t="shared" si="91"/>
        <v>0</v>
      </c>
      <c r="J706" s="372"/>
      <c r="K706" s="372">
        <f>'RAB Pasang'!K706*60%</f>
        <v>133608</v>
      </c>
      <c r="L706" s="387">
        <f t="shared" si="92"/>
        <v>0</v>
      </c>
      <c r="M706" s="387">
        <f t="shared" si="93"/>
        <v>0</v>
      </c>
      <c r="N706" s="422">
        <f t="shared" si="94"/>
        <v>0</v>
      </c>
    </row>
    <row r="707" spans="1:14" ht="13.2" customHeight="1" x14ac:dyDescent="0.3">
      <c r="A707" s="365">
        <f t="shared" si="95"/>
        <v>50</v>
      </c>
      <c r="B707" s="370" t="s">
        <v>2284</v>
      </c>
      <c r="C707" s="371"/>
      <c r="D707" s="371"/>
      <c r="E707" s="367" t="s">
        <v>399</v>
      </c>
      <c r="F707" s="527"/>
      <c r="G707" s="539"/>
      <c r="H707" s="539"/>
      <c r="I707" s="372">
        <f t="shared" si="91"/>
        <v>0</v>
      </c>
      <c r="J707" s="372"/>
      <c r="K707" s="372">
        <f>'RAB Pasang'!K707*60%</f>
        <v>133608</v>
      </c>
      <c r="L707" s="387">
        <f t="shared" si="92"/>
        <v>0</v>
      </c>
      <c r="M707" s="387">
        <f t="shared" si="93"/>
        <v>0</v>
      </c>
      <c r="N707" s="422">
        <f t="shared" si="94"/>
        <v>0</v>
      </c>
    </row>
    <row r="708" spans="1:14" ht="13.2" customHeight="1" x14ac:dyDescent="0.3">
      <c r="A708" s="365">
        <f t="shared" si="95"/>
        <v>51</v>
      </c>
      <c r="B708" s="370" t="s">
        <v>2285</v>
      </c>
      <c r="C708" s="371"/>
      <c r="D708" s="371"/>
      <c r="E708" s="367" t="s">
        <v>399</v>
      </c>
      <c r="F708" s="527"/>
      <c r="G708" s="539"/>
      <c r="H708" s="539"/>
      <c r="I708" s="372">
        <f t="shared" si="91"/>
        <v>0</v>
      </c>
      <c r="J708" s="372"/>
      <c r="K708" s="372">
        <f>'RAB Pasang'!K708*60%</f>
        <v>133608</v>
      </c>
      <c r="L708" s="387">
        <f t="shared" si="92"/>
        <v>0</v>
      </c>
      <c r="M708" s="387">
        <f t="shared" si="93"/>
        <v>0</v>
      </c>
      <c r="N708" s="422">
        <f t="shared" si="94"/>
        <v>0</v>
      </c>
    </row>
    <row r="709" spans="1:14" ht="13.2" customHeight="1" x14ac:dyDescent="0.3">
      <c r="A709" s="365">
        <f t="shared" si="95"/>
        <v>52</v>
      </c>
      <c r="B709" s="370" t="s">
        <v>2286</v>
      </c>
      <c r="C709" s="371"/>
      <c r="D709" s="371"/>
      <c r="E709" s="367" t="s">
        <v>399</v>
      </c>
      <c r="F709" s="527"/>
      <c r="G709" s="539"/>
      <c r="H709" s="539"/>
      <c r="I709" s="372">
        <f t="shared" si="91"/>
        <v>0</v>
      </c>
      <c r="J709" s="372"/>
      <c r="K709" s="372">
        <f>'RAB Pasang'!K709*60%</f>
        <v>133608</v>
      </c>
      <c r="L709" s="387">
        <f t="shared" si="92"/>
        <v>0</v>
      </c>
      <c r="M709" s="387">
        <f t="shared" si="93"/>
        <v>0</v>
      </c>
      <c r="N709" s="422">
        <f t="shared" si="94"/>
        <v>0</v>
      </c>
    </row>
    <row r="710" spans="1:14" ht="13.2" customHeight="1" x14ac:dyDescent="0.3">
      <c r="A710" s="365">
        <f t="shared" si="95"/>
        <v>53</v>
      </c>
      <c r="B710" s="370" t="s">
        <v>2287</v>
      </c>
      <c r="C710" s="371"/>
      <c r="D710" s="371"/>
      <c r="E710" s="367" t="s">
        <v>399</v>
      </c>
      <c r="F710" s="527"/>
      <c r="G710" s="539"/>
      <c r="H710" s="539"/>
      <c r="I710" s="372">
        <f t="shared" si="91"/>
        <v>0</v>
      </c>
      <c r="J710" s="372"/>
      <c r="K710" s="372">
        <f>'RAB Pasang'!K710*60%</f>
        <v>133608</v>
      </c>
      <c r="L710" s="387">
        <f t="shared" si="92"/>
        <v>0</v>
      </c>
      <c r="M710" s="387">
        <f t="shared" si="93"/>
        <v>0</v>
      </c>
      <c r="N710" s="422">
        <f t="shared" si="94"/>
        <v>0</v>
      </c>
    </row>
    <row r="711" spans="1:14" ht="13.2" customHeight="1" x14ac:dyDescent="0.3">
      <c r="A711" s="365">
        <f t="shared" si="95"/>
        <v>54</v>
      </c>
      <c r="B711" s="370" t="s">
        <v>2288</v>
      </c>
      <c r="C711" s="371"/>
      <c r="D711" s="371"/>
      <c r="E711" s="367" t="s">
        <v>399</v>
      </c>
      <c r="F711" s="527"/>
      <c r="G711" s="539"/>
      <c r="H711" s="539"/>
      <c r="I711" s="372">
        <f t="shared" si="91"/>
        <v>0</v>
      </c>
      <c r="J711" s="372"/>
      <c r="K711" s="372">
        <f>'RAB Pasang'!K711*60%</f>
        <v>133608</v>
      </c>
      <c r="L711" s="387">
        <f t="shared" si="92"/>
        <v>0</v>
      </c>
      <c r="M711" s="387">
        <f t="shared" si="93"/>
        <v>0</v>
      </c>
      <c r="N711" s="422">
        <f t="shared" si="94"/>
        <v>0</v>
      </c>
    </row>
    <row r="712" spans="1:14" ht="13.2" customHeight="1" x14ac:dyDescent="0.3">
      <c r="A712" s="365">
        <f t="shared" si="95"/>
        <v>55</v>
      </c>
      <c r="B712" s="370" t="s">
        <v>2289</v>
      </c>
      <c r="C712" s="371"/>
      <c r="D712" s="371"/>
      <c r="E712" s="367" t="s">
        <v>399</v>
      </c>
      <c r="F712" s="527"/>
      <c r="G712" s="539"/>
      <c r="H712" s="539"/>
      <c r="I712" s="372">
        <f t="shared" si="91"/>
        <v>0</v>
      </c>
      <c r="J712" s="372"/>
      <c r="K712" s="372">
        <f>'RAB Pasang'!K712*60%</f>
        <v>133608</v>
      </c>
      <c r="L712" s="387">
        <f t="shared" si="92"/>
        <v>0</v>
      </c>
      <c r="M712" s="387">
        <f t="shared" si="93"/>
        <v>0</v>
      </c>
      <c r="N712" s="422">
        <f t="shared" si="94"/>
        <v>0</v>
      </c>
    </row>
    <row r="713" spans="1:14" ht="13.2" customHeight="1" x14ac:dyDescent="0.3">
      <c r="A713" s="365">
        <f t="shared" si="95"/>
        <v>56</v>
      </c>
      <c r="B713" s="370" t="s">
        <v>2064</v>
      </c>
      <c r="C713" s="371"/>
      <c r="D713" s="371"/>
      <c r="E713" s="367" t="s">
        <v>399</v>
      </c>
      <c r="F713" s="527"/>
      <c r="G713" s="539"/>
      <c r="H713" s="539"/>
      <c r="I713" s="372">
        <f t="shared" si="91"/>
        <v>0</v>
      </c>
      <c r="J713" s="372"/>
      <c r="K713" s="372">
        <f>'RAB Pasang'!K713*60%</f>
        <v>194940</v>
      </c>
      <c r="L713" s="387">
        <f t="shared" si="92"/>
        <v>0</v>
      </c>
      <c r="M713" s="387">
        <f t="shared" si="93"/>
        <v>0</v>
      </c>
      <c r="N713" s="422">
        <f t="shared" si="94"/>
        <v>0</v>
      </c>
    </row>
    <row r="714" spans="1:14" ht="13.2" customHeight="1" x14ac:dyDescent="0.3">
      <c r="A714" s="365">
        <f t="shared" si="95"/>
        <v>57</v>
      </c>
      <c r="B714" s="370" t="s">
        <v>2065</v>
      </c>
      <c r="C714" s="371"/>
      <c r="D714" s="371"/>
      <c r="E714" s="367" t="s">
        <v>399</v>
      </c>
      <c r="F714" s="527"/>
      <c r="G714" s="539"/>
      <c r="H714" s="539"/>
      <c r="I714" s="372">
        <f t="shared" si="91"/>
        <v>0</v>
      </c>
      <c r="J714" s="372"/>
      <c r="K714" s="372">
        <f>'RAB Pasang'!K714*60%</f>
        <v>194940</v>
      </c>
      <c r="L714" s="387">
        <f t="shared" si="92"/>
        <v>0</v>
      </c>
      <c r="M714" s="387">
        <f t="shared" si="93"/>
        <v>0</v>
      </c>
      <c r="N714" s="422">
        <f t="shared" si="94"/>
        <v>0</v>
      </c>
    </row>
    <row r="715" spans="1:14" ht="13.2" customHeight="1" x14ac:dyDescent="0.3">
      <c r="A715" s="365">
        <f t="shared" si="95"/>
        <v>58</v>
      </c>
      <c r="B715" s="370" t="s">
        <v>2066</v>
      </c>
      <c r="C715" s="371"/>
      <c r="D715" s="371"/>
      <c r="E715" s="367" t="s">
        <v>399</v>
      </c>
      <c r="F715" s="527"/>
      <c r="G715" s="539"/>
      <c r="H715" s="539"/>
      <c r="I715" s="372">
        <f t="shared" si="91"/>
        <v>0</v>
      </c>
      <c r="J715" s="372"/>
      <c r="K715" s="372">
        <f>'RAB Pasang'!K715*60%</f>
        <v>194940</v>
      </c>
      <c r="L715" s="387">
        <f t="shared" si="92"/>
        <v>0</v>
      </c>
      <c r="M715" s="387">
        <f t="shared" si="93"/>
        <v>0</v>
      </c>
      <c r="N715" s="422">
        <f t="shared" si="94"/>
        <v>0</v>
      </c>
    </row>
    <row r="716" spans="1:14" ht="13.2" customHeight="1" x14ac:dyDescent="0.3">
      <c r="A716" s="365">
        <f t="shared" si="95"/>
        <v>59</v>
      </c>
      <c r="B716" s="370" t="s">
        <v>2067</v>
      </c>
      <c r="C716" s="371"/>
      <c r="D716" s="371"/>
      <c r="E716" s="367" t="s">
        <v>399</v>
      </c>
      <c r="F716" s="527"/>
      <c r="G716" s="539"/>
      <c r="H716" s="539"/>
      <c r="I716" s="372">
        <f t="shared" si="91"/>
        <v>0</v>
      </c>
      <c r="J716" s="372"/>
      <c r="K716" s="372">
        <f>'RAB Pasang'!K716*60%</f>
        <v>194940</v>
      </c>
      <c r="L716" s="387">
        <f t="shared" si="92"/>
        <v>0</v>
      </c>
      <c r="M716" s="387">
        <f t="shared" si="93"/>
        <v>0</v>
      </c>
      <c r="N716" s="422">
        <f t="shared" si="94"/>
        <v>0</v>
      </c>
    </row>
    <row r="717" spans="1:14" ht="13.2" customHeight="1" x14ac:dyDescent="0.3">
      <c r="A717" s="365">
        <f t="shared" si="95"/>
        <v>60</v>
      </c>
      <c r="B717" s="370" t="s">
        <v>2068</v>
      </c>
      <c r="C717" s="371"/>
      <c r="D717" s="371"/>
      <c r="E717" s="367" t="s">
        <v>399</v>
      </c>
      <c r="F717" s="527"/>
      <c r="G717" s="539"/>
      <c r="H717" s="539"/>
      <c r="I717" s="372">
        <f t="shared" si="91"/>
        <v>0</v>
      </c>
      <c r="J717" s="372"/>
      <c r="K717" s="372">
        <f>'RAB Pasang'!K717*60%</f>
        <v>194940</v>
      </c>
      <c r="L717" s="387">
        <f t="shared" si="92"/>
        <v>0</v>
      </c>
      <c r="M717" s="387">
        <f t="shared" si="93"/>
        <v>0</v>
      </c>
      <c r="N717" s="422">
        <f t="shared" si="94"/>
        <v>0</v>
      </c>
    </row>
    <row r="718" spans="1:14" ht="13.2" customHeight="1" x14ac:dyDescent="0.3">
      <c r="A718" s="365">
        <f t="shared" si="95"/>
        <v>61</v>
      </c>
      <c r="B718" s="370" t="s">
        <v>2069</v>
      </c>
      <c r="C718" s="371"/>
      <c r="D718" s="371"/>
      <c r="E718" s="367" t="s">
        <v>399</v>
      </c>
      <c r="F718" s="527"/>
      <c r="G718" s="539"/>
      <c r="H718" s="539"/>
      <c r="I718" s="372">
        <f t="shared" si="91"/>
        <v>0</v>
      </c>
      <c r="J718" s="372"/>
      <c r="K718" s="372">
        <f>'RAB Pasang'!K718*60%</f>
        <v>194940</v>
      </c>
      <c r="L718" s="387">
        <f t="shared" si="92"/>
        <v>0</v>
      </c>
      <c r="M718" s="387">
        <f t="shared" si="93"/>
        <v>0</v>
      </c>
      <c r="N718" s="422">
        <f t="shared" si="94"/>
        <v>0</v>
      </c>
    </row>
    <row r="719" spans="1:14" ht="13.2" customHeight="1" x14ac:dyDescent="0.3">
      <c r="A719" s="365">
        <f t="shared" si="95"/>
        <v>62</v>
      </c>
      <c r="B719" s="370" t="s">
        <v>2070</v>
      </c>
      <c r="C719" s="371"/>
      <c r="D719" s="371"/>
      <c r="E719" s="367" t="s">
        <v>399</v>
      </c>
      <c r="F719" s="527"/>
      <c r="G719" s="539"/>
      <c r="H719" s="539"/>
      <c r="I719" s="372">
        <f t="shared" si="91"/>
        <v>0</v>
      </c>
      <c r="J719" s="372"/>
      <c r="K719" s="372">
        <f>'RAB Pasang'!K719*60%</f>
        <v>194940</v>
      </c>
      <c r="L719" s="387">
        <f t="shared" si="92"/>
        <v>0</v>
      </c>
      <c r="M719" s="387">
        <f t="shared" si="93"/>
        <v>0</v>
      </c>
      <c r="N719" s="422">
        <f t="shared" si="94"/>
        <v>0</v>
      </c>
    </row>
    <row r="720" spans="1:14" ht="13.2" customHeight="1" x14ac:dyDescent="0.3">
      <c r="A720" s="365">
        <f t="shared" si="95"/>
        <v>63</v>
      </c>
      <c r="B720" s="370" t="s">
        <v>2071</v>
      </c>
      <c r="C720" s="371"/>
      <c r="D720" s="371"/>
      <c r="E720" s="367" t="s">
        <v>399</v>
      </c>
      <c r="F720" s="527"/>
      <c r="G720" s="539"/>
      <c r="H720" s="539"/>
      <c r="I720" s="372">
        <f t="shared" si="91"/>
        <v>0</v>
      </c>
      <c r="J720" s="372"/>
      <c r="K720" s="372">
        <f>'RAB Pasang'!K720*60%</f>
        <v>194940</v>
      </c>
      <c r="L720" s="387">
        <f t="shared" si="92"/>
        <v>0</v>
      </c>
      <c r="M720" s="387">
        <f t="shared" si="93"/>
        <v>0</v>
      </c>
      <c r="N720" s="422">
        <f t="shared" si="94"/>
        <v>0</v>
      </c>
    </row>
    <row r="721" spans="1:14" ht="13.2" customHeight="1" x14ac:dyDescent="0.3">
      <c r="A721" s="365">
        <f t="shared" si="95"/>
        <v>64</v>
      </c>
      <c r="B721" s="370" t="s">
        <v>2072</v>
      </c>
      <c r="C721" s="371"/>
      <c r="D721" s="371"/>
      <c r="E721" s="367" t="s">
        <v>399</v>
      </c>
      <c r="F721" s="527"/>
      <c r="G721" s="539"/>
      <c r="H721" s="539"/>
      <c r="I721" s="372">
        <f t="shared" si="91"/>
        <v>0</v>
      </c>
      <c r="J721" s="372"/>
      <c r="K721" s="372">
        <f>'RAB Pasang'!K721*60%</f>
        <v>194940</v>
      </c>
      <c r="L721" s="387">
        <f t="shared" si="92"/>
        <v>0</v>
      </c>
      <c r="M721" s="387">
        <f t="shared" si="93"/>
        <v>0</v>
      </c>
      <c r="N721" s="422">
        <f t="shared" si="94"/>
        <v>0</v>
      </c>
    </row>
    <row r="722" spans="1:14" ht="13.2" customHeight="1" x14ac:dyDescent="0.3">
      <c r="A722" s="365">
        <f t="shared" si="95"/>
        <v>65</v>
      </c>
      <c r="B722" s="370" t="s">
        <v>2073</v>
      </c>
      <c r="C722" s="371"/>
      <c r="D722" s="371"/>
      <c r="E722" s="367" t="s">
        <v>399</v>
      </c>
      <c r="F722" s="527"/>
      <c r="G722" s="539"/>
      <c r="H722" s="539"/>
      <c r="I722" s="372">
        <f t="shared" ref="I722:I742" si="96">SUM(F722:H722)</f>
        <v>0</v>
      </c>
      <c r="J722" s="372"/>
      <c r="K722" s="372">
        <f>'RAB Pasang'!K722*60%</f>
        <v>194940</v>
      </c>
      <c r="L722" s="387">
        <f t="shared" ref="L722:L742" si="97">J722*I722</f>
        <v>0</v>
      </c>
      <c r="M722" s="387">
        <f t="shared" ref="M722:M742" si="98">K722*I722</f>
        <v>0</v>
      </c>
      <c r="N722" s="422">
        <f t="shared" ref="N722:N742" si="99">SUM(L722:M722)</f>
        <v>0</v>
      </c>
    </row>
    <row r="723" spans="1:14" ht="13.2" customHeight="1" x14ac:dyDescent="0.3">
      <c r="A723" s="365">
        <f t="shared" si="95"/>
        <v>66</v>
      </c>
      <c r="B723" s="370" t="s">
        <v>2074</v>
      </c>
      <c r="C723" s="371"/>
      <c r="D723" s="371"/>
      <c r="E723" s="367" t="s">
        <v>399</v>
      </c>
      <c r="F723" s="527"/>
      <c r="G723" s="539"/>
      <c r="H723" s="539"/>
      <c r="I723" s="372">
        <f t="shared" si="96"/>
        <v>0</v>
      </c>
      <c r="J723" s="372"/>
      <c r="K723" s="372">
        <f>'RAB Pasang'!K723*60%</f>
        <v>194940</v>
      </c>
      <c r="L723" s="387">
        <f t="shared" si="97"/>
        <v>0</v>
      </c>
      <c r="M723" s="387">
        <f t="shared" si="98"/>
        <v>0</v>
      </c>
      <c r="N723" s="422">
        <f t="shared" si="99"/>
        <v>0</v>
      </c>
    </row>
    <row r="724" spans="1:14" ht="13.2" customHeight="1" x14ac:dyDescent="0.3">
      <c r="A724" s="365">
        <f t="shared" ref="A724:A742" si="100">A723+1</f>
        <v>67</v>
      </c>
      <c r="B724" s="370" t="s">
        <v>2075</v>
      </c>
      <c r="C724" s="371"/>
      <c r="D724" s="371"/>
      <c r="E724" s="367" t="s">
        <v>399</v>
      </c>
      <c r="F724" s="527"/>
      <c r="G724" s="539"/>
      <c r="H724" s="539"/>
      <c r="I724" s="372">
        <f t="shared" si="96"/>
        <v>0</v>
      </c>
      <c r="J724" s="372"/>
      <c r="K724" s="372">
        <f>'RAB Pasang'!K724*60%</f>
        <v>194940</v>
      </c>
      <c r="L724" s="387">
        <f t="shared" si="97"/>
        <v>0</v>
      </c>
      <c r="M724" s="387">
        <f t="shared" si="98"/>
        <v>0</v>
      </c>
      <c r="N724" s="422">
        <f t="shared" si="99"/>
        <v>0</v>
      </c>
    </row>
    <row r="725" spans="1:14" ht="13.2" customHeight="1" x14ac:dyDescent="0.3">
      <c r="A725" s="365">
        <f t="shared" si="100"/>
        <v>68</v>
      </c>
      <c r="B725" s="370" t="s">
        <v>2076</v>
      </c>
      <c r="C725" s="371"/>
      <c r="D725" s="371"/>
      <c r="E725" s="367" t="s">
        <v>399</v>
      </c>
      <c r="F725" s="527"/>
      <c r="G725" s="539"/>
      <c r="H725" s="539"/>
      <c r="I725" s="372">
        <f t="shared" si="96"/>
        <v>0</v>
      </c>
      <c r="J725" s="372"/>
      <c r="K725" s="372">
        <f>'RAB Pasang'!K725*60%</f>
        <v>194940</v>
      </c>
      <c r="L725" s="387">
        <f t="shared" si="97"/>
        <v>0</v>
      </c>
      <c r="M725" s="387">
        <f t="shared" si="98"/>
        <v>0</v>
      </c>
      <c r="N725" s="422">
        <f t="shared" si="99"/>
        <v>0</v>
      </c>
    </row>
    <row r="726" spans="1:14" ht="13.2" customHeight="1" x14ac:dyDescent="0.3">
      <c r="A726" s="365">
        <f t="shared" si="100"/>
        <v>69</v>
      </c>
      <c r="B726" s="370" t="s">
        <v>2077</v>
      </c>
      <c r="C726" s="371"/>
      <c r="D726" s="371"/>
      <c r="E726" s="367" t="s">
        <v>399</v>
      </c>
      <c r="F726" s="527"/>
      <c r="G726" s="539"/>
      <c r="H726" s="539"/>
      <c r="I726" s="372">
        <f t="shared" si="96"/>
        <v>0</v>
      </c>
      <c r="J726" s="372"/>
      <c r="K726" s="372">
        <f>'RAB Pasang'!K726*60%</f>
        <v>194940</v>
      </c>
      <c r="L726" s="387">
        <f t="shared" si="97"/>
        <v>0</v>
      </c>
      <c r="M726" s="387">
        <f t="shared" si="98"/>
        <v>0</v>
      </c>
      <c r="N726" s="422">
        <f t="shared" si="99"/>
        <v>0</v>
      </c>
    </row>
    <row r="727" spans="1:14" ht="13.2" customHeight="1" x14ac:dyDescent="0.3">
      <c r="A727" s="365">
        <f t="shared" si="100"/>
        <v>70</v>
      </c>
      <c r="B727" s="370" t="s">
        <v>2078</v>
      </c>
      <c r="C727" s="371"/>
      <c r="D727" s="371"/>
      <c r="E727" s="367" t="s">
        <v>399</v>
      </c>
      <c r="F727" s="527"/>
      <c r="G727" s="539"/>
      <c r="H727" s="539"/>
      <c r="I727" s="372">
        <f t="shared" si="96"/>
        <v>0</v>
      </c>
      <c r="J727" s="372"/>
      <c r="K727" s="372">
        <f>'RAB Pasang'!K727*60%</f>
        <v>194940</v>
      </c>
      <c r="L727" s="387">
        <f t="shared" si="97"/>
        <v>0</v>
      </c>
      <c r="M727" s="387">
        <f t="shared" si="98"/>
        <v>0</v>
      </c>
      <c r="N727" s="422">
        <f t="shared" si="99"/>
        <v>0</v>
      </c>
    </row>
    <row r="728" spans="1:14" ht="13.2" customHeight="1" x14ac:dyDescent="0.3">
      <c r="A728" s="365">
        <f t="shared" si="100"/>
        <v>71</v>
      </c>
      <c r="B728" s="370" t="s">
        <v>2079</v>
      </c>
      <c r="C728" s="371"/>
      <c r="D728" s="371"/>
      <c r="E728" s="367" t="s">
        <v>399</v>
      </c>
      <c r="F728" s="527"/>
      <c r="G728" s="539"/>
      <c r="H728" s="539"/>
      <c r="I728" s="372">
        <f t="shared" si="96"/>
        <v>0</v>
      </c>
      <c r="J728" s="372"/>
      <c r="K728" s="372">
        <f>'RAB Pasang'!K728*60%</f>
        <v>227436</v>
      </c>
      <c r="L728" s="387">
        <f t="shared" si="97"/>
        <v>0</v>
      </c>
      <c r="M728" s="387">
        <f t="shared" si="98"/>
        <v>0</v>
      </c>
      <c r="N728" s="422">
        <f t="shared" si="99"/>
        <v>0</v>
      </c>
    </row>
    <row r="729" spans="1:14" ht="13.2" customHeight="1" x14ac:dyDescent="0.3">
      <c r="A729" s="365">
        <f t="shared" si="100"/>
        <v>72</v>
      </c>
      <c r="B729" s="370" t="s">
        <v>2080</v>
      </c>
      <c r="C729" s="371"/>
      <c r="D729" s="371"/>
      <c r="E729" s="367" t="s">
        <v>399</v>
      </c>
      <c r="F729" s="527"/>
      <c r="G729" s="539"/>
      <c r="H729" s="539"/>
      <c r="I729" s="372">
        <f t="shared" si="96"/>
        <v>0</v>
      </c>
      <c r="J729" s="372"/>
      <c r="K729" s="372">
        <f>'RAB Pasang'!K729*60%</f>
        <v>227436</v>
      </c>
      <c r="L729" s="387">
        <f t="shared" si="97"/>
        <v>0</v>
      </c>
      <c r="M729" s="387">
        <f t="shared" si="98"/>
        <v>0</v>
      </c>
      <c r="N729" s="422">
        <f t="shared" si="99"/>
        <v>0</v>
      </c>
    </row>
    <row r="730" spans="1:14" ht="13.2" customHeight="1" x14ac:dyDescent="0.3">
      <c r="A730" s="365">
        <f t="shared" si="100"/>
        <v>73</v>
      </c>
      <c r="B730" s="370" t="s">
        <v>2081</v>
      </c>
      <c r="C730" s="371"/>
      <c r="D730" s="371"/>
      <c r="E730" s="367" t="s">
        <v>399</v>
      </c>
      <c r="F730" s="527"/>
      <c r="G730" s="539"/>
      <c r="H730" s="539"/>
      <c r="I730" s="372">
        <f t="shared" si="96"/>
        <v>0</v>
      </c>
      <c r="J730" s="372"/>
      <c r="K730" s="372">
        <f>'RAB Pasang'!K730*60%</f>
        <v>227436</v>
      </c>
      <c r="L730" s="387">
        <f t="shared" si="97"/>
        <v>0</v>
      </c>
      <c r="M730" s="387">
        <f t="shared" si="98"/>
        <v>0</v>
      </c>
      <c r="N730" s="422">
        <f t="shared" si="99"/>
        <v>0</v>
      </c>
    </row>
    <row r="731" spans="1:14" ht="13.2" customHeight="1" x14ac:dyDescent="0.3">
      <c r="A731" s="365">
        <f t="shared" si="100"/>
        <v>74</v>
      </c>
      <c r="B731" s="370" t="s">
        <v>2082</v>
      </c>
      <c r="C731" s="371"/>
      <c r="D731" s="371"/>
      <c r="E731" s="367" t="s">
        <v>399</v>
      </c>
      <c r="F731" s="527"/>
      <c r="G731" s="539"/>
      <c r="H731" s="539"/>
      <c r="I731" s="372">
        <f t="shared" si="96"/>
        <v>0</v>
      </c>
      <c r="J731" s="372"/>
      <c r="K731" s="372">
        <f>'RAB Pasang'!K731*60%</f>
        <v>227436</v>
      </c>
      <c r="L731" s="387">
        <f t="shared" si="97"/>
        <v>0</v>
      </c>
      <c r="M731" s="387">
        <f t="shared" si="98"/>
        <v>0</v>
      </c>
      <c r="N731" s="422">
        <f t="shared" si="99"/>
        <v>0</v>
      </c>
    </row>
    <row r="732" spans="1:14" ht="13.2" customHeight="1" x14ac:dyDescent="0.3">
      <c r="A732" s="365">
        <f t="shared" si="100"/>
        <v>75</v>
      </c>
      <c r="B732" s="370" t="s">
        <v>2083</v>
      </c>
      <c r="C732" s="371"/>
      <c r="D732" s="371"/>
      <c r="E732" s="367" t="s">
        <v>399</v>
      </c>
      <c r="F732" s="527"/>
      <c r="G732" s="539"/>
      <c r="H732" s="539"/>
      <c r="I732" s="372">
        <f t="shared" si="96"/>
        <v>0</v>
      </c>
      <c r="J732" s="372"/>
      <c r="K732" s="372">
        <f>'RAB Pasang'!K732*60%</f>
        <v>227436</v>
      </c>
      <c r="L732" s="387">
        <f t="shared" si="97"/>
        <v>0</v>
      </c>
      <c r="M732" s="387">
        <f t="shared" si="98"/>
        <v>0</v>
      </c>
      <c r="N732" s="422">
        <f t="shared" si="99"/>
        <v>0</v>
      </c>
    </row>
    <row r="733" spans="1:14" ht="13.2" customHeight="1" x14ac:dyDescent="0.3">
      <c r="A733" s="365">
        <f t="shared" si="100"/>
        <v>76</v>
      </c>
      <c r="B733" s="370" t="s">
        <v>2084</v>
      </c>
      <c r="C733" s="371"/>
      <c r="D733" s="371"/>
      <c r="E733" s="367" t="s">
        <v>399</v>
      </c>
      <c r="F733" s="527"/>
      <c r="G733" s="539"/>
      <c r="H733" s="539"/>
      <c r="I733" s="372">
        <f t="shared" si="96"/>
        <v>0</v>
      </c>
      <c r="J733" s="372"/>
      <c r="K733" s="372">
        <f>'RAB Pasang'!K733*60%</f>
        <v>227436</v>
      </c>
      <c r="L733" s="387">
        <f t="shared" si="97"/>
        <v>0</v>
      </c>
      <c r="M733" s="387">
        <f t="shared" si="98"/>
        <v>0</v>
      </c>
      <c r="N733" s="422">
        <f t="shared" si="99"/>
        <v>0</v>
      </c>
    </row>
    <row r="734" spans="1:14" ht="13.2" customHeight="1" x14ac:dyDescent="0.3">
      <c r="A734" s="365">
        <f t="shared" si="100"/>
        <v>77</v>
      </c>
      <c r="B734" s="370" t="s">
        <v>2085</v>
      </c>
      <c r="C734" s="371"/>
      <c r="D734" s="371"/>
      <c r="E734" s="367" t="s">
        <v>399</v>
      </c>
      <c r="F734" s="527"/>
      <c r="G734" s="539"/>
      <c r="H734" s="539"/>
      <c r="I734" s="372">
        <f t="shared" si="96"/>
        <v>0</v>
      </c>
      <c r="J734" s="372"/>
      <c r="K734" s="372">
        <f>'RAB Pasang'!K734*60%</f>
        <v>227436</v>
      </c>
      <c r="L734" s="387">
        <f t="shared" si="97"/>
        <v>0</v>
      </c>
      <c r="M734" s="387">
        <f t="shared" si="98"/>
        <v>0</v>
      </c>
      <c r="N734" s="422">
        <f t="shared" si="99"/>
        <v>0</v>
      </c>
    </row>
    <row r="735" spans="1:14" ht="13.2" customHeight="1" x14ac:dyDescent="0.3">
      <c r="A735" s="365">
        <f t="shared" si="100"/>
        <v>78</v>
      </c>
      <c r="B735" s="370" t="s">
        <v>2086</v>
      </c>
      <c r="C735" s="371"/>
      <c r="D735" s="371"/>
      <c r="E735" s="367" t="s">
        <v>399</v>
      </c>
      <c r="F735" s="527"/>
      <c r="G735" s="539"/>
      <c r="H735" s="539"/>
      <c r="I735" s="372">
        <f t="shared" si="96"/>
        <v>0</v>
      </c>
      <c r="J735" s="372"/>
      <c r="K735" s="372">
        <f>'RAB Pasang'!K735*60%</f>
        <v>227436</v>
      </c>
      <c r="L735" s="387">
        <f t="shared" si="97"/>
        <v>0</v>
      </c>
      <c r="M735" s="387">
        <f t="shared" si="98"/>
        <v>0</v>
      </c>
      <c r="N735" s="422">
        <f t="shared" si="99"/>
        <v>0</v>
      </c>
    </row>
    <row r="736" spans="1:14" ht="13.2" customHeight="1" x14ac:dyDescent="0.3">
      <c r="A736" s="365">
        <f t="shared" si="100"/>
        <v>79</v>
      </c>
      <c r="B736" s="370" t="s">
        <v>2087</v>
      </c>
      <c r="C736" s="371"/>
      <c r="D736" s="371"/>
      <c r="E736" s="367" t="s">
        <v>399</v>
      </c>
      <c r="F736" s="527"/>
      <c r="G736" s="539"/>
      <c r="H736" s="539"/>
      <c r="I736" s="372">
        <f t="shared" si="96"/>
        <v>0</v>
      </c>
      <c r="J736" s="372"/>
      <c r="K736" s="372">
        <f>'RAB Pasang'!K736*60%</f>
        <v>227436</v>
      </c>
      <c r="L736" s="387">
        <f t="shared" si="97"/>
        <v>0</v>
      </c>
      <c r="M736" s="387">
        <f t="shared" si="98"/>
        <v>0</v>
      </c>
      <c r="N736" s="422">
        <f t="shared" si="99"/>
        <v>0</v>
      </c>
    </row>
    <row r="737" spans="1:14" ht="13.2" customHeight="1" x14ac:dyDescent="0.3">
      <c r="A737" s="365">
        <f t="shared" si="100"/>
        <v>80</v>
      </c>
      <c r="B737" s="370" t="s">
        <v>2088</v>
      </c>
      <c r="C737" s="371"/>
      <c r="D737" s="371"/>
      <c r="E737" s="367" t="s">
        <v>399</v>
      </c>
      <c r="F737" s="527"/>
      <c r="G737" s="539"/>
      <c r="H737" s="539"/>
      <c r="I737" s="372">
        <f t="shared" si="96"/>
        <v>0</v>
      </c>
      <c r="J737" s="372"/>
      <c r="K737" s="372">
        <f>'RAB Pasang'!K737*60%</f>
        <v>227436</v>
      </c>
      <c r="L737" s="387">
        <f t="shared" si="97"/>
        <v>0</v>
      </c>
      <c r="M737" s="387">
        <f t="shared" si="98"/>
        <v>0</v>
      </c>
      <c r="N737" s="422">
        <f t="shared" si="99"/>
        <v>0</v>
      </c>
    </row>
    <row r="738" spans="1:14" ht="13.2" customHeight="1" x14ac:dyDescent="0.3">
      <c r="A738" s="365">
        <f t="shared" si="100"/>
        <v>81</v>
      </c>
      <c r="B738" s="370" t="s">
        <v>2089</v>
      </c>
      <c r="C738" s="371"/>
      <c r="D738" s="371"/>
      <c r="E738" s="367" t="s">
        <v>399</v>
      </c>
      <c r="F738" s="527"/>
      <c r="G738" s="539"/>
      <c r="H738" s="539"/>
      <c r="I738" s="372">
        <f t="shared" si="96"/>
        <v>0</v>
      </c>
      <c r="J738" s="372"/>
      <c r="K738" s="372">
        <f>'RAB Pasang'!K738*60%</f>
        <v>227436</v>
      </c>
      <c r="L738" s="387">
        <f t="shared" si="97"/>
        <v>0</v>
      </c>
      <c r="M738" s="387">
        <f t="shared" si="98"/>
        <v>0</v>
      </c>
      <c r="N738" s="422">
        <f t="shared" si="99"/>
        <v>0</v>
      </c>
    </row>
    <row r="739" spans="1:14" ht="13.2" customHeight="1" x14ac:dyDescent="0.3">
      <c r="A739" s="365">
        <f t="shared" si="100"/>
        <v>82</v>
      </c>
      <c r="B739" s="370" t="s">
        <v>2090</v>
      </c>
      <c r="C739" s="371"/>
      <c r="D739" s="371"/>
      <c r="E739" s="367" t="s">
        <v>399</v>
      </c>
      <c r="F739" s="527"/>
      <c r="G739" s="539"/>
      <c r="H739" s="539"/>
      <c r="I739" s="372">
        <f t="shared" si="96"/>
        <v>0</v>
      </c>
      <c r="J739" s="372"/>
      <c r="K739" s="372">
        <f>'RAB Pasang'!K739*60%</f>
        <v>227436</v>
      </c>
      <c r="L739" s="387">
        <f t="shared" si="97"/>
        <v>0</v>
      </c>
      <c r="M739" s="387">
        <f t="shared" si="98"/>
        <v>0</v>
      </c>
      <c r="N739" s="422">
        <f t="shared" si="99"/>
        <v>0</v>
      </c>
    </row>
    <row r="740" spans="1:14" ht="13.2" customHeight="1" x14ac:dyDescent="0.3">
      <c r="A740" s="365">
        <f t="shared" si="100"/>
        <v>83</v>
      </c>
      <c r="B740" s="370" t="s">
        <v>2091</v>
      </c>
      <c r="C740" s="371"/>
      <c r="D740" s="371"/>
      <c r="E740" s="367" t="s">
        <v>399</v>
      </c>
      <c r="F740" s="527"/>
      <c r="G740" s="539"/>
      <c r="H740" s="539"/>
      <c r="I740" s="372">
        <f t="shared" si="96"/>
        <v>0</v>
      </c>
      <c r="J740" s="372"/>
      <c r="K740" s="372">
        <f>'RAB Pasang'!K740*60%</f>
        <v>227436</v>
      </c>
      <c r="L740" s="387">
        <f t="shared" si="97"/>
        <v>0</v>
      </c>
      <c r="M740" s="387">
        <f t="shared" si="98"/>
        <v>0</v>
      </c>
      <c r="N740" s="422">
        <f t="shared" si="99"/>
        <v>0</v>
      </c>
    </row>
    <row r="741" spans="1:14" ht="13.2" customHeight="1" x14ac:dyDescent="0.3">
      <c r="A741" s="365">
        <f t="shared" si="100"/>
        <v>84</v>
      </c>
      <c r="B741" s="370" t="s">
        <v>2092</v>
      </c>
      <c r="C741" s="371"/>
      <c r="D741" s="371"/>
      <c r="E741" s="367" t="s">
        <v>399</v>
      </c>
      <c r="F741" s="527"/>
      <c r="G741" s="539"/>
      <c r="H741" s="539"/>
      <c r="I741" s="372">
        <f t="shared" si="96"/>
        <v>0</v>
      </c>
      <c r="J741" s="372"/>
      <c r="K741" s="372">
        <f>'RAB Pasang'!K741*60%</f>
        <v>227436</v>
      </c>
      <c r="L741" s="387">
        <f t="shared" si="97"/>
        <v>0</v>
      </c>
      <c r="M741" s="387">
        <f t="shared" si="98"/>
        <v>0</v>
      </c>
      <c r="N741" s="422">
        <f t="shared" si="99"/>
        <v>0</v>
      </c>
    </row>
    <row r="742" spans="1:14" ht="13.2" customHeight="1" x14ac:dyDescent="0.3">
      <c r="A742" s="365">
        <f t="shared" si="100"/>
        <v>85</v>
      </c>
      <c r="B742" s="370" t="s">
        <v>2093</v>
      </c>
      <c r="C742" s="371"/>
      <c r="D742" s="371"/>
      <c r="E742" s="367" t="s">
        <v>399</v>
      </c>
      <c r="F742" s="527"/>
      <c r="G742" s="539"/>
      <c r="H742" s="539"/>
      <c r="I742" s="372">
        <f t="shared" si="96"/>
        <v>0</v>
      </c>
      <c r="J742" s="372"/>
      <c r="K742" s="372">
        <f>'RAB Pasang'!K742*60%</f>
        <v>227436</v>
      </c>
      <c r="L742" s="387">
        <f t="shared" si="97"/>
        <v>0</v>
      </c>
      <c r="M742" s="387">
        <f t="shared" si="98"/>
        <v>0</v>
      </c>
      <c r="N742" s="422">
        <f t="shared" si="99"/>
        <v>0</v>
      </c>
    </row>
    <row r="743" spans="1:14" ht="14.4" customHeight="1" x14ac:dyDescent="0.3">
      <c r="A743" s="485"/>
      <c r="B743" s="497" t="s">
        <v>1717</v>
      </c>
      <c r="C743" s="487"/>
      <c r="D743" s="487"/>
      <c r="E743" s="488"/>
      <c r="F743" s="492"/>
      <c r="G743" s="492"/>
      <c r="H743" s="492"/>
      <c r="I743" s="543"/>
      <c r="J743" s="492"/>
      <c r="K743" s="492"/>
      <c r="L743" s="490">
        <f t="shared" ref="L743:N743" si="101">SUM(L658:L742)</f>
        <v>0</v>
      </c>
      <c r="M743" s="490">
        <f t="shared" si="101"/>
        <v>0</v>
      </c>
      <c r="N743" s="491">
        <f t="shared" si="101"/>
        <v>0</v>
      </c>
    </row>
    <row r="744" spans="1:14" ht="8.4" customHeight="1" x14ac:dyDescent="0.3">
      <c r="A744" s="420"/>
      <c r="B744" s="376"/>
      <c r="C744" s="373"/>
      <c r="D744" s="373"/>
      <c r="E744" s="374"/>
      <c r="F744" s="528"/>
      <c r="G744" s="528"/>
      <c r="H744" s="528"/>
      <c r="I744" s="375"/>
      <c r="J744" s="375"/>
      <c r="K744" s="375"/>
      <c r="L744" s="399"/>
      <c r="M744" s="399"/>
      <c r="N744" s="400"/>
    </row>
    <row r="745" spans="1:14" ht="13.95" customHeight="1" x14ac:dyDescent="0.3">
      <c r="A745" s="495" t="s">
        <v>1450</v>
      </c>
      <c r="B745" s="478" t="s">
        <v>1440</v>
      </c>
      <c r="C745" s="480"/>
      <c r="D745" s="480"/>
      <c r="E745" s="493"/>
      <c r="F745" s="579"/>
      <c r="G745" s="579"/>
      <c r="H745" s="579"/>
      <c r="I745" s="494"/>
      <c r="J745" s="494"/>
      <c r="K745" s="494"/>
      <c r="L745" s="484"/>
      <c r="M745" s="484"/>
      <c r="N745" s="496"/>
    </row>
    <row r="746" spans="1:14" ht="13.2" customHeight="1" x14ac:dyDescent="0.3">
      <c r="A746" s="365">
        <v>1</v>
      </c>
      <c r="B746" s="370" t="s">
        <v>2094</v>
      </c>
      <c r="C746" s="371"/>
      <c r="D746" s="371"/>
      <c r="E746" s="367" t="s">
        <v>399</v>
      </c>
      <c r="F746" s="527"/>
      <c r="G746" s="539"/>
      <c r="H746" s="539"/>
      <c r="I746" s="372">
        <f t="shared" ref="I746:I769" si="102">SUM(F746:H746)</f>
        <v>0</v>
      </c>
      <c r="J746" s="372"/>
      <c r="K746" s="372">
        <f>'RAB Pasang'!K746*60%</f>
        <v>194940</v>
      </c>
      <c r="L746" s="387">
        <f t="shared" ref="L746:L769" si="103">J746*I746</f>
        <v>0</v>
      </c>
      <c r="M746" s="387">
        <f t="shared" ref="M746:M769" si="104">K746*I746</f>
        <v>0</v>
      </c>
      <c r="N746" s="422">
        <f t="shared" ref="N746:N769" si="105">SUM(L746:M746)</f>
        <v>0</v>
      </c>
    </row>
    <row r="747" spans="1:14" ht="13.2" customHeight="1" x14ac:dyDescent="0.3">
      <c r="A747" s="365">
        <f t="shared" ref="A747:A769" si="106">A746+1</f>
        <v>2</v>
      </c>
      <c r="B747" s="370" t="s">
        <v>2095</v>
      </c>
      <c r="C747" s="371"/>
      <c r="D747" s="371"/>
      <c r="E747" s="367" t="s">
        <v>399</v>
      </c>
      <c r="F747" s="527"/>
      <c r="G747" s="539"/>
      <c r="H747" s="539"/>
      <c r="I747" s="372">
        <f t="shared" si="102"/>
        <v>0</v>
      </c>
      <c r="J747" s="372"/>
      <c r="K747" s="372">
        <f>'RAB Pasang'!K747*60%</f>
        <v>194940</v>
      </c>
      <c r="L747" s="387">
        <f t="shared" si="103"/>
        <v>0</v>
      </c>
      <c r="M747" s="387">
        <f t="shared" si="104"/>
        <v>0</v>
      </c>
      <c r="N747" s="422">
        <f t="shared" si="105"/>
        <v>0</v>
      </c>
    </row>
    <row r="748" spans="1:14" ht="13.2" customHeight="1" x14ac:dyDescent="0.3">
      <c r="A748" s="365">
        <f t="shared" si="106"/>
        <v>3</v>
      </c>
      <c r="B748" s="370" t="s">
        <v>2096</v>
      </c>
      <c r="C748" s="371"/>
      <c r="D748" s="371"/>
      <c r="E748" s="367" t="s">
        <v>399</v>
      </c>
      <c r="F748" s="527"/>
      <c r="G748" s="539"/>
      <c r="H748" s="539"/>
      <c r="I748" s="372">
        <f t="shared" si="102"/>
        <v>0</v>
      </c>
      <c r="J748" s="372"/>
      <c r="K748" s="372">
        <f>'RAB Pasang'!K748*60%</f>
        <v>194940</v>
      </c>
      <c r="L748" s="387">
        <f t="shared" si="103"/>
        <v>0</v>
      </c>
      <c r="M748" s="387">
        <f t="shared" si="104"/>
        <v>0</v>
      </c>
      <c r="N748" s="422">
        <f t="shared" si="105"/>
        <v>0</v>
      </c>
    </row>
    <row r="749" spans="1:14" ht="13.2" customHeight="1" x14ac:dyDescent="0.3">
      <c r="A749" s="365">
        <f t="shared" si="106"/>
        <v>4</v>
      </c>
      <c r="B749" s="370" t="s">
        <v>2097</v>
      </c>
      <c r="C749" s="371"/>
      <c r="D749" s="371"/>
      <c r="E749" s="367" t="s">
        <v>399</v>
      </c>
      <c r="F749" s="527"/>
      <c r="G749" s="539"/>
      <c r="H749" s="539"/>
      <c r="I749" s="372">
        <f t="shared" si="102"/>
        <v>0</v>
      </c>
      <c r="J749" s="372"/>
      <c r="K749" s="372">
        <f>'RAB Pasang'!K749*60%</f>
        <v>194940</v>
      </c>
      <c r="L749" s="387">
        <f t="shared" si="103"/>
        <v>0</v>
      </c>
      <c r="M749" s="387">
        <f t="shared" si="104"/>
        <v>0</v>
      </c>
      <c r="N749" s="422">
        <f t="shared" si="105"/>
        <v>0</v>
      </c>
    </row>
    <row r="750" spans="1:14" ht="13.2" customHeight="1" x14ac:dyDescent="0.3">
      <c r="A750" s="365">
        <f t="shared" si="106"/>
        <v>5</v>
      </c>
      <c r="B750" s="370" t="s">
        <v>2098</v>
      </c>
      <c r="C750" s="371"/>
      <c r="D750" s="371"/>
      <c r="E750" s="367" t="s">
        <v>399</v>
      </c>
      <c r="F750" s="527"/>
      <c r="G750" s="539"/>
      <c r="H750" s="539"/>
      <c r="I750" s="372">
        <f t="shared" si="102"/>
        <v>0</v>
      </c>
      <c r="J750" s="372"/>
      <c r="K750" s="372">
        <f>'RAB Pasang'!K750*60%</f>
        <v>194940</v>
      </c>
      <c r="L750" s="387">
        <f t="shared" si="103"/>
        <v>0</v>
      </c>
      <c r="M750" s="387">
        <f t="shared" si="104"/>
        <v>0</v>
      </c>
      <c r="N750" s="422">
        <f t="shared" si="105"/>
        <v>0</v>
      </c>
    </row>
    <row r="751" spans="1:14" ht="13.2" customHeight="1" x14ac:dyDescent="0.3">
      <c r="A751" s="365">
        <f t="shared" si="106"/>
        <v>6</v>
      </c>
      <c r="B751" s="370" t="s">
        <v>2099</v>
      </c>
      <c r="C751" s="371"/>
      <c r="D751" s="371"/>
      <c r="E751" s="367" t="s">
        <v>399</v>
      </c>
      <c r="F751" s="527"/>
      <c r="G751" s="539"/>
      <c r="H751" s="539"/>
      <c r="I751" s="372">
        <f t="shared" si="102"/>
        <v>0</v>
      </c>
      <c r="J751" s="372"/>
      <c r="K751" s="372">
        <f>'RAB Pasang'!K751*60%</f>
        <v>194940</v>
      </c>
      <c r="L751" s="387">
        <f t="shared" si="103"/>
        <v>0</v>
      </c>
      <c r="M751" s="387">
        <f t="shared" si="104"/>
        <v>0</v>
      </c>
      <c r="N751" s="422">
        <f t="shared" si="105"/>
        <v>0</v>
      </c>
    </row>
    <row r="752" spans="1:14" ht="13.2" customHeight="1" x14ac:dyDescent="0.3">
      <c r="A752" s="365">
        <f t="shared" si="106"/>
        <v>7</v>
      </c>
      <c r="B752" s="370" t="s">
        <v>2100</v>
      </c>
      <c r="C752" s="371"/>
      <c r="D752" s="371"/>
      <c r="E752" s="367" t="s">
        <v>399</v>
      </c>
      <c r="F752" s="527"/>
      <c r="G752" s="539"/>
      <c r="H752" s="539"/>
      <c r="I752" s="372">
        <f t="shared" si="102"/>
        <v>0</v>
      </c>
      <c r="J752" s="372"/>
      <c r="K752" s="372">
        <f>'RAB Pasang'!K752*60%</f>
        <v>194940</v>
      </c>
      <c r="L752" s="387">
        <f t="shared" si="103"/>
        <v>0</v>
      </c>
      <c r="M752" s="387">
        <f t="shared" si="104"/>
        <v>0</v>
      </c>
      <c r="N752" s="422">
        <f t="shared" si="105"/>
        <v>0</v>
      </c>
    </row>
    <row r="753" spans="1:14" ht="13.2" customHeight="1" x14ac:dyDescent="0.3">
      <c r="A753" s="365">
        <f t="shared" si="106"/>
        <v>8</v>
      </c>
      <c r="B753" s="370" t="s">
        <v>2101</v>
      </c>
      <c r="C753" s="371"/>
      <c r="D753" s="371"/>
      <c r="E753" s="367" t="s">
        <v>399</v>
      </c>
      <c r="F753" s="527"/>
      <c r="G753" s="539"/>
      <c r="H753" s="539"/>
      <c r="I753" s="372">
        <f t="shared" si="102"/>
        <v>0</v>
      </c>
      <c r="J753" s="372"/>
      <c r="K753" s="372">
        <f>'RAB Pasang'!K753*60%</f>
        <v>194940</v>
      </c>
      <c r="L753" s="387">
        <f t="shared" si="103"/>
        <v>0</v>
      </c>
      <c r="M753" s="387">
        <f t="shared" si="104"/>
        <v>0</v>
      </c>
      <c r="N753" s="422">
        <f t="shared" si="105"/>
        <v>0</v>
      </c>
    </row>
    <row r="754" spans="1:14" ht="13.2" customHeight="1" x14ac:dyDescent="0.3">
      <c r="A754" s="365">
        <f t="shared" si="106"/>
        <v>9</v>
      </c>
      <c r="B754" s="370" t="s">
        <v>2102</v>
      </c>
      <c r="C754" s="371"/>
      <c r="D754" s="371"/>
      <c r="E754" s="367" t="s">
        <v>399</v>
      </c>
      <c r="F754" s="527"/>
      <c r="G754" s="539"/>
      <c r="H754" s="539"/>
      <c r="I754" s="372">
        <f t="shared" si="102"/>
        <v>0</v>
      </c>
      <c r="J754" s="372"/>
      <c r="K754" s="372">
        <f>'RAB Pasang'!K754*60%</f>
        <v>194940</v>
      </c>
      <c r="L754" s="387">
        <f t="shared" si="103"/>
        <v>0</v>
      </c>
      <c r="M754" s="387">
        <f t="shared" si="104"/>
        <v>0</v>
      </c>
      <c r="N754" s="422">
        <f t="shared" si="105"/>
        <v>0</v>
      </c>
    </row>
    <row r="755" spans="1:14" ht="13.2" customHeight="1" x14ac:dyDescent="0.3">
      <c r="A755" s="365">
        <f t="shared" si="106"/>
        <v>10</v>
      </c>
      <c r="B755" s="370" t="s">
        <v>2103</v>
      </c>
      <c r="C755" s="371"/>
      <c r="D755" s="371"/>
      <c r="E755" s="367" t="s">
        <v>399</v>
      </c>
      <c r="F755" s="527"/>
      <c r="G755" s="539"/>
      <c r="H755" s="539"/>
      <c r="I755" s="372">
        <f t="shared" si="102"/>
        <v>0</v>
      </c>
      <c r="J755" s="372"/>
      <c r="K755" s="372">
        <f>'RAB Pasang'!K755*60%</f>
        <v>194940</v>
      </c>
      <c r="L755" s="387">
        <f t="shared" si="103"/>
        <v>0</v>
      </c>
      <c r="M755" s="387">
        <f t="shared" si="104"/>
        <v>0</v>
      </c>
      <c r="N755" s="422">
        <f t="shared" si="105"/>
        <v>0</v>
      </c>
    </row>
    <row r="756" spans="1:14" ht="13.2" customHeight="1" x14ac:dyDescent="0.3">
      <c r="A756" s="365">
        <f t="shared" si="106"/>
        <v>11</v>
      </c>
      <c r="B756" s="370" t="s">
        <v>2104</v>
      </c>
      <c r="C756" s="371"/>
      <c r="D756" s="371"/>
      <c r="E756" s="367" t="s">
        <v>399</v>
      </c>
      <c r="F756" s="527"/>
      <c r="G756" s="539"/>
      <c r="H756" s="539"/>
      <c r="I756" s="372">
        <f t="shared" si="102"/>
        <v>0</v>
      </c>
      <c r="J756" s="372"/>
      <c r="K756" s="372">
        <f>'RAB Pasang'!K756*60%</f>
        <v>194940</v>
      </c>
      <c r="L756" s="387">
        <f t="shared" si="103"/>
        <v>0</v>
      </c>
      <c r="M756" s="387">
        <f t="shared" si="104"/>
        <v>0</v>
      </c>
      <c r="N756" s="422">
        <f t="shared" si="105"/>
        <v>0</v>
      </c>
    </row>
    <row r="757" spans="1:14" ht="13.2" customHeight="1" x14ac:dyDescent="0.3">
      <c r="A757" s="365">
        <f t="shared" si="106"/>
        <v>12</v>
      </c>
      <c r="B757" s="370" t="s">
        <v>2105</v>
      </c>
      <c r="C757" s="371"/>
      <c r="D757" s="371"/>
      <c r="E757" s="367" t="s">
        <v>399</v>
      </c>
      <c r="F757" s="527"/>
      <c r="G757" s="539"/>
      <c r="H757" s="539"/>
      <c r="I757" s="372">
        <f t="shared" si="102"/>
        <v>0</v>
      </c>
      <c r="J757" s="372"/>
      <c r="K757" s="372">
        <f>'RAB Pasang'!K757*60%</f>
        <v>194940</v>
      </c>
      <c r="L757" s="387">
        <f t="shared" si="103"/>
        <v>0</v>
      </c>
      <c r="M757" s="387">
        <f t="shared" si="104"/>
        <v>0</v>
      </c>
      <c r="N757" s="422">
        <f t="shared" si="105"/>
        <v>0</v>
      </c>
    </row>
    <row r="758" spans="1:14" ht="13.2" customHeight="1" x14ac:dyDescent="0.3">
      <c r="A758" s="365">
        <f t="shared" si="106"/>
        <v>13</v>
      </c>
      <c r="B758" s="370" t="s">
        <v>2106</v>
      </c>
      <c r="C758" s="371"/>
      <c r="D758" s="371"/>
      <c r="E758" s="367" t="s">
        <v>399</v>
      </c>
      <c r="F758" s="527"/>
      <c r="G758" s="539"/>
      <c r="H758" s="539"/>
      <c r="I758" s="372">
        <f t="shared" si="102"/>
        <v>0</v>
      </c>
      <c r="J758" s="372"/>
      <c r="K758" s="372">
        <f>'RAB Pasang'!K758*60%</f>
        <v>194940</v>
      </c>
      <c r="L758" s="387">
        <f t="shared" si="103"/>
        <v>0</v>
      </c>
      <c r="M758" s="387">
        <f t="shared" si="104"/>
        <v>0</v>
      </c>
      <c r="N758" s="422">
        <f t="shared" si="105"/>
        <v>0</v>
      </c>
    </row>
    <row r="759" spans="1:14" ht="13.2" customHeight="1" x14ac:dyDescent="0.3">
      <c r="A759" s="365">
        <f t="shared" si="106"/>
        <v>14</v>
      </c>
      <c r="B759" s="370" t="s">
        <v>2107</v>
      </c>
      <c r="C759" s="371"/>
      <c r="D759" s="371"/>
      <c r="E759" s="367" t="s">
        <v>399</v>
      </c>
      <c r="F759" s="527"/>
      <c r="G759" s="539"/>
      <c r="H759" s="539"/>
      <c r="I759" s="372">
        <f t="shared" si="102"/>
        <v>0</v>
      </c>
      <c r="J759" s="372"/>
      <c r="K759" s="372">
        <f>'RAB Pasang'!K759*60%</f>
        <v>194940</v>
      </c>
      <c r="L759" s="387">
        <f t="shared" si="103"/>
        <v>0</v>
      </c>
      <c r="M759" s="387">
        <f t="shared" si="104"/>
        <v>0</v>
      </c>
      <c r="N759" s="422">
        <f t="shared" si="105"/>
        <v>0</v>
      </c>
    </row>
    <row r="760" spans="1:14" ht="13.2" customHeight="1" x14ac:dyDescent="0.3">
      <c r="A760" s="365">
        <f t="shared" si="106"/>
        <v>15</v>
      </c>
      <c r="B760" s="370" t="s">
        <v>2108</v>
      </c>
      <c r="C760" s="371"/>
      <c r="D760" s="371"/>
      <c r="E760" s="367" t="s">
        <v>399</v>
      </c>
      <c r="F760" s="527"/>
      <c r="G760" s="539"/>
      <c r="H760" s="539"/>
      <c r="I760" s="372">
        <f t="shared" si="102"/>
        <v>0</v>
      </c>
      <c r="J760" s="372"/>
      <c r="K760" s="372">
        <f>'RAB Pasang'!K760*60%</f>
        <v>194940</v>
      </c>
      <c r="L760" s="387">
        <f t="shared" si="103"/>
        <v>0</v>
      </c>
      <c r="M760" s="387">
        <f t="shared" si="104"/>
        <v>0</v>
      </c>
      <c r="N760" s="422">
        <f t="shared" si="105"/>
        <v>0</v>
      </c>
    </row>
    <row r="761" spans="1:14" ht="13.2" customHeight="1" x14ac:dyDescent="0.3">
      <c r="A761" s="365">
        <f t="shared" si="106"/>
        <v>16</v>
      </c>
      <c r="B761" s="370" t="s">
        <v>2269</v>
      </c>
      <c r="C761" s="371"/>
      <c r="D761" s="371"/>
      <c r="E761" s="367" t="s">
        <v>596</v>
      </c>
      <c r="F761" s="537"/>
      <c r="G761" s="536"/>
      <c r="H761" s="536"/>
      <c r="I761" s="466">
        <f t="shared" si="102"/>
        <v>0</v>
      </c>
      <c r="J761" s="372"/>
      <c r="K761" s="372">
        <f>'RAB Pasang'!K761*60%</f>
        <v>268272</v>
      </c>
      <c r="L761" s="387">
        <f t="shared" si="103"/>
        <v>0</v>
      </c>
      <c r="M761" s="387">
        <f t="shared" si="104"/>
        <v>0</v>
      </c>
      <c r="N761" s="422">
        <f t="shared" si="105"/>
        <v>0</v>
      </c>
    </row>
    <row r="762" spans="1:14" ht="13.2" customHeight="1" x14ac:dyDescent="0.3">
      <c r="A762" s="365">
        <f t="shared" si="106"/>
        <v>17</v>
      </c>
      <c r="B762" s="370" t="s">
        <v>1663</v>
      </c>
      <c r="C762" s="371"/>
      <c r="D762" s="371"/>
      <c r="E762" s="367" t="s">
        <v>596</v>
      </c>
      <c r="F762" s="537"/>
      <c r="G762" s="536"/>
      <c r="H762" s="536"/>
      <c r="I762" s="466">
        <f t="shared" si="102"/>
        <v>0</v>
      </c>
      <c r="J762" s="372"/>
      <c r="K762" s="372">
        <f>'RAB Pasang'!K762*60%</f>
        <v>447126</v>
      </c>
      <c r="L762" s="387">
        <f t="shared" si="103"/>
        <v>0</v>
      </c>
      <c r="M762" s="387">
        <f t="shared" si="104"/>
        <v>0</v>
      </c>
      <c r="N762" s="422">
        <f t="shared" si="105"/>
        <v>0</v>
      </c>
    </row>
    <row r="763" spans="1:14" ht="13.2" customHeight="1" x14ac:dyDescent="0.3">
      <c r="A763" s="365">
        <f t="shared" si="106"/>
        <v>18</v>
      </c>
      <c r="B763" s="370" t="s">
        <v>1664</v>
      </c>
      <c r="C763" s="371"/>
      <c r="D763" s="371"/>
      <c r="E763" s="367" t="s">
        <v>596</v>
      </c>
      <c r="F763" s="537"/>
      <c r="G763" s="536"/>
      <c r="H763" s="536"/>
      <c r="I763" s="466">
        <f t="shared" si="102"/>
        <v>0</v>
      </c>
      <c r="J763" s="372"/>
      <c r="K763" s="372">
        <f>'RAB Pasang'!K763*60%</f>
        <v>510264</v>
      </c>
      <c r="L763" s="387">
        <f t="shared" si="103"/>
        <v>0</v>
      </c>
      <c r="M763" s="387">
        <f t="shared" si="104"/>
        <v>0</v>
      </c>
      <c r="N763" s="422">
        <f t="shared" si="105"/>
        <v>0</v>
      </c>
    </row>
    <row r="764" spans="1:14" ht="13.2" customHeight="1" x14ac:dyDescent="0.3">
      <c r="A764" s="365">
        <f t="shared" si="106"/>
        <v>19</v>
      </c>
      <c r="B764" s="370" t="s">
        <v>1665</v>
      </c>
      <c r="C764" s="371"/>
      <c r="D764" s="371"/>
      <c r="E764" s="367" t="s">
        <v>596</v>
      </c>
      <c r="F764" s="537"/>
      <c r="G764" s="536"/>
      <c r="H764" s="536"/>
      <c r="I764" s="466">
        <f t="shared" si="102"/>
        <v>0</v>
      </c>
      <c r="J764" s="372"/>
      <c r="K764" s="372">
        <f>'RAB Pasang'!K764*60%</f>
        <v>419178</v>
      </c>
      <c r="L764" s="387">
        <f t="shared" si="103"/>
        <v>0</v>
      </c>
      <c r="M764" s="387">
        <f t="shared" si="104"/>
        <v>0</v>
      </c>
      <c r="N764" s="422">
        <f t="shared" si="105"/>
        <v>0</v>
      </c>
    </row>
    <row r="765" spans="1:14" ht="13.2" customHeight="1" x14ac:dyDescent="0.3">
      <c r="A765" s="365">
        <f t="shared" si="106"/>
        <v>20</v>
      </c>
      <c r="B765" s="370" t="s">
        <v>1666</v>
      </c>
      <c r="C765" s="371"/>
      <c r="D765" s="371"/>
      <c r="E765" s="367" t="s">
        <v>596</v>
      </c>
      <c r="F765" s="537"/>
      <c r="G765" s="536"/>
      <c r="H765" s="536"/>
      <c r="I765" s="466">
        <f t="shared" si="102"/>
        <v>0</v>
      </c>
      <c r="J765" s="372"/>
      <c r="K765" s="372">
        <f>'RAB Pasang'!K765*60%</f>
        <v>471012</v>
      </c>
      <c r="L765" s="387">
        <f t="shared" si="103"/>
        <v>0</v>
      </c>
      <c r="M765" s="387">
        <f t="shared" si="104"/>
        <v>0</v>
      </c>
      <c r="N765" s="422">
        <f t="shared" si="105"/>
        <v>0</v>
      </c>
    </row>
    <row r="766" spans="1:14" ht="13.2" customHeight="1" x14ac:dyDescent="0.3">
      <c r="A766" s="365">
        <f>A765+1</f>
        <v>21</v>
      </c>
      <c r="B766" s="370" t="s">
        <v>1667</v>
      </c>
      <c r="C766" s="371"/>
      <c r="D766" s="371"/>
      <c r="E766" s="367" t="s">
        <v>399</v>
      </c>
      <c r="F766" s="527"/>
      <c r="G766" s="539"/>
      <c r="H766" s="539"/>
      <c r="I766" s="372">
        <f t="shared" si="102"/>
        <v>0</v>
      </c>
      <c r="J766" s="372"/>
      <c r="K766" s="372">
        <f>'RAB Pasang'!K766*60%</f>
        <v>12228</v>
      </c>
      <c r="L766" s="387">
        <f t="shared" si="103"/>
        <v>0</v>
      </c>
      <c r="M766" s="387">
        <f t="shared" si="104"/>
        <v>0</v>
      </c>
      <c r="N766" s="422">
        <f t="shared" si="105"/>
        <v>0</v>
      </c>
    </row>
    <row r="767" spans="1:14" ht="13.2" customHeight="1" x14ac:dyDescent="0.3">
      <c r="A767" s="365">
        <f t="shared" si="106"/>
        <v>22</v>
      </c>
      <c r="B767" s="370" t="s">
        <v>1670</v>
      </c>
      <c r="C767" s="371"/>
      <c r="D767" s="371"/>
      <c r="E767" s="367" t="s">
        <v>399</v>
      </c>
      <c r="F767" s="527"/>
      <c r="G767" s="539"/>
      <c r="H767" s="539"/>
      <c r="I767" s="372">
        <f t="shared" si="102"/>
        <v>0</v>
      </c>
      <c r="J767" s="372"/>
      <c r="K767" s="372">
        <f>'RAB Pasang'!K767*60%</f>
        <v>11826</v>
      </c>
      <c r="L767" s="387">
        <f t="shared" si="103"/>
        <v>0</v>
      </c>
      <c r="M767" s="387">
        <f t="shared" si="104"/>
        <v>0</v>
      </c>
      <c r="N767" s="422">
        <f t="shared" si="105"/>
        <v>0</v>
      </c>
    </row>
    <row r="768" spans="1:14" ht="13.2" customHeight="1" x14ac:dyDescent="0.3">
      <c r="A768" s="365">
        <f t="shared" si="106"/>
        <v>23</v>
      </c>
      <c r="B768" s="370" t="s">
        <v>1671</v>
      </c>
      <c r="C768" s="371"/>
      <c r="D768" s="371"/>
      <c r="E768" s="367" t="s">
        <v>399</v>
      </c>
      <c r="F768" s="527"/>
      <c r="G768" s="539"/>
      <c r="H768" s="539"/>
      <c r="I768" s="372">
        <f t="shared" si="102"/>
        <v>0</v>
      </c>
      <c r="J768" s="372"/>
      <c r="K768" s="372">
        <f>'RAB Pasang'!K768*60%</f>
        <v>11826</v>
      </c>
      <c r="L768" s="387">
        <f t="shared" si="103"/>
        <v>0</v>
      </c>
      <c r="M768" s="387">
        <f t="shared" si="104"/>
        <v>0</v>
      </c>
      <c r="N768" s="422">
        <f t="shared" si="105"/>
        <v>0</v>
      </c>
    </row>
    <row r="769" spans="1:14" ht="13.2" customHeight="1" x14ac:dyDescent="0.3">
      <c r="A769" s="365">
        <f t="shared" si="106"/>
        <v>24</v>
      </c>
      <c r="B769" s="370" t="s">
        <v>1689</v>
      </c>
      <c r="C769" s="371"/>
      <c r="D769" s="371"/>
      <c r="E769" s="367" t="s">
        <v>264</v>
      </c>
      <c r="F769" s="527"/>
      <c r="G769" s="539"/>
      <c r="H769" s="539"/>
      <c r="I769" s="372">
        <f t="shared" si="102"/>
        <v>0</v>
      </c>
      <c r="J769" s="372"/>
      <c r="K769" s="372">
        <f>'RAB Pasang'!K769*60%</f>
        <v>65202</v>
      </c>
      <c r="L769" s="387">
        <f t="shared" si="103"/>
        <v>0</v>
      </c>
      <c r="M769" s="387">
        <f t="shared" si="104"/>
        <v>0</v>
      </c>
      <c r="N769" s="422">
        <f t="shared" si="105"/>
        <v>0</v>
      </c>
    </row>
    <row r="770" spans="1:14" ht="15.6" customHeight="1" x14ac:dyDescent="0.3">
      <c r="A770" s="485"/>
      <c r="B770" s="497" t="s">
        <v>1718</v>
      </c>
      <c r="C770" s="487"/>
      <c r="D770" s="487"/>
      <c r="E770" s="488"/>
      <c r="F770" s="492"/>
      <c r="G770" s="492"/>
      <c r="H770" s="492"/>
      <c r="I770" s="543"/>
      <c r="J770" s="492"/>
      <c r="K770" s="492"/>
      <c r="L770" s="490">
        <f>SUM(L746:L769)</f>
        <v>0</v>
      </c>
      <c r="M770" s="490">
        <f t="shared" ref="M770:N770" si="107">SUM(M746:M769)</f>
        <v>0</v>
      </c>
      <c r="N770" s="491">
        <f t="shared" si="107"/>
        <v>0</v>
      </c>
    </row>
    <row r="771" spans="1:14" ht="8.4" customHeight="1" x14ac:dyDescent="0.3">
      <c r="A771" s="420"/>
      <c r="B771" s="376"/>
      <c r="C771" s="373"/>
      <c r="D771" s="373"/>
      <c r="E771" s="421"/>
      <c r="F771" s="528"/>
      <c r="G771" s="528"/>
      <c r="H771" s="528"/>
      <c r="I771" s="375"/>
      <c r="J771" s="375"/>
      <c r="K771" s="375"/>
      <c r="L771" s="399"/>
      <c r="M771" s="399"/>
      <c r="N771" s="400"/>
    </row>
    <row r="772" spans="1:14" ht="13.95" customHeight="1" x14ac:dyDescent="0.3">
      <c r="A772" s="495" t="s">
        <v>1451</v>
      </c>
      <c r="B772" s="478" t="s">
        <v>1443</v>
      </c>
      <c r="C772" s="480"/>
      <c r="D772" s="480"/>
      <c r="E772" s="493"/>
      <c r="F772" s="579"/>
      <c r="G772" s="579"/>
      <c r="H772" s="579"/>
      <c r="I772" s="494"/>
      <c r="J772" s="494"/>
      <c r="K772" s="494"/>
      <c r="L772" s="484"/>
      <c r="M772" s="484"/>
      <c r="N772" s="496"/>
    </row>
    <row r="773" spans="1:14" ht="13.2" customHeight="1" x14ac:dyDescent="0.3">
      <c r="A773" s="365">
        <v>1</v>
      </c>
      <c r="B773" s="370" t="s">
        <v>1983</v>
      </c>
      <c r="C773" s="371"/>
      <c r="D773" s="371"/>
      <c r="E773" s="367" t="s">
        <v>399</v>
      </c>
      <c r="F773" s="527"/>
      <c r="G773" s="527"/>
      <c r="H773" s="539"/>
      <c r="I773" s="372">
        <f t="shared" ref="I773:I836" si="108">SUM(F773:H773)</f>
        <v>0</v>
      </c>
      <c r="J773" s="372"/>
      <c r="K773" s="372">
        <f>'RAB Pasang'!K773*60%</f>
        <v>151620</v>
      </c>
      <c r="L773" s="387">
        <f t="shared" ref="L773:L836" si="109">J773*I773</f>
        <v>0</v>
      </c>
      <c r="M773" s="387">
        <f t="shared" ref="M773:M836" si="110">K773*I773</f>
        <v>0</v>
      </c>
      <c r="N773" s="422">
        <f t="shared" ref="N773:N836" si="111">SUM(L773:M773)</f>
        <v>0</v>
      </c>
    </row>
    <row r="774" spans="1:14" ht="13.2" customHeight="1" x14ac:dyDescent="0.3">
      <c r="A774" s="365">
        <f t="shared" ref="A774:A837" si="112">A773+1</f>
        <v>2</v>
      </c>
      <c r="B774" s="370" t="s">
        <v>1984</v>
      </c>
      <c r="C774" s="371"/>
      <c r="D774" s="371"/>
      <c r="E774" s="367" t="s">
        <v>399</v>
      </c>
      <c r="F774" s="527"/>
      <c r="G774" s="527"/>
      <c r="H774" s="539"/>
      <c r="I774" s="372">
        <f t="shared" si="108"/>
        <v>0</v>
      </c>
      <c r="J774" s="372"/>
      <c r="K774" s="372">
        <f>'RAB Pasang'!K774*60%</f>
        <v>151620</v>
      </c>
      <c r="L774" s="387">
        <f t="shared" si="109"/>
        <v>0</v>
      </c>
      <c r="M774" s="387">
        <f t="shared" si="110"/>
        <v>0</v>
      </c>
      <c r="N774" s="422">
        <f t="shared" si="111"/>
        <v>0</v>
      </c>
    </row>
    <row r="775" spans="1:14" ht="13.2" customHeight="1" x14ac:dyDescent="0.3">
      <c r="A775" s="365">
        <f t="shared" si="112"/>
        <v>3</v>
      </c>
      <c r="B775" s="370" t="s">
        <v>1985</v>
      </c>
      <c r="C775" s="371"/>
      <c r="D775" s="371"/>
      <c r="E775" s="367" t="s">
        <v>399</v>
      </c>
      <c r="F775" s="527"/>
      <c r="G775" s="527"/>
      <c r="H775" s="539"/>
      <c r="I775" s="372">
        <f t="shared" si="108"/>
        <v>0</v>
      </c>
      <c r="J775" s="372"/>
      <c r="K775" s="372">
        <f>'RAB Pasang'!K775*60%</f>
        <v>151620</v>
      </c>
      <c r="L775" s="387">
        <f t="shared" si="109"/>
        <v>0</v>
      </c>
      <c r="M775" s="387">
        <f t="shared" si="110"/>
        <v>0</v>
      </c>
      <c r="N775" s="422">
        <f t="shared" si="111"/>
        <v>0</v>
      </c>
    </row>
    <row r="776" spans="1:14" ht="13.2" customHeight="1" x14ac:dyDescent="0.3">
      <c r="A776" s="365">
        <f t="shared" si="112"/>
        <v>4</v>
      </c>
      <c r="B776" s="370" t="s">
        <v>1986</v>
      </c>
      <c r="C776" s="371"/>
      <c r="D776" s="371"/>
      <c r="E776" s="367" t="s">
        <v>399</v>
      </c>
      <c r="F776" s="527"/>
      <c r="G776" s="527"/>
      <c r="H776" s="539"/>
      <c r="I776" s="372">
        <f t="shared" si="108"/>
        <v>0</v>
      </c>
      <c r="J776" s="372"/>
      <c r="K776" s="372">
        <f>'RAB Pasang'!K776*60%</f>
        <v>151620</v>
      </c>
      <c r="L776" s="387">
        <f t="shared" si="109"/>
        <v>0</v>
      </c>
      <c r="M776" s="387">
        <f t="shared" si="110"/>
        <v>0</v>
      </c>
      <c r="N776" s="422">
        <f t="shared" si="111"/>
        <v>0</v>
      </c>
    </row>
    <row r="777" spans="1:14" ht="13.2" customHeight="1" x14ac:dyDescent="0.3">
      <c r="A777" s="365">
        <f t="shared" si="112"/>
        <v>5</v>
      </c>
      <c r="B777" s="370" t="s">
        <v>1987</v>
      </c>
      <c r="C777" s="371"/>
      <c r="D777" s="371"/>
      <c r="E777" s="367" t="s">
        <v>399</v>
      </c>
      <c r="F777" s="527"/>
      <c r="G777" s="527"/>
      <c r="H777" s="539"/>
      <c r="I777" s="372">
        <f t="shared" si="108"/>
        <v>0</v>
      </c>
      <c r="J777" s="372"/>
      <c r="K777" s="372">
        <f>'RAB Pasang'!K777*60%</f>
        <v>151620</v>
      </c>
      <c r="L777" s="387">
        <f t="shared" si="109"/>
        <v>0</v>
      </c>
      <c r="M777" s="387">
        <f t="shared" si="110"/>
        <v>0</v>
      </c>
      <c r="N777" s="422">
        <f t="shared" si="111"/>
        <v>0</v>
      </c>
    </row>
    <row r="778" spans="1:14" ht="13.2" customHeight="1" x14ac:dyDescent="0.3">
      <c r="A778" s="365">
        <f t="shared" si="112"/>
        <v>6</v>
      </c>
      <c r="B778" s="370" t="s">
        <v>1046</v>
      </c>
      <c r="C778" s="371"/>
      <c r="D778" s="371"/>
      <c r="E778" s="367" t="s">
        <v>399</v>
      </c>
      <c r="F778" s="539"/>
      <c r="G778" s="527"/>
      <c r="H778" s="539"/>
      <c r="I778" s="372">
        <f t="shared" si="108"/>
        <v>0</v>
      </c>
      <c r="J778" s="372"/>
      <c r="K778" s="372">
        <f>'RAB Pasang'!K778*60%</f>
        <v>227436</v>
      </c>
      <c r="L778" s="387">
        <f t="shared" si="109"/>
        <v>0</v>
      </c>
      <c r="M778" s="387">
        <f t="shared" si="110"/>
        <v>0</v>
      </c>
      <c r="N778" s="422">
        <f t="shared" si="111"/>
        <v>0</v>
      </c>
    </row>
    <row r="779" spans="1:14" ht="13.2" customHeight="1" x14ac:dyDescent="0.3">
      <c r="A779" s="365">
        <f t="shared" si="112"/>
        <v>7</v>
      </c>
      <c r="B779" s="370" t="s">
        <v>1047</v>
      </c>
      <c r="C779" s="371"/>
      <c r="D779" s="371"/>
      <c r="E779" s="367" t="s">
        <v>399</v>
      </c>
      <c r="F779" s="539"/>
      <c r="G779" s="527"/>
      <c r="H779" s="539"/>
      <c r="I779" s="372">
        <f t="shared" si="108"/>
        <v>0</v>
      </c>
      <c r="J779" s="372"/>
      <c r="K779" s="372">
        <f>'RAB Pasang'!K779*60%</f>
        <v>227436</v>
      </c>
      <c r="L779" s="387">
        <f t="shared" si="109"/>
        <v>0</v>
      </c>
      <c r="M779" s="387">
        <f t="shared" si="110"/>
        <v>0</v>
      </c>
      <c r="N779" s="422">
        <f t="shared" si="111"/>
        <v>0</v>
      </c>
    </row>
    <row r="780" spans="1:14" ht="13.2" customHeight="1" x14ac:dyDescent="0.3">
      <c r="A780" s="365">
        <f t="shared" si="112"/>
        <v>8</v>
      </c>
      <c r="B780" s="370" t="s">
        <v>1048</v>
      </c>
      <c r="C780" s="371"/>
      <c r="D780" s="371"/>
      <c r="E780" s="367" t="s">
        <v>399</v>
      </c>
      <c r="F780" s="539"/>
      <c r="G780" s="527"/>
      <c r="H780" s="539"/>
      <c r="I780" s="372">
        <f t="shared" si="108"/>
        <v>0</v>
      </c>
      <c r="J780" s="372"/>
      <c r="K780" s="372">
        <f>'RAB Pasang'!K780*60%</f>
        <v>227436</v>
      </c>
      <c r="L780" s="387">
        <f t="shared" si="109"/>
        <v>0</v>
      </c>
      <c r="M780" s="387">
        <f t="shared" si="110"/>
        <v>0</v>
      </c>
      <c r="N780" s="422">
        <f t="shared" si="111"/>
        <v>0</v>
      </c>
    </row>
    <row r="781" spans="1:14" ht="13.2" customHeight="1" x14ac:dyDescent="0.3">
      <c r="A781" s="365">
        <f t="shared" si="112"/>
        <v>9</v>
      </c>
      <c r="B781" s="370" t="s">
        <v>1049</v>
      </c>
      <c r="C781" s="371"/>
      <c r="D781" s="371"/>
      <c r="E781" s="367" t="s">
        <v>399</v>
      </c>
      <c r="F781" s="539"/>
      <c r="G781" s="527"/>
      <c r="H781" s="539"/>
      <c r="I781" s="372">
        <f t="shared" si="108"/>
        <v>0</v>
      </c>
      <c r="J781" s="372"/>
      <c r="K781" s="372">
        <f>'RAB Pasang'!K781*60%</f>
        <v>227436</v>
      </c>
      <c r="L781" s="387">
        <f t="shared" si="109"/>
        <v>0</v>
      </c>
      <c r="M781" s="387">
        <f t="shared" si="110"/>
        <v>0</v>
      </c>
      <c r="N781" s="422">
        <f t="shared" si="111"/>
        <v>0</v>
      </c>
    </row>
    <row r="782" spans="1:14" ht="13.2" customHeight="1" x14ac:dyDescent="0.3">
      <c r="A782" s="365">
        <f t="shared" si="112"/>
        <v>10</v>
      </c>
      <c r="B782" s="370" t="s">
        <v>1050</v>
      </c>
      <c r="C782" s="371"/>
      <c r="D782" s="371"/>
      <c r="E782" s="367" t="s">
        <v>399</v>
      </c>
      <c r="F782" s="539"/>
      <c r="G782" s="527"/>
      <c r="H782" s="539"/>
      <c r="I782" s="372">
        <f t="shared" si="108"/>
        <v>0</v>
      </c>
      <c r="J782" s="372"/>
      <c r="K782" s="372">
        <f>'RAB Pasang'!K782*60%</f>
        <v>227436</v>
      </c>
      <c r="L782" s="387">
        <f t="shared" si="109"/>
        <v>0</v>
      </c>
      <c r="M782" s="387">
        <f t="shared" si="110"/>
        <v>0</v>
      </c>
      <c r="N782" s="422">
        <f t="shared" si="111"/>
        <v>0</v>
      </c>
    </row>
    <row r="783" spans="1:14" ht="13.2" customHeight="1" x14ac:dyDescent="0.3">
      <c r="A783" s="365">
        <f t="shared" si="112"/>
        <v>11</v>
      </c>
      <c r="B783" s="370" t="s">
        <v>1988</v>
      </c>
      <c r="C783" s="371"/>
      <c r="D783" s="371"/>
      <c r="E783" s="367" t="s">
        <v>399</v>
      </c>
      <c r="F783" s="527"/>
      <c r="G783" s="527"/>
      <c r="H783" s="539"/>
      <c r="I783" s="372">
        <f t="shared" si="108"/>
        <v>0</v>
      </c>
      <c r="J783" s="372"/>
      <c r="K783" s="372">
        <f>'RAB Pasang'!K783*60%</f>
        <v>151620</v>
      </c>
      <c r="L783" s="387">
        <f t="shared" si="109"/>
        <v>0</v>
      </c>
      <c r="M783" s="387">
        <f t="shared" si="110"/>
        <v>0</v>
      </c>
      <c r="N783" s="422">
        <f t="shared" si="111"/>
        <v>0</v>
      </c>
    </row>
    <row r="784" spans="1:14" ht="13.2" customHeight="1" x14ac:dyDescent="0.3">
      <c r="A784" s="365">
        <f t="shared" si="112"/>
        <v>12</v>
      </c>
      <c r="B784" s="370" t="s">
        <v>1989</v>
      </c>
      <c r="C784" s="371"/>
      <c r="D784" s="371"/>
      <c r="E784" s="367" t="s">
        <v>399</v>
      </c>
      <c r="F784" s="527"/>
      <c r="G784" s="527"/>
      <c r="H784" s="539"/>
      <c r="I784" s="372">
        <f t="shared" si="108"/>
        <v>0</v>
      </c>
      <c r="J784" s="372"/>
      <c r="K784" s="372">
        <f>'RAB Pasang'!K784*60%</f>
        <v>151620</v>
      </c>
      <c r="L784" s="387">
        <f t="shared" si="109"/>
        <v>0</v>
      </c>
      <c r="M784" s="387">
        <f t="shared" si="110"/>
        <v>0</v>
      </c>
      <c r="N784" s="422">
        <f t="shared" si="111"/>
        <v>0</v>
      </c>
    </row>
    <row r="785" spans="1:14" ht="13.2" customHeight="1" x14ac:dyDescent="0.3">
      <c r="A785" s="365">
        <f t="shared" si="112"/>
        <v>13</v>
      </c>
      <c r="B785" s="370" t="s">
        <v>1990</v>
      </c>
      <c r="C785" s="371"/>
      <c r="D785" s="371"/>
      <c r="E785" s="367" t="s">
        <v>399</v>
      </c>
      <c r="F785" s="527"/>
      <c r="G785" s="527"/>
      <c r="H785" s="539"/>
      <c r="I785" s="372">
        <f t="shared" si="108"/>
        <v>0</v>
      </c>
      <c r="J785" s="372"/>
      <c r="K785" s="372">
        <f>'RAB Pasang'!K785*60%</f>
        <v>151620</v>
      </c>
      <c r="L785" s="387">
        <f t="shared" si="109"/>
        <v>0</v>
      </c>
      <c r="M785" s="387">
        <f t="shared" si="110"/>
        <v>0</v>
      </c>
      <c r="N785" s="422">
        <f t="shared" si="111"/>
        <v>0</v>
      </c>
    </row>
    <row r="786" spans="1:14" ht="13.2" customHeight="1" x14ac:dyDescent="0.3">
      <c r="A786" s="365">
        <f t="shared" si="112"/>
        <v>14</v>
      </c>
      <c r="B786" s="370" t="s">
        <v>1991</v>
      </c>
      <c r="C786" s="371"/>
      <c r="D786" s="371"/>
      <c r="E786" s="367" t="s">
        <v>399</v>
      </c>
      <c r="F786" s="527"/>
      <c r="G786" s="527"/>
      <c r="H786" s="539"/>
      <c r="I786" s="372">
        <f t="shared" si="108"/>
        <v>0</v>
      </c>
      <c r="J786" s="372"/>
      <c r="K786" s="372">
        <f>'RAB Pasang'!K786*60%</f>
        <v>151620</v>
      </c>
      <c r="L786" s="387">
        <f t="shared" si="109"/>
        <v>0</v>
      </c>
      <c r="M786" s="387">
        <f t="shared" si="110"/>
        <v>0</v>
      </c>
      <c r="N786" s="422">
        <f t="shared" si="111"/>
        <v>0</v>
      </c>
    </row>
    <row r="787" spans="1:14" ht="13.2" customHeight="1" x14ac:dyDescent="0.3">
      <c r="A787" s="365">
        <f t="shared" si="112"/>
        <v>15</v>
      </c>
      <c r="B787" s="370" t="s">
        <v>1992</v>
      </c>
      <c r="C787" s="371"/>
      <c r="D787" s="371"/>
      <c r="E787" s="367" t="s">
        <v>399</v>
      </c>
      <c r="F787" s="527"/>
      <c r="G787" s="527"/>
      <c r="H787" s="539"/>
      <c r="I787" s="372">
        <f t="shared" si="108"/>
        <v>0</v>
      </c>
      <c r="J787" s="372"/>
      <c r="K787" s="372">
        <f>'RAB Pasang'!K787*60%</f>
        <v>151620</v>
      </c>
      <c r="L787" s="387">
        <f t="shared" si="109"/>
        <v>0</v>
      </c>
      <c r="M787" s="387">
        <f t="shared" si="110"/>
        <v>0</v>
      </c>
      <c r="N787" s="422">
        <f t="shared" si="111"/>
        <v>0</v>
      </c>
    </row>
    <row r="788" spans="1:14" ht="13.2" customHeight="1" x14ac:dyDescent="0.3">
      <c r="A788" s="365">
        <f t="shared" si="112"/>
        <v>16</v>
      </c>
      <c r="B788" s="370" t="s">
        <v>1056</v>
      </c>
      <c r="C788" s="371"/>
      <c r="D788" s="371"/>
      <c r="E788" s="367" t="s">
        <v>399</v>
      </c>
      <c r="F788" s="539"/>
      <c r="G788" s="527"/>
      <c r="H788" s="539"/>
      <c r="I788" s="372">
        <f t="shared" si="108"/>
        <v>0</v>
      </c>
      <c r="J788" s="372"/>
      <c r="K788" s="372">
        <f>'RAB Pasang'!K788*60%</f>
        <v>227436</v>
      </c>
      <c r="L788" s="387">
        <f t="shared" si="109"/>
        <v>0</v>
      </c>
      <c r="M788" s="387">
        <f t="shared" si="110"/>
        <v>0</v>
      </c>
      <c r="N788" s="422">
        <f t="shared" si="111"/>
        <v>0</v>
      </c>
    </row>
    <row r="789" spans="1:14" ht="13.2" customHeight="1" x14ac:dyDescent="0.3">
      <c r="A789" s="365">
        <f t="shared" si="112"/>
        <v>17</v>
      </c>
      <c r="B789" s="370" t="s">
        <v>1057</v>
      </c>
      <c r="C789" s="371"/>
      <c r="D789" s="371"/>
      <c r="E789" s="367" t="s">
        <v>399</v>
      </c>
      <c r="F789" s="539"/>
      <c r="G789" s="527"/>
      <c r="H789" s="539"/>
      <c r="I789" s="372">
        <f t="shared" si="108"/>
        <v>0</v>
      </c>
      <c r="J789" s="372"/>
      <c r="K789" s="372">
        <f>'RAB Pasang'!K789*60%</f>
        <v>227436</v>
      </c>
      <c r="L789" s="387">
        <f t="shared" si="109"/>
        <v>0</v>
      </c>
      <c r="M789" s="387">
        <f t="shared" si="110"/>
        <v>0</v>
      </c>
      <c r="N789" s="422">
        <f t="shared" si="111"/>
        <v>0</v>
      </c>
    </row>
    <row r="790" spans="1:14" ht="13.2" customHeight="1" x14ac:dyDescent="0.3">
      <c r="A790" s="365">
        <f t="shared" si="112"/>
        <v>18</v>
      </c>
      <c r="B790" s="370" t="s">
        <v>1058</v>
      </c>
      <c r="C790" s="371"/>
      <c r="D790" s="371"/>
      <c r="E790" s="367" t="s">
        <v>399</v>
      </c>
      <c r="F790" s="539"/>
      <c r="G790" s="527"/>
      <c r="H790" s="539"/>
      <c r="I790" s="372">
        <f t="shared" si="108"/>
        <v>0</v>
      </c>
      <c r="J790" s="372"/>
      <c r="K790" s="372">
        <f>'RAB Pasang'!K790*60%</f>
        <v>227436</v>
      </c>
      <c r="L790" s="387">
        <f t="shared" si="109"/>
        <v>0</v>
      </c>
      <c r="M790" s="387">
        <f t="shared" si="110"/>
        <v>0</v>
      </c>
      <c r="N790" s="422">
        <f t="shared" si="111"/>
        <v>0</v>
      </c>
    </row>
    <row r="791" spans="1:14" ht="13.2" customHeight="1" x14ac:dyDescent="0.3">
      <c r="A791" s="365">
        <f t="shared" si="112"/>
        <v>19</v>
      </c>
      <c r="B791" s="370" t="s">
        <v>1059</v>
      </c>
      <c r="C791" s="371"/>
      <c r="D791" s="371"/>
      <c r="E791" s="367" t="s">
        <v>399</v>
      </c>
      <c r="F791" s="539"/>
      <c r="G791" s="527"/>
      <c r="H791" s="539"/>
      <c r="I791" s="372">
        <f t="shared" si="108"/>
        <v>0</v>
      </c>
      <c r="J791" s="372"/>
      <c r="K791" s="372">
        <f>'RAB Pasang'!K791*60%</f>
        <v>227436</v>
      </c>
      <c r="L791" s="387">
        <f t="shared" si="109"/>
        <v>0</v>
      </c>
      <c r="M791" s="387">
        <f t="shared" si="110"/>
        <v>0</v>
      </c>
      <c r="N791" s="422">
        <f t="shared" si="111"/>
        <v>0</v>
      </c>
    </row>
    <row r="792" spans="1:14" ht="13.2" customHeight="1" x14ac:dyDescent="0.3">
      <c r="A792" s="365">
        <f t="shared" si="112"/>
        <v>20</v>
      </c>
      <c r="B792" s="370" t="s">
        <v>1060</v>
      </c>
      <c r="C792" s="371"/>
      <c r="D792" s="371"/>
      <c r="E792" s="367" t="s">
        <v>399</v>
      </c>
      <c r="F792" s="539"/>
      <c r="G792" s="527"/>
      <c r="H792" s="539"/>
      <c r="I792" s="372">
        <f t="shared" si="108"/>
        <v>0</v>
      </c>
      <c r="J792" s="372"/>
      <c r="K792" s="372">
        <f>'RAB Pasang'!K792*60%</f>
        <v>227436</v>
      </c>
      <c r="L792" s="387">
        <f t="shared" si="109"/>
        <v>0</v>
      </c>
      <c r="M792" s="387">
        <f t="shared" si="110"/>
        <v>0</v>
      </c>
      <c r="N792" s="422">
        <f t="shared" si="111"/>
        <v>0</v>
      </c>
    </row>
    <row r="793" spans="1:14" ht="13.2" customHeight="1" x14ac:dyDescent="0.3">
      <c r="A793" s="365">
        <f t="shared" si="112"/>
        <v>21</v>
      </c>
      <c r="B793" s="370" t="s">
        <v>2005</v>
      </c>
      <c r="C793" s="371"/>
      <c r="D793" s="371"/>
      <c r="E793" s="367" t="s">
        <v>399</v>
      </c>
      <c r="F793" s="539"/>
      <c r="G793" s="527"/>
      <c r="H793" s="539"/>
      <c r="I793" s="372">
        <f t="shared" si="108"/>
        <v>0</v>
      </c>
      <c r="J793" s="372"/>
      <c r="K793" s="372">
        <f>'RAB Pasang'!K793*60%</f>
        <v>454866</v>
      </c>
      <c r="L793" s="387">
        <f t="shared" si="109"/>
        <v>0</v>
      </c>
      <c r="M793" s="387">
        <f t="shared" si="110"/>
        <v>0</v>
      </c>
      <c r="N793" s="422">
        <f t="shared" si="111"/>
        <v>0</v>
      </c>
    </row>
    <row r="794" spans="1:14" ht="13.2" customHeight="1" x14ac:dyDescent="0.3">
      <c r="A794" s="365">
        <f t="shared" si="112"/>
        <v>22</v>
      </c>
      <c r="B794" s="370" t="s">
        <v>1998</v>
      </c>
      <c r="C794" s="371"/>
      <c r="D794" s="371"/>
      <c r="E794" s="367" t="s">
        <v>399</v>
      </c>
      <c r="F794" s="539"/>
      <c r="G794" s="527"/>
      <c r="H794" s="539"/>
      <c r="I794" s="372">
        <f t="shared" si="108"/>
        <v>0</v>
      </c>
      <c r="J794" s="372"/>
      <c r="K794" s="372">
        <f>'RAB Pasang'!K794*60%</f>
        <v>454866</v>
      </c>
      <c r="L794" s="387">
        <f t="shared" si="109"/>
        <v>0</v>
      </c>
      <c r="M794" s="387">
        <f t="shared" si="110"/>
        <v>0</v>
      </c>
      <c r="N794" s="422">
        <f t="shared" si="111"/>
        <v>0</v>
      </c>
    </row>
    <row r="795" spans="1:14" ht="13.2" customHeight="1" x14ac:dyDescent="0.3">
      <c r="A795" s="365">
        <f t="shared" si="112"/>
        <v>23</v>
      </c>
      <c r="B795" s="370" t="s">
        <v>1999</v>
      </c>
      <c r="C795" s="371"/>
      <c r="D795" s="371"/>
      <c r="E795" s="367" t="s">
        <v>399</v>
      </c>
      <c r="F795" s="539"/>
      <c r="G795" s="527"/>
      <c r="H795" s="539"/>
      <c r="I795" s="372">
        <f t="shared" si="108"/>
        <v>0</v>
      </c>
      <c r="J795" s="372"/>
      <c r="K795" s="372">
        <f>'RAB Pasang'!K795*60%</f>
        <v>454866</v>
      </c>
      <c r="L795" s="387">
        <f t="shared" si="109"/>
        <v>0</v>
      </c>
      <c r="M795" s="387">
        <f t="shared" si="110"/>
        <v>0</v>
      </c>
      <c r="N795" s="422">
        <f t="shared" si="111"/>
        <v>0</v>
      </c>
    </row>
    <row r="796" spans="1:14" ht="13.2" customHeight="1" x14ac:dyDescent="0.3">
      <c r="A796" s="365">
        <f t="shared" si="112"/>
        <v>24</v>
      </c>
      <c r="B796" s="370" t="s">
        <v>2000</v>
      </c>
      <c r="C796" s="371"/>
      <c r="D796" s="371"/>
      <c r="E796" s="367" t="s">
        <v>399</v>
      </c>
      <c r="F796" s="539"/>
      <c r="G796" s="527"/>
      <c r="H796" s="539"/>
      <c r="I796" s="372">
        <f t="shared" si="108"/>
        <v>0</v>
      </c>
      <c r="J796" s="372"/>
      <c r="K796" s="372">
        <f>'RAB Pasang'!K796*60%</f>
        <v>454866</v>
      </c>
      <c r="L796" s="387">
        <f t="shared" si="109"/>
        <v>0</v>
      </c>
      <c r="M796" s="387">
        <f t="shared" si="110"/>
        <v>0</v>
      </c>
      <c r="N796" s="422">
        <f t="shared" si="111"/>
        <v>0</v>
      </c>
    </row>
    <row r="797" spans="1:14" ht="13.2" customHeight="1" x14ac:dyDescent="0.3">
      <c r="A797" s="365">
        <f t="shared" si="112"/>
        <v>25</v>
      </c>
      <c r="B797" s="370" t="s">
        <v>2001</v>
      </c>
      <c r="C797" s="371"/>
      <c r="D797" s="371"/>
      <c r="E797" s="367" t="s">
        <v>399</v>
      </c>
      <c r="F797" s="539"/>
      <c r="G797" s="527"/>
      <c r="H797" s="539"/>
      <c r="I797" s="372">
        <f t="shared" si="108"/>
        <v>0</v>
      </c>
      <c r="J797" s="372"/>
      <c r="K797" s="372">
        <f>'RAB Pasang'!K797*60%</f>
        <v>454866</v>
      </c>
      <c r="L797" s="387">
        <f t="shared" si="109"/>
        <v>0</v>
      </c>
      <c r="M797" s="387">
        <f t="shared" si="110"/>
        <v>0</v>
      </c>
      <c r="N797" s="422">
        <f t="shared" si="111"/>
        <v>0</v>
      </c>
    </row>
    <row r="798" spans="1:14" ht="13.2" customHeight="1" x14ac:dyDescent="0.3">
      <c r="A798" s="365">
        <f t="shared" si="112"/>
        <v>26</v>
      </c>
      <c r="B798" s="370" t="s">
        <v>2002</v>
      </c>
      <c r="C798" s="371"/>
      <c r="D798" s="371"/>
      <c r="E798" s="367" t="s">
        <v>399</v>
      </c>
      <c r="F798" s="539"/>
      <c r="G798" s="527"/>
      <c r="H798" s="539"/>
      <c r="I798" s="372">
        <f t="shared" si="108"/>
        <v>0</v>
      </c>
      <c r="J798" s="372"/>
      <c r="K798" s="372">
        <f>'RAB Pasang'!K798*60%</f>
        <v>454866</v>
      </c>
      <c r="L798" s="387">
        <f t="shared" si="109"/>
        <v>0</v>
      </c>
      <c r="M798" s="387">
        <f t="shared" si="110"/>
        <v>0</v>
      </c>
      <c r="N798" s="422">
        <f t="shared" si="111"/>
        <v>0</v>
      </c>
    </row>
    <row r="799" spans="1:14" ht="13.2" customHeight="1" x14ac:dyDescent="0.3">
      <c r="A799" s="365">
        <f t="shared" si="112"/>
        <v>27</v>
      </c>
      <c r="B799" s="370" t="s">
        <v>2003</v>
      </c>
      <c r="C799" s="371"/>
      <c r="D799" s="371"/>
      <c r="E799" s="367" t="s">
        <v>399</v>
      </c>
      <c r="F799" s="539"/>
      <c r="G799" s="527"/>
      <c r="H799" s="539"/>
      <c r="I799" s="372">
        <f t="shared" si="108"/>
        <v>0</v>
      </c>
      <c r="J799" s="372"/>
      <c r="K799" s="372">
        <f>'RAB Pasang'!K799*60%</f>
        <v>454866</v>
      </c>
      <c r="L799" s="387">
        <f t="shared" si="109"/>
        <v>0</v>
      </c>
      <c r="M799" s="387">
        <f t="shared" si="110"/>
        <v>0</v>
      </c>
      <c r="N799" s="422">
        <f t="shared" si="111"/>
        <v>0</v>
      </c>
    </row>
    <row r="800" spans="1:14" ht="13.2" customHeight="1" x14ac:dyDescent="0.3">
      <c r="A800" s="365">
        <f t="shared" si="112"/>
        <v>28</v>
      </c>
      <c r="B800" s="370" t="s">
        <v>2004</v>
      </c>
      <c r="C800" s="371"/>
      <c r="D800" s="371"/>
      <c r="E800" s="367" t="s">
        <v>399</v>
      </c>
      <c r="F800" s="539"/>
      <c r="G800" s="527"/>
      <c r="H800" s="539"/>
      <c r="I800" s="372">
        <f t="shared" si="108"/>
        <v>0</v>
      </c>
      <c r="J800" s="372"/>
      <c r="K800" s="372">
        <f>'RAB Pasang'!K800*60%</f>
        <v>454866</v>
      </c>
      <c r="L800" s="387">
        <f t="shared" si="109"/>
        <v>0</v>
      </c>
      <c r="M800" s="387">
        <f t="shared" si="110"/>
        <v>0</v>
      </c>
      <c r="N800" s="422">
        <f t="shared" si="111"/>
        <v>0</v>
      </c>
    </row>
    <row r="801" spans="1:14" ht="13.2" customHeight="1" x14ac:dyDescent="0.3">
      <c r="A801" s="365">
        <f t="shared" si="112"/>
        <v>29</v>
      </c>
      <c r="B801" s="370" t="s">
        <v>1099</v>
      </c>
      <c r="C801" s="371"/>
      <c r="D801" s="371"/>
      <c r="E801" s="367" t="s">
        <v>399</v>
      </c>
      <c r="F801" s="539"/>
      <c r="G801" s="527"/>
      <c r="H801" s="539"/>
      <c r="I801" s="372">
        <f t="shared" si="108"/>
        <v>0</v>
      </c>
      <c r="J801" s="372"/>
      <c r="K801" s="372">
        <f>'RAB Pasang'!K801*60%</f>
        <v>454866</v>
      </c>
      <c r="L801" s="387">
        <f t="shared" si="109"/>
        <v>0</v>
      </c>
      <c r="M801" s="387">
        <f t="shared" si="110"/>
        <v>0</v>
      </c>
      <c r="N801" s="422">
        <f t="shared" si="111"/>
        <v>0</v>
      </c>
    </row>
    <row r="802" spans="1:14" ht="13.2" customHeight="1" x14ac:dyDescent="0.3">
      <c r="A802" s="365">
        <f t="shared" si="112"/>
        <v>30</v>
      </c>
      <c r="B802" s="370" t="s">
        <v>1113</v>
      </c>
      <c r="C802" s="371"/>
      <c r="D802" s="371"/>
      <c r="E802" s="367" t="s">
        <v>399</v>
      </c>
      <c r="F802" s="539"/>
      <c r="G802" s="527"/>
      <c r="H802" s="539"/>
      <c r="I802" s="372">
        <f t="shared" si="108"/>
        <v>0</v>
      </c>
      <c r="J802" s="372"/>
      <c r="K802" s="372">
        <f>'RAB Pasang'!K802*60%</f>
        <v>454866</v>
      </c>
      <c r="L802" s="387">
        <f t="shared" si="109"/>
        <v>0</v>
      </c>
      <c r="M802" s="387">
        <f t="shared" si="110"/>
        <v>0</v>
      </c>
      <c r="N802" s="422">
        <f t="shared" si="111"/>
        <v>0</v>
      </c>
    </row>
    <row r="803" spans="1:14" ht="13.2" customHeight="1" x14ac:dyDescent="0.3">
      <c r="A803" s="365">
        <f t="shared" si="112"/>
        <v>31</v>
      </c>
      <c r="B803" s="370" t="s">
        <v>1114</v>
      </c>
      <c r="C803" s="371"/>
      <c r="D803" s="371"/>
      <c r="E803" s="367" t="s">
        <v>399</v>
      </c>
      <c r="F803" s="539"/>
      <c r="G803" s="527"/>
      <c r="H803" s="539"/>
      <c r="I803" s="372">
        <f t="shared" si="108"/>
        <v>0</v>
      </c>
      <c r="J803" s="372"/>
      <c r="K803" s="372">
        <f>'RAB Pasang'!K803*60%</f>
        <v>454866</v>
      </c>
      <c r="L803" s="387">
        <f t="shared" si="109"/>
        <v>0</v>
      </c>
      <c r="M803" s="387">
        <f t="shared" si="110"/>
        <v>0</v>
      </c>
      <c r="N803" s="422">
        <f t="shared" si="111"/>
        <v>0</v>
      </c>
    </row>
    <row r="804" spans="1:14" ht="13.2" customHeight="1" x14ac:dyDescent="0.3">
      <c r="A804" s="365">
        <f t="shared" si="112"/>
        <v>32</v>
      </c>
      <c r="B804" s="370" t="s">
        <v>1115</v>
      </c>
      <c r="C804" s="371"/>
      <c r="D804" s="371"/>
      <c r="E804" s="367" t="s">
        <v>399</v>
      </c>
      <c r="F804" s="539"/>
      <c r="G804" s="527"/>
      <c r="H804" s="539"/>
      <c r="I804" s="372">
        <f t="shared" si="108"/>
        <v>0</v>
      </c>
      <c r="J804" s="372"/>
      <c r="K804" s="372">
        <f>'RAB Pasang'!K804*60%</f>
        <v>454866</v>
      </c>
      <c r="L804" s="387">
        <f t="shared" si="109"/>
        <v>0</v>
      </c>
      <c r="M804" s="387">
        <f t="shared" si="110"/>
        <v>0</v>
      </c>
      <c r="N804" s="422">
        <f t="shared" si="111"/>
        <v>0</v>
      </c>
    </row>
    <row r="805" spans="1:14" ht="13.2" customHeight="1" x14ac:dyDescent="0.3">
      <c r="A805" s="365">
        <f t="shared" si="112"/>
        <v>33</v>
      </c>
      <c r="B805" s="370" t="s">
        <v>1116</v>
      </c>
      <c r="C805" s="371"/>
      <c r="D805" s="371"/>
      <c r="E805" s="367" t="s">
        <v>399</v>
      </c>
      <c r="F805" s="539"/>
      <c r="G805" s="527"/>
      <c r="H805" s="539"/>
      <c r="I805" s="372">
        <f t="shared" si="108"/>
        <v>0</v>
      </c>
      <c r="J805" s="372"/>
      <c r="K805" s="372">
        <f>'RAB Pasang'!K805*60%</f>
        <v>454866</v>
      </c>
      <c r="L805" s="387">
        <f t="shared" si="109"/>
        <v>0</v>
      </c>
      <c r="M805" s="387">
        <f t="shared" si="110"/>
        <v>0</v>
      </c>
      <c r="N805" s="422">
        <f t="shared" si="111"/>
        <v>0</v>
      </c>
    </row>
    <row r="806" spans="1:14" ht="13.2" customHeight="1" x14ac:dyDescent="0.3">
      <c r="A806" s="365">
        <f t="shared" si="112"/>
        <v>34</v>
      </c>
      <c r="B806" s="370" t="s">
        <v>1117</v>
      </c>
      <c r="C806" s="371"/>
      <c r="D806" s="371"/>
      <c r="E806" s="367" t="s">
        <v>399</v>
      </c>
      <c r="F806" s="539"/>
      <c r="G806" s="527"/>
      <c r="H806" s="539"/>
      <c r="I806" s="372">
        <f t="shared" si="108"/>
        <v>0</v>
      </c>
      <c r="J806" s="372"/>
      <c r="K806" s="372">
        <f>'RAB Pasang'!K806*60%</f>
        <v>454866</v>
      </c>
      <c r="L806" s="387">
        <f t="shared" si="109"/>
        <v>0</v>
      </c>
      <c r="M806" s="387">
        <f t="shared" si="110"/>
        <v>0</v>
      </c>
      <c r="N806" s="422">
        <f t="shared" si="111"/>
        <v>0</v>
      </c>
    </row>
    <row r="807" spans="1:14" ht="13.2" customHeight="1" x14ac:dyDescent="0.3">
      <c r="A807" s="365">
        <f t="shared" si="112"/>
        <v>35</v>
      </c>
      <c r="B807" s="370" t="s">
        <v>1118</v>
      </c>
      <c r="C807" s="371"/>
      <c r="D807" s="371"/>
      <c r="E807" s="367" t="s">
        <v>399</v>
      </c>
      <c r="F807" s="539"/>
      <c r="G807" s="527"/>
      <c r="H807" s="539"/>
      <c r="I807" s="372">
        <f t="shared" si="108"/>
        <v>0</v>
      </c>
      <c r="J807" s="372"/>
      <c r="K807" s="372">
        <f>'RAB Pasang'!K807*60%</f>
        <v>454866</v>
      </c>
      <c r="L807" s="387">
        <f t="shared" si="109"/>
        <v>0</v>
      </c>
      <c r="M807" s="387">
        <f t="shared" si="110"/>
        <v>0</v>
      </c>
      <c r="N807" s="422">
        <f t="shared" si="111"/>
        <v>0</v>
      </c>
    </row>
    <row r="808" spans="1:14" ht="13.2" customHeight="1" x14ac:dyDescent="0.3">
      <c r="A808" s="365">
        <f t="shared" si="112"/>
        <v>36</v>
      </c>
      <c r="B808" s="370" t="s">
        <v>1119</v>
      </c>
      <c r="C808" s="371"/>
      <c r="D808" s="371"/>
      <c r="E808" s="367" t="s">
        <v>399</v>
      </c>
      <c r="F808" s="539"/>
      <c r="G808" s="527"/>
      <c r="H808" s="539"/>
      <c r="I808" s="372">
        <f t="shared" si="108"/>
        <v>0</v>
      </c>
      <c r="J808" s="372"/>
      <c r="K808" s="372">
        <f>'RAB Pasang'!K808*60%</f>
        <v>454866</v>
      </c>
      <c r="L808" s="387">
        <f t="shared" si="109"/>
        <v>0</v>
      </c>
      <c r="M808" s="387">
        <f t="shared" si="110"/>
        <v>0</v>
      </c>
      <c r="N808" s="422">
        <f t="shared" si="111"/>
        <v>0</v>
      </c>
    </row>
    <row r="809" spans="1:14" ht="13.2" customHeight="1" x14ac:dyDescent="0.3">
      <c r="A809" s="365">
        <f t="shared" si="112"/>
        <v>37</v>
      </c>
      <c r="B809" s="370" t="s">
        <v>1127</v>
      </c>
      <c r="C809" s="371"/>
      <c r="D809" s="371"/>
      <c r="E809" s="367" t="s">
        <v>399</v>
      </c>
      <c r="F809" s="539"/>
      <c r="G809" s="527"/>
      <c r="H809" s="539"/>
      <c r="I809" s="372">
        <f t="shared" si="108"/>
        <v>0</v>
      </c>
      <c r="J809" s="372"/>
      <c r="K809" s="372">
        <f>'RAB Pasang'!K809*60%</f>
        <v>841446</v>
      </c>
      <c r="L809" s="387">
        <f t="shared" si="109"/>
        <v>0</v>
      </c>
      <c r="M809" s="387">
        <f t="shared" si="110"/>
        <v>0</v>
      </c>
      <c r="N809" s="422">
        <f t="shared" si="111"/>
        <v>0</v>
      </c>
    </row>
    <row r="810" spans="1:14" ht="13.2" customHeight="1" x14ac:dyDescent="0.3">
      <c r="A810" s="365">
        <f t="shared" si="112"/>
        <v>38</v>
      </c>
      <c r="B810" s="370" t="s">
        <v>1128</v>
      </c>
      <c r="C810" s="371"/>
      <c r="D810" s="371"/>
      <c r="E810" s="367" t="s">
        <v>399</v>
      </c>
      <c r="F810" s="539"/>
      <c r="G810" s="527"/>
      <c r="H810" s="539"/>
      <c r="I810" s="372">
        <f t="shared" si="108"/>
        <v>0</v>
      </c>
      <c r="J810" s="372"/>
      <c r="K810" s="372">
        <f>'RAB Pasang'!K810*60%</f>
        <v>841446</v>
      </c>
      <c r="L810" s="387">
        <f t="shared" si="109"/>
        <v>0</v>
      </c>
      <c r="M810" s="387">
        <f t="shared" si="110"/>
        <v>0</v>
      </c>
      <c r="N810" s="422">
        <f t="shared" si="111"/>
        <v>0</v>
      </c>
    </row>
    <row r="811" spans="1:14" ht="13.2" customHeight="1" x14ac:dyDescent="0.3">
      <c r="A811" s="365">
        <f t="shared" si="112"/>
        <v>39</v>
      </c>
      <c r="B811" s="370" t="s">
        <v>1129</v>
      </c>
      <c r="C811" s="371"/>
      <c r="D811" s="371"/>
      <c r="E811" s="367" t="s">
        <v>399</v>
      </c>
      <c r="F811" s="539"/>
      <c r="G811" s="527"/>
      <c r="H811" s="539"/>
      <c r="I811" s="372">
        <f t="shared" si="108"/>
        <v>0</v>
      </c>
      <c r="J811" s="372"/>
      <c r="K811" s="372">
        <f>'RAB Pasang'!K811*60%</f>
        <v>841446</v>
      </c>
      <c r="L811" s="387">
        <f t="shared" si="109"/>
        <v>0</v>
      </c>
      <c r="M811" s="387">
        <f t="shared" si="110"/>
        <v>0</v>
      </c>
      <c r="N811" s="422">
        <f t="shared" si="111"/>
        <v>0</v>
      </c>
    </row>
    <row r="812" spans="1:14" ht="13.2" customHeight="1" x14ac:dyDescent="0.3">
      <c r="A812" s="365">
        <f t="shared" si="112"/>
        <v>40</v>
      </c>
      <c r="B812" s="370" t="s">
        <v>1130</v>
      </c>
      <c r="C812" s="371"/>
      <c r="D812" s="371"/>
      <c r="E812" s="367" t="s">
        <v>399</v>
      </c>
      <c r="F812" s="539"/>
      <c r="G812" s="527"/>
      <c r="H812" s="539"/>
      <c r="I812" s="372">
        <f t="shared" si="108"/>
        <v>0</v>
      </c>
      <c r="J812" s="372"/>
      <c r="K812" s="372">
        <f>'RAB Pasang'!K812*60%</f>
        <v>841446</v>
      </c>
      <c r="L812" s="387">
        <f t="shared" si="109"/>
        <v>0</v>
      </c>
      <c r="M812" s="387">
        <f t="shared" si="110"/>
        <v>0</v>
      </c>
      <c r="N812" s="422">
        <f t="shared" si="111"/>
        <v>0</v>
      </c>
    </row>
    <row r="813" spans="1:14" ht="13.2" customHeight="1" x14ac:dyDescent="0.3">
      <c r="A813" s="365">
        <f t="shared" si="112"/>
        <v>41</v>
      </c>
      <c r="B813" s="370" t="s">
        <v>1131</v>
      </c>
      <c r="C813" s="371"/>
      <c r="D813" s="371"/>
      <c r="E813" s="367" t="s">
        <v>399</v>
      </c>
      <c r="F813" s="539"/>
      <c r="G813" s="527"/>
      <c r="H813" s="539"/>
      <c r="I813" s="372">
        <f t="shared" si="108"/>
        <v>0</v>
      </c>
      <c r="J813" s="372"/>
      <c r="K813" s="372">
        <f>'RAB Pasang'!K813*60%</f>
        <v>841446</v>
      </c>
      <c r="L813" s="387">
        <f t="shared" si="109"/>
        <v>0</v>
      </c>
      <c r="M813" s="387">
        <f t="shared" si="110"/>
        <v>0</v>
      </c>
      <c r="N813" s="422">
        <f t="shared" si="111"/>
        <v>0</v>
      </c>
    </row>
    <row r="814" spans="1:14" ht="13.2" customHeight="1" x14ac:dyDescent="0.3">
      <c r="A814" s="365">
        <f t="shared" si="112"/>
        <v>42</v>
      </c>
      <c r="B814" s="370" t="s">
        <v>1132</v>
      </c>
      <c r="C814" s="371"/>
      <c r="D814" s="371"/>
      <c r="E814" s="367" t="s">
        <v>399</v>
      </c>
      <c r="F814" s="539"/>
      <c r="G814" s="527"/>
      <c r="H814" s="539"/>
      <c r="I814" s="372">
        <f t="shared" si="108"/>
        <v>0</v>
      </c>
      <c r="J814" s="372"/>
      <c r="K814" s="372">
        <f>'RAB Pasang'!K814*60%</f>
        <v>841446</v>
      </c>
      <c r="L814" s="387">
        <f t="shared" si="109"/>
        <v>0</v>
      </c>
      <c r="M814" s="387">
        <f t="shared" si="110"/>
        <v>0</v>
      </c>
      <c r="N814" s="422">
        <f t="shared" si="111"/>
        <v>0</v>
      </c>
    </row>
    <row r="815" spans="1:14" ht="13.2" customHeight="1" x14ac:dyDescent="0.3">
      <c r="A815" s="365">
        <f t="shared" si="112"/>
        <v>43</v>
      </c>
      <c r="B815" s="370" t="s">
        <v>1133</v>
      </c>
      <c r="C815" s="371"/>
      <c r="D815" s="371"/>
      <c r="E815" s="367" t="s">
        <v>399</v>
      </c>
      <c r="F815" s="539"/>
      <c r="G815" s="527"/>
      <c r="H815" s="539"/>
      <c r="I815" s="372">
        <f t="shared" si="108"/>
        <v>0</v>
      </c>
      <c r="J815" s="372"/>
      <c r="K815" s="372">
        <f>'RAB Pasang'!K815*60%</f>
        <v>841446</v>
      </c>
      <c r="L815" s="387">
        <f t="shared" si="109"/>
        <v>0</v>
      </c>
      <c r="M815" s="387">
        <f t="shared" si="110"/>
        <v>0</v>
      </c>
      <c r="N815" s="422">
        <f t="shared" si="111"/>
        <v>0</v>
      </c>
    </row>
    <row r="816" spans="1:14" ht="13.2" customHeight="1" x14ac:dyDescent="0.3">
      <c r="A816" s="365">
        <f t="shared" si="112"/>
        <v>44</v>
      </c>
      <c r="B816" s="370" t="s">
        <v>1134</v>
      </c>
      <c r="C816" s="371"/>
      <c r="D816" s="371"/>
      <c r="E816" s="367" t="s">
        <v>399</v>
      </c>
      <c r="F816" s="539"/>
      <c r="G816" s="527"/>
      <c r="H816" s="539"/>
      <c r="I816" s="372">
        <f t="shared" si="108"/>
        <v>0</v>
      </c>
      <c r="J816" s="372"/>
      <c r="K816" s="372">
        <f>'RAB Pasang'!K816*60%</f>
        <v>841446</v>
      </c>
      <c r="L816" s="387">
        <f t="shared" si="109"/>
        <v>0</v>
      </c>
      <c r="M816" s="387">
        <f t="shared" si="110"/>
        <v>0</v>
      </c>
      <c r="N816" s="422">
        <f t="shared" si="111"/>
        <v>0</v>
      </c>
    </row>
    <row r="817" spans="1:14" ht="13.2" customHeight="1" x14ac:dyDescent="0.3">
      <c r="A817" s="365">
        <f t="shared" si="112"/>
        <v>45</v>
      </c>
      <c r="B817" s="370" t="s">
        <v>911</v>
      </c>
      <c r="C817" s="371"/>
      <c r="D817" s="371"/>
      <c r="E817" s="367" t="s">
        <v>399</v>
      </c>
      <c r="F817" s="539"/>
      <c r="G817" s="527"/>
      <c r="H817" s="539"/>
      <c r="I817" s="372">
        <f t="shared" si="108"/>
        <v>0</v>
      </c>
      <c r="J817" s="372"/>
      <c r="K817" s="372">
        <f>'RAB Pasang'!K817*60%</f>
        <v>164292</v>
      </c>
      <c r="L817" s="387">
        <f t="shared" si="109"/>
        <v>0</v>
      </c>
      <c r="M817" s="387">
        <f t="shared" si="110"/>
        <v>0</v>
      </c>
      <c r="N817" s="422">
        <f t="shared" si="111"/>
        <v>0</v>
      </c>
    </row>
    <row r="818" spans="1:14" ht="13.2" customHeight="1" x14ac:dyDescent="0.3">
      <c r="A818" s="365">
        <f t="shared" si="112"/>
        <v>46</v>
      </c>
      <c r="B818" s="370" t="s">
        <v>912</v>
      </c>
      <c r="C818" s="371"/>
      <c r="D818" s="371"/>
      <c r="E818" s="367" t="s">
        <v>399</v>
      </c>
      <c r="F818" s="539"/>
      <c r="G818" s="527"/>
      <c r="H818" s="539"/>
      <c r="I818" s="372">
        <f t="shared" si="108"/>
        <v>0</v>
      </c>
      <c r="J818" s="372"/>
      <c r="K818" s="372">
        <f>'RAB Pasang'!K818*60%</f>
        <v>164292</v>
      </c>
      <c r="L818" s="387">
        <f t="shared" si="109"/>
        <v>0</v>
      </c>
      <c r="M818" s="387">
        <f t="shared" si="110"/>
        <v>0</v>
      </c>
      <c r="N818" s="422">
        <f t="shared" si="111"/>
        <v>0</v>
      </c>
    </row>
    <row r="819" spans="1:14" ht="13.2" customHeight="1" x14ac:dyDescent="0.3">
      <c r="A819" s="365">
        <f t="shared" si="112"/>
        <v>47</v>
      </c>
      <c r="B819" s="370" t="s">
        <v>913</v>
      </c>
      <c r="C819" s="371"/>
      <c r="D819" s="371"/>
      <c r="E819" s="367" t="s">
        <v>399</v>
      </c>
      <c r="F819" s="539"/>
      <c r="G819" s="527"/>
      <c r="H819" s="539"/>
      <c r="I819" s="372">
        <f t="shared" si="108"/>
        <v>0</v>
      </c>
      <c r="J819" s="372"/>
      <c r="K819" s="372">
        <f>'RAB Pasang'!K819*60%</f>
        <v>164292</v>
      </c>
      <c r="L819" s="387">
        <f t="shared" si="109"/>
        <v>0</v>
      </c>
      <c r="M819" s="387">
        <f t="shared" si="110"/>
        <v>0</v>
      </c>
      <c r="N819" s="422">
        <f t="shared" si="111"/>
        <v>0</v>
      </c>
    </row>
    <row r="820" spans="1:14" ht="13.2" customHeight="1" x14ac:dyDescent="0.3">
      <c r="A820" s="365">
        <f t="shared" si="112"/>
        <v>48</v>
      </c>
      <c r="B820" s="370" t="s">
        <v>914</v>
      </c>
      <c r="C820" s="371"/>
      <c r="D820" s="371"/>
      <c r="E820" s="367" t="s">
        <v>399</v>
      </c>
      <c r="F820" s="539"/>
      <c r="G820" s="527"/>
      <c r="H820" s="539"/>
      <c r="I820" s="372">
        <f t="shared" si="108"/>
        <v>0</v>
      </c>
      <c r="J820" s="372"/>
      <c r="K820" s="372">
        <f>'RAB Pasang'!K820*60%</f>
        <v>164292</v>
      </c>
      <c r="L820" s="387">
        <f t="shared" si="109"/>
        <v>0</v>
      </c>
      <c r="M820" s="387">
        <f t="shared" si="110"/>
        <v>0</v>
      </c>
      <c r="N820" s="422">
        <f t="shared" si="111"/>
        <v>0</v>
      </c>
    </row>
    <row r="821" spans="1:14" ht="13.2" customHeight="1" x14ac:dyDescent="0.3">
      <c r="A821" s="365">
        <f t="shared" si="112"/>
        <v>49</v>
      </c>
      <c r="B821" s="370" t="s">
        <v>915</v>
      </c>
      <c r="C821" s="371"/>
      <c r="D821" s="371"/>
      <c r="E821" s="367" t="s">
        <v>399</v>
      </c>
      <c r="F821" s="539"/>
      <c r="G821" s="527"/>
      <c r="H821" s="539"/>
      <c r="I821" s="372">
        <f t="shared" si="108"/>
        <v>0</v>
      </c>
      <c r="J821" s="372"/>
      <c r="K821" s="372">
        <f>'RAB Pasang'!K821*60%</f>
        <v>164292</v>
      </c>
      <c r="L821" s="387">
        <f t="shared" si="109"/>
        <v>0</v>
      </c>
      <c r="M821" s="387">
        <f t="shared" si="110"/>
        <v>0</v>
      </c>
      <c r="N821" s="422">
        <f t="shared" si="111"/>
        <v>0</v>
      </c>
    </row>
    <row r="822" spans="1:14" ht="13.2" customHeight="1" x14ac:dyDescent="0.3">
      <c r="A822" s="365">
        <f t="shared" si="112"/>
        <v>50</v>
      </c>
      <c r="B822" s="370" t="s">
        <v>918</v>
      </c>
      <c r="C822" s="371"/>
      <c r="D822" s="371"/>
      <c r="E822" s="367" t="s">
        <v>399</v>
      </c>
      <c r="F822" s="539"/>
      <c r="G822" s="527"/>
      <c r="H822" s="539"/>
      <c r="I822" s="372">
        <f t="shared" si="108"/>
        <v>0</v>
      </c>
      <c r="J822" s="372"/>
      <c r="K822" s="372">
        <f>'RAB Pasang'!K822*60%</f>
        <v>164292</v>
      </c>
      <c r="L822" s="387">
        <f t="shared" si="109"/>
        <v>0</v>
      </c>
      <c r="M822" s="387">
        <f t="shared" si="110"/>
        <v>0</v>
      </c>
      <c r="N822" s="422">
        <f t="shared" si="111"/>
        <v>0</v>
      </c>
    </row>
    <row r="823" spans="1:14" ht="13.2" customHeight="1" x14ac:dyDescent="0.3">
      <c r="A823" s="365">
        <f t="shared" si="112"/>
        <v>51</v>
      </c>
      <c r="B823" s="370" t="s">
        <v>919</v>
      </c>
      <c r="C823" s="371"/>
      <c r="D823" s="371"/>
      <c r="E823" s="367" t="s">
        <v>399</v>
      </c>
      <c r="F823" s="539"/>
      <c r="G823" s="527"/>
      <c r="H823" s="539"/>
      <c r="I823" s="372">
        <f t="shared" si="108"/>
        <v>0</v>
      </c>
      <c r="J823" s="372"/>
      <c r="K823" s="372">
        <f>'RAB Pasang'!K823*60%</f>
        <v>164292</v>
      </c>
      <c r="L823" s="387">
        <f t="shared" si="109"/>
        <v>0</v>
      </c>
      <c r="M823" s="387">
        <f t="shared" si="110"/>
        <v>0</v>
      </c>
      <c r="N823" s="422">
        <f t="shared" si="111"/>
        <v>0</v>
      </c>
    </row>
    <row r="824" spans="1:14" ht="13.2" customHeight="1" x14ac:dyDescent="0.3">
      <c r="A824" s="365">
        <f t="shared" si="112"/>
        <v>52</v>
      </c>
      <c r="B824" s="370" t="s">
        <v>920</v>
      </c>
      <c r="C824" s="371"/>
      <c r="D824" s="371"/>
      <c r="E824" s="367" t="s">
        <v>399</v>
      </c>
      <c r="F824" s="539"/>
      <c r="G824" s="527"/>
      <c r="H824" s="539"/>
      <c r="I824" s="372">
        <f t="shared" si="108"/>
        <v>0</v>
      </c>
      <c r="J824" s="372"/>
      <c r="K824" s="372">
        <f>'RAB Pasang'!K824*60%</f>
        <v>164292</v>
      </c>
      <c r="L824" s="387">
        <f t="shared" si="109"/>
        <v>0</v>
      </c>
      <c r="M824" s="387">
        <f t="shared" si="110"/>
        <v>0</v>
      </c>
      <c r="N824" s="422">
        <f t="shared" si="111"/>
        <v>0</v>
      </c>
    </row>
    <row r="825" spans="1:14" ht="13.2" customHeight="1" x14ac:dyDescent="0.3">
      <c r="A825" s="365">
        <f t="shared" si="112"/>
        <v>53</v>
      </c>
      <c r="B825" s="370" t="s">
        <v>921</v>
      </c>
      <c r="C825" s="371"/>
      <c r="D825" s="371"/>
      <c r="E825" s="367" t="s">
        <v>399</v>
      </c>
      <c r="F825" s="539"/>
      <c r="G825" s="527"/>
      <c r="H825" s="539"/>
      <c r="I825" s="372">
        <f t="shared" si="108"/>
        <v>0</v>
      </c>
      <c r="J825" s="372"/>
      <c r="K825" s="372">
        <f>'RAB Pasang'!K825*60%</f>
        <v>227436</v>
      </c>
      <c r="L825" s="387">
        <f t="shared" si="109"/>
        <v>0</v>
      </c>
      <c r="M825" s="387">
        <f t="shared" si="110"/>
        <v>0</v>
      </c>
      <c r="N825" s="422">
        <f t="shared" si="111"/>
        <v>0</v>
      </c>
    </row>
    <row r="826" spans="1:14" ht="13.2" customHeight="1" x14ac:dyDescent="0.3">
      <c r="A826" s="365">
        <f t="shared" si="112"/>
        <v>54</v>
      </c>
      <c r="B826" s="370" t="s">
        <v>922</v>
      </c>
      <c r="C826" s="371"/>
      <c r="D826" s="371"/>
      <c r="E826" s="367" t="s">
        <v>399</v>
      </c>
      <c r="F826" s="539"/>
      <c r="G826" s="527"/>
      <c r="H826" s="539"/>
      <c r="I826" s="372">
        <f t="shared" si="108"/>
        <v>0</v>
      </c>
      <c r="J826" s="372"/>
      <c r="K826" s="372">
        <f>'RAB Pasang'!K826*60%</f>
        <v>227436</v>
      </c>
      <c r="L826" s="387">
        <f t="shared" si="109"/>
        <v>0</v>
      </c>
      <c r="M826" s="387">
        <f t="shared" si="110"/>
        <v>0</v>
      </c>
      <c r="N826" s="422">
        <f t="shared" si="111"/>
        <v>0</v>
      </c>
    </row>
    <row r="827" spans="1:14" ht="13.2" customHeight="1" x14ac:dyDescent="0.3">
      <c r="A827" s="365">
        <f t="shared" si="112"/>
        <v>55</v>
      </c>
      <c r="B827" s="370" t="s">
        <v>923</v>
      </c>
      <c r="C827" s="371"/>
      <c r="D827" s="371"/>
      <c r="E827" s="367" t="s">
        <v>399</v>
      </c>
      <c r="F827" s="539"/>
      <c r="G827" s="527"/>
      <c r="H827" s="539"/>
      <c r="I827" s="372">
        <f t="shared" si="108"/>
        <v>0</v>
      </c>
      <c r="J827" s="372"/>
      <c r="K827" s="372">
        <f>'RAB Pasang'!K827*60%</f>
        <v>227436</v>
      </c>
      <c r="L827" s="387">
        <f t="shared" si="109"/>
        <v>0</v>
      </c>
      <c r="M827" s="387">
        <f t="shared" si="110"/>
        <v>0</v>
      </c>
      <c r="N827" s="422">
        <f t="shared" si="111"/>
        <v>0</v>
      </c>
    </row>
    <row r="828" spans="1:14" ht="13.2" customHeight="1" x14ac:dyDescent="0.3">
      <c r="A828" s="365">
        <f t="shared" si="112"/>
        <v>56</v>
      </c>
      <c r="B828" s="370" t="s">
        <v>924</v>
      </c>
      <c r="C828" s="371"/>
      <c r="D828" s="371"/>
      <c r="E828" s="367" t="s">
        <v>399</v>
      </c>
      <c r="F828" s="539"/>
      <c r="G828" s="527"/>
      <c r="H828" s="539"/>
      <c r="I828" s="372">
        <f t="shared" si="108"/>
        <v>0</v>
      </c>
      <c r="J828" s="372"/>
      <c r="K828" s="372">
        <f>'RAB Pasang'!K828*60%</f>
        <v>227436</v>
      </c>
      <c r="L828" s="387">
        <f t="shared" si="109"/>
        <v>0</v>
      </c>
      <c r="M828" s="387">
        <f t="shared" si="110"/>
        <v>0</v>
      </c>
      <c r="N828" s="422">
        <f t="shared" si="111"/>
        <v>0</v>
      </c>
    </row>
    <row r="829" spans="1:14" ht="13.2" customHeight="1" x14ac:dyDescent="0.3">
      <c r="A829" s="365">
        <f t="shared" si="112"/>
        <v>57</v>
      </c>
      <c r="B829" s="370" t="s">
        <v>925</v>
      </c>
      <c r="C829" s="371"/>
      <c r="D829" s="371"/>
      <c r="E829" s="367" t="s">
        <v>399</v>
      </c>
      <c r="F829" s="539"/>
      <c r="G829" s="527"/>
      <c r="H829" s="539"/>
      <c r="I829" s="372">
        <f t="shared" si="108"/>
        <v>0</v>
      </c>
      <c r="J829" s="372"/>
      <c r="K829" s="372">
        <f>'RAB Pasang'!K829*60%</f>
        <v>227436</v>
      </c>
      <c r="L829" s="387">
        <f t="shared" si="109"/>
        <v>0</v>
      </c>
      <c r="M829" s="387">
        <f t="shared" si="110"/>
        <v>0</v>
      </c>
      <c r="N829" s="422">
        <f t="shared" si="111"/>
        <v>0</v>
      </c>
    </row>
    <row r="830" spans="1:14" ht="13.2" customHeight="1" x14ac:dyDescent="0.3">
      <c r="A830" s="365">
        <f t="shared" si="112"/>
        <v>58</v>
      </c>
      <c r="B830" s="370" t="s">
        <v>926</v>
      </c>
      <c r="C830" s="371"/>
      <c r="D830" s="371"/>
      <c r="E830" s="367" t="s">
        <v>399</v>
      </c>
      <c r="F830" s="539"/>
      <c r="G830" s="527"/>
      <c r="H830" s="539"/>
      <c r="I830" s="372">
        <f t="shared" si="108"/>
        <v>0</v>
      </c>
      <c r="J830" s="372"/>
      <c r="K830" s="372">
        <f>'RAB Pasang'!K830*60%</f>
        <v>227436</v>
      </c>
      <c r="L830" s="387">
        <f t="shared" si="109"/>
        <v>0</v>
      </c>
      <c r="M830" s="387">
        <f t="shared" si="110"/>
        <v>0</v>
      </c>
      <c r="N830" s="422">
        <f t="shared" si="111"/>
        <v>0</v>
      </c>
    </row>
    <row r="831" spans="1:14" ht="13.2" customHeight="1" x14ac:dyDescent="0.3">
      <c r="A831" s="365">
        <f t="shared" si="112"/>
        <v>59</v>
      </c>
      <c r="B831" s="370" t="s">
        <v>927</v>
      </c>
      <c r="C831" s="371"/>
      <c r="D831" s="371"/>
      <c r="E831" s="367" t="s">
        <v>399</v>
      </c>
      <c r="F831" s="539"/>
      <c r="G831" s="527"/>
      <c r="H831" s="539"/>
      <c r="I831" s="372">
        <f t="shared" si="108"/>
        <v>0</v>
      </c>
      <c r="J831" s="372"/>
      <c r="K831" s="372">
        <f>'RAB Pasang'!K831*60%</f>
        <v>227436</v>
      </c>
      <c r="L831" s="387">
        <f t="shared" si="109"/>
        <v>0</v>
      </c>
      <c r="M831" s="387">
        <f t="shared" si="110"/>
        <v>0</v>
      </c>
      <c r="N831" s="422">
        <f t="shared" si="111"/>
        <v>0</v>
      </c>
    </row>
    <row r="832" spans="1:14" ht="13.2" customHeight="1" x14ac:dyDescent="0.3">
      <c r="A832" s="365">
        <f t="shared" si="112"/>
        <v>60</v>
      </c>
      <c r="B832" s="370" t="s">
        <v>928</v>
      </c>
      <c r="C832" s="371"/>
      <c r="D832" s="371"/>
      <c r="E832" s="367" t="s">
        <v>399</v>
      </c>
      <c r="F832" s="539"/>
      <c r="G832" s="527"/>
      <c r="H832" s="539"/>
      <c r="I832" s="372">
        <f t="shared" si="108"/>
        <v>0</v>
      </c>
      <c r="J832" s="372"/>
      <c r="K832" s="372">
        <f>'RAB Pasang'!K832*60%</f>
        <v>227436</v>
      </c>
      <c r="L832" s="387">
        <f t="shared" si="109"/>
        <v>0</v>
      </c>
      <c r="M832" s="387">
        <f t="shared" si="110"/>
        <v>0</v>
      </c>
      <c r="N832" s="422">
        <f t="shared" si="111"/>
        <v>0</v>
      </c>
    </row>
    <row r="833" spans="1:14" ht="13.2" customHeight="1" x14ac:dyDescent="0.3">
      <c r="A833" s="365">
        <f t="shared" si="112"/>
        <v>61</v>
      </c>
      <c r="B833" s="370" t="s">
        <v>1993</v>
      </c>
      <c r="C833" s="371"/>
      <c r="D833" s="371"/>
      <c r="E833" s="367" t="s">
        <v>399</v>
      </c>
      <c r="F833" s="539"/>
      <c r="G833" s="527"/>
      <c r="H833" s="539"/>
      <c r="I833" s="372">
        <f t="shared" si="108"/>
        <v>0</v>
      </c>
      <c r="J833" s="372"/>
      <c r="K833" s="372">
        <f>'RAB Pasang'!K833*60%</f>
        <v>328590</v>
      </c>
      <c r="L833" s="387">
        <f t="shared" si="109"/>
        <v>0</v>
      </c>
      <c r="M833" s="387">
        <f t="shared" si="110"/>
        <v>0</v>
      </c>
      <c r="N833" s="422">
        <f t="shared" si="111"/>
        <v>0</v>
      </c>
    </row>
    <row r="834" spans="1:14" ht="13.2" customHeight="1" x14ac:dyDescent="0.3">
      <c r="A834" s="365">
        <f t="shared" si="112"/>
        <v>62</v>
      </c>
      <c r="B834" s="370" t="s">
        <v>1390</v>
      </c>
      <c r="C834" s="371"/>
      <c r="D834" s="371"/>
      <c r="E834" s="367" t="s">
        <v>399</v>
      </c>
      <c r="F834" s="539"/>
      <c r="G834" s="527"/>
      <c r="H834" s="539"/>
      <c r="I834" s="372">
        <f t="shared" si="108"/>
        <v>0</v>
      </c>
      <c r="J834" s="372"/>
      <c r="K834" s="372">
        <f>'RAB Pasang'!K834*60%</f>
        <v>328590</v>
      </c>
      <c r="L834" s="387">
        <f t="shared" si="109"/>
        <v>0</v>
      </c>
      <c r="M834" s="387">
        <f t="shared" si="110"/>
        <v>0</v>
      </c>
      <c r="N834" s="422">
        <f t="shared" si="111"/>
        <v>0</v>
      </c>
    </row>
    <row r="835" spans="1:14" ht="13.2" customHeight="1" x14ac:dyDescent="0.3">
      <c r="A835" s="365">
        <f t="shared" si="112"/>
        <v>63</v>
      </c>
      <c r="B835" s="370" t="s">
        <v>1391</v>
      </c>
      <c r="C835" s="371"/>
      <c r="D835" s="371"/>
      <c r="E835" s="367" t="s">
        <v>399</v>
      </c>
      <c r="F835" s="539"/>
      <c r="G835" s="527"/>
      <c r="H835" s="539"/>
      <c r="I835" s="372">
        <f t="shared" si="108"/>
        <v>0</v>
      </c>
      <c r="J835" s="372"/>
      <c r="K835" s="372">
        <f>'RAB Pasang'!K835*60%</f>
        <v>328590</v>
      </c>
      <c r="L835" s="387">
        <f t="shared" si="109"/>
        <v>0</v>
      </c>
      <c r="M835" s="387">
        <f t="shared" si="110"/>
        <v>0</v>
      </c>
      <c r="N835" s="422">
        <f t="shared" si="111"/>
        <v>0</v>
      </c>
    </row>
    <row r="836" spans="1:14" ht="13.2" customHeight="1" x14ac:dyDescent="0.3">
      <c r="A836" s="365">
        <f t="shared" si="112"/>
        <v>64</v>
      </c>
      <c r="B836" s="370" t="s">
        <v>1392</v>
      </c>
      <c r="C836" s="371"/>
      <c r="D836" s="371"/>
      <c r="E836" s="367" t="s">
        <v>399</v>
      </c>
      <c r="F836" s="539"/>
      <c r="G836" s="527"/>
      <c r="H836" s="539"/>
      <c r="I836" s="372">
        <f t="shared" si="108"/>
        <v>0</v>
      </c>
      <c r="J836" s="372"/>
      <c r="K836" s="372">
        <f>'RAB Pasang'!K836*60%</f>
        <v>328590</v>
      </c>
      <c r="L836" s="387">
        <f t="shared" si="109"/>
        <v>0</v>
      </c>
      <c r="M836" s="387">
        <f t="shared" si="110"/>
        <v>0</v>
      </c>
      <c r="N836" s="422">
        <f t="shared" si="111"/>
        <v>0</v>
      </c>
    </row>
    <row r="837" spans="1:14" ht="13.2" customHeight="1" x14ac:dyDescent="0.3">
      <c r="A837" s="365">
        <f t="shared" si="112"/>
        <v>65</v>
      </c>
      <c r="B837" s="370" t="s">
        <v>1393</v>
      </c>
      <c r="C837" s="371"/>
      <c r="D837" s="371"/>
      <c r="E837" s="367" t="s">
        <v>399</v>
      </c>
      <c r="F837" s="539"/>
      <c r="G837" s="527"/>
      <c r="H837" s="539"/>
      <c r="I837" s="372">
        <f t="shared" ref="I837:I881" si="113">SUM(F837:H837)</f>
        <v>0</v>
      </c>
      <c r="J837" s="372"/>
      <c r="K837" s="372">
        <f>'RAB Pasang'!K837*60%</f>
        <v>328590</v>
      </c>
      <c r="L837" s="387">
        <f t="shared" ref="L837:L881" si="114">J837*I837</f>
        <v>0</v>
      </c>
      <c r="M837" s="387">
        <f t="shared" ref="M837:M881" si="115">K837*I837</f>
        <v>0</v>
      </c>
      <c r="N837" s="422">
        <f t="shared" ref="N837:N881" si="116">SUM(L837:M837)</f>
        <v>0</v>
      </c>
    </row>
    <row r="838" spans="1:14" ht="13.2" customHeight="1" x14ac:dyDescent="0.3">
      <c r="A838" s="365">
        <f t="shared" ref="A838:A879" si="117">A837+1</f>
        <v>66</v>
      </c>
      <c r="B838" s="370" t="s">
        <v>1394</v>
      </c>
      <c r="C838" s="371"/>
      <c r="D838" s="371"/>
      <c r="E838" s="367" t="s">
        <v>399</v>
      </c>
      <c r="F838" s="539"/>
      <c r="G838" s="527"/>
      <c r="H838" s="539"/>
      <c r="I838" s="372">
        <f t="shared" si="113"/>
        <v>0</v>
      </c>
      <c r="J838" s="372"/>
      <c r="K838" s="372">
        <f>'RAB Pasang'!K838*60%</f>
        <v>328590</v>
      </c>
      <c r="L838" s="387">
        <f t="shared" si="114"/>
        <v>0</v>
      </c>
      <c r="M838" s="387">
        <f t="shared" si="115"/>
        <v>0</v>
      </c>
      <c r="N838" s="422">
        <f t="shared" si="116"/>
        <v>0</v>
      </c>
    </row>
    <row r="839" spans="1:14" ht="13.2" customHeight="1" x14ac:dyDescent="0.3">
      <c r="A839" s="365">
        <f t="shared" si="117"/>
        <v>67</v>
      </c>
      <c r="B839" s="370" t="s">
        <v>1395</v>
      </c>
      <c r="C839" s="371"/>
      <c r="D839" s="371"/>
      <c r="E839" s="367" t="s">
        <v>399</v>
      </c>
      <c r="F839" s="539"/>
      <c r="G839" s="527"/>
      <c r="H839" s="539"/>
      <c r="I839" s="372">
        <f t="shared" si="113"/>
        <v>0</v>
      </c>
      <c r="J839" s="372"/>
      <c r="K839" s="372">
        <f>'RAB Pasang'!K839*60%</f>
        <v>328590</v>
      </c>
      <c r="L839" s="387">
        <f t="shared" si="114"/>
        <v>0</v>
      </c>
      <c r="M839" s="387">
        <f t="shared" si="115"/>
        <v>0</v>
      </c>
      <c r="N839" s="422">
        <f t="shared" si="116"/>
        <v>0</v>
      </c>
    </row>
    <row r="840" spans="1:14" ht="13.2" customHeight="1" x14ac:dyDescent="0.3">
      <c r="A840" s="365">
        <f t="shared" si="117"/>
        <v>68</v>
      </c>
      <c r="B840" s="370" t="s">
        <v>1396</v>
      </c>
      <c r="C840" s="371"/>
      <c r="D840" s="371"/>
      <c r="E840" s="367" t="s">
        <v>399</v>
      </c>
      <c r="F840" s="539"/>
      <c r="G840" s="527"/>
      <c r="H840" s="539"/>
      <c r="I840" s="372">
        <f t="shared" si="113"/>
        <v>0</v>
      </c>
      <c r="J840" s="372"/>
      <c r="K840" s="372">
        <f>'RAB Pasang'!K840*60%</f>
        <v>328590</v>
      </c>
      <c r="L840" s="387">
        <f t="shared" si="114"/>
        <v>0</v>
      </c>
      <c r="M840" s="387">
        <f t="shared" si="115"/>
        <v>0</v>
      </c>
      <c r="N840" s="422">
        <f t="shared" si="116"/>
        <v>0</v>
      </c>
    </row>
    <row r="841" spans="1:14" ht="13.2" customHeight="1" x14ac:dyDescent="0.3">
      <c r="A841" s="365">
        <f t="shared" si="117"/>
        <v>69</v>
      </c>
      <c r="B841" s="370" t="s">
        <v>1397</v>
      </c>
      <c r="C841" s="371"/>
      <c r="D841" s="371"/>
      <c r="E841" s="367" t="s">
        <v>399</v>
      </c>
      <c r="F841" s="539"/>
      <c r="G841" s="527"/>
      <c r="H841" s="539"/>
      <c r="I841" s="372">
        <f t="shared" si="113"/>
        <v>0</v>
      </c>
      <c r="J841" s="372"/>
      <c r="K841" s="372">
        <f>'RAB Pasang'!K841*60%</f>
        <v>328590</v>
      </c>
      <c r="L841" s="387">
        <f t="shared" si="114"/>
        <v>0</v>
      </c>
      <c r="M841" s="387">
        <f t="shared" si="115"/>
        <v>0</v>
      </c>
      <c r="N841" s="422">
        <f t="shared" si="116"/>
        <v>0</v>
      </c>
    </row>
    <row r="842" spans="1:14" ht="13.2" customHeight="1" x14ac:dyDescent="0.3">
      <c r="A842" s="365">
        <f t="shared" si="117"/>
        <v>70</v>
      </c>
      <c r="B842" s="370" t="s">
        <v>1398</v>
      </c>
      <c r="C842" s="371"/>
      <c r="D842" s="371"/>
      <c r="E842" s="367" t="s">
        <v>399</v>
      </c>
      <c r="F842" s="539"/>
      <c r="G842" s="527"/>
      <c r="H842" s="539"/>
      <c r="I842" s="372">
        <f t="shared" si="113"/>
        <v>0</v>
      </c>
      <c r="J842" s="372"/>
      <c r="K842" s="372">
        <f>'RAB Pasang'!K842*60%</f>
        <v>328590</v>
      </c>
      <c r="L842" s="387">
        <f t="shared" si="114"/>
        <v>0</v>
      </c>
      <c r="M842" s="387">
        <f t="shared" si="115"/>
        <v>0</v>
      </c>
      <c r="N842" s="422">
        <f t="shared" si="116"/>
        <v>0</v>
      </c>
    </row>
    <row r="843" spans="1:14" ht="13.2" customHeight="1" x14ac:dyDescent="0.3">
      <c r="A843" s="365">
        <f t="shared" si="117"/>
        <v>71</v>
      </c>
      <c r="B843" s="370" t="s">
        <v>1399</v>
      </c>
      <c r="C843" s="371"/>
      <c r="D843" s="371"/>
      <c r="E843" s="367" t="s">
        <v>399</v>
      </c>
      <c r="F843" s="539"/>
      <c r="G843" s="527"/>
      <c r="H843" s="539"/>
      <c r="I843" s="372">
        <f t="shared" si="113"/>
        <v>0</v>
      </c>
      <c r="J843" s="372"/>
      <c r="K843" s="372">
        <f>'RAB Pasang'!K843*60%</f>
        <v>328590</v>
      </c>
      <c r="L843" s="387">
        <f t="shared" si="114"/>
        <v>0</v>
      </c>
      <c r="M843" s="387">
        <f t="shared" si="115"/>
        <v>0</v>
      </c>
      <c r="N843" s="422">
        <f t="shared" si="116"/>
        <v>0</v>
      </c>
    </row>
    <row r="844" spans="1:14" ht="13.2" customHeight="1" x14ac:dyDescent="0.3">
      <c r="A844" s="365">
        <f t="shared" si="117"/>
        <v>72</v>
      </c>
      <c r="B844" s="370" t="s">
        <v>1400</v>
      </c>
      <c r="C844" s="371"/>
      <c r="D844" s="371"/>
      <c r="E844" s="367" t="s">
        <v>399</v>
      </c>
      <c r="F844" s="539"/>
      <c r="G844" s="527"/>
      <c r="H844" s="539"/>
      <c r="I844" s="372">
        <f t="shared" si="113"/>
        <v>0</v>
      </c>
      <c r="J844" s="372"/>
      <c r="K844" s="372">
        <f>'RAB Pasang'!K844*60%</f>
        <v>328590</v>
      </c>
      <c r="L844" s="387">
        <f t="shared" si="114"/>
        <v>0</v>
      </c>
      <c r="M844" s="387">
        <f t="shared" si="115"/>
        <v>0</v>
      </c>
      <c r="N844" s="422">
        <f t="shared" si="116"/>
        <v>0</v>
      </c>
    </row>
    <row r="845" spans="1:14" ht="13.2" customHeight="1" x14ac:dyDescent="0.3">
      <c r="A845" s="365">
        <f t="shared" si="117"/>
        <v>73</v>
      </c>
      <c r="B845" s="370" t="s">
        <v>1401</v>
      </c>
      <c r="C845" s="371"/>
      <c r="D845" s="371"/>
      <c r="E845" s="367" t="s">
        <v>399</v>
      </c>
      <c r="F845" s="539"/>
      <c r="G845" s="527"/>
      <c r="H845" s="539"/>
      <c r="I845" s="372">
        <f t="shared" si="113"/>
        <v>0</v>
      </c>
      <c r="J845" s="372"/>
      <c r="K845" s="372">
        <f>'RAB Pasang'!K845*60%</f>
        <v>328590</v>
      </c>
      <c r="L845" s="387">
        <f t="shared" si="114"/>
        <v>0</v>
      </c>
      <c r="M845" s="387">
        <f t="shared" si="115"/>
        <v>0</v>
      </c>
      <c r="N845" s="422">
        <f t="shared" si="116"/>
        <v>0</v>
      </c>
    </row>
    <row r="846" spans="1:14" ht="13.2" customHeight="1" x14ac:dyDescent="0.3">
      <c r="A846" s="365">
        <f t="shared" si="117"/>
        <v>74</v>
      </c>
      <c r="B846" s="370" t="s">
        <v>1402</v>
      </c>
      <c r="C846" s="371"/>
      <c r="D846" s="371"/>
      <c r="E846" s="367" t="s">
        <v>399</v>
      </c>
      <c r="F846" s="539"/>
      <c r="G846" s="527"/>
      <c r="H846" s="539"/>
      <c r="I846" s="372">
        <f t="shared" si="113"/>
        <v>0</v>
      </c>
      <c r="J846" s="372"/>
      <c r="K846" s="372">
        <f>'RAB Pasang'!K846*60%</f>
        <v>328590</v>
      </c>
      <c r="L846" s="387">
        <f t="shared" si="114"/>
        <v>0</v>
      </c>
      <c r="M846" s="387">
        <f t="shared" si="115"/>
        <v>0</v>
      </c>
      <c r="N846" s="422">
        <f t="shared" si="116"/>
        <v>0</v>
      </c>
    </row>
    <row r="847" spans="1:14" ht="13.2" customHeight="1" x14ac:dyDescent="0.3">
      <c r="A847" s="365">
        <f t="shared" si="117"/>
        <v>75</v>
      </c>
      <c r="B847" s="370" t="s">
        <v>1403</v>
      </c>
      <c r="C847" s="371"/>
      <c r="D847" s="371"/>
      <c r="E847" s="367" t="s">
        <v>399</v>
      </c>
      <c r="F847" s="539"/>
      <c r="G847" s="527"/>
      <c r="H847" s="539"/>
      <c r="I847" s="372">
        <f t="shared" si="113"/>
        <v>0</v>
      </c>
      <c r="J847" s="372"/>
      <c r="K847" s="372">
        <f>'RAB Pasang'!K847*60%</f>
        <v>328590</v>
      </c>
      <c r="L847" s="387">
        <f t="shared" si="114"/>
        <v>0</v>
      </c>
      <c r="M847" s="387">
        <f t="shared" si="115"/>
        <v>0</v>
      </c>
      <c r="N847" s="422">
        <f t="shared" si="116"/>
        <v>0</v>
      </c>
    </row>
    <row r="848" spans="1:14" ht="13.2" customHeight="1" x14ac:dyDescent="0.3">
      <c r="A848" s="365">
        <f t="shared" si="117"/>
        <v>76</v>
      </c>
      <c r="B848" s="370" t="s">
        <v>1404</v>
      </c>
      <c r="C848" s="371"/>
      <c r="D848" s="371"/>
      <c r="E848" s="367" t="s">
        <v>399</v>
      </c>
      <c r="F848" s="539"/>
      <c r="G848" s="527"/>
      <c r="H848" s="539"/>
      <c r="I848" s="372">
        <f t="shared" si="113"/>
        <v>0</v>
      </c>
      <c r="J848" s="372"/>
      <c r="K848" s="372">
        <f>'RAB Pasang'!K848*60%</f>
        <v>328590</v>
      </c>
      <c r="L848" s="387">
        <f t="shared" si="114"/>
        <v>0</v>
      </c>
      <c r="M848" s="387">
        <f t="shared" si="115"/>
        <v>0</v>
      </c>
      <c r="N848" s="422">
        <f t="shared" si="116"/>
        <v>0</v>
      </c>
    </row>
    <row r="849" spans="1:14" ht="13.2" customHeight="1" x14ac:dyDescent="0.3">
      <c r="A849" s="365">
        <f t="shared" si="117"/>
        <v>77</v>
      </c>
      <c r="B849" s="370" t="s">
        <v>1405</v>
      </c>
      <c r="C849" s="371"/>
      <c r="D849" s="371"/>
      <c r="E849" s="367" t="s">
        <v>399</v>
      </c>
      <c r="F849" s="539"/>
      <c r="G849" s="527"/>
      <c r="H849" s="539"/>
      <c r="I849" s="372">
        <f t="shared" si="113"/>
        <v>0</v>
      </c>
      <c r="J849" s="372"/>
      <c r="K849" s="372">
        <f>'RAB Pasang'!K849*60%</f>
        <v>294444</v>
      </c>
      <c r="L849" s="387">
        <f t="shared" si="114"/>
        <v>0</v>
      </c>
      <c r="M849" s="387">
        <f t="shared" si="115"/>
        <v>0</v>
      </c>
      <c r="N849" s="422">
        <f t="shared" si="116"/>
        <v>0</v>
      </c>
    </row>
    <row r="850" spans="1:14" ht="13.2" customHeight="1" x14ac:dyDescent="0.3">
      <c r="A850" s="365">
        <f t="shared" si="117"/>
        <v>78</v>
      </c>
      <c r="B850" s="370" t="s">
        <v>1406</v>
      </c>
      <c r="C850" s="371"/>
      <c r="D850" s="371"/>
      <c r="E850" s="367" t="s">
        <v>399</v>
      </c>
      <c r="F850" s="539"/>
      <c r="G850" s="527"/>
      <c r="H850" s="539"/>
      <c r="I850" s="372">
        <f t="shared" si="113"/>
        <v>0</v>
      </c>
      <c r="J850" s="372"/>
      <c r="K850" s="372">
        <f>'RAB Pasang'!K850*60%</f>
        <v>294444</v>
      </c>
      <c r="L850" s="387">
        <f t="shared" si="114"/>
        <v>0</v>
      </c>
      <c r="M850" s="387">
        <f t="shared" si="115"/>
        <v>0</v>
      </c>
      <c r="N850" s="422">
        <f t="shared" si="116"/>
        <v>0</v>
      </c>
    </row>
    <row r="851" spans="1:14" ht="13.2" customHeight="1" x14ac:dyDescent="0.3">
      <c r="A851" s="365">
        <f t="shared" si="117"/>
        <v>79</v>
      </c>
      <c r="B851" s="370" t="s">
        <v>1407</v>
      </c>
      <c r="C851" s="371"/>
      <c r="D851" s="371"/>
      <c r="E851" s="367" t="s">
        <v>399</v>
      </c>
      <c r="F851" s="539"/>
      <c r="G851" s="527"/>
      <c r="H851" s="539"/>
      <c r="I851" s="372">
        <f t="shared" si="113"/>
        <v>0</v>
      </c>
      <c r="J851" s="372"/>
      <c r="K851" s="372">
        <f>'RAB Pasang'!K851*60%</f>
        <v>294444</v>
      </c>
      <c r="L851" s="387">
        <f t="shared" si="114"/>
        <v>0</v>
      </c>
      <c r="M851" s="387">
        <f t="shared" si="115"/>
        <v>0</v>
      </c>
      <c r="N851" s="422">
        <f t="shared" si="116"/>
        <v>0</v>
      </c>
    </row>
    <row r="852" spans="1:14" ht="13.2" customHeight="1" x14ac:dyDescent="0.3">
      <c r="A852" s="365">
        <f t="shared" si="117"/>
        <v>80</v>
      </c>
      <c r="B852" s="370" t="s">
        <v>1408</v>
      </c>
      <c r="C852" s="371"/>
      <c r="D852" s="371"/>
      <c r="E852" s="367" t="s">
        <v>399</v>
      </c>
      <c r="F852" s="539"/>
      <c r="G852" s="527"/>
      <c r="H852" s="539"/>
      <c r="I852" s="372">
        <f t="shared" si="113"/>
        <v>0</v>
      </c>
      <c r="J852" s="372"/>
      <c r="K852" s="372">
        <f>'RAB Pasang'!K852*60%</f>
        <v>294444</v>
      </c>
      <c r="L852" s="387">
        <f t="shared" si="114"/>
        <v>0</v>
      </c>
      <c r="M852" s="387">
        <f t="shared" si="115"/>
        <v>0</v>
      </c>
      <c r="N852" s="422">
        <f t="shared" si="116"/>
        <v>0</v>
      </c>
    </row>
    <row r="853" spans="1:14" ht="13.2" customHeight="1" x14ac:dyDescent="0.3">
      <c r="A853" s="365">
        <f t="shared" si="117"/>
        <v>81</v>
      </c>
      <c r="B853" s="370" t="s">
        <v>1409</v>
      </c>
      <c r="C853" s="371"/>
      <c r="D853" s="371"/>
      <c r="E853" s="367" t="s">
        <v>399</v>
      </c>
      <c r="F853" s="539"/>
      <c r="G853" s="527"/>
      <c r="H853" s="539"/>
      <c r="I853" s="372">
        <f t="shared" si="113"/>
        <v>0</v>
      </c>
      <c r="J853" s="372"/>
      <c r="K853" s="372">
        <f>'RAB Pasang'!K853*60%</f>
        <v>294444</v>
      </c>
      <c r="L853" s="387">
        <f t="shared" si="114"/>
        <v>0</v>
      </c>
      <c r="M853" s="387">
        <f t="shared" si="115"/>
        <v>0</v>
      </c>
      <c r="N853" s="422">
        <f t="shared" si="116"/>
        <v>0</v>
      </c>
    </row>
    <row r="854" spans="1:14" ht="13.2" customHeight="1" x14ac:dyDescent="0.3">
      <c r="A854" s="365">
        <f t="shared" si="117"/>
        <v>82</v>
      </c>
      <c r="B854" s="370" t="s">
        <v>1410</v>
      </c>
      <c r="C854" s="371"/>
      <c r="D854" s="371"/>
      <c r="E854" s="367" t="s">
        <v>399</v>
      </c>
      <c r="F854" s="539"/>
      <c r="G854" s="527"/>
      <c r="H854" s="539"/>
      <c r="I854" s="372">
        <f t="shared" si="113"/>
        <v>0</v>
      </c>
      <c r="J854" s="372"/>
      <c r="K854" s="372">
        <f>'RAB Pasang'!K854*60%</f>
        <v>294444</v>
      </c>
      <c r="L854" s="387">
        <f t="shared" si="114"/>
        <v>0</v>
      </c>
      <c r="M854" s="387">
        <f t="shared" si="115"/>
        <v>0</v>
      </c>
      <c r="N854" s="422">
        <f t="shared" si="116"/>
        <v>0</v>
      </c>
    </row>
    <row r="855" spans="1:14" ht="13.2" customHeight="1" x14ac:dyDescent="0.3">
      <c r="A855" s="365">
        <f t="shared" si="117"/>
        <v>83</v>
      </c>
      <c r="B855" s="370" t="s">
        <v>1411</v>
      </c>
      <c r="C855" s="371"/>
      <c r="D855" s="371"/>
      <c r="E855" s="367" t="s">
        <v>399</v>
      </c>
      <c r="F855" s="539"/>
      <c r="G855" s="527"/>
      <c r="H855" s="539"/>
      <c r="I855" s="372">
        <f t="shared" si="113"/>
        <v>0</v>
      </c>
      <c r="J855" s="372"/>
      <c r="K855" s="372">
        <f>'RAB Pasang'!K855*60%</f>
        <v>294444</v>
      </c>
      <c r="L855" s="387">
        <f t="shared" si="114"/>
        <v>0</v>
      </c>
      <c r="M855" s="387">
        <f t="shared" si="115"/>
        <v>0</v>
      </c>
      <c r="N855" s="422">
        <f t="shared" si="116"/>
        <v>0</v>
      </c>
    </row>
    <row r="856" spans="1:14" ht="13.2" customHeight="1" x14ac:dyDescent="0.3">
      <c r="A856" s="365">
        <f t="shared" si="117"/>
        <v>84</v>
      </c>
      <c r="B856" s="370" t="s">
        <v>1412</v>
      </c>
      <c r="C856" s="371"/>
      <c r="D856" s="371"/>
      <c r="E856" s="367" t="s">
        <v>399</v>
      </c>
      <c r="F856" s="539"/>
      <c r="G856" s="527"/>
      <c r="H856" s="539"/>
      <c r="I856" s="372">
        <f t="shared" si="113"/>
        <v>0</v>
      </c>
      <c r="J856" s="372"/>
      <c r="K856" s="372">
        <f>'RAB Pasang'!K856*60%</f>
        <v>294444</v>
      </c>
      <c r="L856" s="387">
        <f t="shared" si="114"/>
        <v>0</v>
      </c>
      <c r="M856" s="387">
        <f t="shared" si="115"/>
        <v>0</v>
      </c>
      <c r="N856" s="422">
        <f t="shared" si="116"/>
        <v>0</v>
      </c>
    </row>
    <row r="857" spans="1:14" ht="13.2" customHeight="1" x14ac:dyDescent="0.3">
      <c r="A857" s="365">
        <f t="shared" si="117"/>
        <v>85</v>
      </c>
      <c r="B857" s="370" t="s">
        <v>1413</v>
      </c>
      <c r="C857" s="371"/>
      <c r="D857" s="371"/>
      <c r="E857" s="367" t="s">
        <v>399</v>
      </c>
      <c r="F857" s="539"/>
      <c r="G857" s="527"/>
      <c r="H857" s="539"/>
      <c r="I857" s="372">
        <f t="shared" si="113"/>
        <v>0</v>
      </c>
      <c r="J857" s="372"/>
      <c r="K857" s="372">
        <f>'RAB Pasang'!K857*60%</f>
        <v>294444</v>
      </c>
      <c r="L857" s="387">
        <f t="shared" si="114"/>
        <v>0</v>
      </c>
      <c r="M857" s="387">
        <f t="shared" si="115"/>
        <v>0</v>
      </c>
      <c r="N857" s="422">
        <f t="shared" si="116"/>
        <v>0</v>
      </c>
    </row>
    <row r="858" spans="1:14" ht="13.2" customHeight="1" x14ac:dyDescent="0.3">
      <c r="A858" s="365">
        <f t="shared" si="117"/>
        <v>86</v>
      </c>
      <c r="B858" s="370" t="s">
        <v>1414</v>
      </c>
      <c r="C858" s="371"/>
      <c r="D858" s="371"/>
      <c r="E858" s="367" t="s">
        <v>399</v>
      </c>
      <c r="F858" s="539"/>
      <c r="G858" s="527"/>
      <c r="H858" s="539"/>
      <c r="I858" s="372">
        <f t="shared" si="113"/>
        <v>0</v>
      </c>
      <c r="J858" s="372"/>
      <c r="K858" s="372">
        <f>'RAB Pasang'!K858*60%</f>
        <v>294444</v>
      </c>
      <c r="L858" s="387">
        <f t="shared" si="114"/>
        <v>0</v>
      </c>
      <c r="M858" s="387">
        <f t="shared" si="115"/>
        <v>0</v>
      </c>
      <c r="N858" s="422">
        <f t="shared" si="116"/>
        <v>0</v>
      </c>
    </row>
    <row r="859" spans="1:14" ht="13.2" customHeight="1" x14ac:dyDescent="0.3">
      <c r="A859" s="365">
        <f t="shared" si="117"/>
        <v>87</v>
      </c>
      <c r="B859" s="370" t="s">
        <v>1415</v>
      </c>
      <c r="C859" s="371"/>
      <c r="D859" s="371"/>
      <c r="E859" s="367" t="s">
        <v>399</v>
      </c>
      <c r="F859" s="539"/>
      <c r="G859" s="527"/>
      <c r="H859" s="539"/>
      <c r="I859" s="372">
        <f t="shared" si="113"/>
        <v>0</v>
      </c>
      <c r="J859" s="372"/>
      <c r="K859" s="372">
        <f>'RAB Pasang'!K859*60%</f>
        <v>294444</v>
      </c>
      <c r="L859" s="387">
        <f t="shared" si="114"/>
        <v>0</v>
      </c>
      <c r="M859" s="387">
        <f t="shared" si="115"/>
        <v>0</v>
      </c>
      <c r="N859" s="422">
        <f t="shared" si="116"/>
        <v>0</v>
      </c>
    </row>
    <row r="860" spans="1:14" ht="13.2" customHeight="1" x14ac:dyDescent="0.3">
      <c r="A860" s="365">
        <f t="shared" si="117"/>
        <v>88</v>
      </c>
      <c r="B860" s="370" t="s">
        <v>1416</v>
      </c>
      <c r="C860" s="371"/>
      <c r="D860" s="371"/>
      <c r="E860" s="367" t="s">
        <v>399</v>
      </c>
      <c r="F860" s="539"/>
      <c r="G860" s="527"/>
      <c r="H860" s="539"/>
      <c r="I860" s="372">
        <f t="shared" si="113"/>
        <v>0</v>
      </c>
      <c r="J860" s="372"/>
      <c r="K860" s="372">
        <f>'RAB Pasang'!K860*60%</f>
        <v>294444</v>
      </c>
      <c r="L860" s="387">
        <f t="shared" si="114"/>
        <v>0</v>
      </c>
      <c r="M860" s="387">
        <f t="shared" si="115"/>
        <v>0</v>
      </c>
      <c r="N860" s="422">
        <f t="shared" si="116"/>
        <v>0</v>
      </c>
    </row>
    <row r="861" spans="1:14" ht="13.2" customHeight="1" x14ac:dyDescent="0.3">
      <c r="A861" s="365">
        <f t="shared" si="117"/>
        <v>89</v>
      </c>
      <c r="B861" s="370" t="s">
        <v>1417</v>
      </c>
      <c r="C861" s="371"/>
      <c r="D861" s="371"/>
      <c r="E861" s="367" t="s">
        <v>399</v>
      </c>
      <c r="F861" s="539"/>
      <c r="G861" s="527"/>
      <c r="H861" s="539"/>
      <c r="I861" s="372">
        <f t="shared" si="113"/>
        <v>0</v>
      </c>
      <c r="J861" s="372"/>
      <c r="K861" s="372">
        <f>'RAB Pasang'!K861*60%</f>
        <v>294444</v>
      </c>
      <c r="L861" s="387">
        <f t="shared" si="114"/>
        <v>0</v>
      </c>
      <c r="M861" s="387">
        <f t="shared" si="115"/>
        <v>0</v>
      </c>
      <c r="N861" s="422">
        <f t="shared" si="116"/>
        <v>0</v>
      </c>
    </row>
    <row r="862" spans="1:14" ht="13.2" customHeight="1" x14ac:dyDescent="0.3">
      <c r="A862" s="365">
        <f t="shared" si="117"/>
        <v>90</v>
      </c>
      <c r="B862" s="370" t="s">
        <v>1418</v>
      </c>
      <c r="C862" s="371"/>
      <c r="D862" s="371"/>
      <c r="E862" s="367" t="s">
        <v>399</v>
      </c>
      <c r="F862" s="539"/>
      <c r="G862" s="527"/>
      <c r="H862" s="539"/>
      <c r="I862" s="372">
        <f t="shared" si="113"/>
        <v>0</v>
      </c>
      <c r="J862" s="372"/>
      <c r="K862" s="372">
        <f>'RAB Pasang'!K862*60%</f>
        <v>294444</v>
      </c>
      <c r="L862" s="387">
        <f t="shared" si="114"/>
        <v>0</v>
      </c>
      <c r="M862" s="387">
        <f t="shared" si="115"/>
        <v>0</v>
      </c>
      <c r="N862" s="422">
        <f t="shared" si="116"/>
        <v>0</v>
      </c>
    </row>
    <row r="863" spans="1:14" ht="13.2" customHeight="1" x14ac:dyDescent="0.3">
      <c r="A863" s="365">
        <f t="shared" si="117"/>
        <v>91</v>
      </c>
      <c r="B863" s="370" t="s">
        <v>1419</v>
      </c>
      <c r="C863" s="371"/>
      <c r="D863" s="371"/>
      <c r="E863" s="367" t="s">
        <v>399</v>
      </c>
      <c r="F863" s="539"/>
      <c r="G863" s="527"/>
      <c r="H863" s="539"/>
      <c r="I863" s="372">
        <f t="shared" si="113"/>
        <v>0</v>
      </c>
      <c r="J863" s="372"/>
      <c r="K863" s="372">
        <f>'RAB Pasang'!K863*60%</f>
        <v>294444</v>
      </c>
      <c r="L863" s="387">
        <f t="shared" si="114"/>
        <v>0</v>
      </c>
      <c r="M863" s="387">
        <f t="shared" si="115"/>
        <v>0</v>
      </c>
      <c r="N863" s="422">
        <f t="shared" si="116"/>
        <v>0</v>
      </c>
    </row>
    <row r="864" spans="1:14" ht="13.2" customHeight="1" x14ac:dyDescent="0.3">
      <c r="A864" s="365">
        <f t="shared" si="117"/>
        <v>92</v>
      </c>
      <c r="B864" s="370" t="s">
        <v>1420</v>
      </c>
      <c r="C864" s="371"/>
      <c r="D864" s="371"/>
      <c r="E864" s="367" t="s">
        <v>399</v>
      </c>
      <c r="F864" s="539"/>
      <c r="G864" s="527"/>
      <c r="H864" s="539"/>
      <c r="I864" s="372">
        <f t="shared" si="113"/>
        <v>0</v>
      </c>
      <c r="J864" s="372"/>
      <c r="K864" s="372">
        <f>'RAB Pasang'!K864*60%</f>
        <v>294444</v>
      </c>
      <c r="L864" s="387">
        <f t="shared" si="114"/>
        <v>0</v>
      </c>
      <c r="M864" s="387">
        <f t="shared" si="115"/>
        <v>0</v>
      </c>
      <c r="N864" s="422">
        <f t="shared" si="116"/>
        <v>0</v>
      </c>
    </row>
    <row r="865" spans="1:14" ht="13.2" customHeight="1" x14ac:dyDescent="0.3">
      <c r="A865" s="365">
        <f t="shared" si="117"/>
        <v>93</v>
      </c>
      <c r="B865" s="370" t="s">
        <v>1421</v>
      </c>
      <c r="C865" s="371"/>
      <c r="D865" s="371"/>
      <c r="E865" s="367" t="s">
        <v>399</v>
      </c>
      <c r="F865" s="539"/>
      <c r="G865" s="527"/>
      <c r="H865" s="539"/>
      <c r="I865" s="372">
        <f t="shared" si="113"/>
        <v>0</v>
      </c>
      <c r="J865" s="372"/>
      <c r="K865" s="372">
        <f>'RAB Pasang'!K865*60%</f>
        <v>652026</v>
      </c>
      <c r="L865" s="387">
        <f t="shared" si="114"/>
        <v>0</v>
      </c>
      <c r="M865" s="387">
        <f t="shared" si="115"/>
        <v>0</v>
      </c>
      <c r="N865" s="422">
        <f t="shared" si="116"/>
        <v>0</v>
      </c>
    </row>
    <row r="866" spans="1:14" ht="13.2" customHeight="1" x14ac:dyDescent="0.3">
      <c r="A866" s="365">
        <f t="shared" si="117"/>
        <v>94</v>
      </c>
      <c r="B866" s="370" t="s">
        <v>1422</v>
      </c>
      <c r="C866" s="371"/>
      <c r="D866" s="371"/>
      <c r="E866" s="367" t="s">
        <v>399</v>
      </c>
      <c r="F866" s="539"/>
      <c r="G866" s="527"/>
      <c r="H866" s="539"/>
      <c r="I866" s="372">
        <f t="shared" si="113"/>
        <v>0</v>
      </c>
      <c r="J866" s="372"/>
      <c r="K866" s="372">
        <f>'RAB Pasang'!K866*60%</f>
        <v>652026</v>
      </c>
      <c r="L866" s="387">
        <f t="shared" si="114"/>
        <v>0</v>
      </c>
      <c r="M866" s="387">
        <f t="shared" si="115"/>
        <v>0</v>
      </c>
      <c r="N866" s="422">
        <f t="shared" si="116"/>
        <v>0</v>
      </c>
    </row>
    <row r="867" spans="1:14" ht="13.2" customHeight="1" x14ac:dyDescent="0.3">
      <c r="A867" s="365">
        <f t="shared" si="117"/>
        <v>95</v>
      </c>
      <c r="B867" s="370" t="s">
        <v>1423</v>
      </c>
      <c r="C867" s="371"/>
      <c r="D867" s="371"/>
      <c r="E867" s="367" t="s">
        <v>399</v>
      </c>
      <c r="F867" s="539"/>
      <c r="G867" s="527"/>
      <c r="H867" s="539"/>
      <c r="I867" s="372">
        <f t="shared" si="113"/>
        <v>0</v>
      </c>
      <c r="J867" s="372"/>
      <c r="K867" s="372">
        <f>'RAB Pasang'!K867*60%</f>
        <v>652026</v>
      </c>
      <c r="L867" s="387">
        <f t="shared" si="114"/>
        <v>0</v>
      </c>
      <c r="M867" s="387">
        <f t="shared" si="115"/>
        <v>0</v>
      </c>
      <c r="N867" s="422">
        <f t="shared" si="116"/>
        <v>0</v>
      </c>
    </row>
    <row r="868" spans="1:14" ht="13.2" customHeight="1" x14ac:dyDescent="0.3">
      <c r="A868" s="365">
        <f t="shared" si="117"/>
        <v>96</v>
      </c>
      <c r="B868" s="370" t="s">
        <v>1424</v>
      </c>
      <c r="C868" s="371"/>
      <c r="D868" s="371"/>
      <c r="E868" s="367" t="s">
        <v>399</v>
      </c>
      <c r="F868" s="539"/>
      <c r="G868" s="527"/>
      <c r="H868" s="539"/>
      <c r="I868" s="372">
        <f t="shared" si="113"/>
        <v>0</v>
      </c>
      <c r="J868" s="372"/>
      <c r="K868" s="372">
        <f>'RAB Pasang'!K868*60%</f>
        <v>652026</v>
      </c>
      <c r="L868" s="387">
        <f t="shared" si="114"/>
        <v>0</v>
      </c>
      <c r="M868" s="387">
        <f t="shared" si="115"/>
        <v>0</v>
      </c>
      <c r="N868" s="422">
        <f t="shared" si="116"/>
        <v>0</v>
      </c>
    </row>
    <row r="869" spans="1:14" ht="13.2" customHeight="1" x14ac:dyDescent="0.3">
      <c r="A869" s="365">
        <f t="shared" si="117"/>
        <v>97</v>
      </c>
      <c r="B869" s="370" t="s">
        <v>1425</v>
      </c>
      <c r="C869" s="371"/>
      <c r="D869" s="371"/>
      <c r="E869" s="367" t="s">
        <v>399</v>
      </c>
      <c r="F869" s="539"/>
      <c r="G869" s="527"/>
      <c r="H869" s="539"/>
      <c r="I869" s="372">
        <f t="shared" si="113"/>
        <v>0</v>
      </c>
      <c r="J869" s="372"/>
      <c r="K869" s="372">
        <f>'RAB Pasang'!K869*60%</f>
        <v>652026</v>
      </c>
      <c r="L869" s="387">
        <f t="shared" si="114"/>
        <v>0</v>
      </c>
      <c r="M869" s="387">
        <f t="shared" si="115"/>
        <v>0</v>
      </c>
      <c r="N869" s="422">
        <f t="shared" si="116"/>
        <v>0</v>
      </c>
    </row>
    <row r="870" spans="1:14" ht="13.2" customHeight="1" x14ac:dyDescent="0.3">
      <c r="A870" s="365">
        <f t="shared" si="117"/>
        <v>98</v>
      </c>
      <c r="B870" s="370" t="s">
        <v>1426</v>
      </c>
      <c r="C870" s="371"/>
      <c r="D870" s="371"/>
      <c r="E870" s="367" t="s">
        <v>399</v>
      </c>
      <c r="F870" s="539"/>
      <c r="G870" s="527"/>
      <c r="H870" s="539"/>
      <c r="I870" s="372">
        <f t="shared" si="113"/>
        <v>0</v>
      </c>
      <c r="J870" s="372"/>
      <c r="K870" s="372">
        <f>'RAB Pasang'!K870*60%</f>
        <v>652026</v>
      </c>
      <c r="L870" s="387">
        <f t="shared" si="114"/>
        <v>0</v>
      </c>
      <c r="M870" s="387">
        <f t="shared" si="115"/>
        <v>0</v>
      </c>
      <c r="N870" s="422">
        <f t="shared" si="116"/>
        <v>0</v>
      </c>
    </row>
    <row r="871" spans="1:14" ht="13.2" customHeight="1" x14ac:dyDescent="0.3">
      <c r="A871" s="365">
        <f t="shared" si="117"/>
        <v>99</v>
      </c>
      <c r="B871" s="370" t="s">
        <v>1427</v>
      </c>
      <c r="C871" s="371"/>
      <c r="D871" s="371"/>
      <c r="E871" s="367" t="s">
        <v>399</v>
      </c>
      <c r="F871" s="539"/>
      <c r="G871" s="527"/>
      <c r="H871" s="539"/>
      <c r="I871" s="372">
        <f t="shared" si="113"/>
        <v>0</v>
      </c>
      <c r="J871" s="372"/>
      <c r="K871" s="372">
        <f>'RAB Pasang'!K871*60%</f>
        <v>652026</v>
      </c>
      <c r="L871" s="387">
        <f t="shared" si="114"/>
        <v>0</v>
      </c>
      <c r="M871" s="387">
        <f t="shared" si="115"/>
        <v>0</v>
      </c>
      <c r="N871" s="422">
        <f t="shared" si="116"/>
        <v>0</v>
      </c>
    </row>
    <row r="872" spans="1:14" ht="13.2" customHeight="1" x14ac:dyDescent="0.3">
      <c r="A872" s="365">
        <f t="shared" si="117"/>
        <v>100</v>
      </c>
      <c r="B872" s="370" t="s">
        <v>1428</v>
      </c>
      <c r="C872" s="371"/>
      <c r="D872" s="371"/>
      <c r="E872" s="367" t="s">
        <v>399</v>
      </c>
      <c r="F872" s="539"/>
      <c r="G872" s="527"/>
      <c r="H872" s="539"/>
      <c r="I872" s="372">
        <f t="shared" si="113"/>
        <v>0</v>
      </c>
      <c r="J872" s="372"/>
      <c r="K872" s="372">
        <f>'RAB Pasang'!K872*60%</f>
        <v>652026</v>
      </c>
      <c r="L872" s="387">
        <f t="shared" si="114"/>
        <v>0</v>
      </c>
      <c r="M872" s="387">
        <f t="shared" si="115"/>
        <v>0</v>
      </c>
      <c r="N872" s="422">
        <f t="shared" si="116"/>
        <v>0</v>
      </c>
    </row>
    <row r="873" spans="1:14" ht="13.2" customHeight="1" x14ac:dyDescent="0.3">
      <c r="A873" s="365">
        <f t="shared" si="117"/>
        <v>101</v>
      </c>
      <c r="B873" s="370" t="s">
        <v>1429</v>
      </c>
      <c r="C873" s="371"/>
      <c r="D873" s="371"/>
      <c r="E873" s="367" t="s">
        <v>399</v>
      </c>
      <c r="F873" s="539"/>
      <c r="G873" s="527"/>
      <c r="H873" s="539"/>
      <c r="I873" s="372">
        <f t="shared" si="113"/>
        <v>0</v>
      </c>
      <c r="J873" s="372"/>
      <c r="K873" s="372">
        <f>'RAB Pasang'!K873*60%</f>
        <v>652026</v>
      </c>
      <c r="L873" s="387">
        <f t="shared" si="114"/>
        <v>0</v>
      </c>
      <c r="M873" s="387">
        <f t="shared" si="115"/>
        <v>0</v>
      </c>
      <c r="N873" s="422">
        <f t="shared" si="116"/>
        <v>0</v>
      </c>
    </row>
    <row r="874" spans="1:14" ht="13.2" customHeight="1" x14ac:dyDescent="0.3">
      <c r="A874" s="365">
        <f t="shared" si="117"/>
        <v>102</v>
      </c>
      <c r="B874" s="370" t="s">
        <v>1430</v>
      </c>
      <c r="C874" s="371"/>
      <c r="D874" s="371"/>
      <c r="E874" s="367" t="s">
        <v>399</v>
      </c>
      <c r="F874" s="539"/>
      <c r="G874" s="527"/>
      <c r="H874" s="539"/>
      <c r="I874" s="372">
        <f t="shared" si="113"/>
        <v>0</v>
      </c>
      <c r="J874" s="372"/>
      <c r="K874" s="372">
        <f>'RAB Pasang'!K874*60%</f>
        <v>652026</v>
      </c>
      <c r="L874" s="387">
        <f t="shared" si="114"/>
        <v>0</v>
      </c>
      <c r="M874" s="387">
        <f t="shared" si="115"/>
        <v>0</v>
      </c>
      <c r="N874" s="422">
        <f t="shared" si="116"/>
        <v>0</v>
      </c>
    </row>
    <row r="875" spans="1:14" ht="13.2" customHeight="1" x14ac:dyDescent="0.3">
      <c r="A875" s="365">
        <f t="shared" si="117"/>
        <v>103</v>
      </c>
      <c r="B875" s="370" t="s">
        <v>1431</v>
      </c>
      <c r="C875" s="371"/>
      <c r="D875" s="371"/>
      <c r="E875" s="367" t="s">
        <v>399</v>
      </c>
      <c r="F875" s="539"/>
      <c r="G875" s="527"/>
      <c r="H875" s="539"/>
      <c r="I875" s="372">
        <f t="shared" si="113"/>
        <v>0</v>
      </c>
      <c r="J875" s="372"/>
      <c r="K875" s="372">
        <f>'RAB Pasang'!K875*60%</f>
        <v>652026</v>
      </c>
      <c r="L875" s="387">
        <f t="shared" si="114"/>
        <v>0</v>
      </c>
      <c r="M875" s="387">
        <f t="shared" si="115"/>
        <v>0</v>
      </c>
      <c r="N875" s="422">
        <f t="shared" si="116"/>
        <v>0</v>
      </c>
    </row>
    <row r="876" spans="1:14" ht="13.2" customHeight="1" x14ac:dyDescent="0.3">
      <c r="A876" s="365">
        <f t="shared" si="117"/>
        <v>104</v>
      </c>
      <c r="B876" s="370" t="s">
        <v>1432</v>
      </c>
      <c r="C876" s="371"/>
      <c r="D876" s="371"/>
      <c r="E876" s="367" t="s">
        <v>399</v>
      </c>
      <c r="F876" s="539"/>
      <c r="G876" s="527"/>
      <c r="H876" s="539"/>
      <c r="I876" s="372">
        <f t="shared" si="113"/>
        <v>0</v>
      </c>
      <c r="J876" s="372"/>
      <c r="K876" s="372">
        <f>'RAB Pasang'!K876*60%</f>
        <v>652026</v>
      </c>
      <c r="L876" s="387">
        <f t="shared" si="114"/>
        <v>0</v>
      </c>
      <c r="M876" s="387">
        <f t="shared" si="115"/>
        <v>0</v>
      </c>
      <c r="N876" s="422">
        <f t="shared" si="116"/>
        <v>0</v>
      </c>
    </row>
    <row r="877" spans="1:14" ht="13.2" customHeight="1" x14ac:dyDescent="0.3">
      <c r="A877" s="365">
        <f t="shared" si="117"/>
        <v>105</v>
      </c>
      <c r="B877" s="370" t="s">
        <v>1433</v>
      </c>
      <c r="C877" s="371"/>
      <c r="D877" s="371"/>
      <c r="E877" s="367" t="s">
        <v>399</v>
      </c>
      <c r="F877" s="539"/>
      <c r="G877" s="527"/>
      <c r="H877" s="539"/>
      <c r="I877" s="372">
        <f t="shared" si="113"/>
        <v>0</v>
      </c>
      <c r="J877" s="372"/>
      <c r="K877" s="372">
        <f>'RAB Pasang'!K877*60%</f>
        <v>652026</v>
      </c>
      <c r="L877" s="387">
        <f t="shared" si="114"/>
        <v>0</v>
      </c>
      <c r="M877" s="387">
        <f t="shared" si="115"/>
        <v>0</v>
      </c>
      <c r="N877" s="422">
        <f t="shared" si="116"/>
        <v>0</v>
      </c>
    </row>
    <row r="878" spans="1:14" ht="13.2" customHeight="1" x14ac:dyDescent="0.3">
      <c r="A878" s="365">
        <f t="shared" si="117"/>
        <v>106</v>
      </c>
      <c r="B878" s="370" t="s">
        <v>1434</v>
      </c>
      <c r="C878" s="371"/>
      <c r="D878" s="371"/>
      <c r="E878" s="367" t="s">
        <v>399</v>
      </c>
      <c r="F878" s="539"/>
      <c r="G878" s="527"/>
      <c r="H878" s="539"/>
      <c r="I878" s="372">
        <f t="shared" si="113"/>
        <v>0</v>
      </c>
      <c r="J878" s="372"/>
      <c r="K878" s="372">
        <f>'RAB Pasang'!K878*60%</f>
        <v>652026</v>
      </c>
      <c r="L878" s="387">
        <f t="shared" si="114"/>
        <v>0</v>
      </c>
      <c r="M878" s="387">
        <f t="shared" si="115"/>
        <v>0</v>
      </c>
      <c r="N878" s="422">
        <f t="shared" si="116"/>
        <v>0</v>
      </c>
    </row>
    <row r="879" spans="1:14" ht="13.2" customHeight="1" x14ac:dyDescent="0.3">
      <c r="A879" s="365">
        <f t="shared" si="117"/>
        <v>107</v>
      </c>
      <c r="B879" s="370" t="s">
        <v>1435</v>
      </c>
      <c r="C879" s="371"/>
      <c r="D879" s="371"/>
      <c r="E879" s="367" t="s">
        <v>399</v>
      </c>
      <c r="F879" s="539"/>
      <c r="G879" s="527"/>
      <c r="H879" s="539"/>
      <c r="I879" s="372">
        <f t="shared" si="113"/>
        <v>0</v>
      </c>
      <c r="J879" s="372"/>
      <c r="K879" s="372">
        <f>'RAB Pasang'!K879*60%</f>
        <v>652026</v>
      </c>
      <c r="L879" s="387">
        <f t="shared" si="114"/>
        <v>0</v>
      </c>
      <c r="M879" s="387">
        <f t="shared" si="115"/>
        <v>0</v>
      </c>
      <c r="N879" s="422">
        <f t="shared" si="116"/>
        <v>0</v>
      </c>
    </row>
    <row r="880" spans="1:14" ht="13.2" customHeight="1" x14ac:dyDescent="0.3">
      <c r="A880" s="365">
        <f>A879+1</f>
        <v>108</v>
      </c>
      <c r="B880" s="370" t="s">
        <v>1436</v>
      </c>
      <c r="C880" s="371"/>
      <c r="D880" s="371"/>
      <c r="E880" s="367" t="s">
        <v>399</v>
      </c>
      <c r="F880" s="539"/>
      <c r="G880" s="527"/>
      <c r="H880" s="539"/>
      <c r="I880" s="372">
        <f t="shared" si="113"/>
        <v>0</v>
      </c>
      <c r="J880" s="372"/>
      <c r="K880" s="372">
        <f>'RAB Pasang'!K880*60%</f>
        <v>652026</v>
      </c>
      <c r="L880" s="387">
        <f t="shared" si="114"/>
        <v>0</v>
      </c>
      <c r="M880" s="387">
        <f t="shared" si="115"/>
        <v>0</v>
      </c>
      <c r="N880" s="422">
        <f t="shared" si="116"/>
        <v>0</v>
      </c>
    </row>
    <row r="881" spans="1:14" ht="13.2" customHeight="1" x14ac:dyDescent="0.3">
      <c r="A881" s="365">
        <f>A880+1</f>
        <v>109</v>
      </c>
      <c r="B881" s="370" t="s">
        <v>1683</v>
      </c>
      <c r="C881" s="371"/>
      <c r="D881" s="371"/>
      <c r="E881" s="367" t="s">
        <v>399</v>
      </c>
      <c r="F881" s="580"/>
      <c r="G881" s="572"/>
      <c r="H881" s="580"/>
      <c r="I881" s="473">
        <f t="shared" si="113"/>
        <v>0</v>
      </c>
      <c r="J881" s="473"/>
      <c r="K881" s="372">
        <f>'RAB Pasang'!K881*60%</f>
        <v>18480</v>
      </c>
      <c r="L881" s="387">
        <f t="shared" si="114"/>
        <v>0</v>
      </c>
      <c r="M881" s="387">
        <f t="shared" si="115"/>
        <v>0</v>
      </c>
      <c r="N881" s="422">
        <f t="shared" si="116"/>
        <v>0</v>
      </c>
    </row>
    <row r="882" spans="1:14" ht="13.2" customHeight="1" x14ac:dyDescent="0.3">
      <c r="A882" s="485"/>
      <c r="B882" s="497" t="s">
        <v>1719</v>
      </c>
      <c r="C882" s="487"/>
      <c r="D882" s="487"/>
      <c r="E882" s="488"/>
      <c r="F882" s="492"/>
      <c r="G882" s="492"/>
      <c r="H882" s="492"/>
      <c r="I882" s="543"/>
      <c r="J882" s="492"/>
      <c r="K882" s="492"/>
      <c r="L882" s="490">
        <f>SUM(L773:L881)</f>
        <v>0</v>
      </c>
      <c r="M882" s="490">
        <f t="shared" ref="M882:N882" si="118">SUM(M773:M881)</f>
        <v>0</v>
      </c>
      <c r="N882" s="491">
        <f t="shared" si="118"/>
        <v>0</v>
      </c>
    </row>
    <row r="883" spans="1:14" ht="7.2" customHeight="1" x14ac:dyDescent="0.3">
      <c r="A883" s="423"/>
      <c r="B883" s="424"/>
      <c r="C883" s="425"/>
      <c r="D883" s="425"/>
      <c r="E883" s="426"/>
      <c r="F883" s="581"/>
      <c r="G883" s="581"/>
      <c r="H883" s="581"/>
      <c r="I883" s="427"/>
      <c r="J883" s="427"/>
      <c r="K883" s="427"/>
      <c r="L883" s="428"/>
      <c r="M883" s="428"/>
      <c r="N883" s="429"/>
    </row>
    <row r="884" spans="1:14" ht="15" customHeight="1" x14ac:dyDescent="0.3">
      <c r="A884" s="495" t="s">
        <v>1452</v>
      </c>
      <c r="B884" s="478" t="s">
        <v>1445</v>
      </c>
      <c r="C884" s="480"/>
      <c r="D884" s="480"/>
      <c r="E884" s="493"/>
      <c r="F884" s="579"/>
      <c r="G884" s="579"/>
      <c r="H884" s="579"/>
      <c r="I884" s="494"/>
      <c r="J884" s="494"/>
      <c r="K884" s="494"/>
      <c r="L884" s="484"/>
      <c r="M884" s="484"/>
      <c r="N884" s="496"/>
    </row>
    <row r="885" spans="1:14" ht="13.2" customHeight="1" x14ac:dyDescent="0.3">
      <c r="A885" s="365">
        <v>1</v>
      </c>
      <c r="B885" s="370" t="s">
        <v>1212</v>
      </c>
      <c r="C885" s="371"/>
      <c r="D885" s="371"/>
      <c r="E885" s="367" t="s">
        <v>399</v>
      </c>
      <c r="F885" s="539"/>
      <c r="G885" s="539"/>
      <c r="H885" s="527"/>
      <c r="I885" s="372">
        <f t="shared" ref="I885:I893" si="119">SUM(F885:H885)</f>
        <v>0</v>
      </c>
      <c r="J885" s="372"/>
      <c r="K885" s="372">
        <f>'RAB Pasang'!K885*60%</f>
        <v>30804</v>
      </c>
      <c r="L885" s="387">
        <f t="shared" ref="L885:L893" si="120">J885*I885</f>
        <v>0</v>
      </c>
      <c r="M885" s="387">
        <f t="shared" ref="M885:M893" si="121">K885*I885</f>
        <v>0</v>
      </c>
      <c r="N885" s="422">
        <f t="shared" ref="N885:N893" si="122">SUM(L885:M885)</f>
        <v>0</v>
      </c>
    </row>
    <row r="886" spans="1:14" ht="13.2" customHeight="1" x14ac:dyDescent="0.3">
      <c r="A886" s="365">
        <f t="shared" ref="A886:A893" si="123">A885+1</f>
        <v>2</v>
      </c>
      <c r="B886" s="370" t="s">
        <v>1213</v>
      </c>
      <c r="C886" s="371"/>
      <c r="D886" s="371"/>
      <c r="E886" s="367" t="s">
        <v>399</v>
      </c>
      <c r="F886" s="539"/>
      <c r="G886" s="539"/>
      <c r="H886" s="527"/>
      <c r="I886" s="372">
        <f t="shared" si="119"/>
        <v>0</v>
      </c>
      <c r="J886" s="372"/>
      <c r="K886" s="372">
        <f>'RAB Pasang'!K886*60%</f>
        <v>36510</v>
      </c>
      <c r="L886" s="387">
        <f t="shared" si="120"/>
        <v>0</v>
      </c>
      <c r="M886" s="387">
        <f t="shared" si="121"/>
        <v>0</v>
      </c>
      <c r="N886" s="422">
        <f t="shared" si="122"/>
        <v>0</v>
      </c>
    </row>
    <row r="887" spans="1:14" ht="13.2" customHeight="1" x14ac:dyDescent="0.3">
      <c r="A887" s="365">
        <f t="shared" si="123"/>
        <v>3</v>
      </c>
      <c r="B887" s="370" t="s">
        <v>1214</v>
      </c>
      <c r="C887" s="371"/>
      <c r="E887" s="367" t="s">
        <v>399</v>
      </c>
      <c r="F887" s="539"/>
      <c r="G887" s="539"/>
      <c r="H887" s="527"/>
      <c r="I887" s="372">
        <f t="shared" si="119"/>
        <v>0</v>
      </c>
      <c r="J887" s="372"/>
      <c r="K887" s="372">
        <f>'RAB Pasang'!K887*60%</f>
        <v>32856</v>
      </c>
      <c r="L887" s="387">
        <f t="shared" si="120"/>
        <v>0</v>
      </c>
      <c r="M887" s="387">
        <f t="shared" si="121"/>
        <v>0</v>
      </c>
      <c r="N887" s="422">
        <f t="shared" si="122"/>
        <v>0</v>
      </c>
    </row>
    <row r="888" spans="1:14" ht="13.2" customHeight="1" x14ac:dyDescent="0.3">
      <c r="A888" s="365">
        <f t="shared" si="123"/>
        <v>4</v>
      </c>
      <c r="B888" s="370" t="s">
        <v>1215</v>
      </c>
      <c r="C888" s="371"/>
      <c r="D888" s="371"/>
      <c r="E888" s="367" t="s">
        <v>399</v>
      </c>
      <c r="F888" s="539"/>
      <c r="G888" s="539"/>
      <c r="H888" s="527"/>
      <c r="I888" s="372">
        <f t="shared" si="119"/>
        <v>0</v>
      </c>
      <c r="J888" s="372"/>
      <c r="K888" s="372">
        <f>'RAB Pasang'!K888*60%</f>
        <v>36510</v>
      </c>
      <c r="L888" s="387">
        <f t="shared" si="120"/>
        <v>0</v>
      </c>
      <c r="M888" s="387">
        <f t="shared" si="121"/>
        <v>0</v>
      </c>
      <c r="N888" s="422">
        <f t="shared" si="122"/>
        <v>0</v>
      </c>
    </row>
    <row r="889" spans="1:14" ht="13.2" customHeight="1" x14ac:dyDescent="0.3">
      <c r="A889" s="365">
        <f t="shared" si="123"/>
        <v>5</v>
      </c>
      <c r="B889" s="370" t="s">
        <v>1222</v>
      </c>
      <c r="C889" s="371"/>
      <c r="D889" s="371"/>
      <c r="E889" s="367" t="s">
        <v>399</v>
      </c>
      <c r="F889" s="539"/>
      <c r="G889" s="539"/>
      <c r="H889" s="527"/>
      <c r="I889" s="372">
        <f t="shared" si="119"/>
        <v>0</v>
      </c>
      <c r="J889" s="372"/>
      <c r="K889" s="372">
        <f>'RAB Pasang'!K889*60%</f>
        <v>32856</v>
      </c>
      <c r="L889" s="387">
        <f t="shared" si="120"/>
        <v>0</v>
      </c>
      <c r="M889" s="387">
        <f t="shared" si="121"/>
        <v>0</v>
      </c>
      <c r="N889" s="422">
        <f t="shared" si="122"/>
        <v>0</v>
      </c>
    </row>
    <row r="890" spans="1:14" ht="13.2" customHeight="1" x14ac:dyDescent="0.3">
      <c r="A890" s="365">
        <f t="shared" si="123"/>
        <v>6</v>
      </c>
      <c r="B890" s="370" t="s">
        <v>1465</v>
      </c>
      <c r="C890" s="371"/>
      <c r="D890" s="371"/>
      <c r="E890" s="367" t="s">
        <v>399</v>
      </c>
      <c r="F890" s="539"/>
      <c r="G890" s="539"/>
      <c r="H890" s="527"/>
      <c r="I890" s="372">
        <f t="shared" si="119"/>
        <v>0</v>
      </c>
      <c r="J890" s="372"/>
      <c r="K890" s="372">
        <f>'RAB Pasang'!K890*60%</f>
        <v>36966</v>
      </c>
      <c r="L890" s="387">
        <f t="shared" si="120"/>
        <v>0</v>
      </c>
      <c r="M890" s="387">
        <f t="shared" si="121"/>
        <v>0</v>
      </c>
      <c r="N890" s="422">
        <f t="shared" si="122"/>
        <v>0</v>
      </c>
    </row>
    <row r="891" spans="1:14" ht="13.2" customHeight="1" x14ac:dyDescent="0.3">
      <c r="A891" s="365">
        <f t="shared" si="123"/>
        <v>7</v>
      </c>
      <c r="B891" s="370" t="s">
        <v>1466</v>
      </c>
      <c r="C891" s="373"/>
      <c r="D891" s="373"/>
      <c r="E891" s="367" t="s">
        <v>399</v>
      </c>
      <c r="F891" s="571"/>
      <c r="G891" s="571"/>
      <c r="H891" s="528"/>
      <c r="I891" s="375">
        <f t="shared" si="119"/>
        <v>0</v>
      </c>
      <c r="J891" s="375"/>
      <c r="K891" s="372">
        <f>'RAB Pasang'!K891*60%</f>
        <v>36966</v>
      </c>
      <c r="L891" s="387">
        <f t="shared" si="120"/>
        <v>0</v>
      </c>
      <c r="M891" s="387">
        <f t="shared" si="121"/>
        <v>0</v>
      </c>
      <c r="N891" s="422">
        <f t="shared" si="122"/>
        <v>0</v>
      </c>
    </row>
    <row r="892" spans="1:14" ht="13.2" customHeight="1" x14ac:dyDescent="0.3">
      <c r="A892" s="365">
        <f t="shared" si="123"/>
        <v>8</v>
      </c>
      <c r="B892" s="376" t="s">
        <v>1467</v>
      </c>
      <c r="C892" s="373"/>
      <c r="D892" s="373"/>
      <c r="E892" s="374" t="s">
        <v>399</v>
      </c>
      <c r="F892" s="571"/>
      <c r="G892" s="571"/>
      <c r="H892" s="528"/>
      <c r="I892" s="375">
        <f t="shared" si="119"/>
        <v>0</v>
      </c>
      <c r="J892" s="375"/>
      <c r="K892" s="375">
        <f>'RAB Pasang'!K892*60%</f>
        <v>36966</v>
      </c>
      <c r="L892" s="387">
        <f t="shared" si="120"/>
        <v>0</v>
      </c>
      <c r="M892" s="387">
        <f t="shared" si="121"/>
        <v>0</v>
      </c>
      <c r="N892" s="422">
        <f t="shared" si="122"/>
        <v>0</v>
      </c>
    </row>
    <row r="893" spans="1:14" ht="13.2" customHeight="1" x14ac:dyDescent="0.3">
      <c r="A893" s="365">
        <f t="shared" si="123"/>
        <v>9</v>
      </c>
      <c r="B893" s="430" t="s">
        <v>1464</v>
      </c>
      <c r="C893" s="431"/>
      <c r="D893" s="431"/>
      <c r="E893" s="432" t="s">
        <v>203</v>
      </c>
      <c r="F893" s="582"/>
      <c r="G893" s="582"/>
      <c r="H893" s="583"/>
      <c r="I893" s="475">
        <f t="shared" si="119"/>
        <v>0</v>
      </c>
      <c r="J893" s="475"/>
      <c r="K893" s="475">
        <f>'RAB Pasang'!K893*60%</f>
        <v>14082</v>
      </c>
      <c r="L893" s="387">
        <f t="shared" si="120"/>
        <v>0</v>
      </c>
      <c r="M893" s="387">
        <f t="shared" si="121"/>
        <v>0</v>
      </c>
      <c r="N893" s="422">
        <f t="shared" si="122"/>
        <v>0</v>
      </c>
    </row>
    <row r="894" spans="1:14" ht="13.2" customHeight="1" x14ac:dyDescent="0.3">
      <c r="A894" s="485"/>
      <c r="B894" s="497" t="s">
        <v>1720</v>
      </c>
      <c r="C894" s="487"/>
      <c r="D894" s="487"/>
      <c r="E894" s="488"/>
      <c r="F894" s="540"/>
      <c r="G894" s="540"/>
      <c r="H894" s="540"/>
      <c r="I894" s="489"/>
      <c r="J894" s="492"/>
      <c r="K894" s="492"/>
      <c r="L894" s="490">
        <f t="shared" ref="L894:N894" si="124">SUM(L885:L893)</f>
        <v>0</v>
      </c>
      <c r="M894" s="490">
        <f t="shared" si="124"/>
        <v>0</v>
      </c>
      <c r="N894" s="491">
        <f t="shared" si="124"/>
        <v>0</v>
      </c>
    </row>
    <row r="895" spans="1:14" ht="6.6" customHeight="1" x14ac:dyDescent="0.3">
      <c r="A895" s="423"/>
      <c r="B895" s="424"/>
      <c r="C895" s="425"/>
      <c r="D895" s="425"/>
      <c r="E895" s="426"/>
      <c r="F895" s="569"/>
      <c r="G895" s="569"/>
      <c r="H895" s="569"/>
      <c r="I895" s="474"/>
      <c r="J895" s="427"/>
      <c r="K895" s="427"/>
      <c r="L895" s="428"/>
      <c r="M895" s="428"/>
      <c r="N895" s="429"/>
    </row>
    <row r="896" spans="1:14" ht="13.95" customHeight="1" x14ac:dyDescent="0.3">
      <c r="A896" s="495" t="s">
        <v>1453</v>
      </c>
      <c r="B896" s="478" t="s">
        <v>1475</v>
      </c>
      <c r="C896" s="480"/>
      <c r="D896" s="480"/>
      <c r="E896" s="493"/>
      <c r="F896" s="568"/>
      <c r="G896" s="568"/>
      <c r="H896" s="568"/>
      <c r="I896" s="483"/>
      <c r="J896" s="494"/>
      <c r="K896" s="494"/>
      <c r="L896" s="484"/>
      <c r="M896" s="484"/>
      <c r="N896" s="496"/>
    </row>
    <row r="897" spans="1:14" ht="13.2" customHeight="1" x14ac:dyDescent="0.3">
      <c r="A897" s="365">
        <v>1</v>
      </c>
      <c r="B897" s="370" t="s">
        <v>1710</v>
      </c>
      <c r="C897" s="371"/>
      <c r="D897" s="371"/>
      <c r="E897" s="367" t="s">
        <v>596</v>
      </c>
      <c r="F897" s="536"/>
      <c r="G897" s="536"/>
      <c r="H897" s="537"/>
      <c r="I897" s="466">
        <f t="shared" ref="I897:I908" si="125">SUM(F897:H897)</f>
        <v>0</v>
      </c>
      <c r="J897" s="372"/>
      <c r="K897" s="372">
        <f>'RAB Pasang'!K897*60%</f>
        <v>268272</v>
      </c>
      <c r="L897" s="387">
        <f t="shared" ref="L897:L908" si="126">J897*I897</f>
        <v>0</v>
      </c>
      <c r="M897" s="387">
        <f t="shared" ref="M897:M908" si="127">K897*I897</f>
        <v>0</v>
      </c>
      <c r="N897" s="422">
        <f t="shared" ref="N897:N908" si="128">SUM(L897:M897)</f>
        <v>0</v>
      </c>
    </row>
    <row r="898" spans="1:14" ht="13.2" customHeight="1" x14ac:dyDescent="0.3">
      <c r="A898" s="365">
        <f t="shared" ref="A898:A908" si="129">A897+1</f>
        <v>2</v>
      </c>
      <c r="B898" s="370" t="s">
        <v>1711</v>
      </c>
      <c r="C898" s="371"/>
      <c r="D898" s="371"/>
      <c r="E898" s="367" t="s">
        <v>596</v>
      </c>
      <c r="F898" s="536"/>
      <c r="G898" s="536"/>
      <c r="H898" s="537"/>
      <c r="I898" s="466">
        <f t="shared" si="125"/>
        <v>0</v>
      </c>
      <c r="J898" s="372"/>
      <c r="K898" s="372">
        <f>'RAB Pasang'!K898*60%</f>
        <v>447126</v>
      </c>
      <c r="L898" s="387">
        <f t="shared" si="126"/>
        <v>0</v>
      </c>
      <c r="M898" s="387">
        <f t="shared" si="127"/>
        <v>0</v>
      </c>
      <c r="N898" s="422">
        <f t="shared" si="128"/>
        <v>0</v>
      </c>
    </row>
    <row r="899" spans="1:14" ht="13.2" customHeight="1" x14ac:dyDescent="0.3">
      <c r="A899" s="365">
        <f t="shared" si="129"/>
        <v>3</v>
      </c>
      <c r="B899" s="370" t="s">
        <v>1994</v>
      </c>
      <c r="C899" s="371"/>
      <c r="D899" s="371"/>
      <c r="E899" s="367" t="s">
        <v>596</v>
      </c>
      <c r="F899" s="536"/>
      <c r="G899" s="536"/>
      <c r="H899" s="537"/>
      <c r="I899" s="466">
        <f t="shared" si="125"/>
        <v>0</v>
      </c>
      <c r="J899" s="372"/>
      <c r="K899" s="372">
        <f>'RAB Pasang'!K899*60%</f>
        <v>510264</v>
      </c>
      <c r="L899" s="387">
        <f t="shared" si="126"/>
        <v>0</v>
      </c>
      <c r="M899" s="387">
        <f t="shared" si="127"/>
        <v>0</v>
      </c>
      <c r="N899" s="422">
        <f t="shared" si="128"/>
        <v>0</v>
      </c>
    </row>
    <row r="900" spans="1:14" ht="13.2" customHeight="1" x14ac:dyDescent="0.3">
      <c r="A900" s="365">
        <f t="shared" si="129"/>
        <v>4</v>
      </c>
      <c r="B900" s="370" t="s">
        <v>1995</v>
      </c>
      <c r="C900" s="371"/>
      <c r="D900" s="371"/>
      <c r="E900" s="367" t="s">
        <v>596</v>
      </c>
      <c r="F900" s="536"/>
      <c r="G900" s="536"/>
      <c r="H900" s="537"/>
      <c r="I900" s="466">
        <f t="shared" si="125"/>
        <v>0</v>
      </c>
      <c r="J900" s="372"/>
      <c r="K900" s="372">
        <f>'RAB Pasang'!K900*60%</f>
        <v>510264</v>
      </c>
      <c r="L900" s="387">
        <f t="shared" si="126"/>
        <v>0</v>
      </c>
      <c r="M900" s="387">
        <f t="shared" si="127"/>
        <v>0</v>
      </c>
      <c r="N900" s="422">
        <f t="shared" si="128"/>
        <v>0</v>
      </c>
    </row>
    <row r="901" spans="1:14" ht="13.2" customHeight="1" x14ac:dyDescent="0.3">
      <c r="A901" s="365">
        <f t="shared" si="129"/>
        <v>5</v>
      </c>
      <c r="B901" s="370" t="s">
        <v>1712</v>
      </c>
      <c r="C901" s="371"/>
      <c r="D901" s="371"/>
      <c r="E901" s="367" t="s">
        <v>596</v>
      </c>
      <c r="F901" s="536"/>
      <c r="G901" s="536"/>
      <c r="H901" s="537"/>
      <c r="I901" s="466">
        <f t="shared" si="125"/>
        <v>0</v>
      </c>
      <c r="J901" s="372"/>
      <c r="K901" s="372">
        <f>'RAB Pasang'!K901*60%</f>
        <v>419178</v>
      </c>
      <c r="L901" s="387">
        <f t="shared" si="126"/>
        <v>0</v>
      </c>
      <c r="M901" s="387">
        <f t="shared" si="127"/>
        <v>0</v>
      </c>
      <c r="N901" s="422">
        <f t="shared" si="128"/>
        <v>0</v>
      </c>
    </row>
    <row r="902" spans="1:14" ht="13.2" customHeight="1" x14ac:dyDescent="0.3">
      <c r="A902" s="365">
        <f t="shared" si="129"/>
        <v>6</v>
      </c>
      <c r="B902" s="370" t="s">
        <v>1996</v>
      </c>
      <c r="C902" s="371"/>
      <c r="D902" s="371"/>
      <c r="E902" s="367" t="s">
        <v>596</v>
      </c>
      <c r="F902" s="536"/>
      <c r="G902" s="536"/>
      <c r="H902" s="537"/>
      <c r="I902" s="466">
        <f t="shared" si="125"/>
        <v>0</v>
      </c>
      <c r="J902" s="372"/>
      <c r="K902" s="372">
        <f>'RAB Pasang'!K902*60%</f>
        <v>471012</v>
      </c>
      <c r="L902" s="387">
        <f t="shared" si="126"/>
        <v>0</v>
      </c>
      <c r="M902" s="387">
        <f t="shared" si="127"/>
        <v>0</v>
      </c>
      <c r="N902" s="422">
        <f t="shared" si="128"/>
        <v>0</v>
      </c>
    </row>
    <row r="903" spans="1:14" ht="13.2" customHeight="1" x14ac:dyDescent="0.3">
      <c r="A903" s="365">
        <f t="shared" si="129"/>
        <v>7</v>
      </c>
      <c r="B903" s="370" t="s">
        <v>1997</v>
      </c>
      <c r="C903" s="371"/>
      <c r="D903" s="371"/>
      <c r="E903" s="367" t="s">
        <v>596</v>
      </c>
      <c r="F903" s="536"/>
      <c r="G903" s="536"/>
      <c r="H903" s="537"/>
      <c r="I903" s="466">
        <f t="shared" si="125"/>
        <v>0</v>
      </c>
      <c r="J903" s="372"/>
      <c r="K903" s="372">
        <f>'RAB Pasang'!K903*60%</f>
        <v>471012</v>
      </c>
      <c r="L903" s="387">
        <f t="shared" si="126"/>
        <v>0</v>
      </c>
      <c r="M903" s="387">
        <f t="shared" si="127"/>
        <v>0</v>
      </c>
      <c r="N903" s="422">
        <f t="shared" si="128"/>
        <v>0</v>
      </c>
    </row>
    <row r="904" spans="1:14" ht="13.2" customHeight="1" x14ac:dyDescent="0.3">
      <c r="A904" s="365">
        <f t="shared" si="129"/>
        <v>8</v>
      </c>
      <c r="B904" s="370" t="s">
        <v>1722</v>
      </c>
      <c r="C904" s="371"/>
      <c r="D904" s="371"/>
      <c r="E904" s="367" t="s">
        <v>399</v>
      </c>
      <c r="F904" s="539"/>
      <c r="G904" s="539"/>
      <c r="H904" s="527"/>
      <c r="I904" s="372">
        <f t="shared" si="125"/>
        <v>0</v>
      </c>
      <c r="J904" s="372"/>
      <c r="K904" s="372">
        <f>'RAB Pasang'!K904*60%</f>
        <v>12228</v>
      </c>
      <c r="L904" s="387">
        <f t="shared" si="126"/>
        <v>0</v>
      </c>
      <c r="M904" s="387">
        <f t="shared" si="127"/>
        <v>0</v>
      </c>
      <c r="N904" s="422">
        <f t="shared" si="128"/>
        <v>0</v>
      </c>
    </row>
    <row r="905" spans="1:14" ht="13.2" customHeight="1" x14ac:dyDescent="0.3">
      <c r="A905" s="365">
        <f t="shared" si="129"/>
        <v>9</v>
      </c>
      <c r="B905" s="370" t="s">
        <v>1670</v>
      </c>
      <c r="C905" s="371"/>
      <c r="D905" s="371"/>
      <c r="E905" s="367" t="s">
        <v>399</v>
      </c>
      <c r="F905" s="539"/>
      <c r="G905" s="539"/>
      <c r="H905" s="527"/>
      <c r="I905" s="372">
        <f t="shared" si="125"/>
        <v>0</v>
      </c>
      <c r="J905" s="372"/>
      <c r="K905" s="372">
        <f>'RAB Pasang'!K905*60%</f>
        <v>11826</v>
      </c>
      <c r="L905" s="387">
        <f t="shared" si="126"/>
        <v>0</v>
      </c>
      <c r="M905" s="387">
        <f t="shared" si="127"/>
        <v>0</v>
      </c>
      <c r="N905" s="422">
        <f t="shared" si="128"/>
        <v>0</v>
      </c>
    </row>
    <row r="906" spans="1:14" ht="13.2" customHeight="1" x14ac:dyDescent="0.3">
      <c r="A906" s="365">
        <f t="shared" si="129"/>
        <v>10</v>
      </c>
      <c r="B906" s="370" t="s">
        <v>1671</v>
      </c>
      <c r="C906" s="371"/>
      <c r="D906" s="371"/>
      <c r="E906" s="367" t="s">
        <v>399</v>
      </c>
      <c r="F906" s="539"/>
      <c r="G906" s="539"/>
      <c r="H906" s="527"/>
      <c r="I906" s="372">
        <f t="shared" si="125"/>
        <v>0</v>
      </c>
      <c r="J906" s="372"/>
      <c r="K906" s="372">
        <f>'RAB Pasang'!K906*60%</f>
        <v>11826</v>
      </c>
      <c r="L906" s="387">
        <f t="shared" si="126"/>
        <v>0</v>
      </c>
      <c r="M906" s="387">
        <f t="shared" si="127"/>
        <v>0</v>
      </c>
      <c r="N906" s="422">
        <f t="shared" si="128"/>
        <v>0</v>
      </c>
    </row>
    <row r="907" spans="1:14" ht="13.2" customHeight="1" x14ac:dyDescent="0.3">
      <c r="A907" s="365">
        <f t="shared" si="129"/>
        <v>11</v>
      </c>
      <c r="B907" s="370" t="s">
        <v>1853</v>
      </c>
      <c r="C907" s="371"/>
      <c r="D907" s="371"/>
      <c r="E907" s="367" t="s">
        <v>399</v>
      </c>
      <c r="F907" s="539"/>
      <c r="G907" s="527"/>
      <c r="H907" s="527"/>
      <c r="I907" s="372">
        <f t="shared" si="125"/>
        <v>0</v>
      </c>
      <c r="J907" s="372"/>
      <c r="K907" s="372">
        <f>'RAB Pasang'!K907*60%</f>
        <v>197148</v>
      </c>
      <c r="L907" s="387">
        <f t="shared" si="126"/>
        <v>0</v>
      </c>
      <c r="M907" s="387">
        <f t="shared" si="127"/>
        <v>0</v>
      </c>
      <c r="N907" s="422">
        <f t="shared" si="128"/>
        <v>0</v>
      </c>
    </row>
    <row r="908" spans="1:14" ht="13.2" customHeight="1" x14ac:dyDescent="0.3">
      <c r="A908" s="365">
        <f t="shared" si="129"/>
        <v>12</v>
      </c>
      <c r="B908" s="366" t="s">
        <v>1807</v>
      </c>
      <c r="C908" s="362"/>
      <c r="D908" s="362"/>
      <c r="E908" s="367" t="s">
        <v>203</v>
      </c>
      <c r="F908" s="538"/>
      <c r="G908" s="535"/>
      <c r="H908" s="535"/>
      <c r="I908" s="369">
        <f t="shared" si="125"/>
        <v>0</v>
      </c>
      <c r="J908" s="369"/>
      <c r="K908" s="369">
        <f>'RAB Pasang'!K908*60%</f>
        <v>147858</v>
      </c>
      <c r="L908" s="387">
        <f t="shared" si="126"/>
        <v>0</v>
      </c>
      <c r="M908" s="387">
        <f t="shared" si="127"/>
        <v>0</v>
      </c>
      <c r="N908" s="422">
        <f t="shared" si="128"/>
        <v>0</v>
      </c>
    </row>
    <row r="909" spans="1:14" ht="15" customHeight="1" x14ac:dyDescent="0.3">
      <c r="A909" s="485"/>
      <c r="B909" s="497" t="s">
        <v>1721</v>
      </c>
      <c r="C909" s="487"/>
      <c r="D909" s="487"/>
      <c r="E909" s="488"/>
      <c r="F909" s="492"/>
      <c r="G909" s="492"/>
      <c r="H909" s="492"/>
      <c r="I909" s="543"/>
      <c r="J909" s="492"/>
      <c r="K909" s="492"/>
      <c r="L909" s="490">
        <f>SUM(L897:L908)</f>
        <v>0</v>
      </c>
      <c r="M909" s="490">
        <f t="shared" ref="M909:N909" si="130">SUM(M897:M908)</f>
        <v>0</v>
      </c>
      <c r="N909" s="491">
        <f t="shared" si="130"/>
        <v>0</v>
      </c>
    </row>
    <row r="910" spans="1:14" ht="6" customHeight="1" x14ac:dyDescent="0.3">
      <c r="A910" s="418"/>
      <c r="B910" s="370"/>
      <c r="C910" s="371"/>
      <c r="D910" s="371"/>
      <c r="E910" s="367"/>
      <c r="F910" s="527"/>
      <c r="G910" s="527"/>
      <c r="H910" s="527"/>
      <c r="I910" s="372"/>
      <c r="J910" s="372"/>
      <c r="K910" s="372"/>
      <c r="L910" s="387"/>
      <c r="M910" s="387"/>
      <c r="N910" s="422"/>
    </row>
    <row r="911" spans="1:14" ht="13.95" customHeight="1" x14ac:dyDescent="0.3">
      <c r="A911" s="495" t="s">
        <v>1474</v>
      </c>
      <c r="B911" s="478" t="s">
        <v>1723</v>
      </c>
      <c r="C911" s="480"/>
      <c r="D911" s="480"/>
      <c r="E911" s="493"/>
      <c r="F911" s="579"/>
      <c r="G911" s="579"/>
      <c r="H911" s="579"/>
      <c r="I911" s="494"/>
      <c r="J911" s="494"/>
      <c r="K911" s="494"/>
      <c r="L911" s="484"/>
      <c r="M911" s="484"/>
      <c r="N911" s="496"/>
    </row>
    <row r="912" spans="1:14" ht="13.2" customHeight="1" x14ac:dyDescent="0.3">
      <c r="A912" s="365">
        <v>1</v>
      </c>
      <c r="B912" s="370" t="s">
        <v>1973</v>
      </c>
      <c r="C912" s="362"/>
      <c r="D912" s="362"/>
      <c r="E912" s="367" t="s">
        <v>399</v>
      </c>
      <c r="F912" s="538"/>
      <c r="G912" s="538"/>
      <c r="H912" s="535"/>
      <c r="I912" s="369">
        <f t="shared" ref="I912:I931" si="131">SUM(F912:H912)</f>
        <v>0</v>
      </c>
      <c r="J912" s="369"/>
      <c r="K912" s="372">
        <f>'RAB Pasang'!K912*60%</f>
        <v>49290</v>
      </c>
      <c r="L912" s="385">
        <f t="shared" ref="L912:L931" si="132">J912*I912</f>
        <v>0</v>
      </c>
      <c r="M912" s="385">
        <f t="shared" ref="M912:M931" si="133">K912*I912</f>
        <v>0</v>
      </c>
      <c r="N912" s="388">
        <f t="shared" ref="N912:N931" si="134">SUM(L912:M912)</f>
        <v>0</v>
      </c>
    </row>
    <row r="913" spans="1:14" ht="13.2" customHeight="1" x14ac:dyDescent="0.3">
      <c r="A913" s="365">
        <f>A912+1</f>
        <v>2</v>
      </c>
      <c r="B913" s="370" t="s">
        <v>1974</v>
      </c>
      <c r="C913" s="371"/>
      <c r="D913" s="371"/>
      <c r="E913" s="367" t="s">
        <v>399</v>
      </c>
      <c r="F913" s="539"/>
      <c r="G913" s="539"/>
      <c r="H913" s="527"/>
      <c r="I913" s="372">
        <f t="shared" si="131"/>
        <v>0</v>
      </c>
      <c r="J913" s="372"/>
      <c r="K913" s="372">
        <f>'RAB Pasang'!K913*60%</f>
        <v>49290</v>
      </c>
      <c r="L913" s="385">
        <f t="shared" si="132"/>
        <v>0</v>
      </c>
      <c r="M913" s="385">
        <f t="shared" si="133"/>
        <v>0</v>
      </c>
      <c r="N913" s="388">
        <f t="shared" si="134"/>
        <v>0</v>
      </c>
    </row>
    <row r="914" spans="1:14" ht="13.2" customHeight="1" x14ac:dyDescent="0.3">
      <c r="A914" s="365">
        <f>A913+1</f>
        <v>3</v>
      </c>
      <c r="B914" s="370" t="s">
        <v>1975</v>
      </c>
      <c r="C914" s="371"/>
      <c r="D914" s="371"/>
      <c r="E914" s="367" t="s">
        <v>399</v>
      </c>
      <c r="F914" s="539"/>
      <c r="G914" s="539"/>
      <c r="H914" s="527"/>
      <c r="I914" s="372">
        <f t="shared" si="131"/>
        <v>0</v>
      </c>
      <c r="J914" s="372"/>
      <c r="K914" s="372">
        <f>'RAB Pasang'!K914*60%</f>
        <v>49290</v>
      </c>
      <c r="L914" s="385">
        <f t="shared" si="132"/>
        <v>0</v>
      </c>
      <c r="M914" s="385">
        <f t="shared" si="133"/>
        <v>0</v>
      </c>
      <c r="N914" s="388">
        <f t="shared" si="134"/>
        <v>0</v>
      </c>
    </row>
    <row r="915" spans="1:14" ht="13.2" customHeight="1" x14ac:dyDescent="0.3">
      <c r="A915" s="365">
        <f t="shared" ref="A915:A931" si="135">A914+1</f>
        <v>4</v>
      </c>
      <c r="B915" s="370" t="s">
        <v>1976</v>
      </c>
      <c r="C915" s="371"/>
      <c r="D915" s="371"/>
      <c r="E915" s="367" t="s">
        <v>399</v>
      </c>
      <c r="F915" s="539"/>
      <c r="G915" s="539"/>
      <c r="H915" s="527"/>
      <c r="I915" s="372">
        <f t="shared" si="131"/>
        <v>0</v>
      </c>
      <c r="J915" s="372"/>
      <c r="K915" s="372">
        <f>'RAB Pasang'!K915*60%</f>
        <v>49290</v>
      </c>
      <c r="L915" s="385">
        <f t="shared" si="132"/>
        <v>0</v>
      </c>
      <c r="M915" s="385">
        <f t="shared" si="133"/>
        <v>0</v>
      </c>
      <c r="N915" s="388">
        <f t="shared" si="134"/>
        <v>0</v>
      </c>
    </row>
    <row r="916" spans="1:14" ht="13.2" customHeight="1" x14ac:dyDescent="0.3">
      <c r="A916" s="365">
        <f t="shared" si="135"/>
        <v>5</v>
      </c>
      <c r="B916" s="370" t="s">
        <v>1977</v>
      </c>
      <c r="C916" s="371"/>
      <c r="D916" s="371"/>
      <c r="E916" s="367" t="s">
        <v>399</v>
      </c>
      <c r="F916" s="539"/>
      <c r="G916" s="539"/>
      <c r="H916" s="527"/>
      <c r="I916" s="372">
        <f t="shared" si="131"/>
        <v>0</v>
      </c>
      <c r="J916" s="372"/>
      <c r="K916" s="372">
        <f>'RAB Pasang'!K916*60%</f>
        <v>78858</v>
      </c>
      <c r="L916" s="385">
        <f t="shared" si="132"/>
        <v>0</v>
      </c>
      <c r="M916" s="385">
        <f t="shared" si="133"/>
        <v>0</v>
      </c>
      <c r="N916" s="388">
        <f t="shared" si="134"/>
        <v>0</v>
      </c>
    </row>
    <row r="917" spans="1:14" ht="13.2" customHeight="1" x14ac:dyDescent="0.3">
      <c r="A917" s="365">
        <f t="shared" si="135"/>
        <v>6</v>
      </c>
      <c r="B917" s="370" t="s">
        <v>1978</v>
      </c>
      <c r="C917" s="371"/>
      <c r="D917" s="371"/>
      <c r="E917" s="367" t="s">
        <v>399</v>
      </c>
      <c r="F917" s="539"/>
      <c r="G917" s="539"/>
      <c r="H917" s="527"/>
      <c r="I917" s="372">
        <f t="shared" si="131"/>
        <v>0</v>
      </c>
      <c r="J917" s="372"/>
      <c r="K917" s="372">
        <f>'RAB Pasang'!K917*60%</f>
        <v>78858</v>
      </c>
      <c r="L917" s="385">
        <f t="shared" si="132"/>
        <v>0</v>
      </c>
      <c r="M917" s="385">
        <f t="shared" si="133"/>
        <v>0</v>
      </c>
      <c r="N917" s="388">
        <f t="shared" si="134"/>
        <v>0</v>
      </c>
    </row>
    <row r="918" spans="1:14" ht="13.2" customHeight="1" x14ac:dyDescent="0.3">
      <c r="A918" s="365">
        <f t="shared" si="135"/>
        <v>7</v>
      </c>
      <c r="B918" s="370" t="s">
        <v>1979</v>
      </c>
      <c r="C918" s="371"/>
      <c r="D918" s="371"/>
      <c r="E918" s="367" t="s">
        <v>399</v>
      </c>
      <c r="F918" s="539"/>
      <c r="G918" s="539"/>
      <c r="H918" s="527"/>
      <c r="I918" s="372">
        <f t="shared" si="131"/>
        <v>0</v>
      </c>
      <c r="J918" s="372"/>
      <c r="K918" s="372">
        <f>'RAB Pasang'!K918*60%</f>
        <v>78858</v>
      </c>
      <c r="L918" s="385">
        <f t="shared" si="132"/>
        <v>0</v>
      </c>
      <c r="M918" s="385">
        <f t="shared" si="133"/>
        <v>0</v>
      </c>
      <c r="N918" s="388">
        <f t="shared" si="134"/>
        <v>0</v>
      </c>
    </row>
    <row r="919" spans="1:14" ht="13.2" customHeight="1" x14ac:dyDescent="0.3">
      <c r="A919" s="365">
        <f t="shared" si="135"/>
        <v>8</v>
      </c>
      <c r="B919" s="370" t="s">
        <v>1980</v>
      </c>
      <c r="C919" s="371"/>
      <c r="D919" s="371"/>
      <c r="E919" s="367" t="s">
        <v>399</v>
      </c>
      <c r="F919" s="539"/>
      <c r="G919" s="539"/>
      <c r="H919" s="527"/>
      <c r="I919" s="372">
        <f t="shared" si="131"/>
        <v>0</v>
      </c>
      <c r="J919" s="372"/>
      <c r="K919" s="372">
        <f>'RAB Pasang'!K919*60%</f>
        <v>78858</v>
      </c>
      <c r="L919" s="385">
        <f t="shared" si="132"/>
        <v>0</v>
      </c>
      <c r="M919" s="385">
        <f t="shared" si="133"/>
        <v>0</v>
      </c>
      <c r="N919" s="388">
        <f t="shared" si="134"/>
        <v>0</v>
      </c>
    </row>
    <row r="920" spans="1:14" ht="13.2" customHeight="1" x14ac:dyDescent="0.3">
      <c r="A920" s="365">
        <f t="shared" si="135"/>
        <v>9</v>
      </c>
      <c r="B920" s="370" t="s">
        <v>1748</v>
      </c>
      <c r="C920" s="371"/>
      <c r="D920" s="371"/>
      <c r="E920" s="367" t="s">
        <v>399</v>
      </c>
      <c r="F920" s="584"/>
      <c r="G920" s="584"/>
      <c r="H920" s="585"/>
      <c r="I920" s="372">
        <f t="shared" si="131"/>
        <v>0</v>
      </c>
      <c r="J920" s="372"/>
      <c r="K920" s="372">
        <f>'RAB Pasang'!K920*60%</f>
        <v>147858</v>
      </c>
      <c r="L920" s="385">
        <f t="shared" si="132"/>
        <v>0</v>
      </c>
      <c r="M920" s="385">
        <f t="shared" si="133"/>
        <v>0</v>
      </c>
      <c r="N920" s="388">
        <f t="shared" si="134"/>
        <v>0</v>
      </c>
    </row>
    <row r="921" spans="1:14" ht="13.2" customHeight="1" x14ac:dyDescent="0.3">
      <c r="A921" s="365">
        <f t="shared" si="135"/>
        <v>10</v>
      </c>
      <c r="B921" s="370" t="s">
        <v>1750</v>
      </c>
      <c r="C921" s="371"/>
      <c r="D921" s="371"/>
      <c r="E921" s="367" t="s">
        <v>399</v>
      </c>
      <c r="F921" s="584"/>
      <c r="G921" s="584"/>
      <c r="H921" s="585"/>
      <c r="I921" s="372">
        <f t="shared" si="131"/>
        <v>0</v>
      </c>
      <c r="J921" s="372"/>
      <c r="K921" s="372">
        <f>'RAB Pasang'!K921*60%</f>
        <v>147858</v>
      </c>
      <c r="L921" s="385">
        <f t="shared" si="132"/>
        <v>0</v>
      </c>
      <c r="M921" s="385">
        <f t="shared" si="133"/>
        <v>0</v>
      </c>
      <c r="N921" s="388">
        <f t="shared" si="134"/>
        <v>0</v>
      </c>
    </row>
    <row r="922" spans="1:14" ht="13.2" customHeight="1" x14ac:dyDescent="0.3">
      <c r="A922" s="365">
        <f t="shared" si="135"/>
        <v>11</v>
      </c>
      <c r="B922" s="370" t="s">
        <v>1754</v>
      </c>
      <c r="C922" s="371"/>
      <c r="D922" s="371"/>
      <c r="E922" s="367" t="s">
        <v>399</v>
      </c>
      <c r="F922" s="584"/>
      <c r="G922" s="584"/>
      <c r="H922" s="585"/>
      <c r="I922" s="372">
        <f t="shared" si="131"/>
        <v>0</v>
      </c>
      <c r="J922" s="372"/>
      <c r="K922" s="372">
        <f>'RAB Pasang'!K922*60%</f>
        <v>147858</v>
      </c>
      <c r="L922" s="385">
        <f t="shared" si="132"/>
        <v>0</v>
      </c>
      <c r="M922" s="385">
        <f t="shared" si="133"/>
        <v>0</v>
      </c>
      <c r="N922" s="388">
        <f t="shared" si="134"/>
        <v>0</v>
      </c>
    </row>
    <row r="923" spans="1:14" ht="13.2" customHeight="1" x14ac:dyDescent="0.3">
      <c r="A923" s="365">
        <f t="shared" si="135"/>
        <v>12</v>
      </c>
      <c r="B923" s="370" t="s">
        <v>1739</v>
      </c>
      <c r="C923" s="371"/>
      <c r="D923" s="371"/>
      <c r="E923" s="367" t="s">
        <v>399</v>
      </c>
      <c r="F923" s="584"/>
      <c r="G923" s="584"/>
      <c r="H923" s="585"/>
      <c r="I923" s="372">
        <f t="shared" si="131"/>
        <v>0</v>
      </c>
      <c r="J923" s="372"/>
      <c r="K923" s="372">
        <f>'RAB Pasang'!K923*60%</f>
        <v>147858</v>
      </c>
      <c r="L923" s="385">
        <f t="shared" si="132"/>
        <v>0</v>
      </c>
      <c r="M923" s="385">
        <f t="shared" si="133"/>
        <v>0</v>
      </c>
      <c r="N923" s="388">
        <f t="shared" si="134"/>
        <v>0</v>
      </c>
    </row>
    <row r="924" spans="1:14" ht="13.2" customHeight="1" x14ac:dyDescent="0.3">
      <c r="A924" s="365">
        <f t="shared" si="135"/>
        <v>13</v>
      </c>
      <c r="B924" s="370" t="s">
        <v>1761</v>
      </c>
      <c r="C924" s="371"/>
      <c r="D924" s="371"/>
      <c r="E924" s="367" t="s">
        <v>399</v>
      </c>
      <c r="F924" s="586"/>
      <c r="G924" s="586"/>
      <c r="H924" s="587"/>
      <c r="I924" s="369">
        <f t="shared" si="131"/>
        <v>0</v>
      </c>
      <c r="J924" s="369"/>
      <c r="K924" s="372">
        <f>'RAB Pasang'!K924*60%</f>
        <v>147858</v>
      </c>
      <c r="L924" s="385">
        <f t="shared" si="132"/>
        <v>0</v>
      </c>
      <c r="M924" s="385">
        <f t="shared" si="133"/>
        <v>0</v>
      </c>
      <c r="N924" s="388">
        <f t="shared" si="134"/>
        <v>0</v>
      </c>
    </row>
    <row r="925" spans="1:14" ht="13.2" customHeight="1" x14ac:dyDescent="0.3">
      <c r="A925" s="365">
        <f t="shared" si="135"/>
        <v>14</v>
      </c>
      <c r="B925" s="370" t="s">
        <v>1762</v>
      </c>
      <c r="C925" s="371"/>
      <c r="D925" s="371"/>
      <c r="E925" s="367" t="s">
        <v>399</v>
      </c>
      <c r="F925" s="586"/>
      <c r="G925" s="586"/>
      <c r="H925" s="587"/>
      <c r="I925" s="369">
        <f t="shared" si="131"/>
        <v>0</v>
      </c>
      <c r="J925" s="369"/>
      <c r="K925" s="372">
        <f>'RAB Pasang'!K925*60%</f>
        <v>147858</v>
      </c>
      <c r="L925" s="385">
        <f t="shared" si="132"/>
        <v>0</v>
      </c>
      <c r="M925" s="385">
        <f t="shared" si="133"/>
        <v>0</v>
      </c>
      <c r="N925" s="388">
        <f t="shared" si="134"/>
        <v>0</v>
      </c>
    </row>
    <row r="926" spans="1:14" ht="13.2" customHeight="1" x14ac:dyDescent="0.3">
      <c r="A926" s="365">
        <f t="shared" si="135"/>
        <v>15</v>
      </c>
      <c r="B926" s="370" t="s">
        <v>1763</v>
      </c>
      <c r="C926" s="371"/>
      <c r="D926" s="371"/>
      <c r="E926" s="367" t="s">
        <v>399</v>
      </c>
      <c r="F926" s="586"/>
      <c r="G926" s="586"/>
      <c r="H926" s="587"/>
      <c r="I926" s="369">
        <f t="shared" si="131"/>
        <v>0</v>
      </c>
      <c r="J926" s="369"/>
      <c r="K926" s="372">
        <f>'RAB Pasang'!K926*60%</f>
        <v>147858</v>
      </c>
      <c r="L926" s="385">
        <f t="shared" si="132"/>
        <v>0</v>
      </c>
      <c r="M926" s="385">
        <f t="shared" si="133"/>
        <v>0</v>
      </c>
      <c r="N926" s="388">
        <f t="shared" si="134"/>
        <v>0</v>
      </c>
    </row>
    <row r="927" spans="1:14" ht="13.2" customHeight="1" x14ac:dyDescent="0.3">
      <c r="A927" s="365">
        <f t="shared" si="135"/>
        <v>16</v>
      </c>
      <c r="B927" s="370" t="s">
        <v>1766</v>
      </c>
      <c r="C927" s="371"/>
      <c r="D927" s="371"/>
      <c r="E927" s="367" t="s">
        <v>399</v>
      </c>
      <c r="F927" s="586"/>
      <c r="G927" s="586"/>
      <c r="H927" s="587"/>
      <c r="I927" s="369">
        <f t="shared" si="131"/>
        <v>0</v>
      </c>
      <c r="J927" s="369"/>
      <c r="K927" s="372">
        <f>'RAB Pasang'!K927*60%</f>
        <v>147858</v>
      </c>
      <c r="L927" s="385">
        <f t="shared" si="132"/>
        <v>0</v>
      </c>
      <c r="M927" s="385">
        <f t="shared" si="133"/>
        <v>0</v>
      </c>
      <c r="N927" s="388">
        <f t="shared" si="134"/>
        <v>0</v>
      </c>
    </row>
    <row r="928" spans="1:14" ht="13.2" customHeight="1" x14ac:dyDescent="0.3">
      <c r="A928" s="365">
        <f t="shared" si="135"/>
        <v>17</v>
      </c>
      <c r="B928" s="370" t="s">
        <v>1744</v>
      </c>
      <c r="C928" s="371"/>
      <c r="D928" s="371"/>
      <c r="E928" s="367" t="s">
        <v>399</v>
      </c>
      <c r="F928" s="586"/>
      <c r="G928" s="586"/>
      <c r="H928" s="587"/>
      <c r="I928" s="369">
        <f t="shared" si="131"/>
        <v>0</v>
      </c>
      <c r="J928" s="369"/>
      <c r="K928" s="372">
        <f>'RAB Pasang'!K928*60%</f>
        <v>147858</v>
      </c>
      <c r="L928" s="385">
        <f t="shared" si="132"/>
        <v>0</v>
      </c>
      <c r="M928" s="385">
        <f t="shared" si="133"/>
        <v>0</v>
      </c>
      <c r="N928" s="388">
        <f t="shared" si="134"/>
        <v>0</v>
      </c>
    </row>
    <row r="929" spans="1:14" ht="13.2" customHeight="1" x14ac:dyDescent="0.3">
      <c r="A929" s="365">
        <f t="shared" si="135"/>
        <v>18</v>
      </c>
      <c r="B929" s="370" t="s">
        <v>1758</v>
      </c>
      <c r="C929" s="371"/>
      <c r="D929" s="371"/>
      <c r="E929" s="367" t="s">
        <v>399</v>
      </c>
      <c r="F929" s="586"/>
      <c r="G929" s="586"/>
      <c r="H929" s="587"/>
      <c r="I929" s="369">
        <f t="shared" si="131"/>
        <v>0</v>
      </c>
      <c r="J929" s="369"/>
      <c r="K929" s="372">
        <f>'RAB Pasang'!K929*60%</f>
        <v>147858</v>
      </c>
      <c r="L929" s="385">
        <f t="shared" si="132"/>
        <v>0</v>
      </c>
      <c r="M929" s="385">
        <f t="shared" si="133"/>
        <v>0</v>
      </c>
      <c r="N929" s="388">
        <f t="shared" si="134"/>
        <v>0</v>
      </c>
    </row>
    <row r="930" spans="1:14" ht="13.2" customHeight="1" x14ac:dyDescent="0.3">
      <c r="A930" s="365">
        <f t="shared" si="135"/>
        <v>19</v>
      </c>
      <c r="B930" s="370" t="s">
        <v>1746</v>
      </c>
      <c r="C930" s="371"/>
      <c r="D930" s="371"/>
      <c r="E930" s="367" t="s">
        <v>399</v>
      </c>
      <c r="F930" s="586"/>
      <c r="G930" s="586"/>
      <c r="H930" s="587"/>
      <c r="I930" s="369">
        <f t="shared" si="131"/>
        <v>0</v>
      </c>
      <c r="J930" s="369"/>
      <c r="K930" s="372">
        <f>'RAB Pasang'!K930*60%</f>
        <v>147858</v>
      </c>
      <c r="L930" s="385">
        <f t="shared" si="132"/>
        <v>0</v>
      </c>
      <c r="M930" s="385">
        <f t="shared" si="133"/>
        <v>0</v>
      </c>
      <c r="N930" s="388">
        <f t="shared" si="134"/>
        <v>0</v>
      </c>
    </row>
    <row r="931" spans="1:14" ht="13.2" customHeight="1" x14ac:dyDescent="0.3">
      <c r="A931" s="365">
        <f t="shared" si="135"/>
        <v>20</v>
      </c>
      <c r="B931" s="370" t="s">
        <v>1768</v>
      </c>
      <c r="C931" s="362"/>
      <c r="D931" s="362"/>
      <c r="E931" s="367" t="s">
        <v>399</v>
      </c>
      <c r="F931" s="586"/>
      <c r="G931" s="586"/>
      <c r="H931" s="587"/>
      <c r="I931" s="369">
        <f t="shared" si="131"/>
        <v>0</v>
      </c>
      <c r="J931" s="369"/>
      <c r="K931" s="369">
        <f>'RAB Pasang'!K931*60%</f>
        <v>73932</v>
      </c>
      <c r="L931" s="385">
        <f t="shared" si="132"/>
        <v>0</v>
      </c>
      <c r="M931" s="385">
        <f t="shared" si="133"/>
        <v>0</v>
      </c>
      <c r="N931" s="388">
        <f t="shared" si="134"/>
        <v>0</v>
      </c>
    </row>
    <row r="932" spans="1:14" ht="13.95" customHeight="1" x14ac:dyDescent="0.3">
      <c r="A932" s="485"/>
      <c r="B932" s="497" t="s">
        <v>1724</v>
      </c>
      <c r="C932" s="487"/>
      <c r="D932" s="487"/>
      <c r="E932" s="488"/>
      <c r="F932" s="540"/>
      <c r="G932" s="540"/>
      <c r="H932" s="540"/>
      <c r="I932" s="489"/>
      <c r="J932" s="492"/>
      <c r="K932" s="492"/>
      <c r="L932" s="490">
        <f t="shared" ref="L932:N932" si="136">SUM(L912:L931)</f>
        <v>0</v>
      </c>
      <c r="M932" s="490">
        <f t="shared" si="136"/>
        <v>0</v>
      </c>
      <c r="N932" s="491">
        <f t="shared" si="136"/>
        <v>0</v>
      </c>
    </row>
    <row r="933" spans="1:14" ht="7.2" customHeight="1" x14ac:dyDescent="0.3">
      <c r="A933" s="365"/>
      <c r="B933" s="366"/>
      <c r="C933" s="362"/>
      <c r="D933" s="362"/>
      <c r="E933" s="368"/>
      <c r="F933" s="529"/>
      <c r="G933" s="529"/>
      <c r="H933" s="529"/>
      <c r="I933" s="461"/>
      <c r="J933" s="369"/>
      <c r="K933" s="369"/>
      <c r="L933" s="385"/>
      <c r="M933" s="385"/>
      <c r="N933" s="388"/>
    </row>
    <row r="934" spans="1:14" ht="13.95" customHeight="1" x14ac:dyDescent="0.3">
      <c r="A934" s="495" t="s">
        <v>1637</v>
      </c>
      <c r="B934" s="478" t="s">
        <v>1454</v>
      </c>
      <c r="C934" s="480"/>
      <c r="D934" s="480"/>
      <c r="E934" s="493"/>
      <c r="F934" s="568"/>
      <c r="G934" s="568"/>
      <c r="H934" s="568"/>
      <c r="I934" s="483"/>
      <c r="J934" s="494"/>
      <c r="K934" s="494"/>
      <c r="L934" s="484"/>
      <c r="M934" s="484"/>
      <c r="N934" s="496"/>
    </row>
    <row r="935" spans="1:14" ht="13.2" customHeight="1" x14ac:dyDescent="0.3">
      <c r="A935" s="365">
        <v>1</v>
      </c>
      <c r="B935" s="370" t="s">
        <v>2109</v>
      </c>
      <c r="C935" s="371"/>
      <c r="D935" s="371"/>
      <c r="E935" s="367" t="s">
        <v>399</v>
      </c>
      <c r="F935" s="527"/>
      <c r="G935" s="539"/>
      <c r="H935" s="539"/>
      <c r="I935" s="372">
        <f t="shared" ref="I935:I982" si="137">SUM(F935:H935)</f>
        <v>0</v>
      </c>
      <c r="J935" s="372"/>
      <c r="K935" s="372">
        <f>'RAB Pasang'!K935*60%</f>
        <v>227436</v>
      </c>
      <c r="L935" s="387">
        <f t="shared" ref="L935:L982" si="138">J935*I935</f>
        <v>0</v>
      </c>
      <c r="M935" s="387">
        <f t="shared" ref="M935:M982" si="139">K935*I935</f>
        <v>0</v>
      </c>
      <c r="N935" s="422">
        <f t="shared" ref="N935:N982" si="140">SUM(L935:M935)</f>
        <v>0</v>
      </c>
    </row>
    <row r="936" spans="1:14" ht="13.2" customHeight="1" x14ac:dyDescent="0.3">
      <c r="A936" s="365">
        <f>A935+1</f>
        <v>2</v>
      </c>
      <c r="B936" s="370" t="s">
        <v>2110</v>
      </c>
      <c r="C936" s="371"/>
      <c r="D936" s="371"/>
      <c r="E936" s="367" t="s">
        <v>399</v>
      </c>
      <c r="F936" s="527"/>
      <c r="G936" s="539"/>
      <c r="H936" s="539"/>
      <c r="I936" s="372">
        <f t="shared" si="137"/>
        <v>0</v>
      </c>
      <c r="J936" s="372"/>
      <c r="K936" s="372">
        <f>'RAB Pasang'!K936*60%</f>
        <v>227436</v>
      </c>
      <c r="L936" s="387">
        <f t="shared" si="138"/>
        <v>0</v>
      </c>
      <c r="M936" s="387">
        <f t="shared" si="139"/>
        <v>0</v>
      </c>
      <c r="N936" s="422">
        <f t="shared" si="140"/>
        <v>0</v>
      </c>
    </row>
    <row r="937" spans="1:14" ht="13.2" customHeight="1" x14ac:dyDescent="0.3">
      <c r="A937" s="365">
        <f>A936+1</f>
        <v>3</v>
      </c>
      <c r="B937" s="370" t="s">
        <v>2111</v>
      </c>
      <c r="C937" s="371"/>
      <c r="D937" s="371"/>
      <c r="E937" s="367" t="s">
        <v>399</v>
      </c>
      <c r="F937" s="527"/>
      <c r="G937" s="539"/>
      <c r="H937" s="539"/>
      <c r="I937" s="372">
        <f t="shared" si="137"/>
        <v>0</v>
      </c>
      <c r="J937" s="372"/>
      <c r="K937" s="372">
        <f>'RAB Pasang'!K937*60%</f>
        <v>227436</v>
      </c>
      <c r="L937" s="387">
        <f t="shared" si="138"/>
        <v>0</v>
      </c>
      <c r="M937" s="387">
        <f t="shared" si="139"/>
        <v>0</v>
      </c>
      <c r="N937" s="422">
        <f t="shared" si="140"/>
        <v>0</v>
      </c>
    </row>
    <row r="938" spans="1:14" ht="13.2" customHeight="1" x14ac:dyDescent="0.3">
      <c r="A938" s="365">
        <f>A937+1</f>
        <v>4</v>
      </c>
      <c r="B938" s="370" t="s">
        <v>2112</v>
      </c>
      <c r="C938" s="371"/>
      <c r="D938" s="371"/>
      <c r="E938" s="367" t="s">
        <v>399</v>
      </c>
      <c r="F938" s="527"/>
      <c r="G938" s="539"/>
      <c r="H938" s="539"/>
      <c r="I938" s="372">
        <f t="shared" si="137"/>
        <v>0</v>
      </c>
      <c r="J938" s="372"/>
      <c r="K938" s="372">
        <f>'RAB Pasang'!K938*60%</f>
        <v>227436</v>
      </c>
      <c r="L938" s="387">
        <f t="shared" si="138"/>
        <v>0</v>
      </c>
      <c r="M938" s="387">
        <f t="shared" si="139"/>
        <v>0</v>
      </c>
      <c r="N938" s="422">
        <f t="shared" si="140"/>
        <v>0</v>
      </c>
    </row>
    <row r="939" spans="1:14" ht="13.2" customHeight="1" x14ac:dyDescent="0.3">
      <c r="A939" s="365">
        <f t="shared" ref="A939:A982" si="141">A938+1</f>
        <v>5</v>
      </c>
      <c r="B939" s="370" t="s">
        <v>2113</v>
      </c>
      <c r="C939" s="371"/>
      <c r="D939" s="371"/>
      <c r="E939" s="367" t="s">
        <v>399</v>
      </c>
      <c r="F939" s="527"/>
      <c r="G939" s="539"/>
      <c r="H939" s="539"/>
      <c r="I939" s="372">
        <f t="shared" si="137"/>
        <v>0</v>
      </c>
      <c r="J939" s="372"/>
      <c r="K939" s="372">
        <f>'RAB Pasang'!K939*60%</f>
        <v>227436</v>
      </c>
      <c r="L939" s="387">
        <f t="shared" si="138"/>
        <v>0</v>
      </c>
      <c r="M939" s="387">
        <f t="shared" si="139"/>
        <v>0</v>
      </c>
      <c r="N939" s="422">
        <f t="shared" si="140"/>
        <v>0</v>
      </c>
    </row>
    <row r="940" spans="1:14" ht="13.2" customHeight="1" x14ac:dyDescent="0.3">
      <c r="A940" s="365">
        <f t="shared" si="141"/>
        <v>6</v>
      </c>
      <c r="B940" s="370" t="s">
        <v>2114</v>
      </c>
      <c r="C940" s="371"/>
      <c r="D940" s="371"/>
      <c r="E940" s="367" t="s">
        <v>399</v>
      </c>
      <c r="F940" s="527"/>
      <c r="G940" s="539"/>
      <c r="H940" s="539"/>
      <c r="I940" s="372">
        <f t="shared" si="137"/>
        <v>0</v>
      </c>
      <c r="J940" s="372"/>
      <c r="K940" s="372">
        <f>'RAB Pasang'!K940*60%</f>
        <v>227436</v>
      </c>
      <c r="L940" s="387">
        <f t="shared" si="138"/>
        <v>0</v>
      </c>
      <c r="M940" s="387">
        <f t="shared" si="139"/>
        <v>0</v>
      </c>
      <c r="N940" s="422">
        <f t="shared" si="140"/>
        <v>0</v>
      </c>
    </row>
    <row r="941" spans="1:14" ht="13.2" customHeight="1" x14ac:dyDescent="0.3">
      <c r="A941" s="365">
        <f t="shared" si="141"/>
        <v>7</v>
      </c>
      <c r="B941" s="370" t="s">
        <v>2115</v>
      </c>
      <c r="C941" s="371"/>
      <c r="D941" s="371"/>
      <c r="E941" s="367" t="s">
        <v>399</v>
      </c>
      <c r="F941" s="527"/>
      <c r="G941" s="539"/>
      <c r="H941" s="539"/>
      <c r="I941" s="372">
        <f t="shared" si="137"/>
        <v>0</v>
      </c>
      <c r="J941" s="372"/>
      <c r="K941" s="372">
        <f>'RAB Pasang'!K941*60%</f>
        <v>227436</v>
      </c>
      <c r="L941" s="387">
        <f t="shared" si="138"/>
        <v>0</v>
      </c>
      <c r="M941" s="387">
        <f t="shared" si="139"/>
        <v>0</v>
      </c>
      <c r="N941" s="422">
        <f t="shared" si="140"/>
        <v>0</v>
      </c>
    </row>
    <row r="942" spans="1:14" ht="13.2" customHeight="1" x14ac:dyDescent="0.3">
      <c r="A942" s="365">
        <f t="shared" si="141"/>
        <v>8</v>
      </c>
      <c r="B942" s="370" t="s">
        <v>2116</v>
      </c>
      <c r="C942" s="371"/>
      <c r="D942" s="371"/>
      <c r="E942" s="367" t="s">
        <v>399</v>
      </c>
      <c r="F942" s="527"/>
      <c r="G942" s="539"/>
      <c r="H942" s="539"/>
      <c r="I942" s="372">
        <f t="shared" si="137"/>
        <v>0</v>
      </c>
      <c r="J942" s="372"/>
      <c r="K942" s="372">
        <f>'RAB Pasang'!K942*60%</f>
        <v>227436</v>
      </c>
      <c r="L942" s="387">
        <f t="shared" si="138"/>
        <v>0</v>
      </c>
      <c r="M942" s="387">
        <f t="shared" si="139"/>
        <v>0</v>
      </c>
      <c r="N942" s="422">
        <f t="shared" si="140"/>
        <v>0</v>
      </c>
    </row>
    <row r="943" spans="1:14" ht="13.2" customHeight="1" x14ac:dyDescent="0.3">
      <c r="A943" s="365">
        <f t="shared" si="141"/>
        <v>9</v>
      </c>
      <c r="B943" s="370" t="s">
        <v>2117</v>
      </c>
      <c r="C943" s="371"/>
      <c r="D943" s="371"/>
      <c r="E943" s="367" t="s">
        <v>399</v>
      </c>
      <c r="F943" s="527"/>
      <c r="G943" s="539"/>
      <c r="H943" s="539"/>
      <c r="I943" s="372">
        <f t="shared" si="137"/>
        <v>0</v>
      </c>
      <c r="J943" s="372"/>
      <c r="K943" s="372">
        <f>'RAB Pasang'!K943*60%</f>
        <v>227436</v>
      </c>
      <c r="L943" s="387">
        <f t="shared" si="138"/>
        <v>0</v>
      </c>
      <c r="M943" s="387">
        <f t="shared" si="139"/>
        <v>0</v>
      </c>
      <c r="N943" s="422">
        <f t="shared" si="140"/>
        <v>0</v>
      </c>
    </row>
    <row r="944" spans="1:14" ht="13.2" customHeight="1" x14ac:dyDescent="0.3">
      <c r="A944" s="365">
        <f t="shared" si="141"/>
        <v>10</v>
      </c>
      <c r="B944" s="370" t="s">
        <v>2118</v>
      </c>
      <c r="C944" s="371"/>
      <c r="D944" s="371"/>
      <c r="E944" s="367" t="s">
        <v>399</v>
      </c>
      <c r="F944" s="527"/>
      <c r="G944" s="539"/>
      <c r="H944" s="539"/>
      <c r="I944" s="372">
        <f t="shared" si="137"/>
        <v>0</v>
      </c>
      <c r="J944" s="372"/>
      <c r="K944" s="372">
        <f>'RAB Pasang'!K944*60%</f>
        <v>227436</v>
      </c>
      <c r="L944" s="387">
        <f t="shared" si="138"/>
        <v>0</v>
      </c>
      <c r="M944" s="387">
        <f t="shared" si="139"/>
        <v>0</v>
      </c>
      <c r="N944" s="422">
        <f t="shared" si="140"/>
        <v>0</v>
      </c>
    </row>
    <row r="945" spans="1:14" ht="13.2" customHeight="1" x14ac:dyDescent="0.3">
      <c r="A945" s="365">
        <f t="shared" si="141"/>
        <v>11</v>
      </c>
      <c r="B945" s="370" t="s">
        <v>2119</v>
      </c>
      <c r="C945" s="371"/>
      <c r="D945" s="371"/>
      <c r="E945" s="367" t="s">
        <v>399</v>
      </c>
      <c r="F945" s="527"/>
      <c r="G945" s="539"/>
      <c r="H945" s="539"/>
      <c r="I945" s="372">
        <f t="shared" si="137"/>
        <v>0</v>
      </c>
      <c r="J945" s="372"/>
      <c r="K945" s="372">
        <f>'RAB Pasang'!K945*60%</f>
        <v>227436</v>
      </c>
      <c r="L945" s="387">
        <f t="shared" si="138"/>
        <v>0</v>
      </c>
      <c r="M945" s="387">
        <f t="shared" si="139"/>
        <v>0</v>
      </c>
      <c r="N945" s="422">
        <f t="shared" si="140"/>
        <v>0</v>
      </c>
    </row>
    <row r="946" spans="1:14" ht="13.2" customHeight="1" x14ac:dyDescent="0.3">
      <c r="A946" s="365">
        <f t="shared" si="141"/>
        <v>12</v>
      </c>
      <c r="B946" s="370" t="s">
        <v>2120</v>
      </c>
      <c r="C946" s="371"/>
      <c r="D946" s="371"/>
      <c r="E946" s="367" t="s">
        <v>399</v>
      </c>
      <c r="F946" s="527"/>
      <c r="G946" s="539"/>
      <c r="H946" s="539"/>
      <c r="I946" s="372">
        <f t="shared" si="137"/>
        <v>0</v>
      </c>
      <c r="J946" s="372"/>
      <c r="K946" s="372">
        <f>'RAB Pasang'!K946*60%</f>
        <v>227436</v>
      </c>
      <c r="L946" s="387">
        <f t="shared" si="138"/>
        <v>0</v>
      </c>
      <c r="M946" s="387">
        <f t="shared" si="139"/>
        <v>0</v>
      </c>
      <c r="N946" s="422">
        <f t="shared" si="140"/>
        <v>0</v>
      </c>
    </row>
    <row r="947" spans="1:14" ht="13.2" customHeight="1" x14ac:dyDescent="0.3">
      <c r="A947" s="365">
        <f t="shared" si="141"/>
        <v>13</v>
      </c>
      <c r="B947" s="370" t="s">
        <v>2121</v>
      </c>
      <c r="C947" s="371"/>
      <c r="D947" s="371"/>
      <c r="E947" s="367" t="s">
        <v>399</v>
      </c>
      <c r="F947" s="527"/>
      <c r="G947" s="539"/>
      <c r="H947" s="539"/>
      <c r="I947" s="372">
        <f t="shared" si="137"/>
        <v>0</v>
      </c>
      <c r="J947" s="372"/>
      <c r="K947" s="372">
        <f>'RAB Pasang'!K947*60%</f>
        <v>227436</v>
      </c>
      <c r="L947" s="387">
        <f t="shared" si="138"/>
        <v>0</v>
      </c>
      <c r="M947" s="387">
        <f t="shared" si="139"/>
        <v>0</v>
      </c>
      <c r="N947" s="422">
        <f t="shared" si="140"/>
        <v>0</v>
      </c>
    </row>
    <row r="948" spans="1:14" ht="13.2" customHeight="1" x14ac:dyDescent="0.3">
      <c r="A948" s="365">
        <f t="shared" si="141"/>
        <v>14</v>
      </c>
      <c r="B948" s="370" t="s">
        <v>2122</v>
      </c>
      <c r="C948" s="371"/>
      <c r="D948" s="371"/>
      <c r="E948" s="367" t="s">
        <v>399</v>
      </c>
      <c r="F948" s="527"/>
      <c r="G948" s="539"/>
      <c r="H948" s="539"/>
      <c r="I948" s="372">
        <f t="shared" si="137"/>
        <v>0</v>
      </c>
      <c r="J948" s="372"/>
      <c r="K948" s="372">
        <f>'RAB Pasang'!K948*60%</f>
        <v>227436</v>
      </c>
      <c r="L948" s="387">
        <f t="shared" si="138"/>
        <v>0</v>
      </c>
      <c r="M948" s="387">
        <f t="shared" si="139"/>
        <v>0</v>
      </c>
      <c r="N948" s="422">
        <f t="shared" si="140"/>
        <v>0</v>
      </c>
    </row>
    <row r="949" spans="1:14" ht="13.2" customHeight="1" x14ac:dyDescent="0.3">
      <c r="A949" s="365">
        <f t="shared" si="141"/>
        <v>15</v>
      </c>
      <c r="B949" s="370" t="s">
        <v>2123</v>
      </c>
      <c r="C949" s="371"/>
      <c r="D949" s="371"/>
      <c r="E949" s="367" t="s">
        <v>399</v>
      </c>
      <c r="F949" s="527"/>
      <c r="G949" s="539"/>
      <c r="H949" s="539"/>
      <c r="I949" s="372">
        <f t="shared" si="137"/>
        <v>0</v>
      </c>
      <c r="J949" s="372"/>
      <c r="K949" s="372">
        <f>'RAB Pasang'!K949*60%</f>
        <v>227436</v>
      </c>
      <c r="L949" s="387">
        <f t="shared" si="138"/>
        <v>0</v>
      </c>
      <c r="M949" s="387">
        <f t="shared" si="139"/>
        <v>0</v>
      </c>
      <c r="N949" s="422">
        <f t="shared" si="140"/>
        <v>0</v>
      </c>
    </row>
    <row r="950" spans="1:14" ht="13.2" customHeight="1" x14ac:dyDescent="0.3">
      <c r="A950" s="365">
        <f t="shared" si="141"/>
        <v>16</v>
      </c>
      <c r="B950" s="370" t="s">
        <v>2124</v>
      </c>
      <c r="C950" s="371"/>
      <c r="D950" s="371"/>
      <c r="E950" s="367" t="s">
        <v>399</v>
      </c>
      <c r="F950" s="527"/>
      <c r="G950" s="539"/>
      <c r="H950" s="539"/>
      <c r="I950" s="372">
        <f t="shared" si="137"/>
        <v>0</v>
      </c>
      <c r="J950" s="372"/>
      <c r="K950" s="372">
        <f>'RAB Pasang'!K950*60%</f>
        <v>227436</v>
      </c>
      <c r="L950" s="387">
        <f t="shared" si="138"/>
        <v>0</v>
      </c>
      <c r="M950" s="387">
        <f t="shared" si="139"/>
        <v>0</v>
      </c>
      <c r="N950" s="422">
        <f t="shared" si="140"/>
        <v>0</v>
      </c>
    </row>
    <row r="951" spans="1:14" ht="13.2" customHeight="1" x14ac:dyDescent="0.3">
      <c r="A951" s="365">
        <f t="shared" si="141"/>
        <v>17</v>
      </c>
      <c r="B951" s="370" t="s">
        <v>2125</v>
      </c>
      <c r="C951" s="371"/>
      <c r="D951" s="371"/>
      <c r="E951" s="367" t="s">
        <v>399</v>
      </c>
      <c r="F951" s="539"/>
      <c r="G951" s="527"/>
      <c r="H951" s="539"/>
      <c r="I951" s="372">
        <f t="shared" si="137"/>
        <v>0</v>
      </c>
      <c r="J951" s="372"/>
      <c r="K951" s="372">
        <f>'RAB Pasang'!K951*60%</f>
        <v>260292</v>
      </c>
      <c r="L951" s="387">
        <f t="shared" si="138"/>
        <v>0</v>
      </c>
      <c r="M951" s="387">
        <f t="shared" si="139"/>
        <v>0</v>
      </c>
      <c r="N951" s="422">
        <f t="shared" si="140"/>
        <v>0</v>
      </c>
    </row>
    <row r="952" spans="1:14" ht="13.2" customHeight="1" x14ac:dyDescent="0.3">
      <c r="A952" s="365">
        <f t="shared" si="141"/>
        <v>18</v>
      </c>
      <c r="B952" s="370" t="s">
        <v>2126</v>
      </c>
      <c r="C952" s="371"/>
      <c r="D952" s="371"/>
      <c r="E952" s="367" t="s">
        <v>399</v>
      </c>
      <c r="F952" s="539"/>
      <c r="G952" s="527"/>
      <c r="H952" s="539"/>
      <c r="I952" s="372">
        <f t="shared" si="137"/>
        <v>0</v>
      </c>
      <c r="J952" s="372"/>
      <c r="K952" s="372">
        <f>'RAB Pasang'!K952*60%</f>
        <v>260292</v>
      </c>
      <c r="L952" s="387">
        <f t="shared" si="138"/>
        <v>0</v>
      </c>
      <c r="M952" s="387">
        <f t="shared" si="139"/>
        <v>0</v>
      </c>
      <c r="N952" s="422">
        <f t="shared" si="140"/>
        <v>0</v>
      </c>
    </row>
    <row r="953" spans="1:14" ht="13.2" customHeight="1" x14ac:dyDescent="0.3">
      <c r="A953" s="365">
        <f t="shared" si="141"/>
        <v>19</v>
      </c>
      <c r="B953" s="370" t="s">
        <v>2127</v>
      </c>
      <c r="C953" s="371"/>
      <c r="D953" s="371"/>
      <c r="E953" s="367" t="s">
        <v>399</v>
      </c>
      <c r="F953" s="539"/>
      <c r="G953" s="527"/>
      <c r="H953" s="539"/>
      <c r="I953" s="372">
        <f t="shared" si="137"/>
        <v>0</v>
      </c>
      <c r="J953" s="372"/>
      <c r="K953" s="372">
        <f>'RAB Pasang'!K953*60%</f>
        <v>260292</v>
      </c>
      <c r="L953" s="387">
        <f t="shared" si="138"/>
        <v>0</v>
      </c>
      <c r="M953" s="387">
        <f t="shared" si="139"/>
        <v>0</v>
      </c>
      <c r="N953" s="422">
        <f t="shared" si="140"/>
        <v>0</v>
      </c>
    </row>
    <row r="954" spans="1:14" ht="13.2" customHeight="1" x14ac:dyDescent="0.3">
      <c r="A954" s="365">
        <f t="shared" si="141"/>
        <v>20</v>
      </c>
      <c r="B954" s="370" t="s">
        <v>2128</v>
      </c>
      <c r="C954" s="371"/>
      <c r="D954" s="371"/>
      <c r="E954" s="367" t="s">
        <v>399</v>
      </c>
      <c r="F954" s="539"/>
      <c r="G954" s="527"/>
      <c r="H954" s="539"/>
      <c r="I954" s="372">
        <f t="shared" si="137"/>
        <v>0</v>
      </c>
      <c r="J954" s="372"/>
      <c r="K954" s="372">
        <f>'RAB Pasang'!K954*60%</f>
        <v>260292</v>
      </c>
      <c r="L954" s="387">
        <f t="shared" si="138"/>
        <v>0</v>
      </c>
      <c r="M954" s="387">
        <f t="shared" si="139"/>
        <v>0</v>
      </c>
      <c r="N954" s="422">
        <f t="shared" si="140"/>
        <v>0</v>
      </c>
    </row>
    <row r="955" spans="1:14" ht="13.2" customHeight="1" x14ac:dyDescent="0.3">
      <c r="A955" s="365">
        <f t="shared" si="141"/>
        <v>21</v>
      </c>
      <c r="B955" s="370" t="s">
        <v>2129</v>
      </c>
      <c r="C955" s="371"/>
      <c r="D955" s="371"/>
      <c r="E955" s="367" t="s">
        <v>399</v>
      </c>
      <c r="F955" s="539"/>
      <c r="G955" s="527"/>
      <c r="H955" s="539"/>
      <c r="I955" s="372">
        <f t="shared" si="137"/>
        <v>0</v>
      </c>
      <c r="J955" s="372"/>
      <c r="K955" s="372">
        <f>'RAB Pasang'!K955*60%</f>
        <v>260292</v>
      </c>
      <c r="L955" s="387">
        <f t="shared" si="138"/>
        <v>0</v>
      </c>
      <c r="M955" s="387">
        <f t="shared" si="139"/>
        <v>0</v>
      </c>
      <c r="N955" s="422">
        <f t="shared" si="140"/>
        <v>0</v>
      </c>
    </row>
    <row r="956" spans="1:14" ht="13.2" customHeight="1" x14ac:dyDescent="0.3">
      <c r="A956" s="365">
        <f t="shared" si="141"/>
        <v>22</v>
      </c>
      <c r="B956" s="370" t="s">
        <v>2130</v>
      </c>
      <c r="C956" s="371"/>
      <c r="D956" s="371"/>
      <c r="E956" s="367" t="s">
        <v>399</v>
      </c>
      <c r="F956" s="539"/>
      <c r="G956" s="527"/>
      <c r="H956" s="539"/>
      <c r="I956" s="372">
        <f t="shared" si="137"/>
        <v>0</v>
      </c>
      <c r="J956" s="372"/>
      <c r="K956" s="372">
        <f>'RAB Pasang'!K956*60%</f>
        <v>260292</v>
      </c>
      <c r="L956" s="387">
        <f t="shared" si="138"/>
        <v>0</v>
      </c>
      <c r="M956" s="387">
        <f t="shared" si="139"/>
        <v>0</v>
      </c>
      <c r="N956" s="422">
        <f t="shared" si="140"/>
        <v>0</v>
      </c>
    </row>
    <row r="957" spans="1:14" ht="13.2" customHeight="1" x14ac:dyDescent="0.3">
      <c r="A957" s="365">
        <f t="shared" si="141"/>
        <v>23</v>
      </c>
      <c r="B957" s="370" t="s">
        <v>2131</v>
      </c>
      <c r="C957" s="371"/>
      <c r="D957" s="371"/>
      <c r="E957" s="367" t="s">
        <v>399</v>
      </c>
      <c r="F957" s="539"/>
      <c r="G957" s="527"/>
      <c r="H957" s="539"/>
      <c r="I957" s="372">
        <f t="shared" si="137"/>
        <v>0</v>
      </c>
      <c r="J957" s="372"/>
      <c r="K957" s="372">
        <f>'RAB Pasang'!K957*60%</f>
        <v>260292</v>
      </c>
      <c r="L957" s="387">
        <f t="shared" si="138"/>
        <v>0</v>
      </c>
      <c r="M957" s="387">
        <f t="shared" si="139"/>
        <v>0</v>
      </c>
      <c r="N957" s="422">
        <f t="shared" si="140"/>
        <v>0</v>
      </c>
    </row>
    <row r="958" spans="1:14" ht="13.2" customHeight="1" x14ac:dyDescent="0.3">
      <c r="A958" s="365">
        <f t="shared" si="141"/>
        <v>24</v>
      </c>
      <c r="B958" s="370" t="s">
        <v>2132</v>
      </c>
      <c r="C958" s="371"/>
      <c r="D958" s="371"/>
      <c r="E958" s="367" t="s">
        <v>399</v>
      </c>
      <c r="F958" s="539"/>
      <c r="G958" s="527"/>
      <c r="H958" s="539"/>
      <c r="I958" s="372">
        <f t="shared" si="137"/>
        <v>0</v>
      </c>
      <c r="J958" s="372"/>
      <c r="K958" s="372">
        <f>'RAB Pasang'!K958*60%</f>
        <v>260292</v>
      </c>
      <c r="L958" s="387">
        <f t="shared" si="138"/>
        <v>0</v>
      </c>
      <c r="M958" s="387">
        <f t="shared" si="139"/>
        <v>0</v>
      </c>
      <c r="N958" s="422">
        <f t="shared" si="140"/>
        <v>0</v>
      </c>
    </row>
    <row r="959" spans="1:14" ht="13.2" customHeight="1" x14ac:dyDescent="0.3">
      <c r="A959" s="365">
        <f t="shared" si="141"/>
        <v>25</v>
      </c>
      <c r="B959" s="370" t="s">
        <v>2133</v>
      </c>
      <c r="C959" s="371"/>
      <c r="D959" s="371"/>
      <c r="E959" s="367" t="s">
        <v>399</v>
      </c>
      <c r="F959" s="539"/>
      <c r="G959" s="527"/>
      <c r="H959" s="539"/>
      <c r="I959" s="372">
        <f t="shared" si="137"/>
        <v>0</v>
      </c>
      <c r="J959" s="372"/>
      <c r="K959" s="372">
        <f>'RAB Pasang'!K959*60%</f>
        <v>260292</v>
      </c>
      <c r="L959" s="387">
        <f t="shared" si="138"/>
        <v>0</v>
      </c>
      <c r="M959" s="387">
        <f t="shared" si="139"/>
        <v>0</v>
      </c>
      <c r="N959" s="422">
        <f t="shared" si="140"/>
        <v>0</v>
      </c>
    </row>
    <row r="960" spans="1:14" ht="13.2" customHeight="1" x14ac:dyDescent="0.3">
      <c r="A960" s="365">
        <f t="shared" si="141"/>
        <v>26</v>
      </c>
      <c r="B960" s="370" t="s">
        <v>2134</v>
      </c>
      <c r="C960" s="371"/>
      <c r="D960" s="371"/>
      <c r="E960" s="367" t="s">
        <v>399</v>
      </c>
      <c r="F960" s="539"/>
      <c r="G960" s="527"/>
      <c r="H960" s="539"/>
      <c r="I960" s="372">
        <f t="shared" si="137"/>
        <v>0</v>
      </c>
      <c r="J960" s="372"/>
      <c r="K960" s="372">
        <f>'RAB Pasang'!K960*60%</f>
        <v>260292</v>
      </c>
      <c r="L960" s="387">
        <f t="shared" si="138"/>
        <v>0</v>
      </c>
      <c r="M960" s="387">
        <f t="shared" si="139"/>
        <v>0</v>
      </c>
      <c r="N960" s="422">
        <f t="shared" si="140"/>
        <v>0</v>
      </c>
    </row>
    <row r="961" spans="1:14" ht="13.2" customHeight="1" x14ac:dyDescent="0.3">
      <c r="A961" s="365">
        <f t="shared" si="141"/>
        <v>27</v>
      </c>
      <c r="B961" s="370" t="s">
        <v>2135</v>
      </c>
      <c r="C961" s="371"/>
      <c r="D961" s="371"/>
      <c r="E961" s="367" t="s">
        <v>399</v>
      </c>
      <c r="F961" s="539"/>
      <c r="G961" s="527"/>
      <c r="H961" s="539"/>
      <c r="I961" s="372">
        <f t="shared" si="137"/>
        <v>0</v>
      </c>
      <c r="J961" s="372"/>
      <c r="K961" s="372">
        <f>'RAB Pasang'!K961*60%</f>
        <v>260292</v>
      </c>
      <c r="L961" s="387">
        <f t="shared" si="138"/>
        <v>0</v>
      </c>
      <c r="M961" s="387">
        <f t="shared" si="139"/>
        <v>0</v>
      </c>
      <c r="N961" s="422">
        <f t="shared" si="140"/>
        <v>0</v>
      </c>
    </row>
    <row r="962" spans="1:14" ht="13.2" customHeight="1" x14ac:dyDescent="0.3">
      <c r="A962" s="365">
        <f t="shared" si="141"/>
        <v>28</v>
      </c>
      <c r="B962" s="370" t="s">
        <v>2136</v>
      </c>
      <c r="C962" s="371"/>
      <c r="D962" s="371"/>
      <c r="E962" s="367" t="s">
        <v>399</v>
      </c>
      <c r="F962" s="539"/>
      <c r="G962" s="527"/>
      <c r="H962" s="539"/>
      <c r="I962" s="372">
        <f t="shared" si="137"/>
        <v>0</v>
      </c>
      <c r="J962" s="372"/>
      <c r="K962" s="372">
        <f>'RAB Pasang'!K962*60%</f>
        <v>260292</v>
      </c>
      <c r="L962" s="387">
        <f t="shared" si="138"/>
        <v>0</v>
      </c>
      <c r="M962" s="387">
        <f t="shared" si="139"/>
        <v>0</v>
      </c>
      <c r="N962" s="422">
        <f t="shared" si="140"/>
        <v>0</v>
      </c>
    </row>
    <row r="963" spans="1:14" ht="13.2" customHeight="1" x14ac:dyDescent="0.3">
      <c r="A963" s="365">
        <f t="shared" si="141"/>
        <v>29</v>
      </c>
      <c r="B963" s="370" t="s">
        <v>2137</v>
      </c>
      <c r="C963" s="371"/>
      <c r="D963" s="371"/>
      <c r="E963" s="367" t="s">
        <v>399</v>
      </c>
      <c r="F963" s="539"/>
      <c r="G963" s="527"/>
      <c r="H963" s="539"/>
      <c r="I963" s="372">
        <f t="shared" si="137"/>
        <v>0</v>
      </c>
      <c r="J963" s="372"/>
      <c r="K963" s="372">
        <f>'RAB Pasang'!K963*60%</f>
        <v>260292</v>
      </c>
      <c r="L963" s="387">
        <f t="shared" si="138"/>
        <v>0</v>
      </c>
      <c r="M963" s="387">
        <f t="shared" si="139"/>
        <v>0</v>
      </c>
      <c r="N963" s="422">
        <f t="shared" si="140"/>
        <v>0</v>
      </c>
    </row>
    <row r="964" spans="1:14" ht="13.2" customHeight="1" x14ac:dyDescent="0.3">
      <c r="A964" s="365">
        <f t="shared" si="141"/>
        <v>30</v>
      </c>
      <c r="B964" s="370" t="s">
        <v>2138</v>
      </c>
      <c r="C964" s="371"/>
      <c r="D964" s="371"/>
      <c r="E964" s="367" t="s">
        <v>399</v>
      </c>
      <c r="F964" s="539"/>
      <c r="G964" s="527"/>
      <c r="H964" s="539"/>
      <c r="I964" s="372">
        <f t="shared" si="137"/>
        <v>0</v>
      </c>
      <c r="J964" s="372"/>
      <c r="K964" s="372">
        <f>'RAB Pasang'!K964*60%</f>
        <v>260292</v>
      </c>
      <c r="L964" s="387">
        <f t="shared" si="138"/>
        <v>0</v>
      </c>
      <c r="M964" s="387">
        <f t="shared" si="139"/>
        <v>0</v>
      </c>
      <c r="N964" s="422">
        <f t="shared" si="140"/>
        <v>0</v>
      </c>
    </row>
    <row r="965" spans="1:14" ht="13.2" customHeight="1" x14ac:dyDescent="0.3">
      <c r="A965" s="365">
        <f t="shared" si="141"/>
        <v>31</v>
      </c>
      <c r="B965" s="370" t="s">
        <v>2139</v>
      </c>
      <c r="C965" s="371"/>
      <c r="D965" s="371"/>
      <c r="E965" s="367" t="s">
        <v>399</v>
      </c>
      <c r="F965" s="539"/>
      <c r="G965" s="527"/>
      <c r="H965" s="539"/>
      <c r="I965" s="372">
        <f t="shared" si="137"/>
        <v>0</v>
      </c>
      <c r="J965" s="372"/>
      <c r="K965" s="372">
        <f>'RAB Pasang'!K965*60%</f>
        <v>260292</v>
      </c>
      <c r="L965" s="387">
        <f t="shared" si="138"/>
        <v>0</v>
      </c>
      <c r="M965" s="387">
        <f t="shared" si="139"/>
        <v>0</v>
      </c>
      <c r="N965" s="422">
        <f t="shared" si="140"/>
        <v>0</v>
      </c>
    </row>
    <row r="966" spans="1:14" ht="13.2" customHeight="1" x14ac:dyDescent="0.3">
      <c r="A966" s="365">
        <f t="shared" si="141"/>
        <v>32</v>
      </c>
      <c r="B966" s="370" t="s">
        <v>2140</v>
      </c>
      <c r="C966" s="371"/>
      <c r="D966" s="371"/>
      <c r="E966" s="367" t="s">
        <v>399</v>
      </c>
      <c r="F966" s="539"/>
      <c r="G966" s="527"/>
      <c r="H966" s="539"/>
      <c r="I966" s="372">
        <f t="shared" si="137"/>
        <v>0</v>
      </c>
      <c r="J966" s="372"/>
      <c r="K966" s="372">
        <f>'RAB Pasang'!K966*60%</f>
        <v>260292</v>
      </c>
      <c r="L966" s="387">
        <f t="shared" si="138"/>
        <v>0</v>
      </c>
      <c r="M966" s="387">
        <f t="shared" si="139"/>
        <v>0</v>
      </c>
      <c r="N966" s="422">
        <f t="shared" si="140"/>
        <v>0</v>
      </c>
    </row>
    <row r="967" spans="1:14" ht="13.2" customHeight="1" x14ac:dyDescent="0.3">
      <c r="A967" s="365">
        <f t="shared" si="141"/>
        <v>33</v>
      </c>
      <c r="B967" s="370" t="s">
        <v>1439</v>
      </c>
      <c r="C967" s="371"/>
      <c r="D967" s="371"/>
      <c r="E967" s="367" t="s">
        <v>399</v>
      </c>
      <c r="F967" s="539"/>
      <c r="G967" s="527"/>
      <c r="H967" s="539"/>
      <c r="I967" s="372">
        <f t="shared" si="137"/>
        <v>0</v>
      </c>
      <c r="J967" s="372"/>
      <c r="K967" s="372">
        <f>'RAB Pasang'!K967*60%</f>
        <v>147858</v>
      </c>
      <c r="L967" s="387">
        <f t="shared" si="138"/>
        <v>0</v>
      </c>
      <c r="M967" s="387">
        <f t="shared" si="139"/>
        <v>0</v>
      </c>
      <c r="N967" s="422">
        <f t="shared" si="140"/>
        <v>0</v>
      </c>
    </row>
    <row r="968" spans="1:14" ht="13.2" customHeight="1" x14ac:dyDescent="0.3">
      <c r="A968" s="365">
        <f t="shared" si="141"/>
        <v>34</v>
      </c>
      <c r="B968" s="370" t="s">
        <v>1910</v>
      </c>
      <c r="C968" s="371"/>
      <c r="D968" s="371"/>
      <c r="E968" s="367" t="s">
        <v>399</v>
      </c>
      <c r="F968" s="527"/>
      <c r="G968" s="539"/>
      <c r="H968" s="539"/>
      <c r="I968" s="372">
        <f t="shared" si="137"/>
        <v>0</v>
      </c>
      <c r="J968" s="372"/>
      <c r="K968" s="372">
        <f>'RAB Pasang'!K968*60%</f>
        <v>195606</v>
      </c>
      <c r="L968" s="387">
        <f t="shared" si="138"/>
        <v>0</v>
      </c>
      <c r="M968" s="387">
        <f t="shared" si="139"/>
        <v>0</v>
      </c>
      <c r="N968" s="422">
        <f t="shared" si="140"/>
        <v>0</v>
      </c>
    </row>
    <row r="969" spans="1:14" ht="13.2" customHeight="1" x14ac:dyDescent="0.3">
      <c r="A969" s="365">
        <f t="shared" si="141"/>
        <v>35</v>
      </c>
      <c r="B969" s="370" t="s">
        <v>1911</v>
      </c>
      <c r="C969" s="371"/>
      <c r="D969" s="371"/>
      <c r="E969" s="367" t="s">
        <v>399</v>
      </c>
      <c r="F969" s="527"/>
      <c r="G969" s="539"/>
      <c r="H969" s="539"/>
      <c r="I969" s="372">
        <f t="shared" si="137"/>
        <v>0</v>
      </c>
      <c r="J969" s="372"/>
      <c r="K969" s="372">
        <f>'RAB Pasang'!K969*60%</f>
        <v>195606</v>
      </c>
      <c r="L969" s="387">
        <f t="shared" si="138"/>
        <v>0</v>
      </c>
      <c r="M969" s="387">
        <f t="shared" si="139"/>
        <v>0</v>
      </c>
      <c r="N969" s="422">
        <f t="shared" si="140"/>
        <v>0</v>
      </c>
    </row>
    <row r="970" spans="1:14" ht="13.2" customHeight="1" x14ac:dyDescent="0.3">
      <c r="A970" s="365">
        <f t="shared" si="141"/>
        <v>36</v>
      </c>
      <c r="B970" s="370" t="s">
        <v>1912</v>
      </c>
      <c r="C970" s="371"/>
      <c r="D970" s="371"/>
      <c r="E970" s="367" t="s">
        <v>399</v>
      </c>
      <c r="F970" s="527"/>
      <c r="G970" s="539"/>
      <c r="H970" s="539"/>
      <c r="I970" s="372">
        <f t="shared" si="137"/>
        <v>0</v>
      </c>
      <c r="J970" s="372"/>
      <c r="K970" s="372">
        <f>'RAB Pasang'!K970*60%</f>
        <v>195606</v>
      </c>
      <c r="L970" s="387">
        <f t="shared" si="138"/>
        <v>0</v>
      </c>
      <c r="M970" s="387">
        <f t="shared" si="139"/>
        <v>0</v>
      </c>
      <c r="N970" s="422">
        <f t="shared" si="140"/>
        <v>0</v>
      </c>
    </row>
    <row r="971" spans="1:14" ht="13.2" customHeight="1" x14ac:dyDescent="0.3">
      <c r="A971" s="365">
        <f t="shared" si="141"/>
        <v>37</v>
      </c>
      <c r="B971" s="370" t="s">
        <v>2141</v>
      </c>
      <c r="C971" s="371"/>
      <c r="D971" s="371"/>
      <c r="E971" s="367" t="s">
        <v>399</v>
      </c>
      <c r="F971" s="539"/>
      <c r="G971" s="527"/>
      <c r="H971" s="539"/>
      <c r="I971" s="372">
        <f t="shared" si="137"/>
        <v>0</v>
      </c>
      <c r="J971" s="372"/>
      <c r="K971" s="372">
        <f>'RAB Pasang'!K971*60%</f>
        <v>147858</v>
      </c>
      <c r="L971" s="387">
        <f t="shared" si="138"/>
        <v>0</v>
      </c>
      <c r="M971" s="387">
        <f t="shared" si="139"/>
        <v>0</v>
      </c>
      <c r="N971" s="422">
        <f t="shared" si="140"/>
        <v>0</v>
      </c>
    </row>
    <row r="972" spans="1:14" ht="13.2" customHeight="1" x14ac:dyDescent="0.3">
      <c r="A972" s="365">
        <f t="shared" si="141"/>
        <v>38</v>
      </c>
      <c r="B972" s="370" t="s">
        <v>2142</v>
      </c>
      <c r="C972" s="371"/>
      <c r="D972" s="371"/>
      <c r="E972" s="367" t="s">
        <v>399</v>
      </c>
      <c r="F972" s="539"/>
      <c r="G972" s="527"/>
      <c r="H972" s="539"/>
      <c r="I972" s="372">
        <f t="shared" si="137"/>
        <v>0</v>
      </c>
      <c r="J972" s="372"/>
      <c r="K972" s="372">
        <f>'RAB Pasang'!K972*60%</f>
        <v>147858</v>
      </c>
      <c r="L972" s="387">
        <f t="shared" si="138"/>
        <v>0</v>
      </c>
      <c r="M972" s="387">
        <f t="shared" si="139"/>
        <v>0</v>
      </c>
      <c r="N972" s="422">
        <f t="shared" si="140"/>
        <v>0</v>
      </c>
    </row>
    <row r="973" spans="1:14" ht="13.2" customHeight="1" x14ac:dyDescent="0.3">
      <c r="A973" s="365">
        <f t="shared" si="141"/>
        <v>39</v>
      </c>
      <c r="B973" s="370" t="s">
        <v>1631</v>
      </c>
      <c r="C973" s="371"/>
      <c r="D973" s="371"/>
      <c r="E973" s="367" t="s">
        <v>399</v>
      </c>
      <c r="F973" s="539"/>
      <c r="G973" s="539"/>
      <c r="H973" s="527"/>
      <c r="I973" s="372">
        <f t="shared" si="137"/>
        <v>0</v>
      </c>
      <c r="J973" s="372"/>
      <c r="K973" s="372">
        <f>'RAB Pasang'!K973*60%</f>
        <v>163002</v>
      </c>
      <c r="L973" s="387">
        <f t="shared" si="138"/>
        <v>0</v>
      </c>
      <c r="M973" s="387">
        <f t="shared" si="139"/>
        <v>0</v>
      </c>
      <c r="N973" s="422">
        <f t="shared" si="140"/>
        <v>0</v>
      </c>
    </row>
    <row r="974" spans="1:14" ht="13.2" customHeight="1" x14ac:dyDescent="0.3">
      <c r="A974" s="365">
        <f t="shared" si="141"/>
        <v>40</v>
      </c>
      <c r="B974" s="370" t="s">
        <v>1632</v>
      </c>
      <c r="C974" s="371"/>
      <c r="D974" s="371"/>
      <c r="E974" s="367" t="s">
        <v>399</v>
      </c>
      <c r="F974" s="539"/>
      <c r="G974" s="539"/>
      <c r="H974" s="527"/>
      <c r="I974" s="372">
        <f t="shared" si="137"/>
        <v>0</v>
      </c>
      <c r="J974" s="372"/>
      <c r="K974" s="372">
        <f>'RAB Pasang'!K974*60%</f>
        <v>163002</v>
      </c>
      <c r="L974" s="387">
        <f t="shared" si="138"/>
        <v>0</v>
      </c>
      <c r="M974" s="387">
        <f t="shared" si="139"/>
        <v>0</v>
      </c>
      <c r="N974" s="422">
        <f t="shared" si="140"/>
        <v>0</v>
      </c>
    </row>
    <row r="975" spans="1:14" ht="13.2" customHeight="1" x14ac:dyDescent="0.3">
      <c r="A975" s="365">
        <f t="shared" si="141"/>
        <v>41</v>
      </c>
      <c r="B975" s="370" t="s">
        <v>1633</v>
      </c>
      <c r="C975" s="371"/>
      <c r="D975" s="371"/>
      <c r="E975" s="367" t="s">
        <v>399</v>
      </c>
      <c r="F975" s="539"/>
      <c r="G975" s="539"/>
      <c r="H975" s="527"/>
      <c r="I975" s="372">
        <f t="shared" si="137"/>
        <v>0</v>
      </c>
      <c r="J975" s="372"/>
      <c r="K975" s="372">
        <f>'RAB Pasang'!K975*60%</f>
        <v>163002</v>
      </c>
      <c r="L975" s="387">
        <f t="shared" si="138"/>
        <v>0</v>
      </c>
      <c r="M975" s="387">
        <f t="shared" si="139"/>
        <v>0</v>
      </c>
      <c r="N975" s="422">
        <f t="shared" si="140"/>
        <v>0</v>
      </c>
    </row>
    <row r="976" spans="1:14" ht="13.2" customHeight="1" x14ac:dyDescent="0.3">
      <c r="A976" s="365">
        <f t="shared" si="141"/>
        <v>42</v>
      </c>
      <c r="B976" s="370" t="s">
        <v>1200</v>
      </c>
      <c r="C976" s="371"/>
      <c r="D976" s="371"/>
      <c r="E976" s="367" t="s">
        <v>399</v>
      </c>
      <c r="F976" s="539"/>
      <c r="G976" s="539"/>
      <c r="H976" s="527"/>
      <c r="I976" s="372">
        <f t="shared" si="137"/>
        <v>0</v>
      </c>
      <c r="J976" s="372"/>
      <c r="K976" s="372">
        <f>'RAB Pasang'!K976*60%</f>
        <v>163002</v>
      </c>
      <c r="L976" s="387">
        <f t="shared" si="138"/>
        <v>0</v>
      </c>
      <c r="M976" s="387">
        <f t="shared" si="139"/>
        <v>0</v>
      </c>
      <c r="N976" s="422">
        <f t="shared" si="140"/>
        <v>0</v>
      </c>
    </row>
    <row r="977" spans="1:14" ht="13.2" customHeight="1" x14ac:dyDescent="0.3">
      <c r="A977" s="365">
        <f t="shared" si="141"/>
        <v>43</v>
      </c>
      <c r="B977" s="370" t="s">
        <v>1201</v>
      </c>
      <c r="C977" s="371"/>
      <c r="D977" s="371"/>
      <c r="E977" s="367" t="s">
        <v>399</v>
      </c>
      <c r="F977" s="539"/>
      <c r="G977" s="539"/>
      <c r="H977" s="527"/>
      <c r="I977" s="372">
        <f t="shared" si="137"/>
        <v>0</v>
      </c>
      <c r="J977" s="372"/>
      <c r="K977" s="372">
        <f>'RAB Pasang'!K977*60%</f>
        <v>163002</v>
      </c>
      <c r="L977" s="387">
        <f t="shared" si="138"/>
        <v>0</v>
      </c>
      <c r="M977" s="387">
        <f t="shared" si="139"/>
        <v>0</v>
      </c>
      <c r="N977" s="422">
        <f t="shared" si="140"/>
        <v>0</v>
      </c>
    </row>
    <row r="978" spans="1:14" ht="13.2" customHeight="1" x14ac:dyDescent="0.3">
      <c r="A978" s="365">
        <f t="shared" si="141"/>
        <v>44</v>
      </c>
      <c r="B978" s="370" t="s">
        <v>1634</v>
      </c>
      <c r="C978" s="371"/>
      <c r="D978" s="371"/>
      <c r="E978" s="367" t="s">
        <v>399</v>
      </c>
      <c r="F978" s="539"/>
      <c r="G978" s="539"/>
      <c r="H978" s="527"/>
      <c r="I978" s="372">
        <f t="shared" si="137"/>
        <v>0</v>
      </c>
      <c r="J978" s="372"/>
      <c r="K978" s="372">
        <f>'RAB Pasang'!K978*60%</f>
        <v>163002</v>
      </c>
      <c r="L978" s="387">
        <f t="shared" si="138"/>
        <v>0</v>
      </c>
      <c r="M978" s="387">
        <f t="shared" si="139"/>
        <v>0</v>
      </c>
      <c r="N978" s="422">
        <f t="shared" si="140"/>
        <v>0</v>
      </c>
    </row>
    <row r="979" spans="1:14" ht="13.2" customHeight="1" x14ac:dyDescent="0.3">
      <c r="A979" s="365">
        <f t="shared" si="141"/>
        <v>45</v>
      </c>
      <c r="B979" s="370" t="s">
        <v>1635</v>
      </c>
      <c r="C979" s="371"/>
      <c r="D979" s="371"/>
      <c r="E979" s="367" t="s">
        <v>399</v>
      </c>
      <c r="F979" s="539"/>
      <c r="G979" s="539"/>
      <c r="H979" s="527"/>
      <c r="I979" s="372">
        <f t="shared" si="137"/>
        <v>0</v>
      </c>
      <c r="J979" s="372"/>
      <c r="K979" s="372">
        <f>'RAB Pasang'!K979*60%</f>
        <v>163002</v>
      </c>
      <c r="L979" s="387">
        <f t="shared" si="138"/>
        <v>0</v>
      </c>
      <c r="M979" s="387">
        <f t="shared" si="139"/>
        <v>0</v>
      </c>
      <c r="N979" s="422">
        <f t="shared" si="140"/>
        <v>0</v>
      </c>
    </row>
    <row r="980" spans="1:14" ht="13.2" customHeight="1" x14ac:dyDescent="0.3">
      <c r="A980" s="365">
        <f t="shared" si="141"/>
        <v>46</v>
      </c>
      <c r="B980" s="370" t="s">
        <v>1636</v>
      </c>
      <c r="C980" s="371"/>
      <c r="D980" s="371"/>
      <c r="E980" s="367" t="s">
        <v>399</v>
      </c>
      <c r="F980" s="539"/>
      <c r="G980" s="539"/>
      <c r="H980" s="527"/>
      <c r="I980" s="372">
        <f t="shared" si="137"/>
        <v>0</v>
      </c>
      <c r="J980" s="372"/>
      <c r="K980" s="372">
        <f>'RAB Pasang'!K980*60%</f>
        <v>163002</v>
      </c>
      <c r="L980" s="387">
        <f t="shared" si="138"/>
        <v>0</v>
      </c>
      <c r="M980" s="387">
        <f t="shared" si="139"/>
        <v>0</v>
      </c>
      <c r="N980" s="422">
        <f t="shared" si="140"/>
        <v>0</v>
      </c>
    </row>
    <row r="981" spans="1:14" ht="13.2" customHeight="1" x14ac:dyDescent="0.3">
      <c r="A981" s="365">
        <f t="shared" si="141"/>
        <v>47</v>
      </c>
      <c r="B981" s="370" t="s">
        <v>1208</v>
      </c>
      <c r="C981" s="371"/>
      <c r="D981" s="371"/>
      <c r="E981" s="367" t="s">
        <v>399</v>
      </c>
      <c r="F981" s="539"/>
      <c r="G981" s="539"/>
      <c r="H981" s="527"/>
      <c r="I981" s="372">
        <f t="shared" si="137"/>
        <v>0</v>
      </c>
      <c r="J981" s="372"/>
      <c r="K981" s="372">
        <f>'RAB Pasang'!K981*60%</f>
        <v>163002</v>
      </c>
      <c r="L981" s="387">
        <f t="shared" si="138"/>
        <v>0</v>
      </c>
      <c r="M981" s="387">
        <f t="shared" si="139"/>
        <v>0</v>
      </c>
      <c r="N981" s="422">
        <f t="shared" si="140"/>
        <v>0</v>
      </c>
    </row>
    <row r="982" spans="1:14" ht="13.2" customHeight="1" x14ac:dyDescent="0.3">
      <c r="A982" s="365">
        <f t="shared" si="141"/>
        <v>48</v>
      </c>
      <c r="B982" s="370" t="s">
        <v>1209</v>
      </c>
      <c r="C982" s="371"/>
      <c r="D982" s="371"/>
      <c r="E982" s="367" t="s">
        <v>399</v>
      </c>
      <c r="F982" s="539"/>
      <c r="G982" s="539"/>
      <c r="H982" s="527"/>
      <c r="I982" s="372">
        <f t="shared" si="137"/>
        <v>0</v>
      </c>
      <c r="J982" s="372"/>
      <c r="K982" s="372">
        <f>'RAB Pasang'!K982*60%</f>
        <v>163002</v>
      </c>
      <c r="L982" s="387">
        <f t="shared" si="138"/>
        <v>0</v>
      </c>
      <c r="M982" s="387">
        <f t="shared" si="139"/>
        <v>0</v>
      </c>
      <c r="N982" s="422">
        <f t="shared" si="140"/>
        <v>0</v>
      </c>
    </row>
    <row r="983" spans="1:14" ht="15.6" customHeight="1" x14ac:dyDescent="0.3">
      <c r="A983" s="485"/>
      <c r="B983" s="497" t="s">
        <v>2214</v>
      </c>
      <c r="C983" s="487"/>
      <c r="D983" s="487"/>
      <c r="E983" s="488"/>
      <c r="F983" s="492"/>
      <c r="G983" s="492"/>
      <c r="H983" s="492"/>
      <c r="I983" s="543"/>
      <c r="J983" s="492"/>
      <c r="K983" s="492"/>
      <c r="L983" s="490">
        <f t="shared" ref="L983:N983" si="142">SUM(L935:L982)</f>
        <v>0</v>
      </c>
      <c r="M983" s="490">
        <f t="shared" si="142"/>
        <v>0</v>
      </c>
      <c r="N983" s="491">
        <f t="shared" si="142"/>
        <v>0</v>
      </c>
    </row>
    <row r="984" spans="1:14" ht="7.95" customHeight="1" x14ac:dyDescent="0.3">
      <c r="A984" s="365"/>
      <c r="B984" s="370"/>
      <c r="C984" s="371"/>
      <c r="D984" s="371"/>
      <c r="E984" s="367"/>
      <c r="F984" s="527"/>
      <c r="G984" s="527"/>
      <c r="H984" s="527"/>
      <c r="I984" s="372"/>
      <c r="J984" s="372"/>
      <c r="K984" s="372"/>
      <c r="L984" s="387"/>
      <c r="M984" s="387"/>
      <c r="N984" s="422"/>
    </row>
    <row r="985" spans="1:14" ht="14.4" customHeight="1" x14ac:dyDescent="0.3">
      <c r="A985" s="495" t="s">
        <v>615</v>
      </c>
      <c r="B985" s="499" t="s">
        <v>1790</v>
      </c>
      <c r="C985" s="500"/>
      <c r="D985" s="500"/>
      <c r="E985" s="501"/>
      <c r="F985" s="588"/>
      <c r="G985" s="588"/>
      <c r="H985" s="588"/>
      <c r="I985" s="503"/>
      <c r="J985" s="503"/>
      <c r="K985" s="503"/>
      <c r="L985" s="504"/>
      <c r="M985" s="504"/>
      <c r="N985" s="505"/>
    </row>
    <row r="986" spans="1:14" ht="13.2" customHeight="1" x14ac:dyDescent="0.3">
      <c r="A986" s="365">
        <v>1</v>
      </c>
      <c r="B986" s="370" t="s">
        <v>1791</v>
      </c>
      <c r="C986" s="371"/>
      <c r="D986" s="371"/>
      <c r="E986" s="367" t="s">
        <v>399</v>
      </c>
      <c r="F986" s="527"/>
      <c r="G986" s="527"/>
      <c r="H986" s="539"/>
      <c r="I986" s="372">
        <f t="shared" ref="I986:I1004" si="143">SUM(F986:H986)</f>
        <v>0</v>
      </c>
      <c r="J986" s="372"/>
      <c r="K986" s="372">
        <f>'RAB Pasang'!K986*60%</f>
        <v>978018</v>
      </c>
      <c r="L986" s="387">
        <f t="shared" ref="L986:L1004" si="144">J986*I986</f>
        <v>0</v>
      </c>
      <c r="M986" s="387">
        <f t="shared" ref="M986:M1004" si="145">K986*I986</f>
        <v>0</v>
      </c>
      <c r="N986" s="422">
        <f t="shared" ref="N986:N1004" si="146">SUM(L986:M986)</f>
        <v>0</v>
      </c>
    </row>
    <row r="987" spans="1:14" ht="13.2" customHeight="1" x14ac:dyDescent="0.3">
      <c r="A987" s="365">
        <f>A986+1</f>
        <v>2</v>
      </c>
      <c r="B987" s="370" t="s">
        <v>1792</v>
      </c>
      <c r="C987" s="371"/>
      <c r="D987" s="371"/>
      <c r="E987" s="367" t="s">
        <v>399</v>
      </c>
      <c r="F987" s="527"/>
      <c r="G987" s="527"/>
      <c r="H987" s="539"/>
      <c r="I987" s="372">
        <f t="shared" si="143"/>
        <v>0</v>
      </c>
      <c r="J987" s="372"/>
      <c r="K987" s="372">
        <f>'RAB Pasang'!K987*60%</f>
        <v>978018</v>
      </c>
      <c r="L987" s="387">
        <f t="shared" si="144"/>
        <v>0</v>
      </c>
      <c r="M987" s="387">
        <f t="shared" si="145"/>
        <v>0</v>
      </c>
      <c r="N987" s="422">
        <f t="shared" si="146"/>
        <v>0</v>
      </c>
    </row>
    <row r="988" spans="1:14" ht="13.2" customHeight="1" x14ac:dyDescent="0.3">
      <c r="A988" s="365">
        <f t="shared" ref="A988:A1004" si="147">A987+1</f>
        <v>3</v>
      </c>
      <c r="B988" s="370" t="s">
        <v>1793</v>
      </c>
      <c r="C988" s="371"/>
      <c r="D988" s="371"/>
      <c r="E988" s="367" t="s">
        <v>399</v>
      </c>
      <c r="F988" s="527"/>
      <c r="G988" s="527"/>
      <c r="H988" s="539"/>
      <c r="I988" s="372">
        <f t="shared" si="143"/>
        <v>0</v>
      </c>
      <c r="J988" s="372"/>
      <c r="K988" s="372">
        <f>'RAB Pasang'!K988*60%</f>
        <v>978018</v>
      </c>
      <c r="L988" s="387">
        <f t="shared" si="144"/>
        <v>0</v>
      </c>
      <c r="M988" s="387">
        <f t="shared" si="145"/>
        <v>0</v>
      </c>
      <c r="N988" s="422">
        <f t="shared" si="146"/>
        <v>0</v>
      </c>
    </row>
    <row r="989" spans="1:14" ht="13.2" customHeight="1" x14ac:dyDescent="0.3">
      <c r="A989" s="365">
        <f t="shared" si="147"/>
        <v>4</v>
      </c>
      <c r="B989" s="370" t="s">
        <v>1794</v>
      </c>
      <c r="C989" s="371"/>
      <c r="D989" s="371"/>
      <c r="E989" s="367" t="s">
        <v>399</v>
      </c>
      <c r="F989" s="527"/>
      <c r="G989" s="527"/>
      <c r="H989" s="539"/>
      <c r="I989" s="372">
        <f t="shared" si="143"/>
        <v>0</v>
      </c>
      <c r="J989" s="372"/>
      <c r="K989" s="372">
        <f>'RAB Pasang'!K989*60%</f>
        <v>978018</v>
      </c>
      <c r="L989" s="387">
        <f t="shared" si="144"/>
        <v>0</v>
      </c>
      <c r="M989" s="387">
        <f t="shared" si="145"/>
        <v>0</v>
      </c>
      <c r="N989" s="422">
        <f t="shared" si="146"/>
        <v>0</v>
      </c>
    </row>
    <row r="990" spans="1:14" ht="13.2" customHeight="1" x14ac:dyDescent="0.3">
      <c r="A990" s="365">
        <f t="shared" si="147"/>
        <v>5</v>
      </c>
      <c r="B990" s="370" t="s">
        <v>1795</v>
      </c>
      <c r="C990" s="371"/>
      <c r="D990" s="371"/>
      <c r="E990" s="367" t="s">
        <v>399</v>
      </c>
      <c r="F990" s="527"/>
      <c r="G990" s="527"/>
      <c r="H990" s="539"/>
      <c r="I990" s="372">
        <f t="shared" si="143"/>
        <v>0</v>
      </c>
      <c r="J990" s="372"/>
      <c r="K990" s="372">
        <f>'RAB Pasang'!K990*60%</f>
        <v>1364598</v>
      </c>
      <c r="L990" s="387">
        <f t="shared" si="144"/>
        <v>0</v>
      </c>
      <c r="M990" s="387">
        <f t="shared" si="145"/>
        <v>0</v>
      </c>
      <c r="N990" s="422">
        <f t="shared" si="146"/>
        <v>0</v>
      </c>
    </row>
    <row r="991" spans="1:14" ht="13.2" customHeight="1" x14ac:dyDescent="0.3">
      <c r="A991" s="365">
        <f t="shared" si="147"/>
        <v>6</v>
      </c>
      <c r="B991" s="370" t="s">
        <v>1796</v>
      </c>
      <c r="C991" s="371"/>
      <c r="D991" s="371"/>
      <c r="E991" s="367" t="s">
        <v>399</v>
      </c>
      <c r="F991" s="527"/>
      <c r="G991" s="527"/>
      <c r="H991" s="539"/>
      <c r="I991" s="372">
        <f t="shared" si="143"/>
        <v>0</v>
      </c>
      <c r="J991" s="372"/>
      <c r="K991" s="372">
        <f>'RAB Pasang'!K991*60%</f>
        <v>1364598</v>
      </c>
      <c r="L991" s="387">
        <f t="shared" si="144"/>
        <v>0</v>
      </c>
      <c r="M991" s="387">
        <f t="shared" si="145"/>
        <v>0</v>
      </c>
      <c r="N991" s="422">
        <f t="shared" si="146"/>
        <v>0</v>
      </c>
    </row>
    <row r="992" spans="1:14" ht="13.2" customHeight="1" x14ac:dyDescent="0.3">
      <c r="A992" s="365">
        <f t="shared" si="147"/>
        <v>7</v>
      </c>
      <c r="B992" s="370" t="s">
        <v>1797</v>
      </c>
      <c r="C992" s="371"/>
      <c r="D992" s="371"/>
      <c r="E992" s="367" t="s">
        <v>399</v>
      </c>
      <c r="F992" s="527"/>
      <c r="G992" s="527"/>
      <c r="H992" s="539"/>
      <c r="I992" s="372">
        <f t="shared" si="143"/>
        <v>0</v>
      </c>
      <c r="J992" s="372"/>
      <c r="K992" s="372">
        <f>'RAB Pasang'!K992*60%</f>
        <v>1364598</v>
      </c>
      <c r="L992" s="387">
        <f t="shared" si="144"/>
        <v>0</v>
      </c>
      <c r="M992" s="387">
        <f t="shared" si="145"/>
        <v>0</v>
      </c>
      <c r="N992" s="422">
        <f t="shared" si="146"/>
        <v>0</v>
      </c>
    </row>
    <row r="993" spans="1:14" ht="13.2" customHeight="1" x14ac:dyDescent="0.3">
      <c r="A993" s="365">
        <f t="shared" si="147"/>
        <v>8</v>
      </c>
      <c r="B993" s="370" t="s">
        <v>1798</v>
      </c>
      <c r="C993" s="371"/>
      <c r="D993" s="371"/>
      <c r="E993" s="367" t="s">
        <v>399</v>
      </c>
      <c r="F993" s="527"/>
      <c r="G993" s="527"/>
      <c r="H993" s="539"/>
      <c r="I993" s="372">
        <f t="shared" si="143"/>
        <v>0</v>
      </c>
      <c r="J993" s="372"/>
      <c r="K993" s="372">
        <f>'RAB Pasang'!K993*60%</f>
        <v>1364598</v>
      </c>
      <c r="L993" s="387">
        <f t="shared" si="144"/>
        <v>0</v>
      </c>
      <c r="M993" s="387">
        <f t="shared" si="145"/>
        <v>0</v>
      </c>
      <c r="N993" s="422">
        <f t="shared" si="146"/>
        <v>0</v>
      </c>
    </row>
    <row r="994" spans="1:14" ht="13.2" customHeight="1" x14ac:dyDescent="0.3">
      <c r="A994" s="365">
        <f t="shared" si="147"/>
        <v>9</v>
      </c>
      <c r="B994" s="370" t="s">
        <v>1799</v>
      </c>
      <c r="C994" s="371"/>
      <c r="D994" s="371"/>
      <c r="E994" s="367" t="s">
        <v>399</v>
      </c>
      <c r="F994" s="527"/>
      <c r="G994" s="527"/>
      <c r="H994" s="539"/>
      <c r="I994" s="372">
        <f t="shared" si="143"/>
        <v>0</v>
      </c>
      <c r="J994" s="372"/>
      <c r="K994" s="372">
        <f>'RAB Pasang'!K994*60%</f>
        <v>788604</v>
      </c>
      <c r="L994" s="387">
        <f t="shared" si="144"/>
        <v>0</v>
      </c>
      <c r="M994" s="387">
        <f t="shared" si="145"/>
        <v>0</v>
      </c>
      <c r="N994" s="422">
        <f t="shared" si="146"/>
        <v>0</v>
      </c>
    </row>
    <row r="995" spans="1:14" ht="13.2" customHeight="1" x14ac:dyDescent="0.3">
      <c r="A995" s="365">
        <f t="shared" si="147"/>
        <v>10</v>
      </c>
      <c r="B995" s="370" t="s">
        <v>1800</v>
      </c>
      <c r="C995" s="371"/>
      <c r="D995" s="371"/>
      <c r="E995" s="367" t="s">
        <v>399</v>
      </c>
      <c r="F995" s="527"/>
      <c r="G995" s="527"/>
      <c r="H995" s="539"/>
      <c r="I995" s="372">
        <f t="shared" si="143"/>
        <v>0</v>
      </c>
      <c r="J995" s="372"/>
      <c r="K995" s="372">
        <f>'RAB Pasang'!K995*60%</f>
        <v>788604</v>
      </c>
      <c r="L995" s="387">
        <f t="shared" si="144"/>
        <v>0</v>
      </c>
      <c r="M995" s="387">
        <f t="shared" si="145"/>
        <v>0</v>
      </c>
      <c r="N995" s="422">
        <f t="shared" si="146"/>
        <v>0</v>
      </c>
    </row>
    <row r="996" spans="1:14" ht="13.2" customHeight="1" x14ac:dyDescent="0.3">
      <c r="A996" s="365">
        <f t="shared" si="147"/>
        <v>11</v>
      </c>
      <c r="B996" s="370" t="s">
        <v>1801</v>
      </c>
      <c r="C996" s="371"/>
      <c r="D996" s="371"/>
      <c r="E996" s="367" t="s">
        <v>399</v>
      </c>
      <c r="F996" s="527"/>
      <c r="G996" s="527"/>
      <c r="H996" s="539"/>
      <c r="I996" s="372">
        <f t="shared" si="143"/>
        <v>0</v>
      </c>
      <c r="J996" s="372"/>
      <c r="K996" s="372">
        <f>'RAB Pasang'!K996*60%</f>
        <v>788604</v>
      </c>
      <c r="L996" s="387">
        <f t="shared" si="144"/>
        <v>0</v>
      </c>
      <c r="M996" s="387">
        <f t="shared" si="145"/>
        <v>0</v>
      </c>
      <c r="N996" s="422">
        <f t="shared" si="146"/>
        <v>0</v>
      </c>
    </row>
    <row r="997" spans="1:14" ht="13.2" customHeight="1" x14ac:dyDescent="0.3">
      <c r="A997" s="365">
        <f t="shared" si="147"/>
        <v>12</v>
      </c>
      <c r="B997" s="370" t="s">
        <v>1802</v>
      </c>
      <c r="C997" s="371"/>
      <c r="D997" s="371"/>
      <c r="E997" s="367" t="s">
        <v>399</v>
      </c>
      <c r="F997" s="527"/>
      <c r="G997" s="527"/>
      <c r="H997" s="539"/>
      <c r="I997" s="372">
        <f t="shared" si="143"/>
        <v>0</v>
      </c>
      <c r="J997" s="372"/>
      <c r="K997" s="372">
        <f>'RAB Pasang'!K997*60%</f>
        <v>1364598</v>
      </c>
      <c r="L997" s="387">
        <f t="shared" si="144"/>
        <v>0</v>
      </c>
      <c r="M997" s="387">
        <f t="shared" si="145"/>
        <v>0</v>
      </c>
      <c r="N997" s="422">
        <f t="shared" si="146"/>
        <v>0</v>
      </c>
    </row>
    <row r="998" spans="1:14" ht="13.2" customHeight="1" x14ac:dyDescent="0.3">
      <c r="A998" s="365">
        <f t="shared" si="147"/>
        <v>13</v>
      </c>
      <c r="B998" s="370" t="s">
        <v>1803</v>
      </c>
      <c r="C998" s="371"/>
      <c r="D998" s="371"/>
      <c r="E998" s="367" t="s">
        <v>399</v>
      </c>
      <c r="F998" s="527"/>
      <c r="G998" s="527"/>
      <c r="H998" s="539"/>
      <c r="I998" s="372">
        <f t="shared" si="143"/>
        <v>0</v>
      </c>
      <c r="J998" s="372"/>
      <c r="K998" s="372">
        <f>'RAB Pasang'!K998*60%</f>
        <v>1364598</v>
      </c>
      <c r="L998" s="387">
        <f t="shared" si="144"/>
        <v>0</v>
      </c>
      <c r="M998" s="387">
        <f t="shared" si="145"/>
        <v>0</v>
      </c>
      <c r="N998" s="422">
        <f t="shared" si="146"/>
        <v>0</v>
      </c>
    </row>
    <row r="999" spans="1:14" ht="13.2" customHeight="1" x14ac:dyDescent="0.3">
      <c r="A999" s="365">
        <f t="shared" si="147"/>
        <v>14</v>
      </c>
      <c r="B999" s="370" t="s">
        <v>1804</v>
      </c>
      <c r="C999" s="371"/>
      <c r="D999" s="371"/>
      <c r="E999" s="367" t="s">
        <v>399</v>
      </c>
      <c r="F999" s="527"/>
      <c r="G999" s="527"/>
      <c r="H999" s="539"/>
      <c r="I999" s="372">
        <f t="shared" si="143"/>
        <v>0</v>
      </c>
      <c r="J999" s="372"/>
      <c r="K999" s="372">
        <f>'RAB Pasang'!K999*60%</f>
        <v>1364598</v>
      </c>
      <c r="L999" s="387">
        <f t="shared" si="144"/>
        <v>0</v>
      </c>
      <c r="M999" s="387">
        <f t="shared" si="145"/>
        <v>0</v>
      </c>
      <c r="N999" s="422">
        <f t="shared" si="146"/>
        <v>0</v>
      </c>
    </row>
    <row r="1000" spans="1:14" ht="13.2" customHeight="1" x14ac:dyDescent="0.3">
      <c r="A1000" s="365">
        <f t="shared" si="147"/>
        <v>15</v>
      </c>
      <c r="B1000" s="370" t="s">
        <v>1829</v>
      </c>
      <c r="C1000" s="371"/>
      <c r="D1000" s="371"/>
      <c r="E1000" s="367" t="s">
        <v>399</v>
      </c>
      <c r="F1000" s="527"/>
      <c r="G1000" s="527"/>
      <c r="H1000" s="539"/>
      <c r="I1000" s="372">
        <f t="shared" si="143"/>
        <v>0</v>
      </c>
      <c r="J1000" s="372"/>
      <c r="K1000" s="372">
        <f>'RAB Pasang'!K1000*60%</f>
        <v>978018</v>
      </c>
      <c r="L1000" s="387">
        <f t="shared" si="144"/>
        <v>0</v>
      </c>
      <c r="M1000" s="387">
        <f t="shared" si="145"/>
        <v>0</v>
      </c>
      <c r="N1000" s="422">
        <f t="shared" si="146"/>
        <v>0</v>
      </c>
    </row>
    <row r="1001" spans="1:14" ht="13.2" customHeight="1" x14ac:dyDescent="0.3">
      <c r="A1001" s="365">
        <f t="shared" si="147"/>
        <v>16</v>
      </c>
      <c r="B1001" s="370" t="s">
        <v>1830</v>
      </c>
      <c r="C1001" s="371"/>
      <c r="D1001" s="371"/>
      <c r="E1001" s="367" t="s">
        <v>399</v>
      </c>
      <c r="F1001" s="527"/>
      <c r="G1001" s="527"/>
      <c r="H1001" s="539"/>
      <c r="I1001" s="372">
        <f t="shared" si="143"/>
        <v>0</v>
      </c>
      <c r="J1001" s="372"/>
      <c r="K1001" s="372">
        <f>'RAB Pasang'!K1001*60%</f>
        <v>978018</v>
      </c>
      <c r="L1001" s="387">
        <f t="shared" si="144"/>
        <v>0</v>
      </c>
      <c r="M1001" s="387">
        <f t="shared" si="145"/>
        <v>0</v>
      </c>
      <c r="N1001" s="422">
        <f t="shared" si="146"/>
        <v>0</v>
      </c>
    </row>
    <row r="1002" spans="1:14" ht="13.2" customHeight="1" x14ac:dyDescent="0.3">
      <c r="A1002" s="365">
        <f t="shared" si="147"/>
        <v>17</v>
      </c>
      <c r="B1002" s="370" t="s">
        <v>1831</v>
      </c>
      <c r="C1002" s="371"/>
      <c r="D1002" s="371"/>
      <c r="E1002" s="367" t="s">
        <v>399</v>
      </c>
      <c r="F1002" s="527"/>
      <c r="G1002" s="527"/>
      <c r="H1002" s="539"/>
      <c r="I1002" s="372">
        <f t="shared" si="143"/>
        <v>0</v>
      </c>
      <c r="J1002" s="372"/>
      <c r="K1002" s="372">
        <f>'RAB Pasang'!K1002*60%</f>
        <v>1364598</v>
      </c>
      <c r="L1002" s="387">
        <f t="shared" si="144"/>
        <v>0</v>
      </c>
      <c r="M1002" s="387">
        <f t="shared" si="145"/>
        <v>0</v>
      </c>
      <c r="N1002" s="422">
        <f t="shared" si="146"/>
        <v>0</v>
      </c>
    </row>
    <row r="1003" spans="1:14" ht="13.2" customHeight="1" x14ac:dyDescent="0.3">
      <c r="A1003" s="365">
        <f t="shared" si="147"/>
        <v>18</v>
      </c>
      <c r="B1003" s="370" t="s">
        <v>416</v>
      </c>
      <c r="C1003" s="371"/>
      <c r="D1003" s="371"/>
      <c r="E1003" s="367" t="s">
        <v>399</v>
      </c>
      <c r="F1003" s="527"/>
      <c r="G1003" s="527"/>
      <c r="H1003" s="539"/>
      <c r="I1003" s="372">
        <f t="shared" si="143"/>
        <v>0</v>
      </c>
      <c r="J1003" s="372"/>
      <c r="K1003" s="372">
        <f>'RAB Pasang'!K1003*60%</f>
        <v>1364598</v>
      </c>
      <c r="L1003" s="387">
        <f t="shared" si="144"/>
        <v>0</v>
      </c>
      <c r="M1003" s="387">
        <f t="shared" si="145"/>
        <v>0</v>
      </c>
      <c r="N1003" s="422">
        <f t="shared" si="146"/>
        <v>0</v>
      </c>
    </row>
    <row r="1004" spans="1:14" ht="13.2" customHeight="1" x14ac:dyDescent="0.3">
      <c r="A1004" s="365">
        <f t="shared" si="147"/>
        <v>19</v>
      </c>
      <c r="B1004" s="370" t="s">
        <v>1805</v>
      </c>
      <c r="C1004" s="371"/>
      <c r="D1004" s="371"/>
      <c r="E1004" s="367" t="s">
        <v>203</v>
      </c>
      <c r="F1004" s="527"/>
      <c r="G1004" s="527"/>
      <c r="H1004" s="539"/>
      <c r="I1004" s="372">
        <f t="shared" si="143"/>
        <v>0</v>
      </c>
      <c r="J1004" s="372"/>
      <c r="K1004" s="372">
        <f>'RAB Pasang'!K1004*60%</f>
        <v>28716</v>
      </c>
      <c r="L1004" s="387">
        <f t="shared" si="144"/>
        <v>0</v>
      </c>
      <c r="M1004" s="387">
        <f t="shared" si="145"/>
        <v>0</v>
      </c>
      <c r="N1004" s="422">
        <f t="shared" si="146"/>
        <v>0</v>
      </c>
    </row>
    <row r="1005" spans="1:14" ht="13.95" customHeight="1" x14ac:dyDescent="0.3">
      <c r="A1005" s="485"/>
      <c r="B1005" s="497" t="s">
        <v>1806</v>
      </c>
      <c r="C1005" s="487"/>
      <c r="D1005" s="487"/>
      <c r="E1005" s="488"/>
      <c r="F1005" s="492"/>
      <c r="G1005" s="492"/>
      <c r="H1005" s="492"/>
      <c r="I1005" s="543"/>
      <c r="J1005" s="492"/>
      <c r="K1005" s="492"/>
      <c r="L1005" s="490">
        <f t="shared" ref="L1005:N1005" si="148">SUM(L986:L1004)</f>
        <v>0</v>
      </c>
      <c r="M1005" s="490">
        <f t="shared" si="148"/>
        <v>0</v>
      </c>
      <c r="N1005" s="491">
        <f t="shared" si="148"/>
        <v>0</v>
      </c>
    </row>
    <row r="1006" spans="1:14" ht="7.95" customHeight="1" x14ac:dyDescent="0.3">
      <c r="A1006" s="365"/>
      <c r="B1006" s="370"/>
      <c r="C1006" s="371"/>
      <c r="D1006" s="371"/>
      <c r="E1006" s="367"/>
      <c r="F1006" s="527"/>
      <c r="G1006" s="527"/>
      <c r="H1006" s="527"/>
      <c r="I1006" s="372"/>
      <c r="J1006" s="372"/>
      <c r="K1006" s="372"/>
      <c r="L1006" s="387"/>
      <c r="M1006" s="387"/>
      <c r="N1006" s="422"/>
    </row>
    <row r="1007" spans="1:14" ht="13.95" customHeight="1" x14ac:dyDescent="0.3">
      <c r="A1007" s="495" t="s">
        <v>616</v>
      </c>
      <c r="B1007" s="478" t="s">
        <v>1638</v>
      </c>
      <c r="C1007" s="480"/>
      <c r="D1007" s="480"/>
      <c r="E1007" s="493"/>
      <c r="F1007" s="579"/>
      <c r="G1007" s="579"/>
      <c r="H1007" s="579"/>
      <c r="I1007" s="494"/>
      <c r="J1007" s="494"/>
      <c r="K1007" s="494"/>
      <c r="L1007" s="484"/>
      <c r="M1007" s="484"/>
      <c r="N1007" s="496"/>
    </row>
    <row r="1008" spans="1:14" ht="13.2" customHeight="1" x14ac:dyDescent="0.3">
      <c r="A1008" s="365">
        <v>1</v>
      </c>
      <c r="B1008" s="366" t="s">
        <v>1955</v>
      </c>
      <c r="C1008" s="362"/>
      <c r="D1008" s="362"/>
      <c r="E1008" s="368" t="s">
        <v>235</v>
      </c>
      <c r="F1008" s="535"/>
      <c r="G1008" s="535"/>
      <c r="H1008" s="538"/>
      <c r="I1008" s="369">
        <f t="shared" ref="I1008:I1055" si="149">SUM(F1008:H1008)</f>
        <v>0</v>
      </c>
      <c r="J1008" s="369"/>
      <c r="K1008" s="369">
        <f>'RAB Pasang'!K1008*60%</f>
        <v>118290</v>
      </c>
      <c r="L1008" s="385">
        <f t="shared" ref="L1008:L1055" si="150">J1008*I1008</f>
        <v>0</v>
      </c>
      <c r="M1008" s="385">
        <f t="shared" ref="M1008:M1055" si="151">K1008*I1008</f>
        <v>0</v>
      </c>
      <c r="N1008" s="388">
        <f t="shared" ref="N1008:N1055" si="152">SUM(L1008:M1008)</f>
        <v>0</v>
      </c>
    </row>
    <row r="1009" spans="1:14" ht="13.2" customHeight="1" x14ac:dyDescent="0.3">
      <c r="A1009" s="365">
        <f>A1008+1</f>
        <v>2</v>
      </c>
      <c r="B1009" s="366" t="s">
        <v>1956</v>
      </c>
      <c r="C1009" s="362"/>
      <c r="D1009" s="362"/>
      <c r="E1009" s="368" t="s">
        <v>235</v>
      </c>
      <c r="F1009" s="535"/>
      <c r="G1009" s="535"/>
      <c r="H1009" s="538"/>
      <c r="I1009" s="369">
        <f t="shared" si="149"/>
        <v>0</v>
      </c>
      <c r="J1009" s="369"/>
      <c r="K1009" s="369">
        <f>'RAB Pasang'!K1009*60%</f>
        <v>118290</v>
      </c>
      <c r="L1009" s="385">
        <f t="shared" si="150"/>
        <v>0</v>
      </c>
      <c r="M1009" s="385">
        <f t="shared" si="151"/>
        <v>0</v>
      </c>
      <c r="N1009" s="388">
        <f t="shared" si="152"/>
        <v>0</v>
      </c>
    </row>
    <row r="1010" spans="1:14" ht="13.2" customHeight="1" x14ac:dyDescent="0.3">
      <c r="A1010" s="365">
        <f t="shared" ref="A1010:A1055" si="153">A1009+1</f>
        <v>3</v>
      </c>
      <c r="B1010" s="366" t="s">
        <v>1957</v>
      </c>
      <c r="C1010" s="362"/>
      <c r="D1010" s="362"/>
      <c r="E1010" s="368" t="s">
        <v>235</v>
      </c>
      <c r="F1010" s="535"/>
      <c r="G1010" s="535"/>
      <c r="H1010" s="538"/>
      <c r="I1010" s="369">
        <f t="shared" si="149"/>
        <v>0</v>
      </c>
      <c r="J1010" s="369"/>
      <c r="K1010" s="369">
        <f>'RAB Pasang'!K1010*60%</f>
        <v>118290</v>
      </c>
      <c r="L1010" s="385">
        <f t="shared" si="150"/>
        <v>0</v>
      </c>
      <c r="M1010" s="385">
        <f t="shared" si="151"/>
        <v>0</v>
      </c>
      <c r="N1010" s="388">
        <f t="shared" si="152"/>
        <v>0</v>
      </c>
    </row>
    <row r="1011" spans="1:14" ht="13.2" customHeight="1" x14ac:dyDescent="0.3">
      <c r="A1011" s="365">
        <f t="shared" si="153"/>
        <v>4</v>
      </c>
      <c r="B1011" s="366" t="s">
        <v>1958</v>
      </c>
      <c r="C1011" s="362"/>
      <c r="D1011" s="362"/>
      <c r="E1011" s="368" t="s">
        <v>235</v>
      </c>
      <c r="F1011" s="535"/>
      <c r="G1011" s="535"/>
      <c r="H1011" s="538"/>
      <c r="I1011" s="369">
        <f t="shared" si="149"/>
        <v>0</v>
      </c>
      <c r="J1011" s="369"/>
      <c r="K1011" s="369">
        <f>'RAB Pasang'!K1011*60%</f>
        <v>118290</v>
      </c>
      <c r="L1011" s="385">
        <f t="shared" si="150"/>
        <v>0</v>
      </c>
      <c r="M1011" s="385">
        <f t="shared" si="151"/>
        <v>0</v>
      </c>
      <c r="N1011" s="388">
        <f t="shared" si="152"/>
        <v>0</v>
      </c>
    </row>
    <row r="1012" spans="1:14" ht="13.2" customHeight="1" x14ac:dyDescent="0.3">
      <c r="A1012" s="365">
        <f t="shared" si="153"/>
        <v>5</v>
      </c>
      <c r="B1012" s="366" t="s">
        <v>1959</v>
      </c>
      <c r="C1012" s="362"/>
      <c r="D1012" s="362"/>
      <c r="E1012" s="368" t="s">
        <v>235</v>
      </c>
      <c r="F1012" s="538"/>
      <c r="G1012" s="538"/>
      <c r="H1012" s="535"/>
      <c r="I1012" s="369">
        <f t="shared" si="149"/>
        <v>0</v>
      </c>
      <c r="J1012" s="369"/>
      <c r="K1012" s="369">
        <f>'RAB Pasang'!K1012*60%</f>
        <v>118290</v>
      </c>
      <c r="L1012" s="385">
        <f t="shared" si="150"/>
        <v>0</v>
      </c>
      <c r="M1012" s="385">
        <f t="shared" si="151"/>
        <v>0</v>
      </c>
      <c r="N1012" s="388">
        <f t="shared" si="152"/>
        <v>0</v>
      </c>
    </row>
    <row r="1013" spans="1:14" ht="13.2" customHeight="1" x14ac:dyDescent="0.3">
      <c r="A1013" s="365">
        <f t="shared" si="153"/>
        <v>6</v>
      </c>
      <c r="B1013" s="366" t="s">
        <v>1960</v>
      </c>
      <c r="C1013" s="362"/>
      <c r="D1013" s="362"/>
      <c r="E1013" s="368" t="s">
        <v>235</v>
      </c>
      <c r="F1013" s="538"/>
      <c r="G1013" s="538"/>
      <c r="H1013" s="535"/>
      <c r="I1013" s="369">
        <f t="shared" si="149"/>
        <v>0</v>
      </c>
      <c r="J1013" s="369"/>
      <c r="K1013" s="369">
        <f>'RAB Pasang'!K1013*60%</f>
        <v>118290</v>
      </c>
      <c r="L1013" s="385">
        <f t="shared" si="150"/>
        <v>0</v>
      </c>
      <c r="M1013" s="385">
        <f t="shared" si="151"/>
        <v>0</v>
      </c>
      <c r="N1013" s="388">
        <f t="shared" si="152"/>
        <v>0</v>
      </c>
    </row>
    <row r="1014" spans="1:14" ht="13.2" customHeight="1" x14ac:dyDescent="0.3">
      <c r="A1014" s="365">
        <f t="shared" si="153"/>
        <v>7</v>
      </c>
      <c r="B1014" s="366" t="s">
        <v>2325</v>
      </c>
      <c r="C1014" s="362"/>
      <c r="D1014" s="362"/>
      <c r="E1014" s="368" t="s">
        <v>235</v>
      </c>
      <c r="F1014" s="535"/>
      <c r="G1014" s="535"/>
      <c r="H1014" s="538"/>
      <c r="I1014" s="369">
        <f t="shared" si="149"/>
        <v>0</v>
      </c>
      <c r="J1014" s="369"/>
      <c r="K1014" s="369">
        <f>'RAB Pasang'!K1014*60%</f>
        <v>118290</v>
      </c>
      <c r="L1014" s="385">
        <f t="shared" si="150"/>
        <v>0</v>
      </c>
      <c r="M1014" s="385">
        <f t="shared" si="151"/>
        <v>0</v>
      </c>
      <c r="N1014" s="388">
        <f t="shared" si="152"/>
        <v>0</v>
      </c>
    </row>
    <row r="1015" spans="1:14" ht="13.2" customHeight="1" x14ac:dyDescent="0.3">
      <c r="A1015" s="365">
        <f t="shared" si="153"/>
        <v>8</v>
      </c>
      <c r="B1015" s="366" t="s">
        <v>1961</v>
      </c>
      <c r="C1015" s="362"/>
      <c r="D1015" s="362"/>
      <c r="E1015" s="368" t="s">
        <v>235</v>
      </c>
      <c r="F1015" s="535"/>
      <c r="G1015" s="535"/>
      <c r="H1015" s="538"/>
      <c r="I1015" s="369">
        <f t="shared" si="149"/>
        <v>0</v>
      </c>
      <c r="J1015" s="369"/>
      <c r="K1015" s="369">
        <f>'RAB Pasang'!K1015*60%</f>
        <v>118290</v>
      </c>
      <c r="L1015" s="385">
        <f t="shared" si="150"/>
        <v>0</v>
      </c>
      <c r="M1015" s="385">
        <f t="shared" si="151"/>
        <v>0</v>
      </c>
      <c r="N1015" s="388">
        <f t="shared" si="152"/>
        <v>0</v>
      </c>
    </row>
    <row r="1016" spans="1:14" ht="13.2" customHeight="1" x14ac:dyDescent="0.3">
      <c r="A1016" s="365">
        <f t="shared" si="153"/>
        <v>9</v>
      </c>
      <c r="B1016" s="366" t="s">
        <v>1962</v>
      </c>
      <c r="C1016" s="362"/>
      <c r="D1016" s="362"/>
      <c r="E1016" s="368" t="s">
        <v>235</v>
      </c>
      <c r="F1016" s="535"/>
      <c r="G1016" s="535"/>
      <c r="H1016" s="538"/>
      <c r="I1016" s="369">
        <f t="shared" si="149"/>
        <v>0</v>
      </c>
      <c r="J1016" s="369"/>
      <c r="K1016" s="369">
        <f>'RAB Pasang'!K1016*60%</f>
        <v>118290</v>
      </c>
      <c r="L1016" s="385">
        <f t="shared" si="150"/>
        <v>0</v>
      </c>
      <c r="M1016" s="385">
        <f t="shared" si="151"/>
        <v>0</v>
      </c>
      <c r="N1016" s="388">
        <f t="shared" si="152"/>
        <v>0</v>
      </c>
    </row>
    <row r="1017" spans="1:14" ht="13.2" customHeight="1" x14ac:dyDescent="0.3">
      <c r="A1017" s="365">
        <f t="shared" si="153"/>
        <v>10</v>
      </c>
      <c r="B1017" s="366" t="s">
        <v>1963</v>
      </c>
      <c r="C1017" s="362"/>
      <c r="D1017" s="362"/>
      <c r="E1017" s="368" t="s">
        <v>235</v>
      </c>
      <c r="F1017" s="535"/>
      <c r="G1017" s="535"/>
      <c r="H1017" s="538"/>
      <c r="I1017" s="369">
        <f t="shared" si="149"/>
        <v>0</v>
      </c>
      <c r="J1017" s="369"/>
      <c r="K1017" s="369">
        <f>'RAB Pasang'!K1017*60%</f>
        <v>118290</v>
      </c>
      <c r="L1017" s="385">
        <f t="shared" si="150"/>
        <v>0</v>
      </c>
      <c r="M1017" s="385">
        <f t="shared" si="151"/>
        <v>0</v>
      </c>
      <c r="N1017" s="388">
        <f t="shared" si="152"/>
        <v>0</v>
      </c>
    </row>
    <row r="1018" spans="1:14" ht="13.2" customHeight="1" x14ac:dyDescent="0.3">
      <c r="A1018" s="365">
        <f t="shared" si="153"/>
        <v>11</v>
      </c>
      <c r="B1018" s="366" t="s">
        <v>1964</v>
      </c>
      <c r="C1018" s="362"/>
      <c r="D1018" s="362"/>
      <c r="E1018" s="368" t="s">
        <v>235</v>
      </c>
      <c r="F1018" s="538"/>
      <c r="G1018" s="538"/>
      <c r="H1018" s="535"/>
      <c r="I1018" s="369">
        <f t="shared" si="149"/>
        <v>0</v>
      </c>
      <c r="J1018" s="369"/>
      <c r="K1018" s="369">
        <f>'RAB Pasang'!K1018*60%</f>
        <v>118290</v>
      </c>
      <c r="L1018" s="385">
        <f t="shared" si="150"/>
        <v>0</v>
      </c>
      <c r="M1018" s="385">
        <f t="shared" si="151"/>
        <v>0</v>
      </c>
      <c r="N1018" s="388">
        <f t="shared" si="152"/>
        <v>0</v>
      </c>
    </row>
    <row r="1019" spans="1:14" ht="13.2" customHeight="1" x14ac:dyDescent="0.3">
      <c r="A1019" s="365">
        <f t="shared" si="153"/>
        <v>12</v>
      </c>
      <c r="B1019" s="366" t="s">
        <v>1965</v>
      </c>
      <c r="C1019" s="362"/>
      <c r="D1019" s="362"/>
      <c r="E1019" s="368" t="s">
        <v>235</v>
      </c>
      <c r="F1019" s="538"/>
      <c r="G1019" s="538"/>
      <c r="H1019" s="535"/>
      <c r="I1019" s="369">
        <f t="shared" si="149"/>
        <v>0</v>
      </c>
      <c r="J1019" s="369"/>
      <c r="K1019" s="369">
        <f>'RAB Pasang'!K1019*60%</f>
        <v>118290</v>
      </c>
      <c r="L1019" s="385">
        <f t="shared" si="150"/>
        <v>0</v>
      </c>
      <c r="M1019" s="385">
        <f t="shared" si="151"/>
        <v>0</v>
      </c>
      <c r="N1019" s="388">
        <f t="shared" si="152"/>
        <v>0</v>
      </c>
    </row>
    <row r="1020" spans="1:14" ht="13.2" customHeight="1" x14ac:dyDescent="0.3">
      <c r="A1020" s="365">
        <f t="shared" si="153"/>
        <v>13</v>
      </c>
      <c r="B1020" s="366" t="s">
        <v>2326</v>
      </c>
      <c r="C1020" s="362"/>
      <c r="D1020" s="362"/>
      <c r="E1020" s="368" t="s">
        <v>235</v>
      </c>
      <c r="F1020" s="535"/>
      <c r="G1020" s="535"/>
      <c r="H1020" s="538"/>
      <c r="I1020" s="369">
        <f t="shared" si="149"/>
        <v>0</v>
      </c>
      <c r="J1020" s="369"/>
      <c r="K1020" s="369">
        <f>'RAB Pasang'!K1020*60%</f>
        <v>118290</v>
      </c>
      <c r="L1020" s="385">
        <f t="shared" si="150"/>
        <v>0</v>
      </c>
      <c r="M1020" s="385">
        <f t="shared" si="151"/>
        <v>0</v>
      </c>
      <c r="N1020" s="388">
        <f t="shared" si="152"/>
        <v>0</v>
      </c>
    </row>
    <row r="1021" spans="1:14" ht="13.2" customHeight="1" x14ac:dyDescent="0.3">
      <c r="A1021" s="365">
        <f t="shared" si="153"/>
        <v>14</v>
      </c>
      <c r="B1021" s="366" t="s">
        <v>1966</v>
      </c>
      <c r="C1021" s="362"/>
      <c r="D1021" s="362"/>
      <c r="E1021" s="368" t="s">
        <v>235</v>
      </c>
      <c r="F1021" s="535"/>
      <c r="G1021" s="535"/>
      <c r="H1021" s="538"/>
      <c r="I1021" s="369">
        <f t="shared" si="149"/>
        <v>0</v>
      </c>
      <c r="J1021" s="369"/>
      <c r="K1021" s="369">
        <f>'RAB Pasang'!K1021*60%</f>
        <v>118290</v>
      </c>
      <c r="L1021" s="385">
        <f t="shared" si="150"/>
        <v>0</v>
      </c>
      <c r="M1021" s="385">
        <f t="shared" si="151"/>
        <v>0</v>
      </c>
      <c r="N1021" s="388">
        <f t="shared" si="152"/>
        <v>0</v>
      </c>
    </row>
    <row r="1022" spans="1:14" ht="13.2" customHeight="1" x14ac:dyDescent="0.3">
      <c r="A1022" s="365">
        <f t="shared" si="153"/>
        <v>15</v>
      </c>
      <c r="B1022" s="366" t="s">
        <v>1967</v>
      </c>
      <c r="C1022" s="362"/>
      <c r="D1022" s="362"/>
      <c r="E1022" s="368" t="s">
        <v>235</v>
      </c>
      <c r="F1022" s="535"/>
      <c r="G1022" s="535"/>
      <c r="H1022" s="538"/>
      <c r="I1022" s="369">
        <f t="shared" si="149"/>
        <v>0</v>
      </c>
      <c r="J1022" s="369"/>
      <c r="K1022" s="369">
        <f>'RAB Pasang'!K1022*60%</f>
        <v>118290</v>
      </c>
      <c r="L1022" s="385">
        <f t="shared" si="150"/>
        <v>0</v>
      </c>
      <c r="M1022" s="385">
        <f t="shared" si="151"/>
        <v>0</v>
      </c>
      <c r="N1022" s="388">
        <f t="shared" si="152"/>
        <v>0</v>
      </c>
    </row>
    <row r="1023" spans="1:14" ht="13.2" customHeight="1" x14ac:dyDescent="0.3">
      <c r="A1023" s="365">
        <f t="shared" si="153"/>
        <v>16</v>
      </c>
      <c r="B1023" s="366" t="s">
        <v>1968</v>
      </c>
      <c r="C1023" s="362"/>
      <c r="D1023" s="362"/>
      <c r="E1023" s="368" t="s">
        <v>235</v>
      </c>
      <c r="F1023" s="535"/>
      <c r="G1023" s="535"/>
      <c r="H1023" s="538"/>
      <c r="I1023" s="369">
        <f t="shared" si="149"/>
        <v>0</v>
      </c>
      <c r="J1023" s="369"/>
      <c r="K1023" s="369">
        <f>'RAB Pasang'!K1023*60%</f>
        <v>118290</v>
      </c>
      <c r="L1023" s="385">
        <f t="shared" si="150"/>
        <v>0</v>
      </c>
      <c r="M1023" s="385">
        <f t="shared" si="151"/>
        <v>0</v>
      </c>
      <c r="N1023" s="388">
        <f t="shared" si="152"/>
        <v>0</v>
      </c>
    </row>
    <row r="1024" spans="1:14" ht="13.2" customHeight="1" x14ac:dyDescent="0.3">
      <c r="A1024" s="365">
        <f t="shared" si="153"/>
        <v>17</v>
      </c>
      <c r="B1024" s="366" t="s">
        <v>1969</v>
      </c>
      <c r="C1024" s="362"/>
      <c r="D1024" s="362"/>
      <c r="E1024" s="368" t="s">
        <v>235</v>
      </c>
      <c r="F1024" s="538"/>
      <c r="G1024" s="538"/>
      <c r="H1024" s="535"/>
      <c r="I1024" s="369">
        <f t="shared" si="149"/>
        <v>0</v>
      </c>
      <c r="J1024" s="369"/>
      <c r="K1024" s="369">
        <f>'RAB Pasang'!K1024*60%</f>
        <v>118290</v>
      </c>
      <c r="L1024" s="385">
        <f t="shared" si="150"/>
        <v>0</v>
      </c>
      <c r="M1024" s="385">
        <f t="shared" si="151"/>
        <v>0</v>
      </c>
      <c r="N1024" s="388">
        <f t="shared" si="152"/>
        <v>0</v>
      </c>
    </row>
    <row r="1025" spans="1:14" ht="13.2" customHeight="1" x14ac:dyDescent="0.3">
      <c r="A1025" s="365">
        <f t="shared" si="153"/>
        <v>18</v>
      </c>
      <c r="B1025" s="366" t="s">
        <v>1970</v>
      </c>
      <c r="C1025" s="362"/>
      <c r="D1025" s="362"/>
      <c r="E1025" s="368" t="s">
        <v>235</v>
      </c>
      <c r="F1025" s="538"/>
      <c r="G1025" s="538"/>
      <c r="H1025" s="535"/>
      <c r="I1025" s="369">
        <f t="shared" si="149"/>
        <v>0</v>
      </c>
      <c r="J1025" s="369"/>
      <c r="K1025" s="369">
        <f>'RAB Pasang'!K1025*60%</f>
        <v>118290</v>
      </c>
      <c r="L1025" s="385">
        <f t="shared" si="150"/>
        <v>0</v>
      </c>
      <c r="M1025" s="385">
        <f t="shared" si="151"/>
        <v>0</v>
      </c>
      <c r="N1025" s="388">
        <f t="shared" si="152"/>
        <v>0</v>
      </c>
    </row>
    <row r="1026" spans="1:14" ht="13.2" customHeight="1" x14ac:dyDescent="0.3">
      <c r="A1026" s="365">
        <f t="shared" si="153"/>
        <v>19</v>
      </c>
      <c r="B1026" s="366" t="s">
        <v>2327</v>
      </c>
      <c r="C1026" s="362"/>
      <c r="D1026" s="362"/>
      <c r="E1026" s="368" t="s">
        <v>235</v>
      </c>
      <c r="F1026" s="535"/>
      <c r="G1026" s="535"/>
      <c r="H1026" s="538"/>
      <c r="I1026" s="369">
        <f t="shared" si="149"/>
        <v>0</v>
      </c>
      <c r="J1026" s="369"/>
      <c r="K1026" s="369">
        <f>'RAB Pasang'!K1026*60%</f>
        <v>118290</v>
      </c>
      <c r="L1026" s="387">
        <f t="shared" si="150"/>
        <v>0</v>
      </c>
      <c r="M1026" s="387">
        <f t="shared" si="151"/>
        <v>0</v>
      </c>
      <c r="N1026" s="422">
        <f t="shared" si="152"/>
        <v>0</v>
      </c>
    </row>
    <row r="1027" spans="1:14" ht="13.2" customHeight="1" x14ac:dyDescent="0.3">
      <c r="A1027" s="365">
        <f t="shared" si="153"/>
        <v>20</v>
      </c>
      <c r="B1027" s="366" t="s">
        <v>2328</v>
      </c>
      <c r="C1027" s="362"/>
      <c r="D1027" s="362"/>
      <c r="E1027" s="368" t="s">
        <v>235</v>
      </c>
      <c r="F1027" s="535"/>
      <c r="G1027" s="535"/>
      <c r="H1027" s="538"/>
      <c r="I1027" s="369">
        <f t="shared" si="149"/>
        <v>0</v>
      </c>
      <c r="J1027" s="369"/>
      <c r="K1027" s="369">
        <f>'RAB Pasang'!K1027*60%</f>
        <v>118290</v>
      </c>
      <c r="L1027" s="387">
        <f t="shared" si="150"/>
        <v>0</v>
      </c>
      <c r="M1027" s="387">
        <f t="shared" si="151"/>
        <v>0</v>
      </c>
      <c r="N1027" s="422">
        <f t="shared" si="152"/>
        <v>0</v>
      </c>
    </row>
    <row r="1028" spans="1:14" ht="13.2" customHeight="1" x14ac:dyDescent="0.3">
      <c r="A1028" s="365">
        <f t="shared" si="153"/>
        <v>21</v>
      </c>
      <c r="B1028" s="366" t="s">
        <v>2329</v>
      </c>
      <c r="C1028" s="362"/>
      <c r="D1028" s="362"/>
      <c r="E1028" s="368" t="s">
        <v>235</v>
      </c>
      <c r="F1028" s="535"/>
      <c r="G1028" s="535"/>
      <c r="H1028" s="538"/>
      <c r="I1028" s="369">
        <f t="shared" si="149"/>
        <v>0</v>
      </c>
      <c r="J1028" s="369"/>
      <c r="K1028" s="369">
        <f>'RAB Pasang'!K1028*60%</f>
        <v>118290</v>
      </c>
      <c r="L1028" s="387">
        <f t="shared" si="150"/>
        <v>0</v>
      </c>
      <c r="M1028" s="387">
        <f t="shared" si="151"/>
        <v>0</v>
      </c>
      <c r="N1028" s="422">
        <f t="shared" si="152"/>
        <v>0</v>
      </c>
    </row>
    <row r="1029" spans="1:14" ht="13.2" customHeight="1" x14ac:dyDescent="0.3">
      <c r="A1029" s="365">
        <f t="shared" si="153"/>
        <v>22</v>
      </c>
      <c r="B1029" s="366" t="s">
        <v>2330</v>
      </c>
      <c r="C1029" s="362"/>
      <c r="D1029" s="362"/>
      <c r="E1029" s="368" t="s">
        <v>235</v>
      </c>
      <c r="F1029" s="535"/>
      <c r="G1029" s="535"/>
      <c r="H1029" s="538"/>
      <c r="I1029" s="369">
        <f t="shared" si="149"/>
        <v>0</v>
      </c>
      <c r="J1029" s="369"/>
      <c r="K1029" s="369">
        <f>'RAB Pasang'!K1029*60%</f>
        <v>118290</v>
      </c>
      <c r="L1029" s="387">
        <f t="shared" si="150"/>
        <v>0</v>
      </c>
      <c r="M1029" s="387">
        <f t="shared" si="151"/>
        <v>0</v>
      </c>
      <c r="N1029" s="422">
        <f t="shared" si="152"/>
        <v>0</v>
      </c>
    </row>
    <row r="1030" spans="1:14" ht="13.2" customHeight="1" x14ac:dyDescent="0.3">
      <c r="A1030" s="365">
        <f t="shared" si="153"/>
        <v>23</v>
      </c>
      <c r="B1030" s="366" t="s">
        <v>2331</v>
      </c>
      <c r="C1030" s="362"/>
      <c r="D1030" s="362"/>
      <c r="E1030" s="368" t="s">
        <v>235</v>
      </c>
      <c r="F1030" s="538"/>
      <c r="G1030" s="538"/>
      <c r="H1030" s="535"/>
      <c r="I1030" s="369">
        <f t="shared" si="149"/>
        <v>0</v>
      </c>
      <c r="J1030" s="369"/>
      <c r="K1030" s="369">
        <f>'RAB Pasang'!K1030*60%</f>
        <v>118290</v>
      </c>
      <c r="L1030" s="387">
        <f t="shared" si="150"/>
        <v>0</v>
      </c>
      <c r="M1030" s="387">
        <f t="shared" si="151"/>
        <v>0</v>
      </c>
      <c r="N1030" s="422">
        <f t="shared" si="152"/>
        <v>0</v>
      </c>
    </row>
    <row r="1031" spans="1:14" ht="13.2" customHeight="1" x14ac:dyDescent="0.3">
      <c r="A1031" s="365">
        <f t="shared" si="153"/>
        <v>24</v>
      </c>
      <c r="B1031" s="366" t="s">
        <v>2332</v>
      </c>
      <c r="C1031" s="362"/>
      <c r="D1031" s="362"/>
      <c r="E1031" s="368" t="s">
        <v>235</v>
      </c>
      <c r="F1031" s="538"/>
      <c r="G1031" s="538"/>
      <c r="H1031" s="535"/>
      <c r="I1031" s="369">
        <f t="shared" si="149"/>
        <v>0</v>
      </c>
      <c r="J1031" s="369"/>
      <c r="K1031" s="369">
        <f>'RAB Pasang'!K1031*60%</f>
        <v>118290</v>
      </c>
      <c r="L1031" s="387">
        <f t="shared" si="150"/>
        <v>0</v>
      </c>
      <c r="M1031" s="387">
        <f t="shared" si="151"/>
        <v>0</v>
      </c>
      <c r="N1031" s="422">
        <f t="shared" si="152"/>
        <v>0</v>
      </c>
    </row>
    <row r="1032" spans="1:14" ht="13.2" customHeight="1" x14ac:dyDescent="0.3">
      <c r="A1032" s="365">
        <f t="shared" si="153"/>
        <v>25</v>
      </c>
      <c r="B1032" s="366" t="s">
        <v>1971</v>
      </c>
      <c r="C1032" s="362"/>
      <c r="D1032" s="362"/>
      <c r="E1032" s="368" t="s">
        <v>203</v>
      </c>
      <c r="F1032" s="538"/>
      <c r="G1032" s="535"/>
      <c r="H1032" s="538"/>
      <c r="I1032" s="369">
        <f t="shared" si="149"/>
        <v>0</v>
      </c>
      <c r="J1032" s="369"/>
      <c r="K1032" s="369">
        <f>'RAB Pasang'!K1032*60%</f>
        <v>390432</v>
      </c>
      <c r="L1032" s="385">
        <f t="shared" si="150"/>
        <v>0</v>
      </c>
      <c r="M1032" s="385">
        <f t="shared" si="151"/>
        <v>0</v>
      </c>
      <c r="N1032" s="388">
        <f t="shared" si="152"/>
        <v>0</v>
      </c>
    </row>
    <row r="1033" spans="1:14" ht="13.2" customHeight="1" x14ac:dyDescent="0.3">
      <c r="A1033" s="365">
        <f t="shared" si="153"/>
        <v>26</v>
      </c>
      <c r="B1033" s="366" t="s">
        <v>1972</v>
      </c>
      <c r="C1033" s="362"/>
      <c r="D1033" s="362"/>
      <c r="E1033" s="368" t="s">
        <v>203</v>
      </c>
      <c r="F1033" s="538"/>
      <c r="G1033" s="535"/>
      <c r="H1033" s="538"/>
      <c r="I1033" s="369">
        <f t="shared" si="149"/>
        <v>0</v>
      </c>
      <c r="J1033" s="369"/>
      <c r="K1033" s="369">
        <f>'RAB Pasang'!K1033*60%</f>
        <v>678426</v>
      </c>
      <c r="L1033" s="385">
        <f t="shared" si="150"/>
        <v>0</v>
      </c>
      <c r="M1033" s="385">
        <f t="shared" si="151"/>
        <v>0</v>
      </c>
      <c r="N1033" s="388">
        <f t="shared" si="152"/>
        <v>0</v>
      </c>
    </row>
    <row r="1034" spans="1:14" ht="13.2" customHeight="1" x14ac:dyDescent="0.3">
      <c r="A1034" s="365">
        <f t="shared" si="153"/>
        <v>27</v>
      </c>
      <c r="B1034" s="366" t="s">
        <v>1810</v>
      </c>
      <c r="C1034" s="362"/>
      <c r="D1034" s="362"/>
      <c r="E1034" s="368" t="s">
        <v>235</v>
      </c>
      <c r="F1034" s="538"/>
      <c r="G1034" s="538"/>
      <c r="H1034" s="538"/>
      <c r="I1034" s="369">
        <f t="shared" si="149"/>
        <v>0</v>
      </c>
      <c r="J1034" s="369"/>
      <c r="K1034" s="369"/>
      <c r="L1034" s="385">
        <f t="shared" si="150"/>
        <v>0</v>
      </c>
      <c r="M1034" s="385">
        <f t="shared" si="151"/>
        <v>0</v>
      </c>
      <c r="N1034" s="388">
        <f t="shared" si="152"/>
        <v>0</v>
      </c>
    </row>
    <row r="1035" spans="1:14" ht="13.2" customHeight="1" x14ac:dyDescent="0.3">
      <c r="A1035" s="365">
        <f t="shared" si="153"/>
        <v>28</v>
      </c>
      <c r="B1035" s="366" t="s">
        <v>1811</v>
      </c>
      <c r="C1035" s="362"/>
      <c r="D1035" s="362"/>
      <c r="E1035" s="368" t="s">
        <v>235</v>
      </c>
      <c r="F1035" s="538"/>
      <c r="G1035" s="538"/>
      <c r="H1035" s="538"/>
      <c r="I1035" s="369">
        <f t="shared" si="149"/>
        <v>0</v>
      </c>
      <c r="J1035" s="369"/>
      <c r="K1035" s="369"/>
      <c r="L1035" s="385">
        <f t="shared" si="150"/>
        <v>0</v>
      </c>
      <c r="M1035" s="385">
        <f t="shared" si="151"/>
        <v>0</v>
      </c>
      <c r="N1035" s="388">
        <f t="shared" si="152"/>
        <v>0</v>
      </c>
    </row>
    <row r="1036" spans="1:14" ht="13.2" customHeight="1" x14ac:dyDescent="0.3">
      <c r="A1036" s="365">
        <f t="shared" si="153"/>
        <v>29</v>
      </c>
      <c r="B1036" s="366" t="s">
        <v>1812</v>
      </c>
      <c r="C1036" s="362"/>
      <c r="D1036" s="362"/>
      <c r="E1036" s="368" t="s">
        <v>235</v>
      </c>
      <c r="F1036" s="538"/>
      <c r="G1036" s="538"/>
      <c r="H1036" s="538"/>
      <c r="I1036" s="369">
        <f t="shared" si="149"/>
        <v>0</v>
      </c>
      <c r="J1036" s="369"/>
      <c r="K1036" s="369"/>
      <c r="L1036" s="385">
        <f t="shared" si="150"/>
        <v>0</v>
      </c>
      <c r="M1036" s="385">
        <f t="shared" si="151"/>
        <v>0</v>
      </c>
      <c r="N1036" s="388">
        <f t="shared" si="152"/>
        <v>0</v>
      </c>
    </row>
    <row r="1037" spans="1:14" ht="13.2" customHeight="1" x14ac:dyDescent="0.3">
      <c r="A1037" s="365">
        <f t="shared" si="153"/>
        <v>30</v>
      </c>
      <c r="B1037" s="366" t="s">
        <v>1813</v>
      </c>
      <c r="C1037" s="362"/>
      <c r="D1037" s="362"/>
      <c r="E1037" s="368" t="s">
        <v>235</v>
      </c>
      <c r="F1037" s="538"/>
      <c r="G1037" s="538"/>
      <c r="H1037" s="538"/>
      <c r="I1037" s="369">
        <f t="shared" si="149"/>
        <v>0</v>
      </c>
      <c r="J1037" s="369"/>
      <c r="K1037" s="369"/>
      <c r="L1037" s="385">
        <f t="shared" si="150"/>
        <v>0</v>
      </c>
      <c r="M1037" s="385">
        <f t="shared" si="151"/>
        <v>0</v>
      </c>
      <c r="N1037" s="388">
        <f t="shared" si="152"/>
        <v>0</v>
      </c>
    </row>
    <row r="1038" spans="1:14" ht="13.2" customHeight="1" x14ac:dyDescent="0.3">
      <c r="A1038" s="365">
        <f t="shared" si="153"/>
        <v>31</v>
      </c>
      <c r="B1038" s="366" t="s">
        <v>1814</v>
      </c>
      <c r="C1038" s="362"/>
      <c r="D1038" s="362"/>
      <c r="E1038" s="368" t="s">
        <v>235</v>
      </c>
      <c r="F1038" s="538"/>
      <c r="G1038" s="538"/>
      <c r="H1038" s="538"/>
      <c r="I1038" s="369">
        <f t="shared" si="149"/>
        <v>0</v>
      </c>
      <c r="J1038" s="369"/>
      <c r="K1038" s="369"/>
      <c r="L1038" s="385">
        <f t="shared" si="150"/>
        <v>0</v>
      </c>
      <c r="M1038" s="385">
        <f t="shared" si="151"/>
        <v>0</v>
      </c>
      <c r="N1038" s="388">
        <f t="shared" si="152"/>
        <v>0</v>
      </c>
    </row>
    <row r="1039" spans="1:14" ht="13.2" customHeight="1" x14ac:dyDescent="0.3">
      <c r="A1039" s="365">
        <f t="shared" si="153"/>
        <v>32</v>
      </c>
      <c r="B1039" s="366" t="s">
        <v>1815</v>
      </c>
      <c r="C1039" s="362"/>
      <c r="D1039" s="362"/>
      <c r="E1039" s="368" t="s">
        <v>235</v>
      </c>
      <c r="F1039" s="538"/>
      <c r="G1039" s="538"/>
      <c r="H1039" s="538"/>
      <c r="I1039" s="369">
        <f t="shared" si="149"/>
        <v>0</v>
      </c>
      <c r="J1039" s="369"/>
      <c r="K1039" s="369"/>
      <c r="L1039" s="385">
        <f t="shared" si="150"/>
        <v>0</v>
      </c>
      <c r="M1039" s="385">
        <f t="shared" si="151"/>
        <v>0</v>
      </c>
      <c r="N1039" s="388">
        <f t="shared" si="152"/>
        <v>0</v>
      </c>
    </row>
    <row r="1040" spans="1:14" ht="13.2" customHeight="1" x14ac:dyDescent="0.3">
      <c r="A1040" s="365">
        <f t="shared" si="153"/>
        <v>33</v>
      </c>
      <c r="B1040" s="366" t="s">
        <v>1889</v>
      </c>
      <c r="C1040" s="362"/>
      <c r="D1040" s="362"/>
      <c r="E1040" s="368" t="s">
        <v>203</v>
      </c>
      <c r="F1040" s="538"/>
      <c r="G1040" s="538"/>
      <c r="H1040" s="538"/>
      <c r="I1040" s="369">
        <f t="shared" si="149"/>
        <v>0</v>
      </c>
      <c r="J1040" s="369"/>
      <c r="K1040" s="369"/>
      <c r="L1040" s="385">
        <f t="shared" si="150"/>
        <v>0</v>
      </c>
      <c r="M1040" s="385">
        <f t="shared" si="151"/>
        <v>0</v>
      </c>
      <c r="N1040" s="388">
        <f t="shared" si="152"/>
        <v>0</v>
      </c>
    </row>
    <row r="1041" spans="1:14" ht="13.2" customHeight="1" x14ac:dyDescent="0.3">
      <c r="A1041" s="365">
        <f t="shared" si="153"/>
        <v>34</v>
      </c>
      <c r="B1041" s="366" t="s">
        <v>1890</v>
      </c>
      <c r="C1041" s="362"/>
      <c r="D1041" s="362"/>
      <c r="E1041" s="368" t="s">
        <v>203</v>
      </c>
      <c r="F1041" s="538"/>
      <c r="G1041" s="538"/>
      <c r="H1041" s="538"/>
      <c r="I1041" s="369">
        <f t="shared" si="149"/>
        <v>0</v>
      </c>
      <c r="J1041" s="369"/>
      <c r="K1041" s="369"/>
      <c r="L1041" s="385">
        <f t="shared" si="150"/>
        <v>0</v>
      </c>
      <c r="M1041" s="385">
        <f t="shared" si="151"/>
        <v>0</v>
      </c>
      <c r="N1041" s="388">
        <f t="shared" si="152"/>
        <v>0</v>
      </c>
    </row>
    <row r="1042" spans="1:14" ht="13.2" customHeight="1" x14ac:dyDescent="0.3">
      <c r="A1042" s="365">
        <f t="shared" si="153"/>
        <v>35</v>
      </c>
      <c r="B1042" s="366" t="s">
        <v>1816</v>
      </c>
      <c r="C1042" s="362"/>
      <c r="D1042" s="362"/>
      <c r="E1042" s="368" t="s">
        <v>203</v>
      </c>
      <c r="F1042" s="538"/>
      <c r="G1042" s="538"/>
      <c r="H1042" s="538"/>
      <c r="I1042" s="369">
        <f t="shared" si="149"/>
        <v>0</v>
      </c>
      <c r="J1042" s="369"/>
      <c r="K1042" s="369"/>
      <c r="L1042" s="385">
        <f t="shared" si="150"/>
        <v>0</v>
      </c>
      <c r="M1042" s="385">
        <f t="shared" si="151"/>
        <v>0</v>
      </c>
      <c r="N1042" s="388">
        <f t="shared" si="152"/>
        <v>0</v>
      </c>
    </row>
    <row r="1043" spans="1:14" ht="13.2" customHeight="1" x14ac:dyDescent="0.3">
      <c r="A1043" s="365">
        <f t="shared" si="153"/>
        <v>36</v>
      </c>
      <c r="B1043" s="366" t="s">
        <v>1817</v>
      </c>
      <c r="C1043" s="362"/>
      <c r="D1043" s="362"/>
      <c r="E1043" s="368" t="s">
        <v>203</v>
      </c>
      <c r="F1043" s="538"/>
      <c r="G1043" s="538"/>
      <c r="H1043" s="538"/>
      <c r="I1043" s="369">
        <f t="shared" si="149"/>
        <v>0</v>
      </c>
      <c r="J1043" s="369"/>
      <c r="K1043" s="369"/>
      <c r="L1043" s="385">
        <f t="shared" si="150"/>
        <v>0</v>
      </c>
      <c r="M1043" s="385">
        <f t="shared" si="151"/>
        <v>0</v>
      </c>
      <c r="N1043" s="388">
        <f t="shared" si="152"/>
        <v>0</v>
      </c>
    </row>
    <row r="1044" spans="1:14" ht="13.2" customHeight="1" x14ac:dyDescent="0.3">
      <c r="A1044" s="365">
        <f t="shared" si="153"/>
        <v>37</v>
      </c>
      <c r="B1044" s="366" t="s">
        <v>1808</v>
      </c>
      <c r="C1044" s="362"/>
      <c r="D1044" s="362"/>
      <c r="E1044" s="368" t="s">
        <v>1888</v>
      </c>
      <c r="F1044" s="538"/>
      <c r="G1044" s="538"/>
      <c r="H1044" s="538"/>
      <c r="I1044" s="369">
        <f t="shared" si="149"/>
        <v>0</v>
      </c>
      <c r="J1044" s="369"/>
      <c r="K1044" s="369"/>
      <c r="L1044" s="385">
        <f t="shared" si="150"/>
        <v>0</v>
      </c>
      <c r="M1044" s="385">
        <f t="shared" si="151"/>
        <v>0</v>
      </c>
      <c r="N1044" s="388">
        <f t="shared" si="152"/>
        <v>0</v>
      </c>
    </row>
    <row r="1045" spans="1:14" ht="13.2" customHeight="1" x14ac:dyDescent="0.3">
      <c r="A1045" s="365">
        <f t="shared" si="153"/>
        <v>38</v>
      </c>
      <c r="B1045" s="366" t="s">
        <v>1809</v>
      </c>
      <c r="C1045" s="362"/>
      <c r="D1045" s="362"/>
      <c r="E1045" s="368" t="s">
        <v>1888</v>
      </c>
      <c r="F1045" s="538"/>
      <c r="G1045" s="538"/>
      <c r="H1045" s="538"/>
      <c r="I1045" s="369">
        <f t="shared" si="149"/>
        <v>0</v>
      </c>
      <c r="J1045" s="369"/>
      <c r="K1045" s="369"/>
      <c r="L1045" s="385">
        <f t="shared" si="150"/>
        <v>0</v>
      </c>
      <c r="M1045" s="385">
        <f t="shared" si="151"/>
        <v>0</v>
      </c>
      <c r="N1045" s="388">
        <f t="shared" si="152"/>
        <v>0</v>
      </c>
    </row>
    <row r="1046" spans="1:14" ht="13.2" customHeight="1" x14ac:dyDescent="0.3">
      <c r="A1046" s="365">
        <f t="shared" si="153"/>
        <v>39</v>
      </c>
      <c r="B1046" s="366" t="s">
        <v>1818</v>
      </c>
      <c r="C1046" s="362"/>
      <c r="D1046" s="362"/>
      <c r="E1046" s="368" t="s">
        <v>399</v>
      </c>
      <c r="F1046" s="538"/>
      <c r="G1046" s="535"/>
      <c r="H1046" s="538"/>
      <c r="I1046" s="369">
        <f t="shared" si="149"/>
        <v>0</v>
      </c>
      <c r="J1046" s="369"/>
      <c r="K1046" s="369">
        <f>'RAB Pasang'!K1046*60%</f>
        <v>96642</v>
      </c>
      <c r="L1046" s="385">
        <f t="shared" si="150"/>
        <v>0</v>
      </c>
      <c r="M1046" s="385">
        <f t="shared" si="151"/>
        <v>0</v>
      </c>
      <c r="N1046" s="388">
        <f t="shared" si="152"/>
        <v>0</v>
      </c>
    </row>
    <row r="1047" spans="1:14" ht="13.2" customHeight="1" x14ac:dyDescent="0.3">
      <c r="A1047" s="365">
        <f t="shared" si="153"/>
        <v>40</v>
      </c>
      <c r="B1047" s="366" t="s">
        <v>1891</v>
      </c>
      <c r="C1047" s="362"/>
      <c r="D1047" s="362"/>
      <c r="E1047" s="368" t="s">
        <v>1888</v>
      </c>
      <c r="F1047" s="538"/>
      <c r="G1047" s="538"/>
      <c r="H1047" s="538"/>
      <c r="I1047" s="369">
        <f t="shared" si="149"/>
        <v>0</v>
      </c>
      <c r="J1047" s="369"/>
      <c r="K1047" s="369"/>
      <c r="L1047" s="385">
        <f t="shared" si="150"/>
        <v>0</v>
      </c>
      <c r="M1047" s="385">
        <f t="shared" si="151"/>
        <v>0</v>
      </c>
      <c r="N1047" s="388">
        <f t="shared" si="152"/>
        <v>0</v>
      </c>
    </row>
    <row r="1048" spans="1:14" ht="13.2" customHeight="1" x14ac:dyDescent="0.3">
      <c r="A1048" s="365">
        <f t="shared" si="153"/>
        <v>41</v>
      </c>
      <c r="B1048" s="366" t="s">
        <v>1894</v>
      </c>
      <c r="C1048" s="362"/>
      <c r="D1048" s="362"/>
      <c r="E1048" s="368" t="s">
        <v>1639</v>
      </c>
      <c r="F1048" s="535"/>
      <c r="G1048" s="535"/>
      <c r="H1048" s="535"/>
      <c r="I1048" s="369">
        <f t="shared" si="149"/>
        <v>0</v>
      </c>
      <c r="J1048" s="369"/>
      <c r="K1048" s="369"/>
      <c r="L1048" s="385">
        <f t="shared" si="150"/>
        <v>0</v>
      </c>
      <c r="M1048" s="385">
        <f t="shared" si="151"/>
        <v>0</v>
      </c>
      <c r="N1048" s="388">
        <f t="shared" si="152"/>
        <v>0</v>
      </c>
    </row>
    <row r="1049" spans="1:14" ht="13.2" customHeight="1" x14ac:dyDescent="0.3">
      <c r="A1049" s="365">
        <f t="shared" si="153"/>
        <v>42</v>
      </c>
      <c r="B1049" s="366" t="s">
        <v>1893</v>
      </c>
      <c r="C1049" s="362"/>
      <c r="D1049" s="362"/>
      <c r="E1049" s="368" t="s">
        <v>1639</v>
      </c>
      <c r="F1049" s="535"/>
      <c r="G1049" s="535"/>
      <c r="H1049" s="535"/>
      <c r="I1049" s="369">
        <f t="shared" si="149"/>
        <v>0</v>
      </c>
      <c r="J1049" s="369"/>
      <c r="K1049" s="369"/>
      <c r="L1049" s="385">
        <f t="shared" si="150"/>
        <v>0</v>
      </c>
      <c r="M1049" s="385">
        <f t="shared" si="151"/>
        <v>0</v>
      </c>
      <c r="N1049" s="388">
        <f t="shared" si="152"/>
        <v>0</v>
      </c>
    </row>
    <row r="1050" spans="1:14" ht="13.2" customHeight="1" x14ac:dyDescent="0.3">
      <c r="A1050" s="365">
        <f t="shared" si="153"/>
        <v>43</v>
      </c>
      <c r="B1050" s="366" t="s">
        <v>1819</v>
      </c>
      <c r="C1050" s="362"/>
      <c r="D1050" s="362"/>
      <c r="E1050" s="368" t="s">
        <v>642</v>
      </c>
      <c r="F1050" s="538"/>
      <c r="G1050" s="538"/>
      <c r="H1050" s="538"/>
      <c r="I1050" s="369">
        <f t="shared" si="149"/>
        <v>0</v>
      </c>
      <c r="J1050" s="369"/>
      <c r="K1050" s="369"/>
      <c r="L1050" s="385">
        <f t="shared" si="150"/>
        <v>0</v>
      </c>
      <c r="M1050" s="385">
        <f t="shared" si="151"/>
        <v>0</v>
      </c>
      <c r="N1050" s="388">
        <f t="shared" si="152"/>
        <v>0</v>
      </c>
    </row>
    <row r="1051" spans="1:14" ht="13.2" customHeight="1" x14ac:dyDescent="0.3">
      <c r="A1051" s="365">
        <f t="shared" si="153"/>
        <v>44</v>
      </c>
      <c r="B1051" s="366" t="s">
        <v>1820</v>
      </c>
      <c r="C1051" s="362"/>
      <c r="D1051" s="362"/>
      <c r="E1051" s="368" t="s">
        <v>642</v>
      </c>
      <c r="F1051" s="538"/>
      <c r="G1051" s="538"/>
      <c r="H1051" s="538"/>
      <c r="I1051" s="369">
        <f t="shared" si="149"/>
        <v>0</v>
      </c>
      <c r="J1051" s="369"/>
      <c r="K1051" s="369"/>
      <c r="L1051" s="385">
        <f t="shared" si="150"/>
        <v>0</v>
      </c>
      <c r="M1051" s="385">
        <f t="shared" si="151"/>
        <v>0</v>
      </c>
      <c r="N1051" s="388">
        <f t="shared" si="152"/>
        <v>0</v>
      </c>
    </row>
    <row r="1052" spans="1:14" ht="13.2" customHeight="1" x14ac:dyDescent="0.3">
      <c r="A1052" s="365">
        <f t="shared" si="153"/>
        <v>45</v>
      </c>
      <c r="B1052" s="370" t="s">
        <v>1821</v>
      </c>
      <c r="C1052" s="371"/>
      <c r="D1052" s="371"/>
      <c r="E1052" s="367" t="s">
        <v>1896</v>
      </c>
      <c r="F1052" s="538"/>
      <c r="G1052" s="539"/>
      <c r="H1052" s="538"/>
      <c r="I1052" s="372">
        <f t="shared" si="149"/>
        <v>0</v>
      </c>
      <c r="J1052" s="372"/>
      <c r="K1052" s="372"/>
      <c r="L1052" s="385">
        <f t="shared" si="150"/>
        <v>0</v>
      </c>
      <c r="M1052" s="385">
        <f t="shared" si="151"/>
        <v>0</v>
      </c>
      <c r="N1052" s="388">
        <f t="shared" si="152"/>
        <v>0</v>
      </c>
    </row>
    <row r="1053" spans="1:14" ht="13.2" customHeight="1" x14ac:dyDescent="0.3">
      <c r="A1053" s="365">
        <f t="shared" si="153"/>
        <v>46</v>
      </c>
      <c r="B1053" s="370" t="s">
        <v>1897</v>
      </c>
      <c r="C1053" s="371"/>
      <c r="D1053" s="371"/>
      <c r="E1053" s="367" t="s">
        <v>1639</v>
      </c>
      <c r="F1053" s="527"/>
      <c r="G1053" s="527"/>
      <c r="H1053" s="527"/>
      <c r="I1053" s="372">
        <f t="shared" si="149"/>
        <v>0</v>
      </c>
      <c r="J1053" s="372"/>
      <c r="K1053" s="369">
        <f>'RAB Pasang'!K1053</f>
        <v>22180</v>
      </c>
      <c r="L1053" s="385">
        <f t="shared" si="150"/>
        <v>0</v>
      </c>
      <c r="M1053" s="385">
        <f t="shared" si="151"/>
        <v>0</v>
      </c>
      <c r="N1053" s="388">
        <f t="shared" si="152"/>
        <v>0</v>
      </c>
    </row>
    <row r="1054" spans="1:14" ht="13.2" customHeight="1" x14ac:dyDescent="0.3">
      <c r="A1054" s="365">
        <f t="shared" si="153"/>
        <v>47</v>
      </c>
      <c r="B1054" s="370" t="s">
        <v>1898</v>
      </c>
      <c r="C1054" s="371"/>
      <c r="D1054" s="371"/>
      <c r="E1054" s="367" t="s">
        <v>235</v>
      </c>
      <c r="F1054" s="539"/>
      <c r="G1054" s="539"/>
      <c r="H1054" s="539"/>
      <c r="I1054" s="372">
        <f t="shared" si="149"/>
        <v>0</v>
      </c>
      <c r="J1054" s="372"/>
      <c r="K1054" s="372"/>
      <c r="L1054" s="385">
        <f t="shared" si="150"/>
        <v>0</v>
      </c>
      <c r="M1054" s="385">
        <f t="shared" si="151"/>
        <v>0</v>
      </c>
      <c r="N1054" s="388">
        <f t="shared" si="152"/>
        <v>0</v>
      </c>
    </row>
    <row r="1055" spans="1:14" ht="13.2" customHeight="1" x14ac:dyDescent="0.3">
      <c r="A1055" s="365">
        <f t="shared" si="153"/>
        <v>48</v>
      </c>
      <c r="B1055" s="389" t="s">
        <v>1899</v>
      </c>
      <c r="C1055" s="390"/>
      <c r="D1055" s="390"/>
      <c r="E1055" s="391" t="s">
        <v>399</v>
      </c>
      <c r="F1055" s="577"/>
      <c r="G1055" s="577"/>
      <c r="H1055" s="577"/>
      <c r="I1055" s="409">
        <f t="shared" si="149"/>
        <v>0</v>
      </c>
      <c r="J1055" s="409"/>
      <c r="K1055" s="409"/>
      <c r="L1055" s="385">
        <f t="shared" si="150"/>
        <v>0</v>
      </c>
      <c r="M1055" s="385">
        <f t="shared" si="151"/>
        <v>0</v>
      </c>
      <c r="N1055" s="388">
        <f t="shared" si="152"/>
        <v>0</v>
      </c>
    </row>
    <row r="1056" spans="1:14" ht="14.4" customHeight="1" x14ac:dyDescent="0.3">
      <c r="A1056" s="485"/>
      <c r="B1056" s="486" t="s">
        <v>1823</v>
      </c>
      <c r="C1056" s="487"/>
      <c r="D1056" s="487"/>
      <c r="E1056" s="487"/>
      <c r="F1056" s="487"/>
      <c r="G1056" s="487"/>
      <c r="H1056" s="487"/>
      <c r="I1056" s="511"/>
      <c r="J1056" s="487"/>
      <c r="K1056" s="515"/>
      <c r="L1056" s="490">
        <f t="shared" ref="L1056:N1056" si="154">SUM(L1008:L1055)</f>
        <v>0</v>
      </c>
      <c r="M1056" s="490">
        <f t="shared" si="154"/>
        <v>0</v>
      </c>
      <c r="N1056" s="491">
        <f t="shared" si="154"/>
        <v>0</v>
      </c>
    </row>
    <row r="1057" spans="1:14" ht="13.2" customHeight="1" x14ac:dyDescent="0.3">
      <c r="A1057" s="365" t="s">
        <v>610</v>
      </c>
      <c r="B1057" s="370" t="s">
        <v>1981</v>
      </c>
      <c r="C1057" s="371"/>
      <c r="D1057" s="371"/>
      <c r="E1057" s="506"/>
      <c r="F1057" s="506"/>
      <c r="G1057" s="506"/>
      <c r="H1057" s="506"/>
      <c r="I1057" s="512"/>
      <c r="J1057" s="516"/>
      <c r="K1057" s="517"/>
      <c r="L1057" s="387"/>
      <c r="M1057" s="387"/>
      <c r="N1057" s="422"/>
    </row>
    <row r="1058" spans="1:14" ht="13.2" customHeight="1" x14ac:dyDescent="0.3">
      <c r="A1058" s="365" t="s">
        <v>611</v>
      </c>
      <c r="B1058" s="370" t="s">
        <v>1901</v>
      </c>
      <c r="C1058" s="371"/>
      <c r="D1058" s="371"/>
      <c r="E1058" s="506"/>
      <c r="F1058" s="506"/>
      <c r="G1058" s="506"/>
      <c r="H1058" s="506"/>
      <c r="I1058" s="513"/>
      <c r="J1058" s="516"/>
      <c r="K1058" s="517"/>
      <c r="L1058" s="387"/>
      <c r="M1058" s="387"/>
      <c r="N1058" s="422"/>
    </row>
    <row r="1059" spans="1:14" ht="13.2" customHeight="1" x14ac:dyDescent="0.3">
      <c r="A1059" s="365" t="s">
        <v>612</v>
      </c>
      <c r="B1059" s="370" t="s">
        <v>1902</v>
      </c>
      <c r="C1059" s="371"/>
      <c r="D1059" s="371"/>
      <c r="E1059" s="506"/>
      <c r="F1059" s="506"/>
      <c r="G1059" s="506"/>
      <c r="H1059" s="506"/>
      <c r="I1059" s="513"/>
      <c r="J1059" s="516"/>
      <c r="K1059" s="517"/>
      <c r="L1059" s="387"/>
      <c r="M1059" s="387"/>
      <c r="N1059" s="422"/>
    </row>
    <row r="1060" spans="1:14" ht="13.2" customHeight="1" x14ac:dyDescent="0.3">
      <c r="A1060" s="365" t="s">
        <v>613</v>
      </c>
      <c r="B1060" s="370" t="s">
        <v>1822</v>
      </c>
      <c r="C1060" s="371"/>
      <c r="D1060" s="371"/>
      <c r="E1060" s="506"/>
      <c r="F1060" s="506"/>
      <c r="G1060" s="506"/>
      <c r="H1060" s="506"/>
      <c r="I1060" s="513"/>
      <c r="J1060" s="516"/>
      <c r="K1060" s="517"/>
      <c r="L1060" s="387"/>
      <c r="M1060" s="387"/>
      <c r="N1060" s="422"/>
    </row>
    <row r="1061" spans="1:14" ht="13.2" customHeight="1" thickBot="1" x14ac:dyDescent="0.35">
      <c r="A1061" s="365" t="s">
        <v>614</v>
      </c>
      <c r="B1061" s="370" t="s">
        <v>1903</v>
      </c>
      <c r="C1061" s="371"/>
      <c r="D1061" s="371"/>
      <c r="E1061" s="507"/>
      <c r="F1061" s="507"/>
      <c r="G1061" s="507"/>
      <c r="H1061" s="507"/>
      <c r="I1061" s="514"/>
      <c r="J1061" s="518"/>
      <c r="K1061" s="519"/>
      <c r="L1061" s="433"/>
      <c r="M1061" s="433"/>
      <c r="N1061" s="476"/>
    </row>
    <row r="1062" spans="1:14" ht="13.2" customHeight="1" x14ac:dyDescent="0.3">
      <c r="A1062" s="589" t="s">
        <v>606</v>
      </c>
      <c r="B1062" s="434" t="str">
        <f>B125</f>
        <v>JUMLAH MATERIAL UTAMA  (A)</v>
      </c>
      <c r="C1062" s="434"/>
      <c r="D1062" s="434"/>
      <c r="E1062" s="434"/>
      <c r="F1062" s="434"/>
      <c r="G1062" s="434"/>
      <c r="H1062" s="434"/>
      <c r="I1062" s="434"/>
      <c r="J1062" s="434"/>
      <c r="K1062" s="435"/>
      <c r="L1062" s="436">
        <f>L125</f>
        <v>0</v>
      </c>
      <c r="M1062" s="436">
        <f>M125</f>
        <v>0</v>
      </c>
      <c r="N1062" s="437">
        <f>N125</f>
        <v>0</v>
      </c>
    </row>
    <row r="1063" spans="1:14" ht="13.2" customHeight="1" x14ac:dyDescent="0.3">
      <c r="A1063" s="590" t="s">
        <v>607</v>
      </c>
      <c r="B1063" s="438" t="str">
        <f>B264</f>
        <v>JUMLAH MATERIAL NON UTAMA  (B)</v>
      </c>
      <c r="C1063" s="438"/>
      <c r="D1063" s="438"/>
      <c r="E1063" s="438"/>
      <c r="F1063" s="438"/>
      <c r="G1063" s="438"/>
      <c r="H1063" s="438"/>
      <c r="I1063" s="438"/>
      <c r="J1063" s="438"/>
      <c r="K1063" s="439"/>
      <c r="L1063" s="440">
        <f>L264</f>
        <v>0</v>
      </c>
      <c r="M1063" s="440">
        <f>M264</f>
        <v>0</v>
      </c>
      <c r="N1063" s="441">
        <f>N264</f>
        <v>0</v>
      </c>
    </row>
    <row r="1064" spans="1:14" ht="13.2" customHeight="1" x14ac:dyDescent="0.3">
      <c r="A1064" s="590" t="s">
        <v>608</v>
      </c>
      <c r="B1064" s="438" t="str">
        <f>B539</f>
        <v>JUMLAH PEKERJAAN PERSIAPAN (C)</v>
      </c>
      <c r="C1064" s="438"/>
      <c r="D1064" s="438"/>
      <c r="E1064" s="438"/>
      <c r="F1064" s="438"/>
      <c r="G1064" s="438"/>
      <c r="H1064" s="438"/>
      <c r="I1064" s="438"/>
      <c r="J1064" s="438"/>
      <c r="K1064" s="439"/>
      <c r="L1064" s="440">
        <f>L539</f>
        <v>0</v>
      </c>
      <c r="M1064" s="440">
        <f>M539</f>
        <v>0</v>
      </c>
      <c r="N1064" s="441">
        <f>N539</f>
        <v>0</v>
      </c>
    </row>
    <row r="1065" spans="1:14" ht="13.2" customHeight="1" x14ac:dyDescent="0.3">
      <c r="A1065" s="590" t="s">
        <v>2351</v>
      </c>
      <c r="B1065" s="438" t="str">
        <f>B622</f>
        <v>JUMLAH KONSTRUKSI PENOPANG TIANG DAN KELENGKAPANNYA (D-I)</v>
      </c>
      <c r="C1065" s="438"/>
      <c r="D1065" s="438"/>
      <c r="E1065" s="438"/>
      <c r="F1065" s="438"/>
      <c r="G1065" s="438"/>
      <c r="H1065" s="438"/>
      <c r="I1065" s="438"/>
      <c r="J1065" s="438"/>
      <c r="K1065" s="439"/>
      <c r="L1065" s="440">
        <f>L622</f>
        <v>0</v>
      </c>
      <c r="M1065" s="440">
        <f>M622</f>
        <v>0</v>
      </c>
      <c r="N1065" s="441">
        <f>N622</f>
        <v>0</v>
      </c>
    </row>
    <row r="1066" spans="1:14" ht="13.2" customHeight="1" x14ac:dyDescent="0.3">
      <c r="A1066" s="590" t="s">
        <v>2352</v>
      </c>
      <c r="B1066" s="438" t="str">
        <f>B655</f>
        <v>JUMLAH KONSTRUKSI SALURAN UDARA TEGANGAN MENENGAH (SUTM) - (D-II)</v>
      </c>
      <c r="C1066" s="438"/>
      <c r="D1066" s="438"/>
      <c r="E1066" s="438"/>
      <c r="F1066" s="438"/>
      <c r="G1066" s="438"/>
      <c r="H1066" s="438"/>
      <c r="I1066" s="438"/>
      <c r="J1066" s="438"/>
      <c r="K1066" s="439"/>
      <c r="L1066" s="440">
        <f>L655</f>
        <v>0</v>
      </c>
      <c r="M1066" s="440">
        <f>M655</f>
        <v>0</v>
      </c>
      <c r="N1066" s="441">
        <f>N655</f>
        <v>0</v>
      </c>
    </row>
    <row r="1067" spans="1:14" ht="13.2" customHeight="1" x14ac:dyDescent="0.3">
      <c r="A1067" s="590" t="s">
        <v>2353</v>
      </c>
      <c r="B1067" s="438" t="str">
        <f>B743</f>
        <v>JUMLAH KONSTRUKSI SALURAN KABEL UDARA TEGANGAN MENENGAH (SKUTM) - (D-III)</v>
      </c>
      <c r="C1067" s="438"/>
      <c r="D1067" s="438"/>
      <c r="E1067" s="438"/>
      <c r="F1067" s="438"/>
      <c r="G1067" s="438"/>
      <c r="H1067" s="438"/>
      <c r="I1067" s="438"/>
      <c r="J1067" s="438"/>
      <c r="K1067" s="439"/>
      <c r="L1067" s="440">
        <f>L743</f>
        <v>0</v>
      </c>
      <c r="M1067" s="440">
        <f>M743</f>
        <v>0</v>
      </c>
      <c r="N1067" s="441">
        <f>N743</f>
        <v>0</v>
      </c>
    </row>
    <row r="1068" spans="1:14" ht="13.2" customHeight="1" x14ac:dyDescent="0.3">
      <c r="A1068" s="590" t="s">
        <v>2354</v>
      </c>
      <c r="B1068" s="438" t="str">
        <f>B770</f>
        <v>JUMLAH KONSTRUKSI SALURAN KABEL TANAH TEGANGAN MENENGAH (SKTM) - (D-IV)</v>
      </c>
      <c r="C1068" s="438"/>
      <c r="D1068" s="438"/>
      <c r="E1068" s="438"/>
      <c r="F1068" s="438"/>
      <c r="G1068" s="438"/>
      <c r="H1068" s="438"/>
      <c r="I1068" s="438"/>
      <c r="J1068" s="438"/>
      <c r="K1068" s="439"/>
      <c r="L1068" s="440">
        <f>L770</f>
        <v>0</v>
      </c>
      <c r="M1068" s="440">
        <f>M770</f>
        <v>0</v>
      </c>
      <c r="N1068" s="441">
        <f>N770</f>
        <v>0</v>
      </c>
    </row>
    <row r="1069" spans="1:14" ht="13.2" customHeight="1" x14ac:dyDescent="0.3">
      <c r="A1069" s="590" t="s">
        <v>2355</v>
      </c>
      <c r="B1069" s="438" t="str">
        <f>B882</f>
        <v>JUMLAH KONSTRUKSI GARDU DISTRIBUSI TEGANGAN MENENGAH  (D-V)</v>
      </c>
      <c r="C1069" s="438"/>
      <c r="D1069" s="438"/>
      <c r="E1069" s="438"/>
      <c r="F1069" s="438"/>
      <c r="G1069" s="438"/>
      <c r="H1069" s="438"/>
      <c r="I1069" s="438"/>
      <c r="J1069" s="438"/>
      <c r="K1069" s="439"/>
      <c r="L1069" s="440">
        <f>L882</f>
        <v>0</v>
      </c>
      <c r="M1069" s="440">
        <f t="shared" ref="M1069:N1069" si="155">M882</f>
        <v>0</v>
      </c>
      <c r="N1069" s="441">
        <f t="shared" si="155"/>
        <v>0</v>
      </c>
    </row>
    <row r="1070" spans="1:14" ht="13.2" customHeight="1" x14ac:dyDescent="0.3">
      <c r="A1070" s="590" t="s">
        <v>2356</v>
      </c>
      <c r="B1070" s="438" t="str">
        <f>B894</f>
        <v>JUMLAH KONSTRUKSI SALURAN KABEL UDARA TEGANGAN RENDAH (SKUTR)  (D-VI)</v>
      </c>
      <c r="C1070" s="438"/>
      <c r="D1070" s="438"/>
      <c r="E1070" s="438"/>
      <c r="F1070" s="438"/>
      <c r="G1070" s="438"/>
      <c r="H1070" s="438"/>
      <c r="I1070" s="438"/>
      <c r="J1070" s="438"/>
      <c r="K1070" s="439"/>
      <c r="L1070" s="440">
        <f>L894</f>
        <v>0</v>
      </c>
      <c r="M1070" s="440">
        <f t="shared" ref="M1070:N1070" si="156">M894</f>
        <v>0</v>
      </c>
      <c r="N1070" s="441">
        <f t="shared" si="156"/>
        <v>0</v>
      </c>
    </row>
    <row r="1071" spans="1:14" ht="13.2" customHeight="1" x14ac:dyDescent="0.3">
      <c r="A1071" s="590" t="s">
        <v>2357</v>
      </c>
      <c r="B1071" s="438" t="str">
        <f>B909</f>
        <v>JUMLAH KONSTRUKSI SALURAN KABEL TANAH TEGANGAN RENDAH (SKTR)  (D-VII)</v>
      </c>
      <c r="C1071" s="438"/>
      <c r="D1071" s="438"/>
      <c r="E1071" s="438"/>
      <c r="F1071" s="438"/>
      <c r="G1071" s="438"/>
      <c r="H1071" s="438"/>
      <c r="I1071" s="438"/>
      <c r="J1071" s="438"/>
      <c r="K1071" s="439"/>
      <c r="L1071" s="440">
        <f>L909</f>
        <v>0</v>
      </c>
      <c r="M1071" s="440">
        <f t="shared" ref="M1071:N1071" si="157">M909</f>
        <v>0</v>
      </c>
      <c r="N1071" s="441">
        <f t="shared" si="157"/>
        <v>0</v>
      </c>
    </row>
    <row r="1072" spans="1:14" ht="13.2" customHeight="1" x14ac:dyDescent="0.3">
      <c r="A1072" s="590" t="s">
        <v>2358</v>
      </c>
      <c r="B1072" s="438" t="str">
        <f>B932</f>
        <v>JUMLAH KONSTRUKSI SAMBUNGAN RUMAH (SR) DAN ALAT PEMBATAS &amp; PENGUKUR (APP)  (D-VIII)</v>
      </c>
      <c r="C1072" s="438"/>
      <c r="D1072" s="438"/>
      <c r="E1072" s="438"/>
      <c r="F1072" s="438"/>
      <c r="G1072" s="438"/>
      <c r="H1072" s="438"/>
      <c r="I1072" s="438"/>
      <c r="J1072" s="438"/>
      <c r="K1072" s="439"/>
      <c r="L1072" s="440">
        <f>L932</f>
        <v>0</v>
      </c>
      <c r="M1072" s="440">
        <f t="shared" ref="M1072:N1072" si="158">M932</f>
        <v>0</v>
      </c>
      <c r="N1072" s="441">
        <f t="shared" si="158"/>
        <v>0</v>
      </c>
    </row>
    <row r="1073" spans="1:14" ht="13.2" customHeight="1" x14ac:dyDescent="0.3">
      <c r="A1073" s="590" t="s">
        <v>2359</v>
      </c>
      <c r="B1073" s="438" t="str">
        <f>B983</f>
        <v>JUMLAH KONSTRUKSI PENTANAHAN (GROUNDING)  (D-IX)</v>
      </c>
      <c r="C1073" s="438"/>
      <c r="D1073" s="438"/>
      <c r="E1073" s="438"/>
      <c r="F1073" s="438"/>
      <c r="G1073" s="438"/>
      <c r="H1073" s="438"/>
      <c r="I1073" s="438"/>
      <c r="J1073" s="438"/>
      <c r="K1073" s="439"/>
      <c r="L1073" s="440">
        <f>L983</f>
        <v>0</v>
      </c>
      <c r="M1073" s="440">
        <f t="shared" ref="M1073:N1073" si="159">M983</f>
        <v>0</v>
      </c>
      <c r="N1073" s="441">
        <f t="shared" si="159"/>
        <v>0</v>
      </c>
    </row>
    <row r="1074" spans="1:14" ht="13.2" customHeight="1" x14ac:dyDescent="0.3">
      <c r="A1074" s="590" t="s">
        <v>615</v>
      </c>
      <c r="B1074" s="438" t="str">
        <f>B1005</f>
        <v>JUMLAH TERMINATING DAN JOINTING (E)</v>
      </c>
      <c r="C1074" s="438"/>
      <c r="D1074" s="438"/>
      <c r="E1074" s="438"/>
      <c r="F1074" s="438"/>
      <c r="G1074" s="438"/>
      <c r="H1074" s="438"/>
      <c r="I1074" s="438"/>
      <c r="J1074" s="438"/>
      <c r="K1074" s="439"/>
      <c r="L1074" s="440">
        <f>L1005</f>
        <v>0</v>
      </c>
      <c r="M1074" s="440">
        <f t="shared" ref="M1074:N1074" si="160">M1005</f>
        <v>0</v>
      </c>
      <c r="N1074" s="441">
        <f t="shared" si="160"/>
        <v>0</v>
      </c>
    </row>
    <row r="1075" spans="1:14" ht="13.2" customHeight="1" thickBot="1" x14ac:dyDescent="0.35">
      <c r="A1075" s="591" t="s">
        <v>616</v>
      </c>
      <c r="B1075" s="442" t="str">
        <f>B1056</f>
        <v>JUMLAH PEKERJAAN FINISHING (F)</v>
      </c>
      <c r="C1075" s="442"/>
      <c r="D1075" s="442"/>
      <c r="E1075" s="442"/>
      <c r="F1075" s="442"/>
      <c r="G1075" s="442"/>
      <c r="H1075" s="442"/>
      <c r="I1075" s="442"/>
      <c r="J1075" s="442"/>
      <c r="K1075" s="443"/>
      <c r="L1075" s="444">
        <f>L1056</f>
        <v>0</v>
      </c>
      <c r="M1075" s="444">
        <f t="shared" ref="M1075:N1075" si="161">M1056</f>
        <v>0</v>
      </c>
      <c r="N1075" s="445">
        <f t="shared" si="161"/>
        <v>0</v>
      </c>
    </row>
    <row r="1076" spans="1:14" ht="13.2" customHeight="1" x14ac:dyDescent="0.3">
      <c r="A1076" s="508"/>
      <c r="B1076" s="446" t="s">
        <v>1929</v>
      </c>
      <c r="C1076" s="446"/>
      <c r="D1076" s="446"/>
      <c r="E1076" s="446"/>
      <c r="F1076" s="446"/>
      <c r="G1076" s="446"/>
      <c r="H1076" s="446"/>
      <c r="I1076" s="446"/>
      <c r="J1076" s="446"/>
      <c r="K1076" s="447"/>
      <c r="L1076" s="448">
        <f>SUM(L1062:L1075)</f>
        <v>0</v>
      </c>
      <c r="M1076" s="448">
        <f t="shared" ref="M1076:N1076" si="162">SUM(M1062:M1075)</f>
        <v>0</v>
      </c>
      <c r="N1076" s="449">
        <f t="shared" si="162"/>
        <v>0</v>
      </c>
    </row>
    <row r="1077" spans="1:14" ht="13.2" customHeight="1" x14ac:dyDescent="0.3">
      <c r="A1077" s="509"/>
      <c r="B1077" s="450" t="s">
        <v>1926</v>
      </c>
      <c r="C1077" s="450"/>
      <c r="D1077" s="450"/>
      <c r="E1077" s="450"/>
      <c r="F1077" s="450"/>
      <c r="G1077" s="450"/>
      <c r="H1077" s="450"/>
      <c r="I1077" s="450"/>
      <c r="J1077" s="450"/>
      <c r="K1077" s="451"/>
      <c r="L1077" s="452">
        <f>(L1076*(11/12))</f>
        <v>0</v>
      </c>
      <c r="M1077" s="452">
        <f t="shared" ref="M1077:N1077" si="163">(M1076*(11/12))</f>
        <v>0</v>
      </c>
      <c r="N1077" s="453">
        <f t="shared" si="163"/>
        <v>0</v>
      </c>
    </row>
    <row r="1078" spans="1:14" ht="13.2" customHeight="1" x14ac:dyDescent="0.3">
      <c r="A1078" s="509"/>
      <c r="B1078" s="450" t="s">
        <v>1927</v>
      </c>
      <c r="C1078" s="450"/>
      <c r="D1078" s="450"/>
      <c r="E1078" s="450"/>
      <c r="F1078" s="450"/>
      <c r="G1078" s="450"/>
      <c r="H1078" s="450"/>
      <c r="I1078" s="450"/>
      <c r="J1078" s="450"/>
      <c r="K1078" s="451"/>
      <c r="L1078" s="452">
        <f>ROUND((12%*L1077),-1)</f>
        <v>0</v>
      </c>
      <c r="M1078" s="452">
        <f>ROUND((12%*M1077),-1)</f>
        <v>0</v>
      </c>
      <c r="N1078" s="453">
        <f>ROUND((12%*N1077),-1)</f>
        <v>0</v>
      </c>
    </row>
    <row r="1079" spans="1:14" ht="13.2" customHeight="1" thickBot="1" x14ac:dyDescent="0.35">
      <c r="A1079" s="510"/>
      <c r="B1079" s="454" t="s">
        <v>1928</v>
      </c>
      <c r="C1079" s="454"/>
      <c r="D1079" s="454"/>
      <c r="E1079" s="454"/>
      <c r="F1079" s="454"/>
      <c r="G1079" s="454"/>
      <c r="H1079" s="454"/>
      <c r="I1079" s="454"/>
      <c r="J1079" s="454"/>
      <c r="K1079" s="455"/>
      <c r="L1079" s="456">
        <f>ROUND((L1078+L1076),-3)</f>
        <v>0</v>
      </c>
      <c r="M1079" s="456">
        <f>ROUND((M1078+M1076),-3)</f>
        <v>0</v>
      </c>
      <c r="N1079" s="457">
        <f>ROUND((N1078+N1076),-3)</f>
        <v>0</v>
      </c>
    </row>
    <row r="1080" spans="1:14" ht="7.95" customHeight="1" x14ac:dyDescent="0.3">
      <c r="A1080" s="296"/>
      <c r="B1080" s="296"/>
      <c r="C1080" s="296"/>
      <c r="D1080" s="296"/>
      <c r="E1080" s="296"/>
      <c r="F1080" s="296"/>
      <c r="G1080" s="296"/>
      <c r="H1080" s="296"/>
      <c r="I1080" s="296"/>
      <c r="J1080" s="296"/>
      <c r="K1080" s="296"/>
      <c r="L1080" s="296"/>
      <c r="M1080" s="296"/>
      <c r="N1080" s="296"/>
    </row>
    <row r="1081" spans="1:14" x14ac:dyDescent="0.3">
      <c r="A1081" s="296"/>
      <c r="B1081" s="296"/>
      <c r="C1081" s="296"/>
      <c r="D1081" s="296"/>
      <c r="E1081" s="296"/>
      <c r="F1081" s="296"/>
      <c r="G1081" s="296"/>
      <c r="H1081" s="296"/>
      <c r="I1081" s="296"/>
      <c r="J1081" s="296"/>
      <c r="K1081" s="296"/>
      <c r="L1081" s="296"/>
      <c r="M1081" s="296"/>
      <c r="N1081" s="296"/>
    </row>
    <row r="1082" spans="1:14" x14ac:dyDescent="0.3">
      <c r="A1082" s="297" t="s">
        <v>2349</v>
      </c>
    </row>
  </sheetData>
  <mergeCells count="14">
    <mergeCell ref="N13:N14"/>
    <mergeCell ref="P13:R13"/>
    <mergeCell ref="S13:S14"/>
    <mergeCell ref="T13:T14"/>
    <mergeCell ref="F14:F15"/>
    <mergeCell ref="G14:G15"/>
    <mergeCell ref="H14:H15"/>
    <mergeCell ref="I14:I15"/>
    <mergeCell ref="L13:M13"/>
    <mergeCell ref="A13:A15"/>
    <mergeCell ref="B13:D15"/>
    <mergeCell ref="E13:E15"/>
    <mergeCell ref="F13:I13"/>
    <mergeCell ref="J13:K13"/>
  </mergeCells>
  <conditionalFormatting sqref="Q1:Q12 Q14:Q1048576">
    <cfRule type="containsText" dxfId="3" priority="2" operator="containsText" text="false">
      <formula>NOT(ISERROR(SEARCH("false",Q1)))</formula>
    </cfRule>
  </conditionalFormatting>
  <conditionalFormatting sqref="T1:T13 T15:T1048576">
    <cfRule type="containsText" dxfId="2" priority="1" operator="containsText" text="FALSE">
      <formula>NOT(ISERROR(SEARCH("FALSE",T1)))</formula>
    </cfRule>
  </conditionalFormatting>
  <pageMargins left="0.39370078740157483" right="0.39370078740157483" top="0.39370078740157483" bottom="0.39370078740157483" header="0.31496062992125984" footer="0.31496062992125984"/>
  <pageSetup paperSize="9" scale="51" orientation="portrait" horizontalDpi="0" verticalDpi="0" r:id="rId1"/>
  <headerFooter>
    <oddFooter>&amp;R1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2AEE-A17E-433D-BEF8-0C1F8EFC8629}">
  <sheetPr>
    <tabColor rgb="FF00B0F0"/>
  </sheetPr>
  <dimension ref="A4:U1082"/>
  <sheetViews>
    <sheetView zoomScale="90" zoomScaleNormal="90" zoomScaleSheetLayoutView="90" workbookViewId="0">
      <pane xSplit="9" ySplit="16" topLeftCell="K129" activePane="bottomRight" state="frozen"/>
      <selection pane="topRight" activeCell="J1" sqref="J1"/>
      <selection pane="bottomLeft" activeCell="A17" sqref="A17"/>
      <selection pane="bottomRight" activeCell="P129" sqref="P129:S263"/>
    </sheetView>
  </sheetViews>
  <sheetFormatPr defaultColWidth="8.69921875" defaultRowHeight="14.4" x14ac:dyDescent="0.3"/>
  <cols>
    <col min="1" max="1" width="5.19921875" style="297" customWidth="1"/>
    <col min="2" max="2" width="17.69921875" style="297" customWidth="1"/>
    <col min="3" max="3" width="3.3984375" style="297" customWidth="1"/>
    <col min="4" max="4" width="35.5" style="297" customWidth="1"/>
    <col min="5" max="5" width="9.5" style="297" customWidth="1"/>
    <col min="6" max="6" width="7.3984375" style="297" bestFit="1" customWidth="1"/>
    <col min="7" max="8" width="6.19921875" style="297" customWidth="1"/>
    <col min="9" max="9" width="9.3984375" style="297" customWidth="1"/>
    <col min="10" max="10" width="11.5" style="297" bestFit="1" customWidth="1"/>
    <col min="11" max="11" width="12.3984375" style="297" bestFit="1" customWidth="1"/>
    <col min="12" max="14" width="15.3984375" style="297" bestFit="1" customWidth="1"/>
    <col min="15" max="15" width="8.69921875" style="297"/>
    <col min="16" max="19" width="8.19921875" style="297" customWidth="1"/>
    <col min="20" max="20" width="18.8984375" style="297" bestFit="1" customWidth="1"/>
    <col min="21" max="16384" width="8.69921875" style="297"/>
  </cols>
  <sheetData>
    <row r="4" spans="1:20" ht="18" x14ac:dyDescent="0.35">
      <c r="A4" s="458" t="s">
        <v>2350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</row>
    <row r="5" spans="1:20" ht="19.2" customHeight="1" x14ac:dyDescent="0.3">
      <c r="A5" s="352"/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</row>
    <row r="6" spans="1:20" ht="19.2" customHeight="1" x14ac:dyDescent="0.3">
      <c r="A6" s="295" t="str">
        <f>REKAP!B8&amp;REKAP!E8&amp;REKAP!F8</f>
        <v xml:space="preserve">NAMA PEKERJAAN :  UNTUK  LOKASI 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</row>
    <row r="7" spans="1:20" ht="13.95" customHeight="1" x14ac:dyDescent="0.3">
      <c r="A7" s="295" t="str">
        <f>REKAP!B9&amp;REKAP!E9&amp;REKAP!F9</f>
        <v>UNIT : ULP KUPANG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</row>
    <row r="8" spans="1:20" x14ac:dyDescent="0.3">
      <c r="A8" s="298"/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</row>
    <row r="9" spans="1:20" x14ac:dyDescent="0.3">
      <c r="A9" s="298"/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</row>
    <row r="10" spans="1:20" x14ac:dyDescent="0.3">
      <c r="A10" s="298"/>
      <c r="B10" s="298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</row>
    <row r="11" spans="1:20" x14ac:dyDescent="0.3">
      <c r="A11" s="298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</row>
    <row r="12" spans="1:20" ht="15" thickBot="1" x14ac:dyDescent="0.35">
      <c r="A12" s="297" t="s">
        <v>1919</v>
      </c>
    </row>
    <row r="13" spans="1:20" x14ac:dyDescent="0.3">
      <c r="A13" s="593" t="s">
        <v>631</v>
      </c>
      <c r="B13" s="596" t="s">
        <v>632</v>
      </c>
      <c r="C13" s="597"/>
      <c r="D13" s="598"/>
      <c r="E13" s="611" t="s">
        <v>633</v>
      </c>
      <c r="F13" s="614" t="s">
        <v>635</v>
      </c>
      <c r="G13" s="614"/>
      <c r="H13" s="614"/>
      <c r="I13" s="614"/>
      <c r="J13" s="608" t="s">
        <v>634</v>
      </c>
      <c r="K13" s="608"/>
      <c r="L13" s="608" t="s">
        <v>636</v>
      </c>
      <c r="M13" s="608"/>
      <c r="N13" s="609" t="s">
        <v>637</v>
      </c>
      <c r="P13" s="605" t="s">
        <v>2337</v>
      </c>
      <c r="Q13" s="605"/>
      <c r="R13" s="605"/>
      <c r="S13" s="606" t="s">
        <v>2340</v>
      </c>
      <c r="T13" s="605" t="s">
        <v>2338</v>
      </c>
    </row>
    <row r="14" spans="1:20" x14ac:dyDescent="0.3">
      <c r="A14" s="594"/>
      <c r="B14" s="599"/>
      <c r="C14" s="600"/>
      <c r="D14" s="601"/>
      <c r="E14" s="612"/>
      <c r="F14" s="617" t="s">
        <v>2290</v>
      </c>
      <c r="G14" s="617" t="s">
        <v>2291</v>
      </c>
      <c r="H14" s="617" t="s">
        <v>2292</v>
      </c>
      <c r="I14" s="615" t="s">
        <v>604</v>
      </c>
      <c r="J14" s="353" t="s">
        <v>638</v>
      </c>
      <c r="K14" s="353" t="s">
        <v>639</v>
      </c>
      <c r="L14" s="353" t="s">
        <v>638</v>
      </c>
      <c r="M14" s="353" t="s">
        <v>639</v>
      </c>
      <c r="N14" s="610"/>
      <c r="P14" s="521" t="s">
        <v>2333</v>
      </c>
      <c r="Q14" s="521" t="s">
        <v>2335</v>
      </c>
      <c r="R14" s="521" t="s">
        <v>2336</v>
      </c>
      <c r="S14" s="607"/>
      <c r="T14" s="605"/>
    </row>
    <row r="15" spans="1:20" x14ac:dyDescent="0.3">
      <c r="A15" s="595"/>
      <c r="B15" s="602"/>
      <c r="C15" s="603"/>
      <c r="D15" s="604"/>
      <c r="E15" s="613"/>
      <c r="F15" s="613"/>
      <c r="G15" s="613"/>
      <c r="H15" s="613"/>
      <c r="I15" s="616"/>
      <c r="J15" s="353" t="s">
        <v>640</v>
      </c>
      <c r="K15" s="353" t="s">
        <v>640</v>
      </c>
      <c r="L15" s="353" t="s">
        <v>640</v>
      </c>
      <c r="M15" s="353" t="s">
        <v>640</v>
      </c>
      <c r="N15" s="354" t="s">
        <v>640</v>
      </c>
      <c r="P15" s="521" t="s">
        <v>2334</v>
      </c>
      <c r="Q15" s="521" t="s">
        <v>2334</v>
      </c>
      <c r="R15" s="521" t="s">
        <v>2334</v>
      </c>
      <c r="S15" s="521" t="s">
        <v>2341</v>
      </c>
      <c r="T15" s="521" t="s">
        <v>2339</v>
      </c>
    </row>
    <row r="16" spans="1:20" ht="15" thickBot="1" x14ac:dyDescent="0.35">
      <c r="A16" s="355">
        <v>1</v>
      </c>
      <c r="B16" s="356">
        <v>2</v>
      </c>
      <c r="C16" s="357"/>
      <c r="D16" s="357"/>
      <c r="E16" s="358">
        <v>3</v>
      </c>
      <c r="F16" s="358">
        <v>4</v>
      </c>
      <c r="G16" s="358">
        <v>5</v>
      </c>
      <c r="H16" s="358">
        <v>6</v>
      </c>
      <c r="I16" s="358" t="s">
        <v>2296</v>
      </c>
      <c r="J16" s="358">
        <v>8</v>
      </c>
      <c r="K16" s="358">
        <v>9</v>
      </c>
      <c r="L16" s="358" t="s">
        <v>2293</v>
      </c>
      <c r="M16" s="358" t="s">
        <v>2294</v>
      </c>
      <c r="N16" s="359" t="s">
        <v>2295</v>
      </c>
      <c r="P16" s="521">
        <v>13</v>
      </c>
      <c r="Q16" s="521">
        <v>14</v>
      </c>
      <c r="R16" s="521">
        <v>15</v>
      </c>
      <c r="S16" s="521">
        <v>16</v>
      </c>
      <c r="T16" s="521" t="s">
        <v>2342</v>
      </c>
    </row>
    <row r="18" spans="1:20" ht="13.95" customHeight="1" x14ac:dyDescent="0.3">
      <c r="A18" s="477" t="s">
        <v>606</v>
      </c>
      <c r="B18" s="478" t="s">
        <v>641</v>
      </c>
      <c r="C18" s="479"/>
      <c r="D18" s="480"/>
      <c r="E18" s="481"/>
      <c r="F18" s="481"/>
      <c r="G18" s="481"/>
      <c r="H18" s="481"/>
      <c r="I18" s="481"/>
      <c r="J18" s="481"/>
      <c r="K18" s="481"/>
      <c r="L18" s="481"/>
      <c r="M18" s="481"/>
      <c r="N18" s="482"/>
      <c r="P18" s="520"/>
      <c r="Q18" s="520"/>
      <c r="R18" s="520"/>
      <c r="S18" s="520"/>
      <c r="T18" s="520"/>
    </row>
    <row r="19" spans="1:20" ht="13.2" customHeight="1" x14ac:dyDescent="0.3">
      <c r="A19" s="365">
        <v>1</v>
      </c>
      <c r="B19" s="366" t="s">
        <v>1479</v>
      </c>
      <c r="C19" s="361"/>
      <c r="D19" s="362"/>
      <c r="E19" s="367" t="s">
        <v>235</v>
      </c>
      <c r="F19" s="538"/>
      <c r="G19" s="538"/>
      <c r="H19" s="535"/>
      <c r="I19" s="369">
        <f>SUM(F19:H19)</f>
        <v>0</v>
      </c>
      <c r="J19" s="369"/>
      <c r="K19" s="369">
        <f>'RAB Pasang'!K19*40%</f>
        <v>447128</v>
      </c>
      <c r="L19" s="372">
        <f t="shared" ref="L19:L82" si="0">J19*I19</f>
        <v>0</v>
      </c>
      <c r="M19" s="369">
        <f t="shared" ref="M19:M82" si="1">K19*I19</f>
        <v>0</v>
      </c>
      <c r="N19" s="459">
        <f t="shared" ref="N19:N82" si="2">SUM(L19:M19)</f>
        <v>0</v>
      </c>
      <c r="P19" s="522"/>
      <c r="Q19" s="523"/>
      <c r="R19" s="523"/>
      <c r="S19" s="523"/>
      <c r="T19" s="523"/>
    </row>
    <row r="20" spans="1:20" ht="13.2" customHeight="1" x14ac:dyDescent="0.3">
      <c r="A20" s="365">
        <f>A19+1</f>
        <v>2</v>
      </c>
      <c r="B20" s="366" t="s">
        <v>1480</v>
      </c>
      <c r="C20" s="361"/>
      <c r="D20" s="362"/>
      <c r="E20" s="367" t="s">
        <v>235</v>
      </c>
      <c r="F20" s="535"/>
      <c r="G20" s="535"/>
      <c r="H20" s="538"/>
      <c r="I20" s="369">
        <f t="shared" ref="I20:I83" si="3">SUM(F20:H20)</f>
        <v>0</v>
      </c>
      <c r="J20" s="369"/>
      <c r="K20" s="369">
        <f>'RAB Pasang'!K20*40%</f>
        <v>639124</v>
      </c>
      <c r="L20" s="372">
        <f t="shared" si="0"/>
        <v>0</v>
      </c>
      <c r="M20" s="369">
        <f t="shared" si="1"/>
        <v>0</v>
      </c>
      <c r="N20" s="459">
        <f t="shared" si="2"/>
        <v>0</v>
      </c>
      <c r="P20" s="522"/>
      <c r="Q20" s="523"/>
      <c r="R20" s="523"/>
      <c r="S20" s="523"/>
      <c r="T20" s="523"/>
    </row>
    <row r="21" spans="1:20" ht="13.2" customHeight="1" x14ac:dyDescent="0.3">
      <c r="A21" s="365">
        <f t="shared" ref="A21:A84" si="4">A20+1</f>
        <v>3</v>
      </c>
      <c r="B21" s="366" t="s">
        <v>1481</v>
      </c>
      <c r="C21" s="361"/>
      <c r="D21" s="362"/>
      <c r="E21" s="367" t="s">
        <v>235</v>
      </c>
      <c r="F21" s="535"/>
      <c r="G21" s="535"/>
      <c r="H21" s="538"/>
      <c r="I21" s="369">
        <f t="shared" si="3"/>
        <v>0</v>
      </c>
      <c r="J21" s="369"/>
      <c r="K21" s="369">
        <f>'RAB Pasang'!K21*40%</f>
        <v>735124</v>
      </c>
      <c r="L21" s="372">
        <f t="shared" si="0"/>
        <v>0</v>
      </c>
      <c r="M21" s="369">
        <f t="shared" si="1"/>
        <v>0</v>
      </c>
      <c r="N21" s="459">
        <f t="shared" si="2"/>
        <v>0</v>
      </c>
      <c r="P21" s="522"/>
      <c r="Q21" s="523"/>
      <c r="R21" s="523"/>
      <c r="S21" s="523"/>
      <c r="T21" s="523"/>
    </row>
    <row r="22" spans="1:20" ht="13.2" customHeight="1" x14ac:dyDescent="0.3">
      <c r="A22" s="365">
        <f t="shared" si="4"/>
        <v>4</v>
      </c>
      <c r="B22" s="366" t="s">
        <v>1482</v>
      </c>
      <c r="C22" s="361"/>
      <c r="D22" s="362"/>
      <c r="E22" s="367" t="s">
        <v>235</v>
      </c>
      <c r="F22" s="535"/>
      <c r="G22" s="535"/>
      <c r="H22" s="538"/>
      <c r="I22" s="369">
        <f t="shared" si="3"/>
        <v>0</v>
      </c>
      <c r="J22" s="369"/>
      <c r="K22" s="369">
        <f>'RAB Pasang'!K22*40%</f>
        <v>852164</v>
      </c>
      <c r="L22" s="372">
        <f t="shared" si="0"/>
        <v>0</v>
      </c>
      <c r="M22" s="369">
        <f t="shared" si="1"/>
        <v>0</v>
      </c>
      <c r="N22" s="459">
        <f t="shared" si="2"/>
        <v>0</v>
      </c>
      <c r="P22" s="522"/>
      <c r="Q22" s="523"/>
      <c r="R22" s="523"/>
      <c r="S22" s="523"/>
      <c r="T22" s="523"/>
    </row>
    <row r="23" spans="1:20" ht="13.2" customHeight="1" x14ac:dyDescent="0.3">
      <c r="A23" s="365">
        <f t="shared" si="4"/>
        <v>5</v>
      </c>
      <c r="B23" s="366" t="s">
        <v>1483</v>
      </c>
      <c r="C23" s="361"/>
      <c r="D23" s="362"/>
      <c r="E23" s="367" t="s">
        <v>235</v>
      </c>
      <c r="F23" s="535"/>
      <c r="G23" s="535"/>
      <c r="H23" s="538"/>
      <c r="I23" s="369">
        <f t="shared" si="3"/>
        <v>0</v>
      </c>
      <c r="J23" s="369"/>
      <c r="K23" s="369">
        <f>'RAB Pasang'!K23*40%</f>
        <v>1278248</v>
      </c>
      <c r="L23" s="372">
        <f t="shared" si="0"/>
        <v>0</v>
      </c>
      <c r="M23" s="369">
        <f t="shared" si="1"/>
        <v>0</v>
      </c>
      <c r="N23" s="459">
        <f t="shared" si="2"/>
        <v>0</v>
      </c>
      <c r="P23" s="522"/>
      <c r="Q23" s="523"/>
      <c r="R23" s="523"/>
      <c r="S23" s="523"/>
      <c r="T23" s="523"/>
    </row>
    <row r="24" spans="1:20" ht="13.2" customHeight="1" x14ac:dyDescent="0.3">
      <c r="A24" s="365">
        <f t="shared" si="4"/>
        <v>6</v>
      </c>
      <c r="B24" s="370" t="s">
        <v>1484</v>
      </c>
      <c r="C24" s="371"/>
      <c r="D24" s="371"/>
      <c r="E24" s="367" t="s">
        <v>235</v>
      </c>
      <c r="F24" s="539"/>
      <c r="G24" s="539"/>
      <c r="H24" s="527"/>
      <c r="I24" s="369">
        <f t="shared" si="3"/>
        <v>0</v>
      </c>
      <c r="J24" s="372"/>
      <c r="K24" s="372">
        <f>'RAB Pasang'!K24*40%</f>
        <v>179884</v>
      </c>
      <c r="L24" s="372">
        <f t="shared" si="0"/>
        <v>0</v>
      </c>
      <c r="M24" s="372">
        <f t="shared" si="1"/>
        <v>0</v>
      </c>
      <c r="N24" s="460">
        <f t="shared" si="2"/>
        <v>0</v>
      </c>
      <c r="P24" s="522"/>
      <c r="Q24" s="523"/>
      <c r="R24" s="523"/>
      <c r="S24" s="523"/>
      <c r="T24" s="523"/>
    </row>
    <row r="25" spans="1:20" ht="13.2" customHeight="1" x14ac:dyDescent="0.3">
      <c r="A25" s="365">
        <f t="shared" si="4"/>
        <v>7</v>
      </c>
      <c r="B25" s="370" t="s">
        <v>1485</v>
      </c>
      <c r="C25" s="371"/>
      <c r="D25" s="371"/>
      <c r="E25" s="367" t="s">
        <v>235</v>
      </c>
      <c r="F25" s="539"/>
      <c r="G25" s="539"/>
      <c r="H25" s="527"/>
      <c r="I25" s="369">
        <f t="shared" si="3"/>
        <v>0</v>
      </c>
      <c r="J25" s="372"/>
      <c r="K25" s="372">
        <f>'RAB Pasang'!K25*40%</f>
        <v>284056</v>
      </c>
      <c r="L25" s="372">
        <f t="shared" si="0"/>
        <v>0</v>
      </c>
      <c r="M25" s="372">
        <f t="shared" si="1"/>
        <v>0</v>
      </c>
      <c r="N25" s="460">
        <f t="shared" si="2"/>
        <v>0</v>
      </c>
      <c r="P25" s="522"/>
      <c r="Q25" s="523"/>
      <c r="R25" s="523"/>
      <c r="S25" s="523"/>
      <c r="T25" s="523"/>
    </row>
    <row r="26" spans="1:20" ht="13.2" customHeight="1" x14ac:dyDescent="0.3">
      <c r="A26" s="365">
        <f t="shared" si="4"/>
        <v>8</v>
      </c>
      <c r="B26" s="370" t="s">
        <v>1486</v>
      </c>
      <c r="C26" s="371"/>
      <c r="D26" s="371"/>
      <c r="E26" s="367" t="s">
        <v>235</v>
      </c>
      <c r="F26" s="539"/>
      <c r="G26" s="539"/>
      <c r="H26" s="527"/>
      <c r="I26" s="369">
        <f t="shared" si="3"/>
        <v>0</v>
      </c>
      <c r="J26" s="372"/>
      <c r="K26" s="372">
        <f>'RAB Pasang'!K26*40%</f>
        <v>340180</v>
      </c>
      <c r="L26" s="372">
        <f t="shared" si="0"/>
        <v>0</v>
      </c>
      <c r="M26" s="372">
        <f t="shared" si="1"/>
        <v>0</v>
      </c>
      <c r="N26" s="460">
        <f t="shared" si="2"/>
        <v>0</v>
      </c>
      <c r="P26" s="522"/>
      <c r="Q26" s="523"/>
      <c r="R26" s="523"/>
      <c r="S26" s="523"/>
      <c r="T26" s="523"/>
    </row>
    <row r="27" spans="1:20" ht="13.2" customHeight="1" x14ac:dyDescent="0.3">
      <c r="A27" s="365">
        <f t="shared" si="4"/>
        <v>9</v>
      </c>
      <c r="B27" s="370" t="s">
        <v>1487</v>
      </c>
      <c r="C27" s="371"/>
      <c r="D27" s="371"/>
      <c r="E27" s="367" t="s">
        <v>235</v>
      </c>
      <c r="F27" s="539"/>
      <c r="G27" s="539"/>
      <c r="H27" s="527"/>
      <c r="I27" s="369">
        <f t="shared" si="3"/>
        <v>0</v>
      </c>
      <c r="J27" s="372"/>
      <c r="K27" s="372">
        <f>'RAB Pasang'!K27*40%</f>
        <v>398488</v>
      </c>
      <c r="L27" s="372">
        <f t="shared" si="0"/>
        <v>0</v>
      </c>
      <c r="M27" s="372">
        <f t="shared" si="1"/>
        <v>0</v>
      </c>
      <c r="N27" s="460">
        <f t="shared" si="2"/>
        <v>0</v>
      </c>
      <c r="P27" s="522"/>
      <c r="Q27" s="523"/>
      <c r="R27" s="523"/>
      <c r="S27" s="523"/>
      <c r="T27" s="523"/>
    </row>
    <row r="28" spans="1:20" ht="13.2" customHeight="1" x14ac:dyDescent="0.3">
      <c r="A28" s="365">
        <f t="shared" si="4"/>
        <v>10</v>
      </c>
      <c r="B28" s="370" t="s">
        <v>1488</v>
      </c>
      <c r="C28" s="371"/>
      <c r="D28" s="371"/>
      <c r="E28" s="367" t="s">
        <v>235</v>
      </c>
      <c r="F28" s="527"/>
      <c r="G28" s="527"/>
      <c r="H28" s="539"/>
      <c r="I28" s="369">
        <f t="shared" si="3"/>
        <v>0</v>
      </c>
      <c r="J28" s="372"/>
      <c r="K28" s="372">
        <f>'RAB Pasang'!K28*40%</f>
        <v>455412</v>
      </c>
      <c r="L28" s="372">
        <f t="shared" si="0"/>
        <v>0</v>
      </c>
      <c r="M28" s="372">
        <f t="shared" si="1"/>
        <v>0</v>
      </c>
      <c r="N28" s="460">
        <f t="shared" si="2"/>
        <v>0</v>
      </c>
      <c r="P28" s="522"/>
      <c r="Q28" s="523"/>
      <c r="R28" s="523"/>
      <c r="S28" s="523"/>
      <c r="T28" s="523"/>
    </row>
    <row r="29" spans="1:20" ht="13.2" customHeight="1" x14ac:dyDescent="0.3">
      <c r="A29" s="365">
        <f t="shared" si="4"/>
        <v>11</v>
      </c>
      <c r="B29" s="366" t="s">
        <v>1489</v>
      </c>
      <c r="C29" s="361"/>
      <c r="D29" s="362"/>
      <c r="E29" s="367" t="s">
        <v>235</v>
      </c>
      <c r="F29" s="535"/>
      <c r="G29" s="535"/>
      <c r="H29" s="538"/>
      <c r="I29" s="369">
        <f t="shared" si="3"/>
        <v>0</v>
      </c>
      <c r="J29" s="369"/>
      <c r="K29" s="369">
        <f>'RAB Pasang'!K29*40%</f>
        <v>531316</v>
      </c>
      <c r="L29" s="372">
        <f t="shared" si="0"/>
        <v>0</v>
      </c>
      <c r="M29" s="369">
        <f t="shared" si="1"/>
        <v>0</v>
      </c>
      <c r="N29" s="459">
        <f t="shared" si="2"/>
        <v>0</v>
      </c>
      <c r="P29" s="522"/>
      <c r="Q29" s="523"/>
      <c r="R29" s="523"/>
      <c r="S29" s="523"/>
      <c r="T29" s="523"/>
    </row>
    <row r="30" spans="1:20" ht="13.2" customHeight="1" x14ac:dyDescent="0.3">
      <c r="A30" s="365">
        <f t="shared" si="4"/>
        <v>12</v>
      </c>
      <c r="B30" s="366" t="s">
        <v>1490</v>
      </c>
      <c r="C30" s="361"/>
      <c r="D30" s="362"/>
      <c r="E30" s="367" t="s">
        <v>235</v>
      </c>
      <c r="F30" s="535"/>
      <c r="G30" s="535"/>
      <c r="H30" s="538"/>
      <c r="I30" s="369">
        <f t="shared" si="3"/>
        <v>0</v>
      </c>
      <c r="J30" s="369"/>
      <c r="K30" s="369">
        <f>'RAB Pasang'!K30*40%</f>
        <v>637580</v>
      </c>
      <c r="L30" s="372">
        <f t="shared" si="0"/>
        <v>0</v>
      </c>
      <c r="M30" s="369">
        <f t="shared" si="1"/>
        <v>0</v>
      </c>
      <c r="N30" s="459">
        <f t="shared" si="2"/>
        <v>0</v>
      </c>
      <c r="P30" s="522"/>
      <c r="Q30" s="523"/>
      <c r="R30" s="523"/>
      <c r="S30" s="523"/>
      <c r="T30" s="523"/>
    </row>
    <row r="31" spans="1:20" ht="13.2" customHeight="1" x14ac:dyDescent="0.3">
      <c r="A31" s="365">
        <f t="shared" si="4"/>
        <v>13</v>
      </c>
      <c r="B31" s="366" t="s">
        <v>1491</v>
      </c>
      <c r="C31" s="361"/>
      <c r="D31" s="362"/>
      <c r="E31" s="367" t="s">
        <v>235</v>
      </c>
      <c r="F31" s="535"/>
      <c r="G31" s="535"/>
      <c r="H31" s="538"/>
      <c r="I31" s="369">
        <f t="shared" si="3"/>
        <v>0</v>
      </c>
      <c r="J31" s="369"/>
      <c r="K31" s="369">
        <f>'RAB Pasang'!K31*40%</f>
        <v>702264</v>
      </c>
      <c r="L31" s="372">
        <f t="shared" si="0"/>
        <v>0</v>
      </c>
      <c r="M31" s="369">
        <f t="shared" si="1"/>
        <v>0</v>
      </c>
      <c r="N31" s="459">
        <f t="shared" si="2"/>
        <v>0</v>
      </c>
      <c r="P31" s="522"/>
      <c r="Q31" s="523"/>
      <c r="R31" s="523"/>
      <c r="S31" s="523"/>
      <c r="T31" s="523"/>
    </row>
    <row r="32" spans="1:20" ht="13.2" customHeight="1" x14ac:dyDescent="0.3">
      <c r="A32" s="365">
        <f t="shared" si="4"/>
        <v>14</v>
      </c>
      <c r="B32" s="370" t="s">
        <v>1523</v>
      </c>
      <c r="C32" s="371"/>
      <c r="D32" s="371"/>
      <c r="E32" s="367" t="s">
        <v>203</v>
      </c>
      <c r="F32" s="527"/>
      <c r="G32" s="527"/>
      <c r="H32" s="539"/>
      <c r="I32" s="369">
        <f t="shared" si="3"/>
        <v>0</v>
      </c>
      <c r="J32" s="372"/>
      <c r="K32" s="372">
        <f>'RAB Pasang'!K32*40%</f>
        <v>27568</v>
      </c>
      <c r="L32" s="372">
        <f t="shared" si="0"/>
        <v>0</v>
      </c>
      <c r="M32" s="372">
        <f t="shared" si="1"/>
        <v>0</v>
      </c>
      <c r="N32" s="460">
        <f t="shared" si="2"/>
        <v>0</v>
      </c>
      <c r="P32" s="524">
        <v>15</v>
      </c>
      <c r="Q32" s="524">
        <v>15</v>
      </c>
      <c r="R32" s="524">
        <v>47</v>
      </c>
      <c r="S32" s="525">
        <v>0</v>
      </c>
      <c r="T32" s="526">
        <f t="shared" ref="T32:T95" si="5">IF(S32=0,P32*Q32*R32/10^6,P32*Q32*R32/10^6/S32)</f>
        <v>1.0574999999999999E-2</v>
      </c>
    </row>
    <row r="33" spans="1:21" ht="13.2" customHeight="1" x14ac:dyDescent="0.3">
      <c r="A33" s="365">
        <f t="shared" si="4"/>
        <v>15</v>
      </c>
      <c r="B33" s="370" t="s">
        <v>1524</v>
      </c>
      <c r="C33" s="371"/>
      <c r="D33" s="371"/>
      <c r="E33" s="367" t="s">
        <v>203</v>
      </c>
      <c r="F33" s="527"/>
      <c r="G33" s="527"/>
      <c r="H33" s="539"/>
      <c r="I33" s="369">
        <f t="shared" si="3"/>
        <v>0</v>
      </c>
      <c r="J33" s="372"/>
      <c r="K33" s="372">
        <f>'RAB Pasang'!K33*40%</f>
        <v>30324</v>
      </c>
      <c r="L33" s="372">
        <f t="shared" si="0"/>
        <v>0</v>
      </c>
      <c r="M33" s="372">
        <f t="shared" si="1"/>
        <v>0</v>
      </c>
      <c r="N33" s="460">
        <f t="shared" si="2"/>
        <v>0</v>
      </c>
      <c r="P33" s="524">
        <v>30</v>
      </c>
      <c r="Q33" s="524">
        <v>25.4</v>
      </c>
      <c r="R33" s="524">
        <v>25.4</v>
      </c>
      <c r="S33" s="525">
        <v>0</v>
      </c>
      <c r="T33" s="526">
        <f t="shared" si="5"/>
        <v>1.9354799999999998E-2</v>
      </c>
    </row>
    <row r="34" spans="1:21" ht="13.2" customHeight="1" x14ac:dyDescent="0.3">
      <c r="A34" s="365">
        <f t="shared" si="4"/>
        <v>16</v>
      </c>
      <c r="B34" s="370" t="s">
        <v>1525</v>
      </c>
      <c r="C34" s="371"/>
      <c r="D34" s="371"/>
      <c r="E34" s="367" t="s">
        <v>203</v>
      </c>
      <c r="F34" s="527"/>
      <c r="G34" s="527"/>
      <c r="H34" s="539"/>
      <c r="I34" s="369">
        <f t="shared" si="3"/>
        <v>0</v>
      </c>
      <c r="J34" s="372"/>
      <c r="K34" s="372">
        <f>'RAB Pasang'!K34*40%</f>
        <v>25272</v>
      </c>
      <c r="L34" s="372">
        <f t="shared" si="0"/>
        <v>0</v>
      </c>
      <c r="M34" s="372">
        <f t="shared" si="1"/>
        <v>0</v>
      </c>
      <c r="N34" s="460">
        <f t="shared" si="2"/>
        <v>0</v>
      </c>
      <c r="P34" s="524">
        <v>15</v>
      </c>
      <c r="Q34" s="524">
        <v>15</v>
      </c>
      <c r="R34" s="524">
        <v>47</v>
      </c>
      <c r="S34" s="525">
        <v>0</v>
      </c>
      <c r="T34" s="526">
        <f t="shared" si="5"/>
        <v>1.0574999999999999E-2</v>
      </c>
    </row>
    <row r="35" spans="1:21" ht="13.2" customHeight="1" x14ac:dyDescent="0.3">
      <c r="A35" s="365">
        <f t="shared" si="4"/>
        <v>17</v>
      </c>
      <c r="B35" s="370" t="s">
        <v>1526</v>
      </c>
      <c r="C35" s="371"/>
      <c r="D35" s="371"/>
      <c r="E35" s="367" t="s">
        <v>203</v>
      </c>
      <c r="F35" s="527"/>
      <c r="G35" s="527"/>
      <c r="H35" s="539"/>
      <c r="I35" s="369">
        <f t="shared" si="3"/>
        <v>0</v>
      </c>
      <c r="J35" s="372"/>
      <c r="K35" s="372">
        <f>'RAB Pasang'!K35*40%</f>
        <v>27568</v>
      </c>
      <c r="L35" s="372">
        <f t="shared" si="0"/>
        <v>0</v>
      </c>
      <c r="M35" s="372">
        <f t="shared" si="1"/>
        <v>0</v>
      </c>
      <c r="N35" s="460">
        <f t="shared" si="2"/>
        <v>0</v>
      </c>
      <c r="P35" s="524">
        <v>73</v>
      </c>
      <c r="Q35" s="524">
        <v>17</v>
      </c>
      <c r="R35" s="524">
        <v>11</v>
      </c>
      <c r="S35" s="525">
        <v>0</v>
      </c>
      <c r="T35" s="526">
        <f t="shared" si="5"/>
        <v>1.3651E-2</v>
      </c>
    </row>
    <row r="36" spans="1:21" ht="13.2" customHeight="1" x14ac:dyDescent="0.3">
      <c r="A36" s="365">
        <f t="shared" si="4"/>
        <v>18</v>
      </c>
      <c r="B36" s="370" t="s">
        <v>1527</v>
      </c>
      <c r="C36" s="371"/>
      <c r="D36" s="371"/>
      <c r="E36" s="367" t="s">
        <v>203</v>
      </c>
      <c r="F36" s="527"/>
      <c r="G36" s="527"/>
      <c r="H36" s="539"/>
      <c r="I36" s="369">
        <f t="shared" si="3"/>
        <v>0</v>
      </c>
      <c r="J36" s="372"/>
      <c r="K36" s="372">
        <f>'RAB Pasang'!K36*40%</f>
        <v>27568</v>
      </c>
      <c r="L36" s="372">
        <f t="shared" si="0"/>
        <v>0</v>
      </c>
      <c r="M36" s="372">
        <f t="shared" si="1"/>
        <v>0</v>
      </c>
      <c r="N36" s="460">
        <f t="shared" si="2"/>
        <v>0</v>
      </c>
      <c r="P36" s="524">
        <v>50</v>
      </c>
      <c r="Q36" s="524">
        <v>37</v>
      </c>
      <c r="R36" s="524">
        <v>14.5</v>
      </c>
      <c r="S36" s="525">
        <v>0</v>
      </c>
      <c r="T36" s="526">
        <f t="shared" si="5"/>
        <v>2.6825000000000002E-2</v>
      </c>
    </row>
    <row r="37" spans="1:21" ht="13.2" customHeight="1" x14ac:dyDescent="0.3">
      <c r="A37" s="365">
        <f t="shared" si="4"/>
        <v>19</v>
      </c>
      <c r="B37" s="370" t="s">
        <v>1528</v>
      </c>
      <c r="C37" s="371"/>
      <c r="D37" s="371"/>
      <c r="E37" s="367" t="s">
        <v>203</v>
      </c>
      <c r="F37" s="527"/>
      <c r="G37" s="527"/>
      <c r="H37" s="539"/>
      <c r="I37" s="369">
        <f t="shared" si="3"/>
        <v>0</v>
      </c>
      <c r="J37" s="372"/>
      <c r="K37" s="372">
        <f>'RAB Pasang'!K37*40%</f>
        <v>27568</v>
      </c>
      <c r="L37" s="372">
        <f t="shared" si="0"/>
        <v>0</v>
      </c>
      <c r="M37" s="372">
        <f t="shared" si="1"/>
        <v>0</v>
      </c>
      <c r="N37" s="460">
        <f t="shared" si="2"/>
        <v>0</v>
      </c>
      <c r="P37" s="524">
        <v>24</v>
      </c>
      <c r="Q37" s="524">
        <v>17</v>
      </c>
      <c r="R37" s="524">
        <v>26</v>
      </c>
      <c r="S37" s="525">
        <v>0</v>
      </c>
      <c r="T37" s="526">
        <f t="shared" si="5"/>
        <v>1.0607999999999999E-2</v>
      </c>
    </row>
    <row r="38" spans="1:21" ht="13.2" customHeight="1" x14ac:dyDescent="0.3">
      <c r="A38" s="365">
        <f t="shared" si="4"/>
        <v>20</v>
      </c>
      <c r="B38" s="370" t="s">
        <v>1529</v>
      </c>
      <c r="C38" s="371"/>
      <c r="D38" s="371"/>
      <c r="E38" s="367" t="s">
        <v>203</v>
      </c>
      <c r="F38" s="539"/>
      <c r="G38" s="527"/>
      <c r="H38" s="539"/>
      <c r="I38" s="369">
        <f t="shared" si="3"/>
        <v>0</v>
      </c>
      <c r="J38" s="372"/>
      <c r="K38" s="372">
        <f>'RAB Pasang'!K38*40%</f>
        <v>709988</v>
      </c>
      <c r="L38" s="372">
        <f t="shared" si="0"/>
        <v>0</v>
      </c>
      <c r="M38" s="372">
        <f t="shared" si="1"/>
        <v>0</v>
      </c>
      <c r="N38" s="460">
        <f t="shared" si="2"/>
        <v>0</v>
      </c>
      <c r="P38" s="524">
        <v>76</v>
      </c>
      <c r="Q38" s="524">
        <v>51</v>
      </c>
      <c r="R38" s="524">
        <v>102</v>
      </c>
      <c r="S38" s="525">
        <v>0</v>
      </c>
      <c r="T38" s="526">
        <f t="shared" si="5"/>
        <v>0.39535199999999998</v>
      </c>
    </row>
    <row r="39" spans="1:21" ht="13.2" customHeight="1" x14ac:dyDescent="0.3">
      <c r="A39" s="365">
        <f t="shared" si="4"/>
        <v>21</v>
      </c>
      <c r="B39" s="370" t="s">
        <v>1530</v>
      </c>
      <c r="C39" s="371"/>
      <c r="D39" s="371"/>
      <c r="E39" s="367" t="s">
        <v>203</v>
      </c>
      <c r="F39" s="539"/>
      <c r="G39" s="527"/>
      <c r="H39" s="539"/>
      <c r="I39" s="369">
        <f t="shared" si="3"/>
        <v>0</v>
      </c>
      <c r="J39" s="372"/>
      <c r="K39" s="372">
        <f>'RAB Pasang'!K39*40%</f>
        <v>774152</v>
      </c>
      <c r="L39" s="372">
        <f t="shared" si="0"/>
        <v>0</v>
      </c>
      <c r="M39" s="372">
        <f t="shared" si="1"/>
        <v>0</v>
      </c>
      <c r="N39" s="460">
        <f t="shared" si="2"/>
        <v>0</v>
      </c>
      <c r="P39" s="524">
        <v>88</v>
      </c>
      <c r="Q39" s="524">
        <v>54</v>
      </c>
      <c r="R39" s="524">
        <v>111</v>
      </c>
      <c r="S39" s="525">
        <v>0</v>
      </c>
      <c r="T39" s="526">
        <f t="shared" si="5"/>
        <v>0.52747200000000005</v>
      </c>
    </row>
    <row r="40" spans="1:21" ht="13.2" customHeight="1" x14ac:dyDescent="0.3">
      <c r="A40" s="365">
        <f t="shared" si="4"/>
        <v>22</v>
      </c>
      <c r="B40" s="370" t="s">
        <v>1531</v>
      </c>
      <c r="C40" s="371"/>
      <c r="D40" s="371"/>
      <c r="E40" s="367" t="s">
        <v>203</v>
      </c>
      <c r="F40" s="539"/>
      <c r="G40" s="527"/>
      <c r="H40" s="539"/>
      <c r="I40" s="369">
        <f t="shared" si="3"/>
        <v>0</v>
      </c>
      <c r="J40" s="372"/>
      <c r="K40" s="372">
        <f>'RAB Pasang'!K40*40%</f>
        <v>870400</v>
      </c>
      <c r="L40" s="372">
        <f t="shared" si="0"/>
        <v>0</v>
      </c>
      <c r="M40" s="372">
        <f t="shared" si="1"/>
        <v>0</v>
      </c>
      <c r="N40" s="460">
        <f t="shared" si="2"/>
        <v>0</v>
      </c>
      <c r="P40" s="524">
        <v>96</v>
      </c>
      <c r="Q40" s="524">
        <v>65</v>
      </c>
      <c r="R40" s="524">
        <v>116</v>
      </c>
      <c r="S40" s="525">
        <v>0</v>
      </c>
      <c r="T40" s="526">
        <f t="shared" si="5"/>
        <v>0.72384000000000004</v>
      </c>
    </row>
    <row r="41" spans="1:21" ht="13.2" customHeight="1" x14ac:dyDescent="0.3">
      <c r="A41" s="365">
        <f t="shared" si="4"/>
        <v>23</v>
      </c>
      <c r="B41" s="370" t="s">
        <v>1532</v>
      </c>
      <c r="C41" s="371"/>
      <c r="D41" s="371"/>
      <c r="E41" s="367" t="s">
        <v>203</v>
      </c>
      <c r="F41" s="539"/>
      <c r="G41" s="527"/>
      <c r="H41" s="539"/>
      <c r="I41" s="369">
        <f t="shared" si="3"/>
        <v>0</v>
      </c>
      <c r="J41" s="372"/>
      <c r="K41" s="372">
        <f>'RAB Pasang'!K41*40%</f>
        <v>996680</v>
      </c>
      <c r="L41" s="372">
        <f t="shared" si="0"/>
        <v>0</v>
      </c>
      <c r="M41" s="372">
        <f t="shared" si="1"/>
        <v>0</v>
      </c>
      <c r="N41" s="460">
        <f t="shared" si="2"/>
        <v>0</v>
      </c>
      <c r="P41" s="524">
        <v>103</v>
      </c>
      <c r="Q41" s="524">
        <v>74</v>
      </c>
      <c r="R41" s="524">
        <v>128</v>
      </c>
      <c r="S41" s="525">
        <v>0</v>
      </c>
      <c r="T41" s="526">
        <f t="shared" si="5"/>
        <v>0.97561600000000004</v>
      </c>
    </row>
    <row r="42" spans="1:21" ht="13.2" customHeight="1" x14ac:dyDescent="0.3">
      <c r="A42" s="365">
        <f t="shared" si="4"/>
        <v>24</v>
      </c>
      <c r="B42" s="370" t="s">
        <v>1533</v>
      </c>
      <c r="C42" s="371"/>
      <c r="D42" s="371"/>
      <c r="E42" s="367" t="s">
        <v>203</v>
      </c>
      <c r="F42" s="539"/>
      <c r="G42" s="527"/>
      <c r="H42" s="539"/>
      <c r="I42" s="369">
        <f t="shared" si="3"/>
        <v>0</v>
      </c>
      <c r="J42" s="372"/>
      <c r="K42" s="372">
        <f>'RAB Pasang'!K42*40%</f>
        <v>1220200</v>
      </c>
      <c r="L42" s="372">
        <f t="shared" si="0"/>
        <v>0</v>
      </c>
      <c r="M42" s="372">
        <f t="shared" si="1"/>
        <v>0</v>
      </c>
      <c r="N42" s="460">
        <f t="shared" si="2"/>
        <v>0</v>
      </c>
      <c r="P42" s="524">
        <v>107</v>
      </c>
      <c r="Q42" s="524">
        <v>81</v>
      </c>
      <c r="R42" s="524">
        <v>133</v>
      </c>
      <c r="S42" s="525">
        <v>0</v>
      </c>
      <c r="T42" s="526">
        <f t="shared" si="5"/>
        <v>1.152711</v>
      </c>
    </row>
    <row r="43" spans="1:21" ht="13.2" customHeight="1" x14ac:dyDescent="0.3">
      <c r="A43" s="365">
        <f t="shared" si="4"/>
        <v>25</v>
      </c>
      <c r="B43" s="370" t="s">
        <v>1534</v>
      </c>
      <c r="C43" s="371"/>
      <c r="D43" s="371"/>
      <c r="E43" s="367" t="s">
        <v>203</v>
      </c>
      <c r="F43" s="539"/>
      <c r="G43" s="527"/>
      <c r="H43" s="539"/>
      <c r="I43" s="369">
        <f t="shared" si="3"/>
        <v>0</v>
      </c>
      <c r="J43" s="372"/>
      <c r="K43" s="372">
        <f>'RAB Pasang'!K43*40%</f>
        <v>1285920</v>
      </c>
      <c r="L43" s="372">
        <f t="shared" si="0"/>
        <v>0</v>
      </c>
      <c r="M43" s="372">
        <f t="shared" si="1"/>
        <v>0</v>
      </c>
      <c r="N43" s="460">
        <f t="shared" si="2"/>
        <v>0</v>
      </c>
      <c r="P43" s="524">
        <v>114</v>
      </c>
      <c r="Q43" s="524">
        <v>84</v>
      </c>
      <c r="R43" s="524">
        <v>136</v>
      </c>
      <c r="S43" s="525">
        <v>0</v>
      </c>
      <c r="T43" s="526">
        <f t="shared" si="5"/>
        <v>1.3023359999999999</v>
      </c>
    </row>
    <row r="44" spans="1:21" ht="13.2" customHeight="1" x14ac:dyDescent="0.3">
      <c r="A44" s="365">
        <f t="shared" si="4"/>
        <v>26</v>
      </c>
      <c r="B44" s="370" t="s">
        <v>1535</v>
      </c>
      <c r="C44" s="371"/>
      <c r="D44" s="371"/>
      <c r="E44" s="367" t="s">
        <v>203</v>
      </c>
      <c r="F44" s="539"/>
      <c r="G44" s="527"/>
      <c r="H44" s="539"/>
      <c r="I44" s="369">
        <f t="shared" si="3"/>
        <v>0</v>
      </c>
      <c r="J44" s="372"/>
      <c r="K44" s="372">
        <f>'RAB Pasang'!K44*40%</f>
        <v>1349060</v>
      </c>
      <c r="L44" s="372">
        <f t="shared" si="0"/>
        <v>0</v>
      </c>
      <c r="M44" s="372">
        <f t="shared" si="1"/>
        <v>0</v>
      </c>
      <c r="N44" s="460">
        <f t="shared" si="2"/>
        <v>0</v>
      </c>
      <c r="P44" s="524">
        <v>132</v>
      </c>
      <c r="Q44" s="524">
        <v>91</v>
      </c>
      <c r="R44" s="524">
        <v>149</v>
      </c>
      <c r="S44" s="525">
        <v>0</v>
      </c>
      <c r="T44" s="526">
        <f t="shared" si="5"/>
        <v>1.7897879999999999</v>
      </c>
    </row>
    <row r="45" spans="1:21" ht="13.2" customHeight="1" x14ac:dyDescent="0.3">
      <c r="A45" s="365">
        <f t="shared" si="4"/>
        <v>27</v>
      </c>
      <c r="B45" s="370" t="s">
        <v>1549</v>
      </c>
      <c r="C45" s="371"/>
      <c r="D45" s="371"/>
      <c r="E45" s="367" t="s">
        <v>203</v>
      </c>
      <c r="F45" s="539"/>
      <c r="G45" s="527"/>
      <c r="H45" s="539"/>
      <c r="I45" s="369">
        <f t="shared" si="3"/>
        <v>0</v>
      </c>
      <c r="J45" s="372"/>
      <c r="K45" s="372">
        <f>'RAB Pasang'!K45*40%</f>
        <v>1414780</v>
      </c>
      <c r="L45" s="372">
        <f t="shared" si="0"/>
        <v>0</v>
      </c>
      <c r="M45" s="372">
        <f t="shared" si="1"/>
        <v>0</v>
      </c>
      <c r="N45" s="460">
        <f t="shared" si="2"/>
        <v>0</v>
      </c>
      <c r="P45" s="524">
        <v>145</v>
      </c>
      <c r="Q45" s="524">
        <v>104</v>
      </c>
      <c r="R45" s="524">
        <v>165</v>
      </c>
      <c r="S45" s="525">
        <v>0</v>
      </c>
      <c r="T45" s="526">
        <f t="shared" si="5"/>
        <v>2.4882</v>
      </c>
    </row>
    <row r="46" spans="1:21" ht="13.2" customHeight="1" x14ac:dyDescent="0.3">
      <c r="A46" s="365">
        <f t="shared" si="4"/>
        <v>28</v>
      </c>
      <c r="B46" s="370" t="s">
        <v>1550</v>
      </c>
      <c r="C46" s="371"/>
      <c r="D46" s="371"/>
      <c r="E46" s="367" t="s">
        <v>203</v>
      </c>
      <c r="F46" s="539"/>
      <c r="G46" s="527"/>
      <c r="H46" s="539"/>
      <c r="I46" s="369">
        <f t="shared" si="3"/>
        <v>0</v>
      </c>
      <c r="J46" s="372"/>
      <c r="K46" s="372">
        <f>'RAB Pasang'!K46*40%</f>
        <v>1477920</v>
      </c>
      <c r="L46" s="372">
        <f t="shared" si="0"/>
        <v>0</v>
      </c>
      <c r="M46" s="372">
        <f t="shared" si="1"/>
        <v>0</v>
      </c>
      <c r="N46" s="460">
        <f t="shared" si="2"/>
        <v>0</v>
      </c>
      <c r="P46" s="524">
        <v>166</v>
      </c>
      <c r="Q46" s="524">
        <v>112</v>
      </c>
      <c r="R46" s="524">
        <v>187</v>
      </c>
      <c r="S46" s="525">
        <v>0</v>
      </c>
      <c r="T46" s="526">
        <f t="shared" si="5"/>
        <v>3.4767039999999998</v>
      </c>
    </row>
    <row r="47" spans="1:21" ht="13.2" customHeight="1" x14ac:dyDescent="0.3">
      <c r="A47" s="365">
        <f t="shared" si="4"/>
        <v>29</v>
      </c>
      <c r="B47" s="370" t="s">
        <v>1536</v>
      </c>
      <c r="C47" s="371"/>
      <c r="D47" s="371"/>
      <c r="E47" s="367" t="s">
        <v>2348</v>
      </c>
      <c r="F47" s="527"/>
      <c r="G47" s="527"/>
      <c r="H47" s="539"/>
      <c r="I47" s="369">
        <f t="shared" si="3"/>
        <v>0</v>
      </c>
      <c r="J47" s="372"/>
      <c r="K47" s="372">
        <f>'RAB Pasang'!K47*40%</f>
        <v>2412.86</v>
      </c>
      <c r="L47" s="372">
        <f t="shared" si="0"/>
        <v>0</v>
      </c>
      <c r="M47" s="372">
        <f t="shared" si="1"/>
        <v>0</v>
      </c>
      <c r="N47" s="460">
        <f t="shared" si="2"/>
        <v>0</v>
      </c>
      <c r="P47" s="524">
        <v>145</v>
      </c>
      <c r="Q47" s="524">
        <v>145</v>
      </c>
      <c r="R47" s="524">
        <v>60</v>
      </c>
      <c r="S47" s="525">
        <v>3000</v>
      </c>
      <c r="T47" s="526">
        <f t="shared" si="5"/>
        <v>4.2050000000000003E-4</v>
      </c>
      <c r="U47" s="297" t="s">
        <v>2347</v>
      </c>
    </row>
    <row r="48" spans="1:21" ht="13.2" customHeight="1" x14ac:dyDescent="0.3">
      <c r="A48" s="365">
        <f t="shared" si="4"/>
        <v>30</v>
      </c>
      <c r="B48" s="370" t="s">
        <v>1537</v>
      </c>
      <c r="C48" s="371"/>
      <c r="D48" s="371"/>
      <c r="E48" s="367" t="s">
        <v>2348</v>
      </c>
      <c r="F48" s="527"/>
      <c r="G48" s="527"/>
      <c r="H48" s="539"/>
      <c r="I48" s="369">
        <f t="shared" si="3"/>
        <v>0</v>
      </c>
      <c r="J48" s="372"/>
      <c r="K48" s="372">
        <f>'RAB Pasang'!K48*40%</f>
        <v>2969.6759999999999</v>
      </c>
      <c r="L48" s="372">
        <f t="shared" si="0"/>
        <v>0</v>
      </c>
      <c r="M48" s="372">
        <f t="shared" si="1"/>
        <v>0</v>
      </c>
      <c r="N48" s="460">
        <f t="shared" si="2"/>
        <v>0</v>
      </c>
      <c r="P48" s="524">
        <v>145</v>
      </c>
      <c r="Q48" s="524">
        <v>145</v>
      </c>
      <c r="R48" s="524">
        <v>70</v>
      </c>
      <c r="S48" s="525">
        <v>3000</v>
      </c>
      <c r="T48" s="526">
        <f t="shared" si="5"/>
        <v>4.9058333333333332E-4</v>
      </c>
      <c r="U48" s="297" t="s">
        <v>2347</v>
      </c>
    </row>
    <row r="49" spans="1:21" ht="13.2" customHeight="1" x14ac:dyDescent="0.3">
      <c r="A49" s="365">
        <f t="shared" si="4"/>
        <v>31</v>
      </c>
      <c r="B49" s="370" t="s">
        <v>1538</v>
      </c>
      <c r="C49" s="371"/>
      <c r="D49" s="371"/>
      <c r="E49" s="367" t="s">
        <v>2348</v>
      </c>
      <c r="F49" s="527"/>
      <c r="G49" s="527"/>
      <c r="H49" s="539"/>
      <c r="I49" s="369">
        <f t="shared" si="3"/>
        <v>0</v>
      </c>
      <c r="J49" s="372"/>
      <c r="K49" s="372">
        <f>'RAB Pasang'!K49*40%</f>
        <v>3509.6160000000004</v>
      </c>
      <c r="L49" s="372">
        <f t="shared" si="0"/>
        <v>0</v>
      </c>
      <c r="M49" s="372">
        <f t="shared" si="1"/>
        <v>0</v>
      </c>
      <c r="N49" s="460">
        <f t="shared" si="2"/>
        <v>0</v>
      </c>
      <c r="P49" s="524">
        <v>145</v>
      </c>
      <c r="Q49" s="524">
        <v>145</v>
      </c>
      <c r="R49" s="524">
        <v>85</v>
      </c>
      <c r="S49" s="525">
        <v>3000</v>
      </c>
      <c r="T49" s="526">
        <f t="shared" si="5"/>
        <v>5.957083333333334E-4</v>
      </c>
      <c r="U49" s="297" t="s">
        <v>2347</v>
      </c>
    </row>
    <row r="50" spans="1:21" ht="13.2" customHeight="1" x14ac:dyDescent="0.3">
      <c r="A50" s="365">
        <f t="shared" si="4"/>
        <v>32</v>
      </c>
      <c r="B50" s="370" t="s">
        <v>1539</v>
      </c>
      <c r="C50" s="371"/>
      <c r="D50" s="371"/>
      <c r="E50" s="367" t="s">
        <v>2348</v>
      </c>
      <c r="F50" s="527"/>
      <c r="G50" s="527"/>
      <c r="H50" s="539"/>
      <c r="I50" s="369">
        <f t="shared" si="3"/>
        <v>0</v>
      </c>
      <c r="J50" s="372"/>
      <c r="K50" s="372">
        <f>'RAB Pasang'!K50*40%</f>
        <v>4289.5320000000002</v>
      </c>
      <c r="L50" s="372">
        <f t="shared" si="0"/>
        <v>0</v>
      </c>
      <c r="M50" s="372">
        <f t="shared" si="1"/>
        <v>0</v>
      </c>
      <c r="N50" s="460">
        <f t="shared" si="2"/>
        <v>0</v>
      </c>
      <c r="P50" s="524">
        <v>145</v>
      </c>
      <c r="Q50" s="524">
        <v>145</v>
      </c>
      <c r="R50" s="524">
        <v>95</v>
      </c>
      <c r="S50" s="525">
        <v>2000</v>
      </c>
      <c r="T50" s="526">
        <f t="shared" si="5"/>
        <v>9.9868750000000001E-4</v>
      </c>
      <c r="U50" s="297" t="s">
        <v>2347</v>
      </c>
    </row>
    <row r="51" spans="1:21" ht="13.2" customHeight="1" x14ac:dyDescent="0.3">
      <c r="A51" s="365">
        <f t="shared" si="4"/>
        <v>33</v>
      </c>
      <c r="B51" s="370" t="s">
        <v>1540</v>
      </c>
      <c r="C51" s="371"/>
      <c r="D51" s="371"/>
      <c r="E51" s="367" t="s">
        <v>2348</v>
      </c>
      <c r="F51" s="527"/>
      <c r="G51" s="527"/>
      <c r="H51" s="539"/>
      <c r="I51" s="369">
        <f t="shared" si="3"/>
        <v>0</v>
      </c>
      <c r="J51" s="372"/>
      <c r="K51" s="372">
        <f>'RAB Pasang'!K51*40%</f>
        <v>5515.112000000001</v>
      </c>
      <c r="L51" s="372">
        <f t="shared" si="0"/>
        <v>0</v>
      </c>
      <c r="M51" s="372">
        <f t="shared" si="1"/>
        <v>0</v>
      </c>
      <c r="N51" s="460">
        <f t="shared" si="2"/>
        <v>0</v>
      </c>
      <c r="P51" s="524">
        <v>145</v>
      </c>
      <c r="Q51" s="524">
        <v>145</v>
      </c>
      <c r="R51" s="524">
        <v>100</v>
      </c>
      <c r="S51" s="525">
        <v>2000</v>
      </c>
      <c r="T51" s="526">
        <f t="shared" si="5"/>
        <v>1.0512500000000001E-3</v>
      </c>
      <c r="U51" s="297" t="s">
        <v>2347</v>
      </c>
    </row>
    <row r="52" spans="1:21" ht="13.2" customHeight="1" x14ac:dyDescent="0.3">
      <c r="A52" s="365">
        <f t="shared" si="4"/>
        <v>34</v>
      </c>
      <c r="B52" s="370" t="s">
        <v>1541</v>
      </c>
      <c r="C52" s="371"/>
      <c r="D52" s="371"/>
      <c r="E52" s="367" t="s">
        <v>2348</v>
      </c>
      <c r="F52" s="527"/>
      <c r="G52" s="527"/>
      <c r="H52" s="539"/>
      <c r="I52" s="369">
        <f t="shared" si="3"/>
        <v>0</v>
      </c>
      <c r="J52" s="372"/>
      <c r="K52" s="372">
        <f>'RAB Pasang'!K52*40%</f>
        <v>6434.2960000000003</v>
      </c>
      <c r="L52" s="372">
        <f t="shared" si="0"/>
        <v>0</v>
      </c>
      <c r="M52" s="372">
        <f t="shared" si="1"/>
        <v>0</v>
      </c>
      <c r="N52" s="460">
        <f t="shared" si="2"/>
        <v>0</v>
      </c>
      <c r="P52" s="524">
        <v>145</v>
      </c>
      <c r="Q52" s="524">
        <v>145</v>
      </c>
      <c r="R52" s="524">
        <v>110</v>
      </c>
      <c r="S52" s="525">
        <v>2000</v>
      </c>
      <c r="T52" s="526">
        <f t="shared" si="5"/>
        <v>1.1563749999999999E-3</v>
      </c>
      <c r="U52" s="297" t="s">
        <v>2347</v>
      </c>
    </row>
    <row r="53" spans="1:21" ht="13.2" customHeight="1" x14ac:dyDescent="0.3">
      <c r="A53" s="365">
        <f t="shared" si="4"/>
        <v>35</v>
      </c>
      <c r="B53" s="370" t="s">
        <v>1542</v>
      </c>
      <c r="C53" s="371"/>
      <c r="D53" s="371"/>
      <c r="E53" s="367" t="s">
        <v>2348</v>
      </c>
      <c r="F53" s="527"/>
      <c r="G53" s="527"/>
      <c r="H53" s="539"/>
      <c r="I53" s="369">
        <f t="shared" si="3"/>
        <v>0</v>
      </c>
      <c r="J53" s="372"/>
      <c r="K53" s="372">
        <f>'RAB Pasang'!K53*40%</f>
        <v>8774.0399999999991</v>
      </c>
      <c r="L53" s="372">
        <f t="shared" si="0"/>
        <v>0</v>
      </c>
      <c r="M53" s="372">
        <f t="shared" si="1"/>
        <v>0</v>
      </c>
      <c r="N53" s="460">
        <f t="shared" si="2"/>
        <v>0</v>
      </c>
      <c r="P53" s="524">
        <v>145</v>
      </c>
      <c r="Q53" s="524">
        <v>145</v>
      </c>
      <c r="R53" s="524">
        <v>120</v>
      </c>
      <c r="S53" s="525">
        <v>1000</v>
      </c>
      <c r="T53" s="526">
        <f t="shared" si="5"/>
        <v>2.5230000000000001E-3</v>
      </c>
      <c r="U53" s="297" t="s">
        <v>2347</v>
      </c>
    </row>
    <row r="54" spans="1:21" ht="13.2" customHeight="1" x14ac:dyDescent="0.3">
      <c r="A54" s="365">
        <f t="shared" si="4"/>
        <v>36</v>
      </c>
      <c r="B54" s="370" t="s">
        <v>1543</v>
      </c>
      <c r="C54" s="371"/>
      <c r="D54" s="371"/>
      <c r="E54" s="367" t="s">
        <v>2348</v>
      </c>
      <c r="F54" s="527"/>
      <c r="G54" s="527"/>
      <c r="H54" s="539"/>
      <c r="I54" s="369">
        <f t="shared" si="3"/>
        <v>0</v>
      </c>
      <c r="J54" s="372"/>
      <c r="K54" s="372">
        <f>'RAB Pasang'!K54*40%</f>
        <v>3016.076</v>
      </c>
      <c r="L54" s="372">
        <f t="shared" si="0"/>
        <v>0</v>
      </c>
      <c r="M54" s="372">
        <f t="shared" si="1"/>
        <v>0</v>
      </c>
      <c r="N54" s="460">
        <f t="shared" si="2"/>
        <v>0</v>
      </c>
      <c r="P54" s="524">
        <v>145</v>
      </c>
      <c r="Q54" s="524">
        <v>145</v>
      </c>
      <c r="R54" s="524">
        <v>70</v>
      </c>
      <c r="S54" s="525">
        <v>3000</v>
      </c>
      <c r="T54" s="526">
        <f t="shared" si="5"/>
        <v>4.9058333333333332E-4</v>
      </c>
      <c r="U54" s="297" t="s">
        <v>2347</v>
      </c>
    </row>
    <row r="55" spans="1:21" ht="13.2" customHeight="1" x14ac:dyDescent="0.3">
      <c r="A55" s="365">
        <f t="shared" si="4"/>
        <v>37</v>
      </c>
      <c r="B55" s="370" t="s">
        <v>1544</v>
      </c>
      <c r="C55" s="371"/>
      <c r="D55" s="371"/>
      <c r="E55" s="367" t="s">
        <v>2348</v>
      </c>
      <c r="F55" s="527"/>
      <c r="G55" s="527"/>
      <c r="H55" s="539"/>
      <c r="I55" s="369">
        <f t="shared" si="3"/>
        <v>0</v>
      </c>
      <c r="J55" s="372"/>
      <c r="K55" s="372">
        <f>'RAB Pasang'!K55*40%</f>
        <v>3574.6080000000002</v>
      </c>
      <c r="L55" s="372">
        <f t="shared" si="0"/>
        <v>0</v>
      </c>
      <c r="M55" s="372">
        <f t="shared" si="1"/>
        <v>0</v>
      </c>
      <c r="N55" s="460">
        <f t="shared" si="2"/>
        <v>0</v>
      </c>
      <c r="P55" s="524">
        <v>145</v>
      </c>
      <c r="Q55" s="524">
        <v>145</v>
      </c>
      <c r="R55" s="524">
        <v>85</v>
      </c>
      <c r="S55" s="525">
        <v>3000</v>
      </c>
      <c r="T55" s="526">
        <f t="shared" si="5"/>
        <v>5.957083333333334E-4</v>
      </c>
      <c r="U55" s="297" t="s">
        <v>2347</v>
      </c>
    </row>
    <row r="56" spans="1:21" ht="13.2" customHeight="1" x14ac:dyDescent="0.3">
      <c r="A56" s="365">
        <f t="shared" si="4"/>
        <v>38</v>
      </c>
      <c r="B56" s="370" t="s">
        <v>1545</v>
      </c>
      <c r="C56" s="371"/>
      <c r="D56" s="371"/>
      <c r="E56" s="367" t="s">
        <v>2348</v>
      </c>
      <c r="F56" s="527"/>
      <c r="G56" s="527"/>
      <c r="H56" s="539"/>
      <c r="I56" s="369">
        <f t="shared" si="3"/>
        <v>0</v>
      </c>
      <c r="J56" s="372"/>
      <c r="K56" s="372">
        <f>'RAB Pasang'!K56*40%</f>
        <v>4387.0199999999995</v>
      </c>
      <c r="L56" s="372">
        <f t="shared" si="0"/>
        <v>0</v>
      </c>
      <c r="M56" s="372">
        <f t="shared" si="1"/>
        <v>0</v>
      </c>
      <c r="N56" s="460">
        <f t="shared" si="2"/>
        <v>0</v>
      </c>
      <c r="P56" s="524">
        <v>145</v>
      </c>
      <c r="Q56" s="524">
        <v>145</v>
      </c>
      <c r="R56" s="524">
        <v>95</v>
      </c>
      <c r="S56" s="525">
        <v>2000</v>
      </c>
      <c r="T56" s="526">
        <f t="shared" si="5"/>
        <v>9.9868750000000001E-4</v>
      </c>
      <c r="U56" s="297" t="s">
        <v>2347</v>
      </c>
    </row>
    <row r="57" spans="1:21" ht="13.2" customHeight="1" x14ac:dyDescent="0.3">
      <c r="A57" s="365">
        <f t="shared" si="4"/>
        <v>39</v>
      </c>
      <c r="B57" s="370" t="s">
        <v>1546</v>
      </c>
      <c r="C57" s="371"/>
      <c r="D57" s="371"/>
      <c r="E57" s="367" t="s">
        <v>2348</v>
      </c>
      <c r="F57" s="527"/>
      <c r="G57" s="527"/>
      <c r="H57" s="539"/>
      <c r="I57" s="369">
        <f t="shared" si="3"/>
        <v>0</v>
      </c>
      <c r="J57" s="372"/>
      <c r="K57" s="372">
        <f>'RAB Pasang'!K57*40%</f>
        <v>5677.32</v>
      </c>
      <c r="L57" s="372">
        <f t="shared" si="0"/>
        <v>0</v>
      </c>
      <c r="M57" s="372">
        <f t="shared" si="1"/>
        <v>0</v>
      </c>
      <c r="N57" s="460">
        <f t="shared" si="2"/>
        <v>0</v>
      </c>
      <c r="P57" s="524">
        <v>145</v>
      </c>
      <c r="Q57" s="524">
        <v>145</v>
      </c>
      <c r="R57" s="524">
        <v>100</v>
      </c>
      <c r="S57" s="525">
        <v>2000</v>
      </c>
      <c r="T57" s="526">
        <f t="shared" si="5"/>
        <v>1.0512500000000001E-3</v>
      </c>
      <c r="U57" s="297" t="s">
        <v>2347</v>
      </c>
    </row>
    <row r="58" spans="1:21" ht="13.2" customHeight="1" x14ac:dyDescent="0.3">
      <c r="A58" s="365">
        <f t="shared" si="4"/>
        <v>40</v>
      </c>
      <c r="B58" s="370" t="s">
        <v>1547</v>
      </c>
      <c r="C58" s="371"/>
      <c r="D58" s="371"/>
      <c r="E58" s="367" t="s">
        <v>2348</v>
      </c>
      <c r="F58" s="527"/>
      <c r="G58" s="527"/>
      <c r="H58" s="539"/>
      <c r="I58" s="369">
        <f t="shared" si="3"/>
        <v>0</v>
      </c>
      <c r="J58" s="372"/>
      <c r="K58" s="372">
        <f>'RAB Pasang'!K58*40%</f>
        <v>6656.1679999999997</v>
      </c>
      <c r="L58" s="372">
        <f t="shared" si="0"/>
        <v>0</v>
      </c>
      <c r="M58" s="372">
        <f t="shared" si="1"/>
        <v>0</v>
      </c>
      <c r="N58" s="460">
        <f t="shared" si="2"/>
        <v>0</v>
      </c>
      <c r="P58" s="524">
        <v>145</v>
      </c>
      <c r="Q58" s="524">
        <v>145</v>
      </c>
      <c r="R58" s="524">
        <v>110</v>
      </c>
      <c r="S58" s="525">
        <v>2000</v>
      </c>
      <c r="T58" s="526">
        <f t="shared" si="5"/>
        <v>1.1563749999999999E-3</v>
      </c>
      <c r="U58" s="297" t="s">
        <v>2347</v>
      </c>
    </row>
    <row r="59" spans="1:21" ht="13.2" customHeight="1" x14ac:dyDescent="0.3">
      <c r="A59" s="365">
        <f t="shared" si="4"/>
        <v>41</v>
      </c>
      <c r="B59" s="370" t="s">
        <v>1548</v>
      </c>
      <c r="C59" s="371"/>
      <c r="D59" s="371"/>
      <c r="E59" s="367" t="s">
        <v>2348</v>
      </c>
      <c r="F59" s="527"/>
      <c r="G59" s="527"/>
      <c r="H59" s="539"/>
      <c r="I59" s="369">
        <f t="shared" si="3"/>
        <v>0</v>
      </c>
      <c r="J59" s="372"/>
      <c r="K59" s="372">
        <f>'RAB Pasang'!K59*40%</f>
        <v>9191.8520000000008</v>
      </c>
      <c r="L59" s="372">
        <f t="shared" si="0"/>
        <v>0</v>
      </c>
      <c r="M59" s="372">
        <f t="shared" si="1"/>
        <v>0</v>
      </c>
      <c r="N59" s="460">
        <f t="shared" si="2"/>
        <v>0</v>
      </c>
      <c r="P59" s="524">
        <v>145</v>
      </c>
      <c r="Q59" s="524">
        <v>145</v>
      </c>
      <c r="R59" s="524">
        <v>120</v>
      </c>
      <c r="S59" s="525">
        <v>1000</v>
      </c>
      <c r="T59" s="526">
        <f t="shared" si="5"/>
        <v>2.5230000000000001E-3</v>
      </c>
      <c r="U59" s="297" t="s">
        <v>2347</v>
      </c>
    </row>
    <row r="60" spans="1:21" ht="13.2" customHeight="1" x14ac:dyDescent="0.3">
      <c r="A60" s="365">
        <f t="shared" si="4"/>
        <v>42</v>
      </c>
      <c r="B60" s="370" t="s">
        <v>1938</v>
      </c>
      <c r="C60" s="371"/>
      <c r="D60" s="371"/>
      <c r="E60" s="367" t="s">
        <v>2348</v>
      </c>
      <c r="F60" s="527"/>
      <c r="G60" s="539"/>
      <c r="H60" s="539"/>
      <c r="I60" s="369">
        <f t="shared" si="3"/>
        <v>0</v>
      </c>
      <c r="J60" s="372"/>
      <c r="K60" s="372">
        <f>'RAB Pasang'!K60*40%</f>
        <v>3996.9639999999999</v>
      </c>
      <c r="L60" s="372">
        <f t="shared" si="0"/>
        <v>0</v>
      </c>
      <c r="M60" s="372">
        <f t="shared" si="1"/>
        <v>0</v>
      </c>
      <c r="N60" s="460">
        <f t="shared" si="2"/>
        <v>0</v>
      </c>
      <c r="P60" s="524">
        <v>205</v>
      </c>
      <c r="Q60" s="524">
        <v>205</v>
      </c>
      <c r="R60" s="524">
        <v>126</v>
      </c>
      <c r="S60" s="525">
        <v>1000</v>
      </c>
      <c r="T60" s="526">
        <f t="shared" si="5"/>
        <v>5.2951499999999993E-3</v>
      </c>
      <c r="U60" s="297" t="s">
        <v>2347</v>
      </c>
    </row>
    <row r="61" spans="1:21" ht="13.2" customHeight="1" x14ac:dyDescent="0.3">
      <c r="A61" s="365">
        <f t="shared" si="4"/>
        <v>43</v>
      </c>
      <c r="B61" s="370" t="s">
        <v>1939</v>
      </c>
      <c r="C61" s="371"/>
      <c r="D61" s="371"/>
      <c r="E61" s="367" t="s">
        <v>2348</v>
      </c>
      <c r="F61" s="527"/>
      <c r="G61" s="539"/>
      <c r="H61" s="539"/>
      <c r="I61" s="369">
        <f t="shared" si="3"/>
        <v>0</v>
      </c>
      <c r="J61" s="372"/>
      <c r="K61" s="372">
        <f>'RAB Pasang'!K61*40%</f>
        <v>5112.3960000000006</v>
      </c>
      <c r="L61" s="372">
        <f t="shared" si="0"/>
        <v>0</v>
      </c>
      <c r="M61" s="372">
        <f t="shared" si="1"/>
        <v>0</v>
      </c>
      <c r="N61" s="460">
        <f t="shared" si="2"/>
        <v>0</v>
      </c>
      <c r="P61" s="524">
        <v>205</v>
      </c>
      <c r="Q61" s="524">
        <v>205</v>
      </c>
      <c r="R61" s="524">
        <v>126</v>
      </c>
      <c r="S61" s="525">
        <v>500</v>
      </c>
      <c r="T61" s="526">
        <f t="shared" si="5"/>
        <v>1.0590299999999999E-2</v>
      </c>
      <c r="U61" s="297" t="s">
        <v>2347</v>
      </c>
    </row>
    <row r="62" spans="1:21" ht="13.2" customHeight="1" x14ac:dyDescent="0.3">
      <c r="A62" s="365">
        <f t="shared" si="4"/>
        <v>44</v>
      </c>
      <c r="B62" s="370" t="s">
        <v>1940</v>
      </c>
      <c r="C62" s="371"/>
      <c r="D62" s="371"/>
      <c r="E62" s="367" t="s">
        <v>2348</v>
      </c>
      <c r="F62" s="527"/>
      <c r="G62" s="539"/>
      <c r="H62" s="539"/>
      <c r="I62" s="369">
        <f t="shared" si="3"/>
        <v>0</v>
      </c>
      <c r="J62" s="372"/>
      <c r="K62" s="372">
        <f>'RAB Pasang'!K62*40%</f>
        <v>5361.7839999999997</v>
      </c>
      <c r="L62" s="372">
        <f t="shared" si="0"/>
        <v>0</v>
      </c>
      <c r="M62" s="372">
        <f t="shared" si="1"/>
        <v>0</v>
      </c>
      <c r="N62" s="460">
        <f t="shared" si="2"/>
        <v>0</v>
      </c>
      <c r="P62" s="524">
        <v>205</v>
      </c>
      <c r="Q62" s="524">
        <v>205</v>
      </c>
      <c r="R62" s="524">
        <v>126</v>
      </c>
      <c r="S62" s="525">
        <v>500</v>
      </c>
      <c r="T62" s="526">
        <f t="shared" si="5"/>
        <v>1.0590299999999999E-2</v>
      </c>
      <c r="U62" s="297" t="s">
        <v>2347</v>
      </c>
    </row>
    <row r="63" spans="1:21" ht="13.2" customHeight="1" x14ac:dyDescent="0.3">
      <c r="A63" s="365">
        <f t="shared" si="4"/>
        <v>45</v>
      </c>
      <c r="B63" s="370" t="s">
        <v>1941</v>
      </c>
      <c r="C63" s="371"/>
      <c r="D63" s="371"/>
      <c r="E63" s="367" t="s">
        <v>2348</v>
      </c>
      <c r="F63" s="527"/>
      <c r="G63" s="539"/>
      <c r="H63" s="539"/>
      <c r="I63" s="369">
        <f t="shared" si="3"/>
        <v>0</v>
      </c>
      <c r="J63" s="372"/>
      <c r="K63" s="372">
        <f>'RAB Pasang'!K63*40%</f>
        <v>5495.8280000000004</v>
      </c>
      <c r="L63" s="372">
        <f t="shared" si="0"/>
        <v>0</v>
      </c>
      <c r="M63" s="372">
        <f t="shared" si="1"/>
        <v>0</v>
      </c>
      <c r="N63" s="460">
        <f t="shared" si="2"/>
        <v>0</v>
      </c>
      <c r="P63" s="524">
        <v>220</v>
      </c>
      <c r="Q63" s="524">
        <v>220</v>
      </c>
      <c r="R63" s="524">
        <v>141</v>
      </c>
      <c r="S63" s="525">
        <v>300</v>
      </c>
      <c r="T63" s="526">
        <f t="shared" si="5"/>
        <v>2.2748000000000001E-2</v>
      </c>
      <c r="U63" s="297" t="s">
        <v>2347</v>
      </c>
    </row>
    <row r="64" spans="1:21" ht="13.2" customHeight="1" x14ac:dyDescent="0.3">
      <c r="A64" s="365">
        <f t="shared" si="4"/>
        <v>46</v>
      </c>
      <c r="B64" s="370" t="s">
        <v>1942</v>
      </c>
      <c r="C64" s="371"/>
      <c r="D64" s="371"/>
      <c r="E64" s="367" t="s">
        <v>264</v>
      </c>
      <c r="F64" s="527"/>
      <c r="G64" s="539"/>
      <c r="H64" s="539"/>
      <c r="I64" s="369">
        <f t="shared" si="3"/>
        <v>0</v>
      </c>
      <c r="J64" s="372"/>
      <c r="K64" s="372">
        <f>'RAB Pasang'!K64*40%</f>
        <v>9096</v>
      </c>
      <c r="L64" s="372">
        <f t="shared" si="0"/>
        <v>0</v>
      </c>
      <c r="M64" s="372">
        <f t="shared" si="1"/>
        <v>0</v>
      </c>
      <c r="N64" s="460">
        <f t="shared" si="2"/>
        <v>0</v>
      </c>
      <c r="P64" s="524">
        <v>220</v>
      </c>
      <c r="Q64" s="524">
        <v>220</v>
      </c>
      <c r="R64" s="524">
        <v>135</v>
      </c>
      <c r="S64" s="525">
        <v>400</v>
      </c>
      <c r="T64" s="526">
        <f t="shared" si="5"/>
        <v>1.6334999999999999E-2</v>
      </c>
    </row>
    <row r="65" spans="1:20" ht="13.2" customHeight="1" x14ac:dyDescent="0.3">
      <c r="A65" s="365">
        <f t="shared" si="4"/>
        <v>47</v>
      </c>
      <c r="B65" s="370" t="s">
        <v>1943</v>
      </c>
      <c r="C65" s="371"/>
      <c r="D65" s="371"/>
      <c r="E65" s="367" t="s">
        <v>264</v>
      </c>
      <c r="F65" s="527"/>
      <c r="G65" s="539"/>
      <c r="H65" s="539"/>
      <c r="I65" s="369">
        <f t="shared" si="3"/>
        <v>0</v>
      </c>
      <c r="J65" s="372"/>
      <c r="K65" s="372">
        <f>'RAB Pasang'!K65*40%</f>
        <v>10108</v>
      </c>
      <c r="L65" s="372">
        <f t="shared" si="0"/>
        <v>0</v>
      </c>
      <c r="M65" s="372">
        <f t="shared" si="1"/>
        <v>0</v>
      </c>
      <c r="N65" s="460">
        <f t="shared" si="2"/>
        <v>0</v>
      </c>
      <c r="P65" s="524">
        <v>220</v>
      </c>
      <c r="Q65" s="524">
        <v>220</v>
      </c>
      <c r="R65" s="524">
        <v>135</v>
      </c>
      <c r="S65" s="525">
        <v>350</v>
      </c>
      <c r="T65" s="526">
        <f t="shared" si="5"/>
        <v>1.8668571428571427E-2</v>
      </c>
    </row>
    <row r="66" spans="1:20" ht="13.2" customHeight="1" x14ac:dyDescent="0.3">
      <c r="A66" s="365">
        <f t="shared" si="4"/>
        <v>48</v>
      </c>
      <c r="B66" s="370" t="s">
        <v>1944</v>
      </c>
      <c r="C66" s="371"/>
      <c r="D66" s="371"/>
      <c r="E66" s="367" t="s">
        <v>264</v>
      </c>
      <c r="F66" s="527"/>
      <c r="G66" s="539"/>
      <c r="H66" s="539"/>
      <c r="I66" s="369">
        <f t="shared" si="3"/>
        <v>0</v>
      </c>
      <c r="J66" s="372"/>
      <c r="K66" s="372">
        <f>'RAB Pasang'!K66*40%</f>
        <v>12996</v>
      </c>
      <c r="L66" s="372">
        <f t="shared" si="0"/>
        <v>0</v>
      </c>
      <c r="M66" s="372">
        <f t="shared" si="1"/>
        <v>0</v>
      </c>
      <c r="N66" s="460">
        <f t="shared" si="2"/>
        <v>0</v>
      </c>
      <c r="P66" s="524">
        <v>220</v>
      </c>
      <c r="Q66" s="524">
        <v>220</v>
      </c>
      <c r="R66" s="524">
        <v>135</v>
      </c>
      <c r="S66" s="525">
        <v>300</v>
      </c>
      <c r="T66" s="526">
        <f t="shared" si="5"/>
        <v>2.1780000000000001E-2</v>
      </c>
    </row>
    <row r="67" spans="1:20" ht="13.2" customHeight="1" x14ac:dyDescent="0.3">
      <c r="A67" s="365">
        <f t="shared" si="4"/>
        <v>49</v>
      </c>
      <c r="B67" s="370" t="s">
        <v>1945</v>
      </c>
      <c r="C67" s="371"/>
      <c r="D67" s="371"/>
      <c r="E67" s="367" t="s">
        <v>264</v>
      </c>
      <c r="F67" s="527"/>
      <c r="G67" s="539"/>
      <c r="H67" s="539"/>
      <c r="I67" s="369">
        <f t="shared" si="3"/>
        <v>0</v>
      </c>
      <c r="J67" s="372"/>
      <c r="K67" s="372">
        <f>'RAB Pasang'!K67*40%</f>
        <v>18196</v>
      </c>
      <c r="L67" s="372">
        <f t="shared" si="0"/>
        <v>0</v>
      </c>
      <c r="M67" s="372">
        <f t="shared" si="1"/>
        <v>0</v>
      </c>
      <c r="N67" s="460">
        <f t="shared" si="2"/>
        <v>0</v>
      </c>
      <c r="P67" s="524">
        <v>220</v>
      </c>
      <c r="Q67" s="524">
        <v>220</v>
      </c>
      <c r="R67" s="524">
        <v>135</v>
      </c>
      <c r="S67" s="525">
        <v>250</v>
      </c>
      <c r="T67" s="526">
        <f t="shared" si="5"/>
        <v>2.6136E-2</v>
      </c>
    </row>
    <row r="68" spans="1:20" ht="13.2" customHeight="1" x14ac:dyDescent="0.3">
      <c r="A68" s="365">
        <f t="shared" si="4"/>
        <v>50</v>
      </c>
      <c r="B68" s="370" t="s">
        <v>1946</v>
      </c>
      <c r="C68" s="371"/>
      <c r="D68" s="371"/>
      <c r="E68" s="367" t="s">
        <v>264</v>
      </c>
      <c r="F68" s="527"/>
      <c r="G68" s="539"/>
      <c r="H68" s="539"/>
      <c r="I68" s="369">
        <f t="shared" si="3"/>
        <v>0</v>
      </c>
      <c r="J68" s="372"/>
      <c r="K68" s="372">
        <f>'RAB Pasang'!K68*40%</f>
        <v>22744</v>
      </c>
      <c r="L68" s="372">
        <f t="shared" si="0"/>
        <v>0</v>
      </c>
      <c r="M68" s="372">
        <f t="shared" si="1"/>
        <v>0</v>
      </c>
      <c r="N68" s="460">
        <f t="shared" si="2"/>
        <v>0</v>
      </c>
      <c r="P68" s="524">
        <v>220</v>
      </c>
      <c r="Q68" s="524">
        <v>220</v>
      </c>
      <c r="R68" s="524">
        <v>135</v>
      </c>
      <c r="S68" s="525">
        <v>200</v>
      </c>
      <c r="T68" s="526">
        <f t="shared" si="5"/>
        <v>3.2669999999999998E-2</v>
      </c>
    </row>
    <row r="69" spans="1:20" ht="13.2" customHeight="1" x14ac:dyDescent="0.3">
      <c r="A69" s="365">
        <f t="shared" si="4"/>
        <v>51</v>
      </c>
      <c r="B69" s="370" t="s">
        <v>1947</v>
      </c>
      <c r="C69" s="371"/>
      <c r="D69" s="371"/>
      <c r="E69" s="367" t="s">
        <v>264</v>
      </c>
      <c r="F69" s="527"/>
      <c r="G69" s="539"/>
      <c r="H69" s="539"/>
      <c r="I69" s="369">
        <f t="shared" si="3"/>
        <v>0</v>
      </c>
      <c r="J69" s="372"/>
      <c r="K69" s="372">
        <f>'RAB Pasang'!K69*40%</f>
        <v>5352</v>
      </c>
      <c r="L69" s="372">
        <f t="shared" si="0"/>
        <v>0</v>
      </c>
      <c r="M69" s="372">
        <f t="shared" si="1"/>
        <v>0</v>
      </c>
      <c r="N69" s="460">
        <f t="shared" si="2"/>
        <v>0</v>
      </c>
      <c r="P69" s="524">
        <v>220</v>
      </c>
      <c r="Q69" s="524">
        <v>220</v>
      </c>
      <c r="R69" s="524">
        <v>135</v>
      </c>
      <c r="S69" s="525">
        <v>500</v>
      </c>
      <c r="T69" s="526">
        <f t="shared" si="5"/>
        <v>1.3068E-2</v>
      </c>
    </row>
    <row r="70" spans="1:20" ht="13.2" customHeight="1" x14ac:dyDescent="0.3">
      <c r="A70" s="365">
        <f t="shared" si="4"/>
        <v>52</v>
      </c>
      <c r="B70" s="370" t="s">
        <v>1948</v>
      </c>
      <c r="C70" s="371"/>
      <c r="D70" s="371"/>
      <c r="E70" s="367" t="s">
        <v>264</v>
      </c>
      <c r="F70" s="527"/>
      <c r="G70" s="539"/>
      <c r="H70" s="539"/>
      <c r="I70" s="369">
        <f t="shared" si="3"/>
        <v>0</v>
      </c>
      <c r="J70" s="372"/>
      <c r="K70" s="372">
        <f>'RAB Pasang'!K70*40%</f>
        <v>6500</v>
      </c>
      <c r="L70" s="372">
        <f t="shared" si="0"/>
        <v>0</v>
      </c>
      <c r="M70" s="372">
        <f t="shared" si="1"/>
        <v>0</v>
      </c>
      <c r="N70" s="460">
        <f t="shared" si="2"/>
        <v>0</v>
      </c>
      <c r="P70" s="524">
        <v>220</v>
      </c>
      <c r="Q70" s="524">
        <v>220</v>
      </c>
      <c r="R70" s="524">
        <v>135</v>
      </c>
      <c r="S70" s="525">
        <v>450</v>
      </c>
      <c r="T70" s="526">
        <f t="shared" si="5"/>
        <v>1.452E-2</v>
      </c>
    </row>
    <row r="71" spans="1:20" ht="13.2" customHeight="1" x14ac:dyDescent="0.3">
      <c r="A71" s="365">
        <f t="shared" si="4"/>
        <v>53</v>
      </c>
      <c r="B71" s="370" t="s">
        <v>1949</v>
      </c>
      <c r="C71" s="371"/>
      <c r="D71" s="371"/>
      <c r="E71" s="367" t="s">
        <v>264</v>
      </c>
      <c r="F71" s="527"/>
      <c r="G71" s="539"/>
      <c r="H71" s="539"/>
      <c r="I71" s="369">
        <f t="shared" si="3"/>
        <v>0</v>
      </c>
      <c r="J71" s="372"/>
      <c r="K71" s="372">
        <f>'RAB Pasang'!K71*40%</f>
        <v>7580</v>
      </c>
      <c r="L71" s="372">
        <f t="shared" si="0"/>
        <v>0</v>
      </c>
      <c r="M71" s="372">
        <f t="shared" si="1"/>
        <v>0</v>
      </c>
      <c r="N71" s="460">
        <f t="shared" si="2"/>
        <v>0</v>
      </c>
      <c r="P71" s="524">
        <v>220</v>
      </c>
      <c r="Q71" s="524">
        <v>220</v>
      </c>
      <c r="R71" s="524">
        <v>135</v>
      </c>
      <c r="S71" s="525">
        <v>400</v>
      </c>
      <c r="T71" s="526">
        <f t="shared" si="5"/>
        <v>1.6334999999999999E-2</v>
      </c>
    </row>
    <row r="72" spans="1:20" ht="13.2" customHeight="1" x14ac:dyDescent="0.3">
      <c r="A72" s="365">
        <f t="shared" si="4"/>
        <v>54</v>
      </c>
      <c r="B72" s="370" t="s">
        <v>1950</v>
      </c>
      <c r="C72" s="371"/>
      <c r="D72" s="371"/>
      <c r="E72" s="367" t="s">
        <v>264</v>
      </c>
      <c r="F72" s="527"/>
      <c r="G72" s="539"/>
      <c r="H72" s="539"/>
      <c r="I72" s="369">
        <f t="shared" si="3"/>
        <v>0</v>
      </c>
      <c r="J72" s="372"/>
      <c r="K72" s="372">
        <f>'RAB Pasang'!K72*40%</f>
        <v>9096</v>
      </c>
      <c r="L72" s="372">
        <f t="shared" si="0"/>
        <v>0</v>
      </c>
      <c r="M72" s="372">
        <f t="shared" si="1"/>
        <v>0</v>
      </c>
      <c r="N72" s="460">
        <f t="shared" si="2"/>
        <v>0</v>
      </c>
      <c r="P72" s="524">
        <v>220</v>
      </c>
      <c r="Q72" s="524">
        <v>220</v>
      </c>
      <c r="R72" s="524">
        <v>135</v>
      </c>
      <c r="S72" s="525">
        <v>350</v>
      </c>
      <c r="T72" s="526">
        <f t="shared" si="5"/>
        <v>1.8668571428571427E-2</v>
      </c>
    </row>
    <row r="73" spans="1:20" ht="13.2" customHeight="1" x14ac:dyDescent="0.3">
      <c r="A73" s="365">
        <f t="shared" si="4"/>
        <v>55</v>
      </c>
      <c r="B73" s="370" t="s">
        <v>1951</v>
      </c>
      <c r="C73" s="371"/>
      <c r="D73" s="371"/>
      <c r="E73" s="367" t="s">
        <v>264</v>
      </c>
      <c r="F73" s="527"/>
      <c r="G73" s="539"/>
      <c r="H73" s="539"/>
      <c r="I73" s="369">
        <f t="shared" si="3"/>
        <v>0</v>
      </c>
      <c r="J73" s="372"/>
      <c r="K73" s="372">
        <f>'RAB Pasang'!K73*40%</f>
        <v>10704</v>
      </c>
      <c r="L73" s="372">
        <f t="shared" si="0"/>
        <v>0</v>
      </c>
      <c r="M73" s="372">
        <f t="shared" si="1"/>
        <v>0</v>
      </c>
      <c r="N73" s="460">
        <f t="shared" si="2"/>
        <v>0</v>
      </c>
      <c r="P73" s="524">
        <v>220</v>
      </c>
      <c r="Q73" s="524">
        <v>220</v>
      </c>
      <c r="R73" s="524">
        <v>135</v>
      </c>
      <c r="S73" s="525">
        <v>300</v>
      </c>
      <c r="T73" s="526">
        <f t="shared" si="5"/>
        <v>2.1780000000000001E-2</v>
      </c>
    </row>
    <row r="74" spans="1:20" ht="13.2" customHeight="1" x14ac:dyDescent="0.3">
      <c r="A74" s="365">
        <f t="shared" si="4"/>
        <v>56</v>
      </c>
      <c r="B74" s="370" t="s">
        <v>1952</v>
      </c>
      <c r="C74" s="371"/>
      <c r="D74" s="371"/>
      <c r="E74" s="367" t="s">
        <v>264</v>
      </c>
      <c r="F74" s="527"/>
      <c r="G74" s="539"/>
      <c r="H74" s="539"/>
      <c r="I74" s="369">
        <f t="shared" si="3"/>
        <v>0</v>
      </c>
      <c r="J74" s="372"/>
      <c r="K74" s="372">
        <f>'RAB Pasang'!K74*40%</f>
        <v>13996</v>
      </c>
      <c r="L74" s="372">
        <f t="shared" si="0"/>
        <v>0</v>
      </c>
      <c r="M74" s="372">
        <f t="shared" si="1"/>
        <v>0</v>
      </c>
      <c r="N74" s="460">
        <f t="shared" si="2"/>
        <v>0</v>
      </c>
      <c r="P74" s="524">
        <v>220</v>
      </c>
      <c r="Q74" s="524">
        <v>220</v>
      </c>
      <c r="R74" s="524">
        <v>135</v>
      </c>
      <c r="S74" s="525">
        <v>250</v>
      </c>
      <c r="T74" s="526">
        <f t="shared" si="5"/>
        <v>2.6136E-2</v>
      </c>
    </row>
    <row r="75" spans="1:20" ht="13.2" customHeight="1" x14ac:dyDescent="0.3">
      <c r="A75" s="365">
        <f t="shared" si="4"/>
        <v>57</v>
      </c>
      <c r="B75" s="370" t="s">
        <v>1953</v>
      </c>
      <c r="C75" s="371"/>
      <c r="D75" s="371"/>
      <c r="E75" s="367" t="s">
        <v>264</v>
      </c>
      <c r="F75" s="527"/>
      <c r="G75" s="539"/>
      <c r="H75" s="539"/>
      <c r="I75" s="369">
        <f t="shared" si="3"/>
        <v>0</v>
      </c>
      <c r="J75" s="372"/>
      <c r="K75" s="372">
        <f>'RAB Pasang'!K75*40%</f>
        <v>18196</v>
      </c>
      <c r="L75" s="372">
        <f t="shared" si="0"/>
        <v>0</v>
      </c>
      <c r="M75" s="372">
        <f t="shared" si="1"/>
        <v>0</v>
      </c>
      <c r="N75" s="460">
        <f t="shared" si="2"/>
        <v>0</v>
      </c>
      <c r="P75" s="524">
        <v>220</v>
      </c>
      <c r="Q75" s="524">
        <v>220</v>
      </c>
      <c r="R75" s="524">
        <v>135</v>
      </c>
      <c r="S75" s="525">
        <v>200</v>
      </c>
      <c r="T75" s="526">
        <f t="shared" si="5"/>
        <v>3.2669999999999998E-2</v>
      </c>
    </row>
    <row r="76" spans="1:20" ht="13.2" customHeight="1" x14ac:dyDescent="0.3">
      <c r="A76" s="365">
        <f t="shared" si="4"/>
        <v>58</v>
      </c>
      <c r="B76" s="370" t="s">
        <v>1551</v>
      </c>
      <c r="C76" s="371"/>
      <c r="D76" s="371"/>
      <c r="E76" s="367" t="s">
        <v>264</v>
      </c>
      <c r="F76" s="539"/>
      <c r="G76" s="527"/>
      <c r="H76" s="539"/>
      <c r="I76" s="369">
        <f t="shared" si="3"/>
        <v>0</v>
      </c>
      <c r="J76" s="372"/>
      <c r="K76" s="372">
        <f>'RAB Pasang'!K76*40%</f>
        <v>3472</v>
      </c>
      <c r="L76" s="372">
        <f t="shared" si="0"/>
        <v>0</v>
      </c>
      <c r="M76" s="372">
        <f t="shared" si="1"/>
        <v>0</v>
      </c>
      <c r="N76" s="460">
        <f t="shared" si="2"/>
        <v>0</v>
      </c>
      <c r="P76" s="524">
        <v>151</v>
      </c>
      <c r="Q76" s="524">
        <v>151</v>
      </c>
      <c r="R76" s="524">
        <v>104</v>
      </c>
      <c r="S76" s="525">
        <v>1000</v>
      </c>
      <c r="T76" s="526">
        <f t="shared" si="5"/>
        <v>2.3713039999999999E-3</v>
      </c>
    </row>
    <row r="77" spans="1:20" ht="13.2" customHeight="1" x14ac:dyDescent="0.3">
      <c r="A77" s="365">
        <f t="shared" si="4"/>
        <v>59</v>
      </c>
      <c r="B77" s="370" t="s">
        <v>1552</v>
      </c>
      <c r="C77" s="371"/>
      <c r="D77" s="371"/>
      <c r="E77" s="367" t="s">
        <v>264</v>
      </c>
      <c r="F77" s="539"/>
      <c r="G77" s="527"/>
      <c r="H77" s="539"/>
      <c r="I77" s="369">
        <f t="shared" si="3"/>
        <v>0</v>
      </c>
      <c r="J77" s="372"/>
      <c r="K77" s="372">
        <f>'RAB Pasang'!K77*40%</f>
        <v>3996</v>
      </c>
      <c r="L77" s="372">
        <f t="shared" si="0"/>
        <v>0</v>
      </c>
      <c r="M77" s="372">
        <f t="shared" si="1"/>
        <v>0</v>
      </c>
      <c r="N77" s="460">
        <f t="shared" si="2"/>
        <v>0</v>
      </c>
      <c r="P77" s="524">
        <v>151</v>
      </c>
      <c r="Q77" s="524">
        <v>151</v>
      </c>
      <c r="R77" s="524">
        <v>104</v>
      </c>
      <c r="S77" s="525">
        <v>1000</v>
      </c>
      <c r="T77" s="526">
        <f t="shared" si="5"/>
        <v>2.3713039999999999E-3</v>
      </c>
    </row>
    <row r="78" spans="1:20" ht="13.2" customHeight="1" x14ac:dyDescent="0.3">
      <c r="A78" s="365">
        <f t="shared" si="4"/>
        <v>60</v>
      </c>
      <c r="B78" s="370" t="s">
        <v>1553</v>
      </c>
      <c r="C78" s="371"/>
      <c r="D78" s="371"/>
      <c r="E78" s="367" t="s">
        <v>264</v>
      </c>
      <c r="F78" s="539"/>
      <c r="G78" s="527"/>
      <c r="H78" s="539"/>
      <c r="I78" s="369">
        <f t="shared" si="3"/>
        <v>0</v>
      </c>
      <c r="J78" s="372"/>
      <c r="K78" s="372">
        <f>'RAB Pasang'!K78*40%</f>
        <v>4992</v>
      </c>
      <c r="L78" s="372">
        <f t="shared" si="0"/>
        <v>0</v>
      </c>
      <c r="M78" s="372">
        <f t="shared" si="1"/>
        <v>0</v>
      </c>
      <c r="N78" s="460">
        <f t="shared" si="2"/>
        <v>0</v>
      </c>
      <c r="P78" s="524">
        <v>151</v>
      </c>
      <c r="Q78" s="524">
        <v>151</v>
      </c>
      <c r="R78" s="524">
        <v>104</v>
      </c>
      <c r="S78" s="525">
        <v>1000</v>
      </c>
      <c r="T78" s="526">
        <f t="shared" si="5"/>
        <v>2.3713039999999999E-3</v>
      </c>
    </row>
    <row r="79" spans="1:20" ht="13.2" customHeight="1" x14ac:dyDescent="0.3">
      <c r="A79" s="365">
        <f t="shared" si="4"/>
        <v>61</v>
      </c>
      <c r="B79" s="370" t="s">
        <v>1554</v>
      </c>
      <c r="C79" s="371"/>
      <c r="D79" s="371"/>
      <c r="E79" s="367" t="s">
        <v>264</v>
      </c>
      <c r="F79" s="539"/>
      <c r="G79" s="527"/>
      <c r="H79" s="539"/>
      <c r="I79" s="369">
        <f t="shared" si="3"/>
        <v>0</v>
      </c>
      <c r="J79" s="372"/>
      <c r="K79" s="372">
        <f>'RAB Pasang'!K79*40%</f>
        <v>5708</v>
      </c>
      <c r="L79" s="372">
        <f t="shared" si="0"/>
        <v>0</v>
      </c>
      <c r="M79" s="372">
        <f t="shared" si="1"/>
        <v>0</v>
      </c>
      <c r="N79" s="460">
        <f t="shared" si="2"/>
        <v>0</v>
      </c>
      <c r="P79" s="524">
        <v>151</v>
      </c>
      <c r="Q79" s="524">
        <v>151</v>
      </c>
      <c r="R79" s="524">
        <v>104</v>
      </c>
      <c r="S79" s="525">
        <v>1000</v>
      </c>
      <c r="T79" s="526">
        <f t="shared" si="5"/>
        <v>2.3713039999999999E-3</v>
      </c>
    </row>
    <row r="80" spans="1:20" ht="13.2" customHeight="1" x14ac:dyDescent="0.3">
      <c r="A80" s="365">
        <f t="shared" si="4"/>
        <v>62</v>
      </c>
      <c r="B80" s="370" t="s">
        <v>1555</v>
      </c>
      <c r="C80" s="371"/>
      <c r="D80" s="371"/>
      <c r="E80" s="367" t="s">
        <v>264</v>
      </c>
      <c r="F80" s="539"/>
      <c r="G80" s="527"/>
      <c r="H80" s="539"/>
      <c r="I80" s="369">
        <f t="shared" si="3"/>
        <v>0</v>
      </c>
      <c r="J80" s="372"/>
      <c r="K80" s="372">
        <f>'RAB Pasang'!K80*40%</f>
        <v>6656</v>
      </c>
      <c r="L80" s="372">
        <f t="shared" si="0"/>
        <v>0</v>
      </c>
      <c r="M80" s="372">
        <f t="shared" si="1"/>
        <v>0</v>
      </c>
      <c r="N80" s="460">
        <f t="shared" si="2"/>
        <v>0</v>
      </c>
      <c r="P80" s="524">
        <v>151</v>
      </c>
      <c r="Q80" s="524">
        <v>151</v>
      </c>
      <c r="R80" s="524">
        <v>104</v>
      </c>
      <c r="S80" s="525">
        <v>1000</v>
      </c>
      <c r="T80" s="526">
        <f t="shared" si="5"/>
        <v>2.3713039999999999E-3</v>
      </c>
    </row>
    <row r="81" spans="1:21" ht="13.2" customHeight="1" x14ac:dyDescent="0.3">
      <c r="A81" s="365">
        <f t="shared" si="4"/>
        <v>63</v>
      </c>
      <c r="B81" s="370" t="s">
        <v>1559</v>
      </c>
      <c r="C81" s="371"/>
      <c r="D81" s="371"/>
      <c r="E81" s="367" t="s">
        <v>2348</v>
      </c>
      <c r="F81" s="539"/>
      <c r="G81" s="539"/>
      <c r="H81" s="527"/>
      <c r="I81" s="369">
        <f t="shared" si="3"/>
        <v>0</v>
      </c>
      <c r="J81" s="372"/>
      <c r="K81" s="372">
        <f>'RAB Pasang'!K81*40%</f>
        <v>1869.88</v>
      </c>
      <c r="L81" s="372">
        <f t="shared" si="0"/>
        <v>0</v>
      </c>
      <c r="M81" s="372">
        <f t="shared" si="1"/>
        <v>0</v>
      </c>
      <c r="N81" s="460">
        <f t="shared" si="2"/>
        <v>0</v>
      </c>
      <c r="P81" s="524">
        <v>151</v>
      </c>
      <c r="Q81" s="524">
        <v>151</v>
      </c>
      <c r="R81" s="524">
        <v>104</v>
      </c>
      <c r="S81" s="525">
        <v>1000</v>
      </c>
      <c r="T81" s="526">
        <f t="shared" si="5"/>
        <v>2.3713039999999999E-3</v>
      </c>
      <c r="U81" s="297" t="s">
        <v>2347</v>
      </c>
    </row>
    <row r="82" spans="1:21" ht="13.2" customHeight="1" x14ac:dyDescent="0.3">
      <c r="A82" s="365">
        <f t="shared" si="4"/>
        <v>64</v>
      </c>
      <c r="B82" s="370" t="s">
        <v>1560</v>
      </c>
      <c r="C82" s="371"/>
      <c r="D82" s="371"/>
      <c r="E82" s="367" t="s">
        <v>2348</v>
      </c>
      <c r="F82" s="539"/>
      <c r="G82" s="539"/>
      <c r="H82" s="527"/>
      <c r="I82" s="369">
        <f t="shared" si="3"/>
        <v>0</v>
      </c>
      <c r="J82" s="372"/>
      <c r="K82" s="372">
        <f>'RAB Pasang'!K82*40%</f>
        <v>2589.0640000000003</v>
      </c>
      <c r="L82" s="372">
        <f t="shared" si="0"/>
        <v>0</v>
      </c>
      <c r="M82" s="372">
        <f t="shared" si="1"/>
        <v>0</v>
      </c>
      <c r="N82" s="460">
        <f t="shared" si="2"/>
        <v>0</v>
      </c>
      <c r="P82" s="524">
        <v>151</v>
      </c>
      <c r="Q82" s="524">
        <v>151</v>
      </c>
      <c r="R82" s="524">
        <v>104</v>
      </c>
      <c r="S82" s="525">
        <v>1000</v>
      </c>
      <c r="T82" s="526">
        <f t="shared" si="5"/>
        <v>2.3713039999999999E-3</v>
      </c>
      <c r="U82" s="297" t="s">
        <v>2347</v>
      </c>
    </row>
    <row r="83" spans="1:21" ht="13.2" customHeight="1" x14ac:dyDescent="0.3">
      <c r="A83" s="365">
        <f t="shared" si="4"/>
        <v>65</v>
      </c>
      <c r="B83" s="370" t="s">
        <v>1561</v>
      </c>
      <c r="C83" s="371"/>
      <c r="D83" s="371"/>
      <c r="E83" s="367" t="s">
        <v>2348</v>
      </c>
      <c r="F83" s="539"/>
      <c r="G83" s="539"/>
      <c r="H83" s="527"/>
      <c r="I83" s="369">
        <f t="shared" si="3"/>
        <v>0</v>
      </c>
      <c r="J83" s="372"/>
      <c r="K83" s="372">
        <f>'RAB Pasang'!K83*40%</f>
        <v>3365.7839999999997</v>
      </c>
      <c r="L83" s="372">
        <f t="shared" ref="L83:L124" si="6">J83*I83</f>
        <v>0</v>
      </c>
      <c r="M83" s="372">
        <f t="shared" ref="M83:M124" si="7">K83*I83</f>
        <v>0</v>
      </c>
      <c r="N83" s="460">
        <f t="shared" ref="N83:N124" si="8">SUM(L83:M83)</f>
        <v>0</v>
      </c>
      <c r="P83" s="524">
        <v>151</v>
      </c>
      <c r="Q83" s="524">
        <v>151</v>
      </c>
      <c r="R83" s="524">
        <v>104</v>
      </c>
      <c r="S83" s="525">
        <v>1000</v>
      </c>
      <c r="T83" s="526">
        <f t="shared" si="5"/>
        <v>2.3713039999999999E-3</v>
      </c>
      <c r="U83" s="297" t="s">
        <v>2347</v>
      </c>
    </row>
    <row r="84" spans="1:21" ht="13.2" customHeight="1" x14ac:dyDescent="0.3">
      <c r="A84" s="365">
        <f t="shared" si="4"/>
        <v>66</v>
      </c>
      <c r="B84" s="370" t="s">
        <v>1562</v>
      </c>
      <c r="C84" s="371"/>
      <c r="D84" s="371"/>
      <c r="E84" s="367" t="s">
        <v>2348</v>
      </c>
      <c r="F84" s="539"/>
      <c r="G84" s="539"/>
      <c r="H84" s="527"/>
      <c r="I84" s="369">
        <f t="shared" ref="I84:I124" si="9">SUM(F84:H84)</f>
        <v>0</v>
      </c>
      <c r="J84" s="372"/>
      <c r="K84" s="372">
        <f>'RAB Pasang'!K84*40%</f>
        <v>4207.2280000000001</v>
      </c>
      <c r="L84" s="372">
        <f t="shared" si="6"/>
        <v>0</v>
      </c>
      <c r="M84" s="372">
        <f t="shared" si="7"/>
        <v>0</v>
      </c>
      <c r="N84" s="460">
        <f t="shared" si="8"/>
        <v>0</v>
      </c>
      <c r="P84" s="524">
        <v>151</v>
      </c>
      <c r="Q84" s="524">
        <v>151</v>
      </c>
      <c r="R84" s="524">
        <v>104</v>
      </c>
      <c r="S84" s="525">
        <v>1000</v>
      </c>
      <c r="T84" s="526">
        <f t="shared" si="5"/>
        <v>2.3713039999999999E-3</v>
      </c>
      <c r="U84" s="297" t="s">
        <v>2347</v>
      </c>
    </row>
    <row r="85" spans="1:21" ht="13.2" customHeight="1" x14ac:dyDescent="0.3">
      <c r="A85" s="365">
        <f t="shared" ref="A85:A124" si="10">A84+1</f>
        <v>67</v>
      </c>
      <c r="B85" s="370" t="s">
        <v>1557</v>
      </c>
      <c r="C85" s="373"/>
      <c r="D85" s="373"/>
      <c r="E85" s="374" t="s">
        <v>264</v>
      </c>
      <c r="F85" s="571"/>
      <c r="G85" s="571"/>
      <c r="H85" s="528"/>
      <c r="I85" s="369">
        <f t="shared" si="9"/>
        <v>0</v>
      </c>
      <c r="J85" s="375"/>
      <c r="K85" s="375">
        <f>'RAB Pasang'!K85*40%</f>
        <v>2264</v>
      </c>
      <c r="L85" s="372">
        <f t="shared" si="6"/>
        <v>0</v>
      </c>
      <c r="M85" s="375">
        <f t="shared" si="7"/>
        <v>0</v>
      </c>
      <c r="N85" s="462">
        <f t="shared" si="8"/>
        <v>0</v>
      </c>
      <c r="P85" s="524">
        <v>151</v>
      </c>
      <c r="Q85" s="524">
        <v>151</v>
      </c>
      <c r="R85" s="524">
        <v>104</v>
      </c>
      <c r="S85" s="525">
        <v>3000</v>
      </c>
      <c r="T85" s="526">
        <f t="shared" si="5"/>
        <v>7.9043466666666666E-4</v>
      </c>
    </row>
    <row r="86" spans="1:21" ht="13.2" customHeight="1" x14ac:dyDescent="0.3">
      <c r="A86" s="365">
        <f t="shared" si="10"/>
        <v>68</v>
      </c>
      <c r="B86" s="370" t="s">
        <v>1558</v>
      </c>
      <c r="C86" s="373"/>
      <c r="D86" s="373"/>
      <c r="E86" s="374" t="s">
        <v>264</v>
      </c>
      <c r="F86" s="571"/>
      <c r="G86" s="571"/>
      <c r="H86" s="528"/>
      <c r="I86" s="369">
        <f t="shared" si="9"/>
        <v>0</v>
      </c>
      <c r="J86" s="375"/>
      <c r="K86" s="375">
        <f>'RAB Pasang'!K86*40%</f>
        <v>2604</v>
      </c>
      <c r="L86" s="372">
        <f t="shared" si="6"/>
        <v>0</v>
      </c>
      <c r="M86" s="375">
        <f t="shared" si="7"/>
        <v>0</v>
      </c>
      <c r="N86" s="462">
        <f t="shared" si="8"/>
        <v>0</v>
      </c>
      <c r="P86" s="524">
        <v>151</v>
      </c>
      <c r="Q86" s="524">
        <v>151</v>
      </c>
      <c r="R86" s="524">
        <v>104</v>
      </c>
      <c r="S86" s="525">
        <v>2000</v>
      </c>
      <c r="T86" s="526">
        <f t="shared" si="5"/>
        <v>1.1856519999999999E-3</v>
      </c>
    </row>
    <row r="87" spans="1:21" ht="13.2" customHeight="1" x14ac:dyDescent="0.3">
      <c r="A87" s="365">
        <f t="shared" si="10"/>
        <v>69</v>
      </c>
      <c r="B87" s="370" t="s">
        <v>1567</v>
      </c>
      <c r="C87" s="373"/>
      <c r="D87" s="373"/>
      <c r="E87" s="374" t="s">
        <v>264</v>
      </c>
      <c r="F87" s="571"/>
      <c r="G87" s="571"/>
      <c r="H87" s="528"/>
      <c r="I87" s="369">
        <f t="shared" si="9"/>
        <v>0</v>
      </c>
      <c r="J87" s="375"/>
      <c r="K87" s="375">
        <f>'RAB Pasang'!K87*40%</f>
        <v>5204</v>
      </c>
      <c r="L87" s="372">
        <f t="shared" si="6"/>
        <v>0</v>
      </c>
      <c r="M87" s="375">
        <f t="shared" si="7"/>
        <v>0</v>
      </c>
      <c r="N87" s="462">
        <f t="shared" si="8"/>
        <v>0</v>
      </c>
      <c r="P87" s="524">
        <v>151</v>
      </c>
      <c r="Q87" s="524">
        <v>151</v>
      </c>
      <c r="R87" s="524">
        <v>104</v>
      </c>
      <c r="S87" s="525">
        <v>1000</v>
      </c>
      <c r="T87" s="526">
        <f t="shared" si="5"/>
        <v>2.3713039999999999E-3</v>
      </c>
    </row>
    <row r="88" spans="1:21" ht="13.2" customHeight="1" x14ac:dyDescent="0.3">
      <c r="A88" s="365">
        <f t="shared" si="10"/>
        <v>70</v>
      </c>
      <c r="B88" s="370" t="s">
        <v>1556</v>
      </c>
      <c r="C88" s="373"/>
      <c r="D88" s="373"/>
      <c r="E88" s="374" t="s">
        <v>264</v>
      </c>
      <c r="F88" s="571"/>
      <c r="G88" s="571"/>
      <c r="H88" s="528"/>
      <c r="I88" s="369">
        <f t="shared" si="9"/>
        <v>0</v>
      </c>
      <c r="J88" s="375"/>
      <c r="K88" s="375">
        <f>'RAB Pasang'!K88*40%</f>
        <v>2004</v>
      </c>
      <c r="L88" s="372">
        <f t="shared" si="6"/>
        <v>0</v>
      </c>
      <c r="M88" s="375">
        <f t="shared" si="7"/>
        <v>0</v>
      </c>
      <c r="N88" s="462">
        <f t="shared" si="8"/>
        <v>0</v>
      </c>
      <c r="P88" s="524">
        <v>151</v>
      </c>
      <c r="Q88" s="524">
        <v>151</v>
      </c>
      <c r="R88" s="524">
        <v>104</v>
      </c>
      <c r="S88" s="525">
        <v>3000</v>
      </c>
      <c r="T88" s="526">
        <f t="shared" si="5"/>
        <v>7.9043466666666666E-4</v>
      </c>
    </row>
    <row r="89" spans="1:21" ht="13.2" customHeight="1" x14ac:dyDescent="0.3">
      <c r="A89" s="365">
        <f t="shared" si="10"/>
        <v>71</v>
      </c>
      <c r="B89" s="370" t="s">
        <v>1563</v>
      </c>
      <c r="C89" s="373"/>
      <c r="D89" s="373"/>
      <c r="E89" s="374" t="s">
        <v>264</v>
      </c>
      <c r="F89" s="571"/>
      <c r="G89" s="571"/>
      <c r="H89" s="528"/>
      <c r="I89" s="369">
        <f t="shared" si="9"/>
        <v>0</v>
      </c>
      <c r="J89" s="375"/>
      <c r="K89" s="375">
        <f>'RAB Pasang'!K89*40%</f>
        <v>2368</v>
      </c>
      <c r="L89" s="372">
        <f t="shared" si="6"/>
        <v>0</v>
      </c>
      <c r="M89" s="375">
        <f t="shared" si="7"/>
        <v>0</v>
      </c>
      <c r="N89" s="462">
        <f t="shared" si="8"/>
        <v>0</v>
      </c>
      <c r="P89" s="524">
        <v>151</v>
      </c>
      <c r="Q89" s="524">
        <v>151</v>
      </c>
      <c r="R89" s="524">
        <v>104</v>
      </c>
      <c r="S89" s="525">
        <v>2000</v>
      </c>
      <c r="T89" s="526">
        <f t="shared" si="5"/>
        <v>1.1856519999999999E-3</v>
      </c>
    </row>
    <row r="90" spans="1:21" ht="13.2" customHeight="1" x14ac:dyDescent="0.3">
      <c r="A90" s="365">
        <f t="shared" si="10"/>
        <v>72</v>
      </c>
      <c r="B90" s="370" t="s">
        <v>1564</v>
      </c>
      <c r="C90" s="373"/>
      <c r="D90" s="373"/>
      <c r="E90" s="374" t="s">
        <v>264</v>
      </c>
      <c r="F90" s="571"/>
      <c r="G90" s="571"/>
      <c r="H90" s="528"/>
      <c r="I90" s="369">
        <f t="shared" si="9"/>
        <v>0</v>
      </c>
      <c r="J90" s="375"/>
      <c r="K90" s="375">
        <f>'RAB Pasang'!K90*40%</f>
        <v>7784</v>
      </c>
      <c r="L90" s="372">
        <f t="shared" si="6"/>
        <v>0</v>
      </c>
      <c r="M90" s="375">
        <f t="shared" si="7"/>
        <v>0</v>
      </c>
      <c r="N90" s="462">
        <f t="shared" si="8"/>
        <v>0</v>
      </c>
      <c r="P90" s="524">
        <v>151</v>
      </c>
      <c r="Q90" s="524">
        <v>151</v>
      </c>
      <c r="R90" s="524">
        <v>104</v>
      </c>
      <c r="S90" s="525">
        <v>500</v>
      </c>
      <c r="T90" s="526">
        <f t="shared" si="5"/>
        <v>4.7426079999999997E-3</v>
      </c>
    </row>
    <row r="91" spans="1:21" ht="13.2" customHeight="1" x14ac:dyDescent="0.3">
      <c r="A91" s="365">
        <f t="shared" si="10"/>
        <v>73</v>
      </c>
      <c r="B91" s="370" t="s">
        <v>1565</v>
      </c>
      <c r="C91" s="373"/>
      <c r="D91" s="373"/>
      <c r="E91" s="374" t="s">
        <v>264</v>
      </c>
      <c r="F91" s="571"/>
      <c r="G91" s="571"/>
      <c r="H91" s="528"/>
      <c r="I91" s="369">
        <f t="shared" si="9"/>
        <v>0</v>
      </c>
      <c r="J91" s="375"/>
      <c r="K91" s="375">
        <f>'RAB Pasang'!K91*40%</f>
        <v>11676</v>
      </c>
      <c r="L91" s="372">
        <f t="shared" si="6"/>
        <v>0</v>
      </c>
      <c r="M91" s="375">
        <f t="shared" si="7"/>
        <v>0</v>
      </c>
      <c r="N91" s="462">
        <f t="shared" si="8"/>
        <v>0</v>
      </c>
      <c r="P91" s="524">
        <v>151</v>
      </c>
      <c r="Q91" s="524">
        <v>151</v>
      </c>
      <c r="R91" s="524">
        <v>104</v>
      </c>
      <c r="S91" s="525">
        <v>450</v>
      </c>
      <c r="T91" s="526">
        <f t="shared" si="5"/>
        <v>5.2695644444444439E-3</v>
      </c>
    </row>
    <row r="92" spans="1:21" ht="13.2" customHeight="1" x14ac:dyDescent="0.3">
      <c r="A92" s="365">
        <f t="shared" si="10"/>
        <v>74</v>
      </c>
      <c r="B92" s="370" t="s">
        <v>1566</v>
      </c>
      <c r="C92" s="373"/>
      <c r="D92" s="373"/>
      <c r="E92" s="374" t="s">
        <v>264</v>
      </c>
      <c r="F92" s="571"/>
      <c r="G92" s="571"/>
      <c r="H92" s="528"/>
      <c r="I92" s="369">
        <f t="shared" si="9"/>
        <v>0</v>
      </c>
      <c r="J92" s="375"/>
      <c r="K92" s="375">
        <f>'RAB Pasang'!K92*40%</f>
        <v>15568</v>
      </c>
      <c r="L92" s="372">
        <f t="shared" si="6"/>
        <v>0</v>
      </c>
      <c r="M92" s="375">
        <f t="shared" si="7"/>
        <v>0</v>
      </c>
      <c r="N92" s="462">
        <f t="shared" si="8"/>
        <v>0</v>
      </c>
      <c r="P92" s="524">
        <v>151</v>
      </c>
      <c r="Q92" s="524">
        <v>151</v>
      </c>
      <c r="R92" s="524">
        <v>104</v>
      </c>
      <c r="S92" s="525">
        <v>400</v>
      </c>
      <c r="T92" s="526">
        <f t="shared" si="5"/>
        <v>5.9282599999999994E-3</v>
      </c>
    </row>
    <row r="93" spans="1:21" ht="13.2" customHeight="1" x14ac:dyDescent="0.3">
      <c r="A93" s="365">
        <f t="shared" si="10"/>
        <v>75</v>
      </c>
      <c r="B93" s="376" t="s">
        <v>1492</v>
      </c>
      <c r="C93" s="373"/>
      <c r="D93" s="373"/>
      <c r="E93" s="374" t="s">
        <v>399</v>
      </c>
      <c r="F93" s="528"/>
      <c r="G93" s="571"/>
      <c r="H93" s="571"/>
      <c r="I93" s="369">
        <f t="shared" si="9"/>
        <v>0</v>
      </c>
      <c r="J93" s="375"/>
      <c r="K93" s="375">
        <f>'RAB Pasang'!K93*40%</f>
        <v>1563252</v>
      </c>
      <c r="L93" s="372">
        <f t="shared" si="6"/>
        <v>0</v>
      </c>
      <c r="M93" s="375">
        <f t="shared" si="7"/>
        <v>0</v>
      </c>
      <c r="N93" s="462">
        <f t="shared" si="8"/>
        <v>0</v>
      </c>
      <c r="P93" s="524">
        <v>120</v>
      </c>
      <c r="Q93" s="524">
        <v>115</v>
      </c>
      <c r="R93" s="524">
        <v>76</v>
      </c>
      <c r="S93" s="525">
        <v>0</v>
      </c>
      <c r="T93" s="526">
        <f t="shared" si="5"/>
        <v>1.0488</v>
      </c>
    </row>
    <row r="94" spans="1:21" ht="13.2" customHeight="1" x14ac:dyDescent="0.3">
      <c r="A94" s="365">
        <f t="shared" si="10"/>
        <v>76</v>
      </c>
      <c r="B94" s="376" t="s">
        <v>1493</v>
      </c>
      <c r="C94" s="373"/>
      <c r="D94" s="373"/>
      <c r="E94" s="374" t="s">
        <v>399</v>
      </c>
      <c r="F94" s="528"/>
      <c r="G94" s="571"/>
      <c r="H94" s="571"/>
      <c r="I94" s="369">
        <f t="shared" si="9"/>
        <v>0</v>
      </c>
      <c r="J94" s="375"/>
      <c r="K94" s="375">
        <f>'RAB Pasang'!K94*40%</f>
        <v>1563252</v>
      </c>
      <c r="L94" s="372">
        <f t="shared" si="6"/>
        <v>0</v>
      </c>
      <c r="M94" s="375">
        <f t="shared" si="7"/>
        <v>0</v>
      </c>
      <c r="N94" s="462">
        <f t="shared" si="8"/>
        <v>0</v>
      </c>
      <c r="P94" s="524">
        <v>120</v>
      </c>
      <c r="Q94" s="524">
        <v>115</v>
      </c>
      <c r="R94" s="524">
        <v>75.5</v>
      </c>
      <c r="S94" s="525">
        <v>0</v>
      </c>
      <c r="T94" s="526">
        <f t="shared" si="5"/>
        <v>1.0419</v>
      </c>
    </row>
    <row r="95" spans="1:21" ht="13.2" customHeight="1" x14ac:dyDescent="0.3">
      <c r="A95" s="365">
        <f t="shared" si="10"/>
        <v>77</v>
      </c>
      <c r="B95" s="376" t="s">
        <v>1494</v>
      </c>
      <c r="C95" s="373"/>
      <c r="D95" s="373"/>
      <c r="E95" s="374" t="s">
        <v>399</v>
      </c>
      <c r="F95" s="528"/>
      <c r="G95" s="571"/>
      <c r="H95" s="571"/>
      <c r="I95" s="369">
        <f t="shared" si="9"/>
        <v>0</v>
      </c>
      <c r="J95" s="375"/>
      <c r="K95" s="375">
        <f>'RAB Pasang'!K95*40%</f>
        <v>1694692</v>
      </c>
      <c r="L95" s="372">
        <f t="shared" si="6"/>
        <v>0</v>
      </c>
      <c r="M95" s="375">
        <f t="shared" si="7"/>
        <v>0</v>
      </c>
      <c r="N95" s="462">
        <f t="shared" si="8"/>
        <v>0</v>
      </c>
      <c r="P95" s="524">
        <v>120</v>
      </c>
      <c r="Q95" s="524">
        <v>115</v>
      </c>
      <c r="R95" s="524">
        <v>75.5</v>
      </c>
      <c r="S95" s="525">
        <v>0</v>
      </c>
      <c r="T95" s="526">
        <f t="shared" si="5"/>
        <v>1.0419</v>
      </c>
    </row>
    <row r="96" spans="1:21" ht="13.2" customHeight="1" x14ac:dyDescent="0.3">
      <c r="A96" s="365">
        <f t="shared" si="10"/>
        <v>78</v>
      </c>
      <c r="B96" s="376" t="s">
        <v>1495</v>
      </c>
      <c r="C96" s="373"/>
      <c r="D96" s="373"/>
      <c r="E96" s="374" t="s">
        <v>399</v>
      </c>
      <c r="F96" s="528"/>
      <c r="G96" s="571"/>
      <c r="H96" s="571"/>
      <c r="I96" s="369">
        <f t="shared" si="9"/>
        <v>0</v>
      </c>
      <c r="J96" s="375"/>
      <c r="K96" s="375">
        <f>'RAB Pasang'!K96*40%</f>
        <v>1826132</v>
      </c>
      <c r="L96" s="372">
        <f t="shared" si="6"/>
        <v>0</v>
      </c>
      <c r="M96" s="375">
        <f t="shared" si="7"/>
        <v>0</v>
      </c>
      <c r="N96" s="462">
        <f t="shared" si="8"/>
        <v>0</v>
      </c>
      <c r="P96" s="524">
        <v>120</v>
      </c>
      <c r="Q96" s="524">
        <v>115</v>
      </c>
      <c r="R96" s="524">
        <v>75.5</v>
      </c>
      <c r="S96" s="525">
        <v>0</v>
      </c>
      <c r="T96" s="526">
        <f t="shared" ref="T96:T124" si="11">IF(S96=0,P96*Q96*R96/10^6,P96*Q96*R96/10^6/S96)</f>
        <v>1.0419</v>
      </c>
    </row>
    <row r="97" spans="1:21" ht="13.2" customHeight="1" x14ac:dyDescent="0.3">
      <c r="A97" s="365">
        <f t="shared" si="10"/>
        <v>79</v>
      </c>
      <c r="B97" s="376" t="s">
        <v>1496</v>
      </c>
      <c r="C97" s="373"/>
      <c r="D97" s="373"/>
      <c r="E97" s="374" t="s">
        <v>399</v>
      </c>
      <c r="F97" s="528"/>
      <c r="G97" s="571"/>
      <c r="H97" s="571"/>
      <c r="I97" s="369">
        <f t="shared" si="9"/>
        <v>0</v>
      </c>
      <c r="J97" s="375"/>
      <c r="K97" s="375">
        <f>'RAB Pasang'!K97*40%</f>
        <v>1957572</v>
      </c>
      <c r="L97" s="372">
        <f t="shared" si="6"/>
        <v>0</v>
      </c>
      <c r="M97" s="375">
        <f t="shared" si="7"/>
        <v>0</v>
      </c>
      <c r="N97" s="462">
        <f t="shared" si="8"/>
        <v>0</v>
      </c>
      <c r="P97" s="524">
        <v>122</v>
      </c>
      <c r="Q97" s="524">
        <v>128</v>
      </c>
      <c r="R97" s="524">
        <v>160</v>
      </c>
      <c r="S97" s="525">
        <v>0</v>
      </c>
      <c r="T97" s="526">
        <f t="shared" si="11"/>
        <v>2.4985599999999999</v>
      </c>
    </row>
    <row r="98" spans="1:21" ht="13.2" customHeight="1" x14ac:dyDescent="0.3">
      <c r="A98" s="365">
        <f t="shared" si="10"/>
        <v>80</v>
      </c>
      <c r="B98" s="376" t="s">
        <v>1497</v>
      </c>
      <c r="C98" s="373"/>
      <c r="D98" s="373"/>
      <c r="E98" s="374" t="s">
        <v>399</v>
      </c>
      <c r="F98" s="528"/>
      <c r="G98" s="528"/>
      <c r="H98" s="571"/>
      <c r="I98" s="369">
        <f t="shared" si="9"/>
        <v>0</v>
      </c>
      <c r="J98" s="375"/>
      <c r="K98" s="375">
        <f>'RAB Pasang'!K98*40%</f>
        <v>1179252</v>
      </c>
      <c r="L98" s="372">
        <f t="shared" si="6"/>
        <v>0</v>
      </c>
      <c r="M98" s="375">
        <f t="shared" si="7"/>
        <v>0</v>
      </c>
      <c r="N98" s="462">
        <f t="shared" si="8"/>
        <v>0</v>
      </c>
      <c r="P98" s="524">
        <v>50</v>
      </c>
      <c r="Q98" s="524">
        <v>37</v>
      </c>
      <c r="R98" s="524">
        <v>14.5</v>
      </c>
      <c r="S98" s="525">
        <v>0</v>
      </c>
      <c r="T98" s="526">
        <f>IF(S98=0,P98*Q98*R98/10^6,P98*Q98*R98/10^6/S98)*3</f>
        <v>8.0475000000000005E-2</v>
      </c>
      <c r="U98" s="297" t="s">
        <v>2343</v>
      </c>
    </row>
    <row r="99" spans="1:21" ht="13.2" customHeight="1" x14ac:dyDescent="0.3">
      <c r="A99" s="365">
        <f t="shared" si="10"/>
        <v>81</v>
      </c>
      <c r="B99" s="376" t="s">
        <v>1498</v>
      </c>
      <c r="C99" s="373"/>
      <c r="D99" s="373"/>
      <c r="E99" s="374" t="s">
        <v>399</v>
      </c>
      <c r="F99" s="571"/>
      <c r="G99" s="528"/>
      <c r="H99" s="571"/>
      <c r="I99" s="369">
        <f t="shared" si="9"/>
        <v>0</v>
      </c>
      <c r="J99" s="375"/>
      <c r="K99" s="375">
        <f>'RAB Pasang'!K99*40%</f>
        <v>3301988</v>
      </c>
      <c r="L99" s="372">
        <f t="shared" si="6"/>
        <v>0</v>
      </c>
      <c r="M99" s="375">
        <f t="shared" si="7"/>
        <v>0</v>
      </c>
      <c r="N99" s="462">
        <f t="shared" si="8"/>
        <v>0</v>
      </c>
      <c r="P99" s="524">
        <v>95</v>
      </c>
      <c r="Q99" s="524">
        <v>75</v>
      </c>
      <c r="R99" s="524">
        <v>190</v>
      </c>
      <c r="S99" s="525">
        <v>0</v>
      </c>
      <c r="T99" s="526">
        <f t="shared" si="11"/>
        <v>1.35375</v>
      </c>
    </row>
    <row r="100" spans="1:21" ht="13.2" customHeight="1" x14ac:dyDescent="0.3">
      <c r="A100" s="365">
        <f t="shared" si="10"/>
        <v>82</v>
      </c>
      <c r="B100" s="376" t="s">
        <v>1499</v>
      </c>
      <c r="C100" s="373"/>
      <c r="D100" s="373"/>
      <c r="E100" s="374" t="s">
        <v>399</v>
      </c>
      <c r="F100" s="571"/>
      <c r="G100" s="528"/>
      <c r="H100" s="571"/>
      <c r="I100" s="369">
        <f t="shared" si="9"/>
        <v>0</v>
      </c>
      <c r="J100" s="375"/>
      <c r="K100" s="375">
        <f>'RAB Pasang'!K100*40%</f>
        <v>3301988</v>
      </c>
      <c r="L100" s="372">
        <f t="shared" si="6"/>
        <v>0</v>
      </c>
      <c r="M100" s="375">
        <f t="shared" si="7"/>
        <v>0</v>
      </c>
      <c r="N100" s="462">
        <f t="shared" si="8"/>
        <v>0</v>
      </c>
      <c r="P100" s="524">
        <v>95</v>
      </c>
      <c r="Q100" s="524">
        <v>75</v>
      </c>
      <c r="R100" s="524">
        <v>190</v>
      </c>
      <c r="S100" s="525">
        <v>0</v>
      </c>
      <c r="T100" s="526">
        <f t="shared" si="11"/>
        <v>1.35375</v>
      </c>
    </row>
    <row r="101" spans="1:21" ht="13.2" customHeight="1" x14ac:dyDescent="0.3">
      <c r="A101" s="365">
        <f t="shared" si="10"/>
        <v>83</v>
      </c>
      <c r="B101" s="376" t="s">
        <v>1500</v>
      </c>
      <c r="C101" s="373"/>
      <c r="D101" s="373"/>
      <c r="E101" s="374" t="s">
        <v>399</v>
      </c>
      <c r="F101" s="571"/>
      <c r="G101" s="528"/>
      <c r="H101" s="571"/>
      <c r="I101" s="369">
        <f t="shared" si="9"/>
        <v>0</v>
      </c>
      <c r="J101" s="375"/>
      <c r="K101" s="375">
        <f>'RAB Pasang'!K101*40%</f>
        <v>3301988</v>
      </c>
      <c r="L101" s="372">
        <f t="shared" si="6"/>
        <v>0</v>
      </c>
      <c r="M101" s="375">
        <f t="shared" si="7"/>
        <v>0</v>
      </c>
      <c r="N101" s="462">
        <f t="shared" si="8"/>
        <v>0</v>
      </c>
      <c r="P101" s="524">
        <v>95</v>
      </c>
      <c r="Q101" s="524">
        <v>60</v>
      </c>
      <c r="R101" s="524">
        <v>190</v>
      </c>
      <c r="S101" s="525">
        <v>0</v>
      </c>
      <c r="T101" s="526">
        <f t="shared" si="11"/>
        <v>1.083</v>
      </c>
    </row>
    <row r="102" spans="1:21" ht="13.2" customHeight="1" x14ac:dyDescent="0.3">
      <c r="A102" s="365">
        <f t="shared" si="10"/>
        <v>84</v>
      </c>
      <c r="B102" s="376" t="s">
        <v>1501</v>
      </c>
      <c r="C102" s="373"/>
      <c r="D102" s="373"/>
      <c r="E102" s="374" t="s">
        <v>399</v>
      </c>
      <c r="F102" s="571"/>
      <c r="G102" s="528"/>
      <c r="H102" s="571"/>
      <c r="I102" s="369">
        <f t="shared" si="9"/>
        <v>0</v>
      </c>
      <c r="J102" s="375"/>
      <c r="K102" s="375">
        <f>'RAB Pasang'!K102*40%</f>
        <v>3301988</v>
      </c>
      <c r="L102" s="372">
        <f t="shared" si="6"/>
        <v>0</v>
      </c>
      <c r="M102" s="375">
        <f t="shared" si="7"/>
        <v>0</v>
      </c>
      <c r="N102" s="462">
        <f t="shared" si="8"/>
        <v>0</v>
      </c>
      <c r="P102" s="524">
        <v>100</v>
      </c>
      <c r="Q102" s="524">
        <v>100</v>
      </c>
      <c r="R102" s="524">
        <v>190</v>
      </c>
      <c r="S102" s="525">
        <v>0</v>
      </c>
      <c r="T102" s="526">
        <f t="shared" si="11"/>
        <v>1.9</v>
      </c>
    </row>
    <row r="103" spans="1:21" ht="13.2" customHeight="1" x14ac:dyDescent="0.3">
      <c r="A103" s="365">
        <f t="shared" si="10"/>
        <v>85</v>
      </c>
      <c r="B103" s="376" t="s">
        <v>1502</v>
      </c>
      <c r="C103" s="373"/>
      <c r="D103" s="373"/>
      <c r="E103" s="374" t="s">
        <v>399</v>
      </c>
      <c r="F103" s="571"/>
      <c r="G103" s="528"/>
      <c r="H103" s="571"/>
      <c r="I103" s="369">
        <f t="shared" si="9"/>
        <v>0</v>
      </c>
      <c r="J103" s="375"/>
      <c r="K103" s="375">
        <f>'RAB Pasang'!K103*40%</f>
        <v>3301988</v>
      </c>
      <c r="L103" s="372">
        <f t="shared" si="6"/>
        <v>0</v>
      </c>
      <c r="M103" s="375">
        <f t="shared" si="7"/>
        <v>0</v>
      </c>
      <c r="N103" s="462">
        <f t="shared" si="8"/>
        <v>0</v>
      </c>
      <c r="P103" s="524">
        <v>100</v>
      </c>
      <c r="Q103" s="524">
        <v>100</v>
      </c>
      <c r="R103" s="524">
        <v>190</v>
      </c>
      <c r="S103" s="525">
        <v>0</v>
      </c>
      <c r="T103" s="526">
        <f t="shared" si="11"/>
        <v>1.9</v>
      </c>
    </row>
    <row r="104" spans="1:21" ht="13.2" customHeight="1" x14ac:dyDescent="0.3">
      <c r="A104" s="365">
        <f t="shared" si="10"/>
        <v>86</v>
      </c>
      <c r="B104" s="376" t="s">
        <v>1503</v>
      </c>
      <c r="C104" s="373"/>
      <c r="D104" s="373"/>
      <c r="E104" s="374" t="s">
        <v>399</v>
      </c>
      <c r="F104" s="571"/>
      <c r="G104" s="528"/>
      <c r="H104" s="571"/>
      <c r="I104" s="369">
        <f t="shared" si="9"/>
        <v>0</v>
      </c>
      <c r="J104" s="375"/>
      <c r="K104" s="375">
        <f>'RAB Pasang'!K104*40%</f>
        <v>3301988</v>
      </c>
      <c r="L104" s="372">
        <f t="shared" si="6"/>
        <v>0</v>
      </c>
      <c r="M104" s="375">
        <f t="shared" si="7"/>
        <v>0</v>
      </c>
      <c r="N104" s="462">
        <f t="shared" si="8"/>
        <v>0</v>
      </c>
      <c r="P104" s="524">
        <v>100</v>
      </c>
      <c r="Q104" s="524">
        <v>100</v>
      </c>
      <c r="R104" s="524">
        <v>190</v>
      </c>
      <c r="S104" s="525">
        <v>0</v>
      </c>
      <c r="T104" s="526">
        <f t="shared" si="11"/>
        <v>1.9</v>
      </c>
    </row>
    <row r="105" spans="1:21" ht="13.2" customHeight="1" x14ac:dyDescent="0.3">
      <c r="A105" s="365">
        <f t="shared" si="10"/>
        <v>87</v>
      </c>
      <c r="B105" s="376" t="s">
        <v>1504</v>
      </c>
      <c r="C105" s="373"/>
      <c r="D105" s="373"/>
      <c r="E105" s="374" t="s">
        <v>399</v>
      </c>
      <c r="F105" s="571"/>
      <c r="G105" s="528"/>
      <c r="H105" s="571"/>
      <c r="I105" s="369">
        <f t="shared" si="9"/>
        <v>0</v>
      </c>
      <c r="J105" s="375"/>
      <c r="K105" s="375">
        <f>'RAB Pasang'!K105*40%</f>
        <v>3301988</v>
      </c>
      <c r="L105" s="372">
        <f t="shared" si="6"/>
        <v>0</v>
      </c>
      <c r="M105" s="375">
        <f t="shared" si="7"/>
        <v>0</v>
      </c>
      <c r="N105" s="462">
        <f t="shared" si="8"/>
        <v>0</v>
      </c>
      <c r="P105" s="524">
        <v>90</v>
      </c>
      <c r="Q105" s="524">
        <v>50</v>
      </c>
      <c r="R105" s="524">
        <v>165</v>
      </c>
      <c r="S105" s="525">
        <v>0</v>
      </c>
      <c r="T105" s="526">
        <f t="shared" si="11"/>
        <v>0.74250000000000005</v>
      </c>
    </row>
    <row r="106" spans="1:21" ht="13.2" customHeight="1" x14ac:dyDescent="0.3">
      <c r="A106" s="365">
        <f t="shared" si="10"/>
        <v>88</v>
      </c>
      <c r="B106" s="376" t="s">
        <v>1505</v>
      </c>
      <c r="C106" s="373"/>
      <c r="D106" s="373"/>
      <c r="E106" s="374" t="s">
        <v>399</v>
      </c>
      <c r="F106" s="571"/>
      <c r="G106" s="528"/>
      <c r="H106" s="571"/>
      <c r="I106" s="369">
        <f t="shared" si="9"/>
        <v>0</v>
      </c>
      <c r="J106" s="375"/>
      <c r="K106" s="375">
        <f>'RAB Pasang'!K106*40%</f>
        <v>3301988</v>
      </c>
      <c r="L106" s="372">
        <f t="shared" si="6"/>
        <v>0</v>
      </c>
      <c r="M106" s="375">
        <f t="shared" si="7"/>
        <v>0</v>
      </c>
      <c r="N106" s="462">
        <f t="shared" si="8"/>
        <v>0</v>
      </c>
      <c r="P106" s="524">
        <v>90</v>
      </c>
      <c r="Q106" s="524">
        <v>50</v>
      </c>
      <c r="R106" s="524">
        <v>165</v>
      </c>
      <c r="S106" s="525">
        <v>0</v>
      </c>
      <c r="T106" s="526">
        <f t="shared" si="11"/>
        <v>0.74250000000000005</v>
      </c>
    </row>
    <row r="107" spans="1:21" ht="13.2" customHeight="1" x14ac:dyDescent="0.3">
      <c r="A107" s="365">
        <f t="shared" si="10"/>
        <v>89</v>
      </c>
      <c r="B107" s="376" t="s">
        <v>1506</v>
      </c>
      <c r="C107" s="373"/>
      <c r="D107" s="373"/>
      <c r="E107" s="374" t="s">
        <v>399</v>
      </c>
      <c r="F107" s="571"/>
      <c r="G107" s="528"/>
      <c r="H107" s="571"/>
      <c r="I107" s="369">
        <f t="shared" si="9"/>
        <v>0</v>
      </c>
      <c r="J107" s="375"/>
      <c r="K107" s="375">
        <f>'RAB Pasang'!K107*40%</f>
        <v>3301988</v>
      </c>
      <c r="L107" s="372">
        <f t="shared" si="6"/>
        <v>0</v>
      </c>
      <c r="M107" s="375">
        <f t="shared" si="7"/>
        <v>0</v>
      </c>
      <c r="N107" s="462">
        <f t="shared" si="8"/>
        <v>0</v>
      </c>
      <c r="P107" s="524">
        <v>90</v>
      </c>
      <c r="Q107" s="524">
        <v>50</v>
      </c>
      <c r="R107" s="524">
        <v>165</v>
      </c>
      <c r="S107" s="525">
        <v>0</v>
      </c>
      <c r="T107" s="526">
        <f t="shared" si="11"/>
        <v>0.74250000000000005</v>
      </c>
    </row>
    <row r="108" spans="1:21" ht="13.2" customHeight="1" x14ac:dyDescent="0.3">
      <c r="A108" s="365">
        <f t="shared" si="10"/>
        <v>90</v>
      </c>
      <c r="B108" s="376" t="s">
        <v>1507</v>
      </c>
      <c r="C108" s="373"/>
      <c r="D108" s="373"/>
      <c r="E108" s="374" t="s">
        <v>399</v>
      </c>
      <c r="F108" s="571"/>
      <c r="G108" s="528"/>
      <c r="H108" s="571"/>
      <c r="I108" s="369">
        <f t="shared" si="9"/>
        <v>0</v>
      </c>
      <c r="J108" s="375"/>
      <c r="K108" s="375">
        <f>'RAB Pasang'!K108*40%</f>
        <v>3301988</v>
      </c>
      <c r="L108" s="372">
        <f t="shared" si="6"/>
        <v>0</v>
      </c>
      <c r="M108" s="375">
        <f t="shared" si="7"/>
        <v>0</v>
      </c>
      <c r="N108" s="462">
        <f t="shared" si="8"/>
        <v>0</v>
      </c>
      <c r="P108" s="524">
        <v>95</v>
      </c>
      <c r="Q108" s="524">
        <v>75</v>
      </c>
      <c r="R108" s="524">
        <v>180</v>
      </c>
      <c r="S108" s="525">
        <v>0</v>
      </c>
      <c r="T108" s="526">
        <f t="shared" si="11"/>
        <v>1.2825</v>
      </c>
    </row>
    <row r="109" spans="1:21" ht="13.2" customHeight="1" x14ac:dyDescent="0.3">
      <c r="A109" s="365">
        <f t="shared" si="10"/>
        <v>91</v>
      </c>
      <c r="B109" s="376" t="s">
        <v>1508</v>
      </c>
      <c r="C109" s="373"/>
      <c r="D109" s="373"/>
      <c r="E109" s="374" t="s">
        <v>399</v>
      </c>
      <c r="F109" s="571"/>
      <c r="G109" s="528"/>
      <c r="H109" s="571"/>
      <c r="I109" s="369">
        <f t="shared" si="9"/>
        <v>0</v>
      </c>
      <c r="J109" s="375"/>
      <c r="K109" s="375">
        <f>'RAB Pasang'!K109*40%</f>
        <v>3301988</v>
      </c>
      <c r="L109" s="372">
        <f t="shared" si="6"/>
        <v>0</v>
      </c>
      <c r="M109" s="375">
        <f t="shared" si="7"/>
        <v>0</v>
      </c>
      <c r="N109" s="462">
        <f t="shared" si="8"/>
        <v>0</v>
      </c>
      <c r="P109" s="524">
        <v>95</v>
      </c>
      <c r="Q109" s="524">
        <v>75</v>
      </c>
      <c r="R109" s="524">
        <v>180</v>
      </c>
      <c r="S109" s="525">
        <v>0</v>
      </c>
      <c r="T109" s="526">
        <f t="shared" si="11"/>
        <v>1.2825</v>
      </c>
    </row>
    <row r="110" spans="1:21" ht="13.2" customHeight="1" x14ac:dyDescent="0.3">
      <c r="A110" s="365">
        <f t="shared" si="10"/>
        <v>92</v>
      </c>
      <c r="B110" s="376" t="s">
        <v>1509</v>
      </c>
      <c r="C110" s="373"/>
      <c r="D110" s="373"/>
      <c r="E110" s="374" t="s">
        <v>399</v>
      </c>
      <c r="F110" s="571"/>
      <c r="G110" s="528"/>
      <c r="H110" s="571"/>
      <c r="I110" s="369">
        <f t="shared" si="9"/>
        <v>0</v>
      </c>
      <c r="J110" s="375"/>
      <c r="K110" s="375">
        <f>'RAB Pasang'!K110*40%</f>
        <v>3301988</v>
      </c>
      <c r="L110" s="372">
        <f t="shared" si="6"/>
        <v>0</v>
      </c>
      <c r="M110" s="375">
        <f t="shared" si="7"/>
        <v>0</v>
      </c>
      <c r="N110" s="462">
        <f t="shared" si="8"/>
        <v>0</v>
      </c>
      <c r="P110" s="524">
        <v>95</v>
      </c>
      <c r="Q110" s="524">
        <v>75</v>
      </c>
      <c r="R110" s="524">
        <v>180</v>
      </c>
      <c r="S110" s="525">
        <v>0</v>
      </c>
      <c r="T110" s="526">
        <f t="shared" si="11"/>
        <v>1.2825</v>
      </c>
    </row>
    <row r="111" spans="1:21" ht="13.2" customHeight="1" x14ac:dyDescent="0.3">
      <c r="A111" s="365">
        <f t="shared" si="10"/>
        <v>93</v>
      </c>
      <c r="B111" s="376" t="s">
        <v>1510</v>
      </c>
      <c r="C111" s="373"/>
      <c r="D111" s="373"/>
      <c r="E111" s="374" t="s">
        <v>399</v>
      </c>
      <c r="F111" s="571"/>
      <c r="G111" s="528"/>
      <c r="H111" s="571"/>
      <c r="I111" s="369">
        <f t="shared" si="9"/>
        <v>0</v>
      </c>
      <c r="J111" s="375"/>
      <c r="K111" s="375">
        <f>'RAB Pasang'!K111*40%</f>
        <v>909732</v>
      </c>
      <c r="L111" s="372">
        <f t="shared" si="6"/>
        <v>0</v>
      </c>
      <c r="M111" s="375">
        <f t="shared" si="7"/>
        <v>0</v>
      </c>
      <c r="N111" s="462">
        <f t="shared" si="8"/>
        <v>0</v>
      </c>
      <c r="P111" s="524">
        <v>50</v>
      </c>
      <c r="Q111" s="524">
        <v>60</v>
      </c>
      <c r="R111" s="524">
        <v>120</v>
      </c>
      <c r="S111" s="525">
        <v>0</v>
      </c>
      <c r="T111" s="526">
        <f t="shared" si="11"/>
        <v>0.36</v>
      </c>
    </row>
    <row r="112" spans="1:21" ht="13.2" customHeight="1" x14ac:dyDescent="0.3">
      <c r="A112" s="365">
        <f t="shared" si="10"/>
        <v>94</v>
      </c>
      <c r="B112" s="376" t="s">
        <v>1511</v>
      </c>
      <c r="C112" s="373"/>
      <c r="D112" s="373"/>
      <c r="E112" s="367" t="s">
        <v>203</v>
      </c>
      <c r="F112" s="528"/>
      <c r="G112" s="528"/>
      <c r="H112" s="571"/>
      <c r="I112" s="369">
        <f t="shared" si="9"/>
        <v>0</v>
      </c>
      <c r="J112" s="375"/>
      <c r="K112" s="375">
        <f>'RAB Pasang'!K112*40%</f>
        <v>217344</v>
      </c>
      <c r="L112" s="372">
        <f t="shared" si="6"/>
        <v>0</v>
      </c>
      <c r="M112" s="375">
        <f t="shared" si="7"/>
        <v>0</v>
      </c>
      <c r="N112" s="462">
        <f t="shared" si="8"/>
        <v>0</v>
      </c>
      <c r="P112" s="524">
        <v>28</v>
      </c>
      <c r="Q112" s="524">
        <v>18</v>
      </c>
      <c r="R112" s="524">
        <v>26</v>
      </c>
      <c r="S112" s="525">
        <v>0</v>
      </c>
      <c r="T112" s="526">
        <f t="shared" si="11"/>
        <v>1.3103999999999999E-2</v>
      </c>
    </row>
    <row r="113" spans="1:21" ht="13.2" customHeight="1" x14ac:dyDescent="0.3">
      <c r="A113" s="365">
        <f t="shared" si="10"/>
        <v>95</v>
      </c>
      <c r="B113" s="376" t="s">
        <v>1512</v>
      </c>
      <c r="C113" s="373"/>
      <c r="D113" s="373"/>
      <c r="E113" s="367" t="s">
        <v>203</v>
      </c>
      <c r="F113" s="528"/>
      <c r="G113" s="528"/>
      <c r="H113" s="571"/>
      <c r="I113" s="369">
        <f t="shared" si="9"/>
        <v>0</v>
      </c>
      <c r="J113" s="375"/>
      <c r="K113" s="375">
        <f>'RAB Pasang'!K113*40%</f>
        <v>217344</v>
      </c>
      <c r="L113" s="372">
        <f t="shared" si="6"/>
        <v>0</v>
      </c>
      <c r="M113" s="375">
        <f t="shared" si="7"/>
        <v>0</v>
      </c>
      <c r="N113" s="462">
        <f t="shared" si="8"/>
        <v>0</v>
      </c>
      <c r="P113" s="524">
        <v>30</v>
      </c>
      <c r="Q113" s="524">
        <v>20</v>
      </c>
      <c r="R113" s="524">
        <v>28</v>
      </c>
      <c r="S113" s="525">
        <v>0</v>
      </c>
      <c r="T113" s="526">
        <f t="shared" si="11"/>
        <v>1.6799999999999999E-2</v>
      </c>
    </row>
    <row r="114" spans="1:21" ht="13.2" customHeight="1" x14ac:dyDescent="0.3">
      <c r="A114" s="365">
        <f t="shared" si="10"/>
        <v>96</v>
      </c>
      <c r="B114" s="376" t="s">
        <v>1513</v>
      </c>
      <c r="C114" s="373"/>
      <c r="D114" s="373"/>
      <c r="E114" s="367" t="s">
        <v>203</v>
      </c>
      <c r="F114" s="528"/>
      <c r="G114" s="528"/>
      <c r="H114" s="571"/>
      <c r="I114" s="369">
        <f t="shared" si="9"/>
        <v>0</v>
      </c>
      <c r="J114" s="375"/>
      <c r="K114" s="375">
        <f>'RAB Pasang'!K114*40%</f>
        <v>195436</v>
      </c>
      <c r="L114" s="372">
        <f t="shared" si="6"/>
        <v>0</v>
      </c>
      <c r="M114" s="375">
        <f t="shared" si="7"/>
        <v>0</v>
      </c>
      <c r="N114" s="462">
        <f t="shared" si="8"/>
        <v>0</v>
      </c>
      <c r="P114" s="524">
        <v>30</v>
      </c>
      <c r="Q114" s="524">
        <v>25</v>
      </c>
      <c r="R114" s="524">
        <v>50</v>
      </c>
      <c r="S114" s="525">
        <v>0</v>
      </c>
      <c r="T114" s="526">
        <f t="shared" si="11"/>
        <v>3.7499999999999999E-2</v>
      </c>
    </row>
    <row r="115" spans="1:21" ht="13.2" customHeight="1" x14ac:dyDescent="0.3">
      <c r="A115" s="365">
        <f t="shared" si="10"/>
        <v>97</v>
      </c>
      <c r="B115" s="376" t="s">
        <v>1514</v>
      </c>
      <c r="C115" s="373"/>
      <c r="D115" s="373"/>
      <c r="E115" s="367" t="s">
        <v>203</v>
      </c>
      <c r="F115" s="528"/>
      <c r="G115" s="528"/>
      <c r="H115" s="571"/>
      <c r="I115" s="369">
        <f t="shared" si="9"/>
        <v>0</v>
      </c>
      <c r="J115" s="375"/>
      <c r="K115" s="375">
        <f>'RAB Pasang'!K115*40%</f>
        <v>195436</v>
      </c>
      <c r="L115" s="372">
        <f t="shared" si="6"/>
        <v>0</v>
      </c>
      <c r="M115" s="375">
        <f t="shared" si="7"/>
        <v>0</v>
      </c>
      <c r="N115" s="462">
        <f t="shared" si="8"/>
        <v>0</v>
      </c>
      <c r="P115" s="524">
        <v>35</v>
      </c>
      <c r="Q115" s="524">
        <v>28</v>
      </c>
      <c r="R115" s="524">
        <v>55</v>
      </c>
      <c r="S115" s="525">
        <v>0</v>
      </c>
      <c r="T115" s="526">
        <f t="shared" si="11"/>
        <v>5.3900000000000003E-2</v>
      </c>
    </row>
    <row r="116" spans="1:21" ht="13.2" customHeight="1" x14ac:dyDescent="0.3">
      <c r="A116" s="365">
        <f t="shared" si="10"/>
        <v>98</v>
      </c>
      <c r="B116" s="370" t="s">
        <v>1515</v>
      </c>
      <c r="C116" s="371"/>
      <c r="D116" s="371"/>
      <c r="E116" s="367" t="s">
        <v>203</v>
      </c>
      <c r="F116" s="571"/>
      <c r="G116" s="527"/>
      <c r="H116" s="571"/>
      <c r="I116" s="369">
        <f t="shared" si="9"/>
        <v>0</v>
      </c>
      <c r="J116" s="372"/>
      <c r="K116" s="372">
        <f>'RAB Pasang'!K116*40%</f>
        <v>303244</v>
      </c>
      <c r="L116" s="372">
        <f t="shared" si="6"/>
        <v>0</v>
      </c>
      <c r="M116" s="372">
        <f t="shared" si="7"/>
        <v>0</v>
      </c>
      <c r="N116" s="460">
        <f t="shared" si="8"/>
        <v>0</v>
      </c>
      <c r="P116" s="524">
        <v>68</v>
      </c>
      <c r="Q116" s="524">
        <v>53</v>
      </c>
      <c r="R116" s="524">
        <v>130</v>
      </c>
      <c r="S116" s="525">
        <v>0</v>
      </c>
      <c r="T116" s="526">
        <f t="shared" si="11"/>
        <v>0.46851999999999999</v>
      </c>
    </row>
    <row r="117" spans="1:21" ht="13.2" customHeight="1" x14ac:dyDescent="0.3">
      <c r="A117" s="365">
        <f t="shared" si="10"/>
        <v>99</v>
      </c>
      <c r="B117" s="370" t="s">
        <v>1516</v>
      </c>
      <c r="C117" s="371"/>
      <c r="D117" s="371"/>
      <c r="E117" s="367" t="s">
        <v>203</v>
      </c>
      <c r="F117" s="571"/>
      <c r="G117" s="527"/>
      <c r="H117" s="571"/>
      <c r="I117" s="369">
        <f t="shared" si="9"/>
        <v>0</v>
      </c>
      <c r="J117" s="372"/>
      <c r="K117" s="372">
        <f>'RAB Pasang'!K117*40%</f>
        <v>429524</v>
      </c>
      <c r="L117" s="372">
        <f t="shared" si="6"/>
        <v>0</v>
      </c>
      <c r="M117" s="372">
        <f t="shared" si="7"/>
        <v>0</v>
      </c>
      <c r="N117" s="460">
        <f t="shared" si="8"/>
        <v>0</v>
      </c>
      <c r="P117" s="524">
        <v>104</v>
      </c>
      <c r="Q117" s="524">
        <v>53</v>
      </c>
      <c r="R117" s="524">
        <v>130</v>
      </c>
      <c r="S117" s="525">
        <v>0</v>
      </c>
      <c r="T117" s="526">
        <f t="shared" si="11"/>
        <v>0.71655999999999997</v>
      </c>
    </row>
    <row r="118" spans="1:21" ht="13.2" customHeight="1" x14ac:dyDescent="0.3">
      <c r="A118" s="365">
        <f t="shared" si="10"/>
        <v>100</v>
      </c>
      <c r="B118" s="370" t="s">
        <v>1517</v>
      </c>
      <c r="C118" s="371"/>
      <c r="D118" s="371"/>
      <c r="E118" s="367" t="s">
        <v>399</v>
      </c>
      <c r="F118" s="571"/>
      <c r="G118" s="527"/>
      <c r="H118" s="527"/>
      <c r="I118" s="369">
        <f t="shared" si="9"/>
        <v>0</v>
      </c>
      <c r="J118" s="372"/>
      <c r="K118" s="372">
        <f>'RAB Pasang'!K118*40%</f>
        <v>394292</v>
      </c>
      <c r="L118" s="372">
        <f t="shared" si="6"/>
        <v>0</v>
      </c>
      <c r="M118" s="372">
        <f t="shared" si="7"/>
        <v>0</v>
      </c>
      <c r="N118" s="460">
        <f t="shared" si="8"/>
        <v>0</v>
      </c>
      <c r="P118" s="524">
        <v>120</v>
      </c>
      <c r="Q118" s="524">
        <v>80</v>
      </c>
      <c r="R118" s="524">
        <v>60</v>
      </c>
      <c r="S118" s="525">
        <v>0</v>
      </c>
      <c r="T118" s="526">
        <f t="shared" si="11"/>
        <v>0.57599999999999996</v>
      </c>
    </row>
    <row r="119" spans="1:21" ht="13.2" customHeight="1" x14ac:dyDescent="0.3">
      <c r="A119" s="365">
        <f t="shared" si="10"/>
        <v>101</v>
      </c>
      <c r="B119" s="370" t="s">
        <v>1518</v>
      </c>
      <c r="C119" s="371"/>
      <c r="D119" s="371"/>
      <c r="E119" s="367" t="s">
        <v>399</v>
      </c>
      <c r="F119" s="571"/>
      <c r="G119" s="527"/>
      <c r="H119" s="527"/>
      <c r="I119" s="369">
        <f t="shared" si="9"/>
        <v>0</v>
      </c>
      <c r="J119" s="372"/>
      <c r="K119" s="372">
        <f>'RAB Pasang'!K119*40%</f>
        <v>194572</v>
      </c>
      <c r="L119" s="372">
        <f t="shared" si="6"/>
        <v>0</v>
      </c>
      <c r="M119" s="372">
        <f t="shared" si="7"/>
        <v>0</v>
      </c>
      <c r="N119" s="460">
        <f t="shared" si="8"/>
        <v>0</v>
      </c>
      <c r="P119" s="524">
        <v>40</v>
      </c>
      <c r="Q119" s="524">
        <v>20</v>
      </c>
      <c r="R119" s="524">
        <v>65</v>
      </c>
      <c r="S119" s="525">
        <v>0</v>
      </c>
      <c r="T119" s="526">
        <f t="shared" si="11"/>
        <v>5.1999999999999998E-2</v>
      </c>
    </row>
    <row r="120" spans="1:21" ht="13.2" customHeight="1" x14ac:dyDescent="0.3">
      <c r="A120" s="365">
        <f t="shared" si="10"/>
        <v>102</v>
      </c>
      <c r="B120" s="370" t="s">
        <v>1519</v>
      </c>
      <c r="C120" s="371"/>
      <c r="D120" s="371"/>
      <c r="E120" s="367" t="s">
        <v>399</v>
      </c>
      <c r="F120" s="571"/>
      <c r="G120" s="527"/>
      <c r="H120" s="527"/>
      <c r="I120" s="369">
        <f t="shared" si="9"/>
        <v>0</v>
      </c>
      <c r="J120" s="372"/>
      <c r="K120" s="372">
        <f>'RAB Pasang'!K120*40%</f>
        <v>226144</v>
      </c>
      <c r="L120" s="372">
        <f t="shared" si="6"/>
        <v>0</v>
      </c>
      <c r="M120" s="372">
        <f t="shared" si="7"/>
        <v>0</v>
      </c>
      <c r="N120" s="460">
        <f t="shared" si="8"/>
        <v>0</v>
      </c>
      <c r="P120" s="524">
        <v>40</v>
      </c>
      <c r="Q120" s="524">
        <v>20</v>
      </c>
      <c r="R120" s="524">
        <v>65</v>
      </c>
      <c r="S120" s="525">
        <v>0</v>
      </c>
      <c r="T120" s="526">
        <f t="shared" si="11"/>
        <v>5.1999999999999998E-2</v>
      </c>
    </row>
    <row r="121" spans="1:21" ht="13.2" customHeight="1" x14ac:dyDescent="0.3">
      <c r="A121" s="365">
        <f t="shared" si="10"/>
        <v>103</v>
      </c>
      <c r="B121" s="370" t="s">
        <v>1520</v>
      </c>
      <c r="C121" s="371"/>
      <c r="D121" s="371"/>
      <c r="E121" s="367" t="s">
        <v>399</v>
      </c>
      <c r="F121" s="571"/>
      <c r="G121" s="527"/>
      <c r="H121" s="527"/>
      <c r="I121" s="369">
        <f t="shared" si="9"/>
        <v>0</v>
      </c>
      <c r="J121" s="372"/>
      <c r="K121" s="372">
        <f>'RAB Pasang'!K121*40%</f>
        <v>652012</v>
      </c>
      <c r="L121" s="372">
        <f t="shared" si="6"/>
        <v>0</v>
      </c>
      <c r="M121" s="372">
        <f t="shared" si="7"/>
        <v>0</v>
      </c>
      <c r="N121" s="460">
        <f t="shared" si="8"/>
        <v>0</v>
      </c>
      <c r="P121" s="524">
        <v>42</v>
      </c>
      <c r="Q121" s="524">
        <v>25</v>
      </c>
      <c r="R121" s="524">
        <v>121</v>
      </c>
      <c r="S121" s="525">
        <v>0</v>
      </c>
      <c r="T121" s="526">
        <f t="shared" si="11"/>
        <v>0.12705</v>
      </c>
    </row>
    <row r="122" spans="1:21" ht="13.2" customHeight="1" x14ac:dyDescent="0.3">
      <c r="A122" s="365">
        <f t="shared" si="10"/>
        <v>104</v>
      </c>
      <c r="B122" s="370" t="s">
        <v>1521</v>
      </c>
      <c r="C122" s="371"/>
      <c r="D122" s="371"/>
      <c r="E122" s="367" t="s">
        <v>399</v>
      </c>
      <c r="F122" s="571"/>
      <c r="G122" s="527"/>
      <c r="H122" s="539"/>
      <c r="I122" s="369">
        <f t="shared" si="9"/>
        <v>0</v>
      </c>
      <c r="J122" s="372"/>
      <c r="K122" s="372">
        <f>'RAB Pasang'!K122*40%</f>
        <v>652012</v>
      </c>
      <c r="L122" s="372">
        <f t="shared" si="6"/>
        <v>0</v>
      </c>
      <c r="M122" s="372">
        <f t="shared" si="7"/>
        <v>0</v>
      </c>
      <c r="N122" s="460">
        <f t="shared" si="8"/>
        <v>0</v>
      </c>
      <c r="P122" s="524">
        <v>46</v>
      </c>
      <c r="Q122" s="524">
        <v>37</v>
      </c>
      <c r="R122" s="524">
        <v>70</v>
      </c>
      <c r="S122" s="525">
        <v>0</v>
      </c>
      <c r="T122" s="526">
        <f t="shared" si="11"/>
        <v>0.11914</v>
      </c>
    </row>
    <row r="123" spans="1:21" ht="13.2" customHeight="1" x14ac:dyDescent="0.3">
      <c r="A123" s="365">
        <f t="shared" si="10"/>
        <v>105</v>
      </c>
      <c r="B123" s="370" t="s">
        <v>1522</v>
      </c>
      <c r="C123" s="371"/>
      <c r="D123" s="371"/>
      <c r="E123" s="367" t="s">
        <v>399</v>
      </c>
      <c r="F123" s="571"/>
      <c r="G123" s="527"/>
      <c r="H123" s="528"/>
      <c r="I123" s="369">
        <f t="shared" si="9"/>
        <v>0</v>
      </c>
      <c r="J123" s="372"/>
      <c r="K123" s="372">
        <f>'RAB Pasang'!K123*40%</f>
        <v>652012</v>
      </c>
      <c r="L123" s="372">
        <f t="shared" si="6"/>
        <v>0</v>
      </c>
      <c r="M123" s="372">
        <f t="shared" si="7"/>
        <v>0</v>
      </c>
      <c r="N123" s="460">
        <f t="shared" si="8"/>
        <v>0</v>
      </c>
      <c r="P123" s="524">
        <v>100</v>
      </c>
      <c r="Q123" s="524">
        <v>40</v>
      </c>
      <c r="R123" s="524">
        <v>120</v>
      </c>
      <c r="S123" s="525">
        <v>0</v>
      </c>
      <c r="T123" s="526">
        <f t="shared" si="11"/>
        <v>0.48</v>
      </c>
    </row>
    <row r="124" spans="1:21" ht="13.2" customHeight="1" x14ac:dyDescent="0.3">
      <c r="A124" s="365">
        <f t="shared" si="10"/>
        <v>106</v>
      </c>
      <c r="B124" s="370" t="s">
        <v>1937</v>
      </c>
      <c r="C124" s="371"/>
      <c r="D124" s="371"/>
      <c r="E124" s="367" t="s">
        <v>399</v>
      </c>
      <c r="F124" s="539"/>
      <c r="G124" s="539"/>
      <c r="H124" s="527"/>
      <c r="I124" s="369">
        <f t="shared" si="9"/>
        <v>0</v>
      </c>
      <c r="J124" s="372"/>
      <c r="K124" s="372">
        <f>'RAB Pasang'!K124*40%</f>
        <v>873044</v>
      </c>
      <c r="L124" s="372">
        <f t="shared" si="6"/>
        <v>0</v>
      </c>
      <c r="M124" s="372">
        <f t="shared" si="7"/>
        <v>0</v>
      </c>
      <c r="N124" s="460">
        <f t="shared" si="8"/>
        <v>0</v>
      </c>
      <c r="P124" s="524">
        <v>230</v>
      </c>
      <c r="Q124" s="524">
        <v>113</v>
      </c>
      <c r="R124" s="524">
        <v>3.5</v>
      </c>
      <c r="S124" s="525">
        <v>0</v>
      </c>
      <c r="T124" s="526">
        <f t="shared" si="11"/>
        <v>9.0965000000000004E-2</v>
      </c>
      <c r="U124" s="297" t="s">
        <v>2344</v>
      </c>
    </row>
    <row r="125" spans="1:21" ht="13.95" customHeight="1" x14ac:dyDescent="0.3">
      <c r="A125" s="485"/>
      <c r="B125" s="486" t="s">
        <v>643</v>
      </c>
      <c r="C125" s="487"/>
      <c r="D125" s="487"/>
      <c r="E125" s="488"/>
      <c r="F125" s="540"/>
      <c r="G125" s="540"/>
      <c r="H125" s="540"/>
      <c r="I125" s="489"/>
      <c r="J125" s="488"/>
      <c r="K125" s="488"/>
      <c r="L125" s="490">
        <f t="shared" ref="L125:N125" si="12">SUM(L19:L124)</f>
        <v>0</v>
      </c>
      <c r="M125" s="490">
        <f t="shared" si="12"/>
        <v>0</v>
      </c>
      <c r="N125" s="491">
        <f t="shared" si="12"/>
        <v>0</v>
      </c>
    </row>
    <row r="126" spans="1:21" ht="7.95" customHeight="1" x14ac:dyDescent="0.3">
      <c r="A126" s="378"/>
      <c r="B126" s="379"/>
      <c r="C126" s="380"/>
      <c r="D126" s="380"/>
      <c r="E126" s="381"/>
      <c r="F126" s="561"/>
      <c r="G126" s="561"/>
      <c r="H126" s="561"/>
      <c r="I126" s="465"/>
      <c r="J126" s="382"/>
      <c r="K126" s="382"/>
      <c r="L126" s="383"/>
      <c r="M126" s="382"/>
      <c r="N126" s="384"/>
    </row>
    <row r="127" spans="1:21" ht="13.2" customHeight="1" x14ac:dyDescent="0.3">
      <c r="A127" s="477" t="s">
        <v>607</v>
      </c>
      <c r="B127" s="478" t="s">
        <v>644</v>
      </c>
      <c r="C127" s="479"/>
      <c r="D127" s="480"/>
      <c r="E127" s="481"/>
      <c r="F127" s="483"/>
      <c r="G127" s="483"/>
      <c r="H127" s="483"/>
      <c r="I127" s="483"/>
      <c r="J127" s="481"/>
      <c r="K127" s="481"/>
      <c r="L127" s="484"/>
      <c r="M127" s="481"/>
      <c r="N127" s="482"/>
    </row>
    <row r="128" spans="1:21" ht="13.2" customHeight="1" x14ac:dyDescent="0.3">
      <c r="A128" s="386">
        <v>1</v>
      </c>
      <c r="B128" s="370" t="s">
        <v>1568</v>
      </c>
      <c r="C128" s="371"/>
      <c r="D128" s="371"/>
      <c r="E128" s="367" t="s">
        <v>203</v>
      </c>
      <c r="F128" s="527"/>
      <c r="G128" s="527"/>
      <c r="H128" s="539"/>
      <c r="I128" s="372">
        <f t="shared" ref="I128:I191" si="13">SUM(F128:H128)</f>
        <v>0</v>
      </c>
      <c r="J128" s="372"/>
      <c r="K128" s="372">
        <f>'RAB Pasang'!K128*40%</f>
        <v>5476</v>
      </c>
      <c r="L128" s="387">
        <f t="shared" ref="L128:L191" si="14">J128*I128</f>
        <v>0</v>
      </c>
      <c r="M128" s="387">
        <f t="shared" ref="M128:M191" si="15">K128*I128</f>
        <v>0</v>
      </c>
      <c r="N128" s="422">
        <f t="shared" ref="N128:N191" si="16">SUM(L128:M128)</f>
        <v>0</v>
      </c>
      <c r="P128" s="299"/>
      <c r="R128" s="299"/>
      <c r="S128" s="299"/>
    </row>
    <row r="129" spans="1:14" ht="13.2" customHeight="1" x14ac:dyDescent="0.3">
      <c r="A129" s="386">
        <f>A128+1</f>
        <v>2</v>
      </c>
      <c r="B129" s="366" t="s">
        <v>645</v>
      </c>
      <c r="C129" s="362"/>
      <c r="D129" s="362"/>
      <c r="E129" s="368" t="s">
        <v>203</v>
      </c>
      <c r="F129" s="535"/>
      <c r="G129" s="535"/>
      <c r="H129" s="538"/>
      <c r="I129" s="372">
        <f t="shared" si="13"/>
        <v>0</v>
      </c>
      <c r="J129" s="369"/>
      <c r="K129" s="369">
        <f>'RAB Pasang'!K129*40%</f>
        <v>11684</v>
      </c>
      <c r="L129" s="387">
        <f t="shared" si="14"/>
        <v>0</v>
      </c>
      <c r="M129" s="385">
        <f t="shared" si="15"/>
        <v>0</v>
      </c>
      <c r="N129" s="388">
        <f t="shared" si="16"/>
        <v>0</v>
      </c>
    </row>
    <row r="130" spans="1:14" ht="13.2" customHeight="1" x14ac:dyDescent="0.3">
      <c r="A130" s="386">
        <f t="shared" ref="A130:A193" si="17">A129+1</f>
        <v>3</v>
      </c>
      <c r="B130" s="366" t="s">
        <v>646</v>
      </c>
      <c r="C130" s="362"/>
      <c r="D130" s="362"/>
      <c r="E130" s="368" t="s">
        <v>203</v>
      </c>
      <c r="F130" s="535"/>
      <c r="G130" s="535"/>
      <c r="H130" s="538"/>
      <c r="I130" s="372">
        <f t="shared" si="13"/>
        <v>0</v>
      </c>
      <c r="J130" s="369"/>
      <c r="K130" s="369">
        <f>'RAB Pasang'!K130*40%</f>
        <v>11684</v>
      </c>
      <c r="L130" s="387">
        <f t="shared" si="14"/>
        <v>0</v>
      </c>
      <c r="M130" s="385">
        <f t="shared" si="15"/>
        <v>0</v>
      </c>
      <c r="N130" s="388">
        <f t="shared" si="16"/>
        <v>0</v>
      </c>
    </row>
    <row r="131" spans="1:14" ht="13.2" customHeight="1" x14ac:dyDescent="0.3">
      <c r="A131" s="386">
        <f t="shared" si="17"/>
        <v>4</v>
      </c>
      <c r="B131" s="366" t="s">
        <v>1661</v>
      </c>
      <c r="C131" s="362"/>
      <c r="D131" s="362"/>
      <c r="E131" s="368" t="s">
        <v>203</v>
      </c>
      <c r="F131" s="535"/>
      <c r="G131" s="535"/>
      <c r="H131" s="538"/>
      <c r="I131" s="372">
        <f t="shared" si="13"/>
        <v>0</v>
      </c>
      <c r="J131" s="369"/>
      <c r="K131" s="369">
        <f>'RAB Pasang'!K131*40%</f>
        <v>11684</v>
      </c>
      <c r="L131" s="387">
        <f t="shared" si="14"/>
        <v>0</v>
      </c>
      <c r="M131" s="385">
        <f t="shared" si="15"/>
        <v>0</v>
      </c>
      <c r="N131" s="388">
        <f t="shared" si="16"/>
        <v>0</v>
      </c>
    </row>
    <row r="132" spans="1:14" ht="13.2" customHeight="1" x14ac:dyDescent="0.3">
      <c r="A132" s="386">
        <f t="shared" si="17"/>
        <v>5</v>
      </c>
      <c r="B132" s="366" t="s">
        <v>2006</v>
      </c>
      <c r="C132" s="362"/>
      <c r="D132" s="362"/>
      <c r="E132" s="368" t="s">
        <v>203</v>
      </c>
      <c r="F132" s="535"/>
      <c r="G132" s="535"/>
      <c r="H132" s="538"/>
      <c r="I132" s="372">
        <f t="shared" si="13"/>
        <v>0</v>
      </c>
      <c r="J132" s="369"/>
      <c r="K132" s="369">
        <f>'RAB Pasang'!K132*40%</f>
        <v>11684</v>
      </c>
      <c r="L132" s="387">
        <f t="shared" si="14"/>
        <v>0</v>
      </c>
      <c r="M132" s="385">
        <f t="shared" si="15"/>
        <v>0</v>
      </c>
      <c r="N132" s="388">
        <f t="shared" si="16"/>
        <v>0</v>
      </c>
    </row>
    <row r="133" spans="1:14" ht="13.2" customHeight="1" x14ac:dyDescent="0.3">
      <c r="A133" s="386">
        <f t="shared" si="17"/>
        <v>6</v>
      </c>
      <c r="B133" s="366" t="s">
        <v>1662</v>
      </c>
      <c r="C133" s="362"/>
      <c r="D133" s="362"/>
      <c r="E133" s="368" t="s">
        <v>203</v>
      </c>
      <c r="F133" s="535"/>
      <c r="G133" s="535"/>
      <c r="H133" s="538"/>
      <c r="I133" s="372">
        <f t="shared" si="13"/>
        <v>0</v>
      </c>
      <c r="J133" s="369"/>
      <c r="K133" s="369">
        <f>'RAB Pasang'!K133*40%</f>
        <v>11684</v>
      </c>
      <c r="L133" s="387">
        <f t="shared" si="14"/>
        <v>0</v>
      </c>
      <c r="M133" s="385">
        <f t="shared" si="15"/>
        <v>0</v>
      </c>
      <c r="N133" s="388">
        <f t="shared" si="16"/>
        <v>0</v>
      </c>
    </row>
    <row r="134" spans="1:14" ht="13.2" customHeight="1" x14ac:dyDescent="0.3">
      <c r="A134" s="386">
        <f t="shared" si="17"/>
        <v>7</v>
      </c>
      <c r="B134" s="366" t="s">
        <v>2007</v>
      </c>
      <c r="C134" s="362"/>
      <c r="D134" s="362"/>
      <c r="E134" s="368" t="s">
        <v>203</v>
      </c>
      <c r="F134" s="535"/>
      <c r="G134" s="535"/>
      <c r="H134" s="538"/>
      <c r="I134" s="372">
        <f t="shared" si="13"/>
        <v>0</v>
      </c>
      <c r="J134" s="369"/>
      <c r="K134" s="369">
        <f>'RAB Pasang'!K134*40%</f>
        <v>11684</v>
      </c>
      <c r="L134" s="387">
        <f t="shared" si="14"/>
        <v>0</v>
      </c>
      <c r="M134" s="385">
        <f t="shared" si="15"/>
        <v>0</v>
      </c>
      <c r="N134" s="388">
        <f t="shared" si="16"/>
        <v>0</v>
      </c>
    </row>
    <row r="135" spans="1:14" ht="13.2" customHeight="1" x14ac:dyDescent="0.3">
      <c r="A135" s="386">
        <f t="shared" si="17"/>
        <v>8</v>
      </c>
      <c r="B135" s="366" t="s">
        <v>588</v>
      </c>
      <c r="C135" s="362"/>
      <c r="D135" s="362"/>
      <c r="E135" s="368" t="s">
        <v>264</v>
      </c>
      <c r="F135" s="535"/>
      <c r="G135" s="535"/>
      <c r="H135" s="538"/>
      <c r="I135" s="372">
        <f t="shared" si="13"/>
        <v>0</v>
      </c>
      <c r="J135" s="369"/>
      <c r="K135" s="369">
        <f>'RAB Pasang'!K135*40%</f>
        <v>11684</v>
      </c>
      <c r="L135" s="387">
        <f t="shared" si="14"/>
        <v>0</v>
      </c>
      <c r="M135" s="385">
        <f t="shared" si="15"/>
        <v>0</v>
      </c>
      <c r="N135" s="388">
        <f t="shared" si="16"/>
        <v>0</v>
      </c>
    </row>
    <row r="136" spans="1:14" ht="13.2" customHeight="1" x14ac:dyDescent="0.3">
      <c r="A136" s="386">
        <f t="shared" si="17"/>
        <v>9</v>
      </c>
      <c r="B136" s="366" t="s">
        <v>466</v>
      </c>
      <c r="C136" s="362"/>
      <c r="D136" s="362"/>
      <c r="E136" s="368" t="s">
        <v>203</v>
      </c>
      <c r="F136" s="538"/>
      <c r="G136" s="538"/>
      <c r="H136" s="535"/>
      <c r="I136" s="372">
        <f t="shared" si="13"/>
        <v>0</v>
      </c>
      <c r="J136" s="369"/>
      <c r="K136" s="372">
        <f>'RAB Pasang'!K136*40%</f>
        <v>11264</v>
      </c>
      <c r="L136" s="387">
        <f t="shared" si="14"/>
        <v>0</v>
      </c>
      <c r="M136" s="385">
        <f t="shared" si="15"/>
        <v>0</v>
      </c>
      <c r="N136" s="388">
        <f t="shared" si="16"/>
        <v>0</v>
      </c>
    </row>
    <row r="137" spans="1:14" ht="13.2" customHeight="1" x14ac:dyDescent="0.3">
      <c r="A137" s="386">
        <f t="shared" si="17"/>
        <v>10</v>
      </c>
      <c r="B137" s="366" t="s">
        <v>467</v>
      </c>
      <c r="C137" s="362"/>
      <c r="D137" s="362"/>
      <c r="E137" s="368" t="s">
        <v>203</v>
      </c>
      <c r="F137" s="538"/>
      <c r="G137" s="538"/>
      <c r="H137" s="535"/>
      <c r="I137" s="372">
        <f t="shared" si="13"/>
        <v>0</v>
      </c>
      <c r="J137" s="369"/>
      <c r="K137" s="372">
        <f>'RAB Pasang'!K137*40%</f>
        <v>11264</v>
      </c>
      <c r="L137" s="387">
        <f t="shared" si="14"/>
        <v>0</v>
      </c>
      <c r="M137" s="385">
        <f t="shared" si="15"/>
        <v>0</v>
      </c>
      <c r="N137" s="388">
        <f t="shared" si="16"/>
        <v>0</v>
      </c>
    </row>
    <row r="138" spans="1:14" ht="13.2" customHeight="1" x14ac:dyDescent="0.3">
      <c r="A138" s="386">
        <f t="shared" si="17"/>
        <v>11</v>
      </c>
      <c r="B138" s="366" t="s">
        <v>468</v>
      </c>
      <c r="C138" s="362"/>
      <c r="D138" s="362"/>
      <c r="E138" s="368" t="s">
        <v>203</v>
      </c>
      <c r="F138" s="538"/>
      <c r="G138" s="538"/>
      <c r="H138" s="535"/>
      <c r="I138" s="372">
        <f t="shared" si="13"/>
        <v>0</v>
      </c>
      <c r="J138" s="369"/>
      <c r="K138" s="372">
        <f>'RAB Pasang'!K138*40%</f>
        <v>11264</v>
      </c>
      <c r="L138" s="387">
        <f t="shared" si="14"/>
        <v>0</v>
      </c>
      <c r="M138" s="385">
        <f t="shared" si="15"/>
        <v>0</v>
      </c>
      <c r="N138" s="388">
        <f t="shared" si="16"/>
        <v>0</v>
      </c>
    </row>
    <row r="139" spans="1:14" ht="13.2" customHeight="1" x14ac:dyDescent="0.3">
      <c r="A139" s="386">
        <f t="shared" si="17"/>
        <v>12</v>
      </c>
      <c r="B139" s="366" t="s">
        <v>469</v>
      </c>
      <c r="C139" s="362"/>
      <c r="D139" s="362"/>
      <c r="E139" s="368" t="s">
        <v>203</v>
      </c>
      <c r="F139" s="538"/>
      <c r="G139" s="538"/>
      <c r="H139" s="535"/>
      <c r="I139" s="372">
        <f t="shared" si="13"/>
        <v>0</v>
      </c>
      <c r="J139" s="369"/>
      <c r="K139" s="372">
        <f>'RAB Pasang'!K139*40%</f>
        <v>11264</v>
      </c>
      <c r="L139" s="387">
        <f t="shared" si="14"/>
        <v>0</v>
      </c>
      <c r="M139" s="385">
        <f t="shared" si="15"/>
        <v>0</v>
      </c>
      <c r="N139" s="388">
        <f t="shared" si="16"/>
        <v>0</v>
      </c>
    </row>
    <row r="140" spans="1:14" ht="13.2" customHeight="1" x14ac:dyDescent="0.3">
      <c r="A140" s="386">
        <f t="shared" si="17"/>
        <v>13</v>
      </c>
      <c r="B140" s="370" t="s">
        <v>470</v>
      </c>
      <c r="C140" s="371"/>
      <c r="D140" s="371"/>
      <c r="E140" s="367" t="s">
        <v>203</v>
      </c>
      <c r="F140" s="527"/>
      <c r="G140" s="527"/>
      <c r="H140" s="527"/>
      <c r="I140" s="372">
        <f t="shared" si="13"/>
        <v>0</v>
      </c>
      <c r="J140" s="372"/>
      <c r="K140" s="372">
        <f>'RAB Pasang'!K140*40%</f>
        <v>11264</v>
      </c>
      <c r="L140" s="387">
        <f t="shared" si="14"/>
        <v>0</v>
      </c>
      <c r="M140" s="385">
        <f t="shared" si="15"/>
        <v>0</v>
      </c>
      <c r="N140" s="388">
        <f t="shared" si="16"/>
        <v>0</v>
      </c>
    </row>
    <row r="141" spans="1:14" ht="13.2" customHeight="1" x14ac:dyDescent="0.3">
      <c r="A141" s="386">
        <f t="shared" si="17"/>
        <v>14</v>
      </c>
      <c r="B141" s="370" t="s">
        <v>471</v>
      </c>
      <c r="C141" s="371"/>
      <c r="D141" s="371"/>
      <c r="E141" s="367" t="s">
        <v>203</v>
      </c>
      <c r="F141" s="527"/>
      <c r="G141" s="527"/>
      <c r="H141" s="527"/>
      <c r="I141" s="372">
        <f t="shared" si="13"/>
        <v>0</v>
      </c>
      <c r="J141" s="372"/>
      <c r="K141" s="372">
        <f>'RAB Pasang'!K141*40%</f>
        <v>11264</v>
      </c>
      <c r="L141" s="387">
        <f t="shared" si="14"/>
        <v>0</v>
      </c>
      <c r="M141" s="385">
        <f t="shared" si="15"/>
        <v>0</v>
      </c>
      <c r="N141" s="388">
        <f t="shared" si="16"/>
        <v>0</v>
      </c>
    </row>
    <row r="142" spans="1:14" ht="13.2" customHeight="1" x14ac:dyDescent="0.3">
      <c r="A142" s="386">
        <f t="shared" si="17"/>
        <v>15</v>
      </c>
      <c r="B142" s="370" t="s">
        <v>472</v>
      </c>
      <c r="C142" s="371"/>
      <c r="D142" s="371"/>
      <c r="E142" s="367" t="s">
        <v>203</v>
      </c>
      <c r="F142" s="527"/>
      <c r="G142" s="527"/>
      <c r="H142" s="527"/>
      <c r="I142" s="372">
        <f t="shared" si="13"/>
        <v>0</v>
      </c>
      <c r="J142" s="372"/>
      <c r="K142" s="372">
        <f>'RAB Pasang'!K142*40%</f>
        <v>11264</v>
      </c>
      <c r="L142" s="387">
        <f t="shared" si="14"/>
        <v>0</v>
      </c>
      <c r="M142" s="385">
        <f t="shared" si="15"/>
        <v>0</v>
      </c>
      <c r="N142" s="388">
        <f t="shared" si="16"/>
        <v>0</v>
      </c>
    </row>
    <row r="143" spans="1:14" ht="13.2" customHeight="1" x14ac:dyDescent="0.3">
      <c r="A143" s="386">
        <f t="shared" si="17"/>
        <v>16</v>
      </c>
      <c r="B143" s="370" t="s">
        <v>473</v>
      </c>
      <c r="C143" s="371"/>
      <c r="D143" s="371"/>
      <c r="E143" s="367" t="s">
        <v>203</v>
      </c>
      <c r="F143" s="527"/>
      <c r="G143" s="527"/>
      <c r="H143" s="527"/>
      <c r="I143" s="372">
        <f t="shared" si="13"/>
        <v>0</v>
      </c>
      <c r="J143" s="372"/>
      <c r="K143" s="372">
        <f>'RAB Pasang'!K143*40%</f>
        <v>11264</v>
      </c>
      <c r="L143" s="387">
        <f t="shared" si="14"/>
        <v>0</v>
      </c>
      <c r="M143" s="385">
        <f t="shared" si="15"/>
        <v>0</v>
      </c>
      <c r="N143" s="388">
        <f t="shared" si="16"/>
        <v>0</v>
      </c>
    </row>
    <row r="144" spans="1:14" ht="13.2" customHeight="1" x14ac:dyDescent="0.3">
      <c r="A144" s="386">
        <f t="shared" si="17"/>
        <v>17</v>
      </c>
      <c r="B144" s="370" t="s">
        <v>474</v>
      </c>
      <c r="C144" s="371"/>
      <c r="D144" s="371"/>
      <c r="E144" s="367" t="s">
        <v>203</v>
      </c>
      <c r="F144" s="527"/>
      <c r="G144" s="527"/>
      <c r="H144" s="527"/>
      <c r="I144" s="372">
        <f t="shared" si="13"/>
        <v>0</v>
      </c>
      <c r="J144" s="372"/>
      <c r="K144" s="372">
        <f>'RAB Pasang'!K144*40%</f>
        <v>11264</v>
      </c>
      <c r="L144" s="387">
        <f t="shared" si="14"/>
        <v>0</v>
      </c>
      <c r="M144" s="385">
        <f t="shared" si="15"/>
        <v>0</v>
      </c>
      <c r="N144" s="388">
        <f t="shared" si="16"/>
        <v>0</v>
      </c>
    </row>
    <row r="145" spans="1:14" ht="13.2" customHeight="1" x14ac:dyDescent="0.3">
      <c r="A145" s="386">
        <f t="shared" si="17"/>
        <v>18</v>
      </c>
      <c r="B145" s="370" t="s">
        <v>475</v>
      </c>
      <c r="C145" s="371"/>
      <c r="D145" s="371"/>
      <c r="E145" s="367" t="s">
        <v>203</v>
      </c>
      <c r="F145" s="527"/>
      <c r="G145" s="527"/>
      <c r="H145" s="527"/>
      <c r="I145" s="372">
        <f t="shared" si="13"/>
        <v>0</v>
      </c>
      <c r="J145" s="372"/>
      <c r="K145" s="372">
        <f>'RAB Pasang'!K145*40%</f>
        <v>11264</v>
      </c>
      <c r="L145" s="387">
        <f t="shared" si="14"/>
        <v>0</v>
      </c>
      <c r="M145" s="385">
        <f t="shared" si="15"/>
        <v>0</v>
      </c>
      <c r="N145" s="388">
        <f t="shared" si="16"/>
        <v>0</v>
      </c>
    </row>
    <row r="146" spans="1:14" ht="13.2" customHeight="1" x14ac:dyDescent="0.3">
      <c r="A146" s="386">
        <f t="shared" si="17"/>
        <v>19</v>
      </c>
      <c r="B146" s="370" t="s">
        <v>476</v>
      </c>
      <c r="C146" s="371"/>
      <c r="D146" s="371"/>
      <c r="E146" s="367" t="s">
        <v>203</v>
      </c>
      <c r="F146" s="527"/>
      <c r="G146" s="527"/>
      <c r="H146" s="527"/>
      <c r="I146" s="372">
        <f t="shared" si="13"/>
        <v>0</v>
      </c>
      <c r="J146" s="372"/>
      <c r="K146" s="372">
        <f>'RAB Pasang'!K146*40%</f>
        <v>11264</v>
      </c>
      <c r="L146" s="387">
        <f t="shared" si="14"/>
        <v>0</v>
      </c>
      <c r="M146" s="385">
        <f t="shared" si="15"/>
        <v>0</v>
      </c>
      <c r="N146" s="388">
        <f t="shared" si="16"/>
        <v>0</v>
      </c>
    </row>
    <row r="147" spans="1:14" ht="13.2" customHeight="1" x14ac:dyDescent="0.3">
      <c r="A147" s="386">
        <f t="shared" si="17"/>
        <v>20</v>
      </c>
      <c r="B147" s="370" t="s">
        <v>477</v>
      </c>
      <c r="C147" s="371"/>
      <c r="D147" s="371"/>
      <c r="E147" s="367" t="s">
        <v>203</v>
      </c>
      <c r="F147" s="527"/>
      <c r="G147" s="527"/>
      <c r="H147" s="527"/>
      <c r="I147" s="372">
        <f t="shared" si="13"/>
        <v>0</v>
      </c>
      <c r="J147" s="372"/>
      <c r="K147" s="372">
        <f>'RAB Pasang'!K147*40%</f>
        <v>11264</v>
      </c>
      <c r="L147" s="387">
        <f t="shared" si="14"/>
        <v>0</v>
      </c>
      <c r="M147" s="385">
        <f t="shared" si="15"/>
        <v>0</v>
      </c>
      <c r="N147" s="388">
        <f t="shared" si="16"/>
        <v>0</v>
      </c>
    </row>
    <row r="148" spans="1:14" ht="13.2" customHeight="1" x14ac:dyDescent="0.3">
      <c r="A148" s="386">
        <f t="shared" si="17"/>
        <v>21</v>
      </c>
      <c r="B148" s="370" t="s">
        <v>478</v>
      </c>
      <c r="C148" s="371"/>
      <c r="D148" s="371"/>
      <c r="E148" s="367" t="s">
        <v>203</v>
      </c>
      <c r="F148" s="527"/>
      <c r="G148" s="527"/>
      <c r="H148" s="527"/>
      <c r="I148" s="372">
        <f t="shared" si="13"/>
        <v>0</v>
      </c>
      <c r="J148" s="372"/>
      <c r="K148" s="372">
        <f>'RAB Pasang'!K148*40%</f>
        <v>11264</v>
      </c>
      <c r="L148" s="387">
        <f t="shared" si="14"/>
        <v>0</v>
      </c>
      <c r="M148" s="385">
        <f t="shared" si="15"/>
        <v>0</v>
      </c>
      <c r="N148" s="388">
        <f t="shared" si="16"/>
        <v>0</v>
      </c>
    </row>
    <row r="149" spans="1:14" ht="13.2" customHeight="1" x14ac:dyDescent="0.3">
      <c r="A149" s="386">
        <f t="shared" si="17"/>
        <v>22</v>
      </c>
      <c r="B149" s="370" t="s">
        <v>1916</v>
      </c>
      <c r="C149" s="371"/>
      <c r="D149" s="371"/>
      <c r="E149" s="367" t="s">
        <v>203</v>
      </c>
      <c r="F149" s="527"/>
      <c r="G149" s="527"/>
      <c r="H149" s="539"/>
      <c r="I149" s="372">
        <f t="shared" si="13"/>
        <v>0</v>
      </c>
      <c r="J149" s="372"/>
      <c r="K149" s="372">
        <f>'RAB Pasang'!K149*40%</f>
        <v>13144</v>
      </c>
      <c r="L149" s="387">
        <f t="shared" si="14"/>
        <v>0</v>
      </c>
      <c r="M149" s="385">
        <f t="shared" si="15"/>
        <v>0</v>
      </c>
      <c r="N149" s="388">
        <f t="shared" si="16"/>
        <v>0</v>
      </c>
    </row>
    <row r="150" spans="1:14" ht="13.2" customHeight="1" x14ac:dyDescent="0.3">
      <c r="A150" s="386">
        <f t="shared" si="17"/>
        <v>23</v>
      </c>
      <c r="B150" s="370" t="s">
        <v>1917</v>
      </c>
      <c r="C150" s="371"/>
      <c r="D150" s="371"/>
      <c r="E150" s="367" t="s">
        <v>203</v>
      </c>
      <c r="F150" s="527"/>
      <c r="G150" s="527"/>
      <c r="H150" s="539"/>
      <c r="I150" s="372">
        <f t="shared" si="13"/>
        <v>0</v>
      </c>
      <c r="J150" s="372"/>
      <c r="K150" s="372">
        <f>'RAB Pasang'!K150*40%</f>
        <v>13144</v>
      </c>
      <c r="L150" s="387">
        <f t="shared" si="14"/>
        <v>0</v>
      </c>
      <c r="M150" s="385">
        <f t="shared" si="15"/>
        <v>0</v>
      </c>
      <c r="N150" s="388">
        <f t="shared" si="16"/>
        <v>0</v>
      </c>
    </row>
    <row r="151" spans="1:14" ht="13.2" customHeight="1" x14ac:dyDescent="0.3">
      <c r="A151" s="386">
        <f t="shared" si="17"/>
        <v>24</v>
      </c>
      <c r="B151" s="370" t="s">
        <v>1918</v>
      </c>
      <c r="C151" s="371"/>
      <c r="D151" s="371"/>
      <c r="E151" s="367" t="s">
        <v>203</v>
      </c>
      <c r="F151" s="527"/>
      <c r="G151" s="527"/>
      <c r="H151" s="539"/>
      <c r="I151" s="372">
        <f t="shared" si="13"/>
        <v>0</v>
      </c>
      <c r="J151" s="372"/>
      <c r="K151" s="372">
        <f>'RAB Pasang'!K151*40%</f>
        <v>13144</v>
      </c>
      <c r="L151" s="387">
        <f t="shared" si="14"/>
        <v>0</v>
      </c>
      <c r="M151" s="385">
        <f t="shared" si="15"/>
        <v>0</v>
      </c>
      <c r="N151" s="388">
        <f t="shared" si="16"/>
        <v>0</v>
      </c>
    </row>
    <row r="152" spans="1:14" ht="13.2" customHeight="1" x14ac:dyDescent="0.3">
      <c r="A152" s="386">
        <f t="shared" si="17"/>
        <v>25</v>
      </c>
      <c r="B152" s="370" t="s">
        <v>489</v>
      </c>
      <c r="C152" s="371"/>
      <c r="D152" s="371"/>
      <c r="E152" s="367" t="s">
        <v>203</v>
      </c>
      <c r="F152" s="527"/>
      <c r="G152" s="527"/>
      <c r="H152" s="539"/>
      <c r="I152" s="372">
        <f t="shared" si="13"/>
        <v>0</v>
      </c>
      <c r="J152" s="372"/>
      <c r="K152" s="372">
        <f>'RAB Pasang'!K152*40%</f>
        <v>11264</v>
      </c>
      <c r="L152" s="387">
        <f t="shared" si="14"/>
        <v>0</v>
      </c>
      <c r="M152" s="385">
        <f t="shared" si="15"/>
        <v>0</v>
      </c>
      <c r="N152" s="388">
        <f t="shared" si="16"/>
        <v>0</v>
      </c>
    </row>
    <row r="153" spans="1:14" ht="13.2" customHeight="1" x14ac:dyDescent="0.3">
      <c r="A153" s="386">
        <f t="shared" si="17"/>
        <v>26</v>
      </c>
      <c r="B153" s="370" t="s">
        <v>490</v>
      </c>
      <c r="C153" s="371"/>
      <c r="D153" s="371"/>
      <c r="E153" s="367" t="s">
        <v>203</v>
      </c>
      <c r="F153" s="527"/>
      <c r="G153" s="527"/>
      <c r="H153" s="539"/>
      <c r="I153" s="372">
        <f t="shared" si="13"/>
        <v>0</v>
      </c>
      <c r="J153" s="372"/>
      <c r="K153" s="372">
        <f>'RAB Pasang'!K153*40%</f>
        <v>11264</v>
      </c>
      <c r="L153" s="387">
        <f t="shared" si="14"/>
        <v>0</v>
      </c>
      <c r="M153" s="385">
        <f t="shared" si="15"/>
        <v>0</v>
      </c>
      <c r="N153" s="388">
        <f t="shared" si="16"/>
        <v>0</v>
      </c>
    </row>
    <row r="154" spans="1:14" ht="13.2" customHeight="1" x14ac:dyDescent="0.3">
      <c r="A154" s="386">
        <f t="shared" si="17"/>
        <v>27</v>
      </c>
      <c r="B154" s="370" t="s">
        <v>491</v>
      </c>
      <c r="C154" s="371"/>
      <c r="D154" s="371"/>
      <c r="E154" s="367" t="s">
        <v>203</v>
      </c>
      <c r="F154" s="527"/>
      <c r="G154" s="527"/>
      <c r="H154" s="539"/>
      <c r="I154" s="372">
        <f t="shared" si="13"/>
        <v>0</v>
      </c>
      <c r="J154" s="372"/>
      <c r="K154" s="372">
        <f>'RAB Pasang'!K154*40%</f>
        <v>11264</v>
      </c>
      <c r="L154" s="387">
        <f t="shared" si="14"/>
        <v>0</v>
      </c>
      <c r="M154" s="385">
        <f t="shared" si="15"/>
        <v>0</v>
      </c>
      <c r="N154" s="388">
        <f t="shared" si="16"/>
        <v>0</v>
      </c>
    </row>
    <row r="155" spans="1:14" ht="13.2" customHeight="1" x14ac:dyDescent="0.3">
      <c r="A155" s="386">
        <f t="shared" si="17"/>
        <v>28</v>
      </c>
      <c r="B155" s="370" t="s">
        <v>492</v>
      </c>
      <c r="C155" s="371"/>
      <c r="D155" s="371"/>
      <c r="E155" s="367" t="s">
        <v>203</v>
      </c>
      <c r="F155" s="527"/>
      <c r="G155" s="527"/>
      <c r="H155" s="539"/>
      <c r="I155" s="372">
        <f t="shared" si="13"/>
        <v>0</v>
      </c>
      <c r="J155" s="372"/>
      <c r="K155" s="372">
        <f>'RAB Pasang'!K155*40%</f>
        <v>11264</v>
      </c>
      <c r="L155" s="387">
        <f t="shared" si="14"/>
        <v>0</v>
      </c>
      <c r="M155" s="385">
        <f t="shared" si="15"/>
        <v>0</v>
      </c>
      <c r="N155" s="388">
        <f t="shared" si="16"/>
        <v>0</v>
      </c>
    </row>
    <row r="156" spans="1:14" ht="13.2" customHeight="1" x14ac:dyDescent="0.3">
      <c r="A156" s="386">
        <f t="shared" si="17"/>
        <v>29</v>
      </c>
      <c r="B156" s="370" t="s">
        <v>493</v>
      </c>
      <c r="C156" s="371"/>
      <c r="D156" s="371"/>
      <c r="E156" s="367" t="s">
        <v>203</v>
      </c>
      <c r="F156" s="527"/>
      <c r="G156" s="527"/>
      <c r="H156" s="539"/>
      <c r="I156" s="372">
        <f t="shared" si="13"/>
        <v>0</v>
      </c>
      <c r="J156" s="372"/>
      <c r="K156" s="372">
        <f>'RAB Pasang'!K156*40%</f>
        <v>11264</v>
      </c>
      <c r="L156" s="387">
        <f t="shared" si="14"/>
        <v>0</v>
      </c>
      <c r="M156" s="385">
        <f t="shared" si="15"/>
        <v>0</v>
      </c>
      <c r="N156" s="388">
        <f t="shared" si="16"/>
        <v>0</v>
      </c>
    </row>
    <row r="157" spans="1:14" ht="13.2" customHeight="1" x14ac:dyDescent="0.3">
      <c r="A157" s="386">
        <f t="shared" si="17"/>
        <v>30</v>
      </c>
      <c r="B157" s="370" t="s">
        <v>494</v>
      </c>
      <c r="C157" s="371"/>
      <c r="D157" s="371"/>
      <c r="E157" s="367" t="s">
        <v>203</v>
      </c>
      <c r="F157" s="527"/>
      <c r="G157" s="527"/>
      <c r="H157" s="539"/>
      <c r="I157" s="372">
        <f t="shared" si="13"/>
        <v>0</v>
      </c>
      <c r="J157" s="372"/>
      <c r="K157" s="372">
        <f>'RAB Pasang'!K157*40%</f>
        <v>11264</v>
      </c>
      <c r="L157" s="387">
        <f t="shared" si="14"/>
        <v>0</v>
      </c>
      <c r="M157" s="385">
        <f t="shared" si="15"/>
        <v>0</v>
      </c>
      <c r="N157" s="388">
        <f t="shared" si="16"/>
        <v>0</v>
      </c>
    </row>
    <row r="158" spans="1:14" ht="13.2" customHeight="1" x14ac:dyDescent="0.3">
      <c r="A158" s="386">
        <f t="shared" si="17"/>
        <v>31</v>
      </c>
      <c r="B158" s="370" t="s">
        <v>497</v>
      </c>
      <c r="C158" s="371"/>
      <c r="D158" s="371"/>
      <c r="E158" s="367" t="s">
        <v>203</v>
      </c>
      <c r="F158" s="527"/>
      <c r="G158" s="539"/>
      <c r="H158" s="527"/>
      <c r="I158" s="372">
        <f t="shared" si="13"/>
        <v>0</v>
      </c>
      <c r="J158" s="372"/>
      <c r="K158" s="372">
        <f>'RAB Pasang'!K158*40%</f>
        <v>11264</v>
      </c>
      <c r="L158" s="387">
        <f t="shared" si="14"/>
        <v>0</v>
      </c>
      <c r="M158" s="385">
        <f t="shared" si="15"/>
        <v>0</v>
      </c>
      <c r="N158" s="388">
        <f t="shared" si="16"/>
        <v>0</v>
      </c>
    </row>
    <row r="159" spans="1:14" ht="13.2" customHeight="1" x14ac:dyDescent="0.3">
      <c r="A159" s="386">
        <f t="shared" si="17"/>
        <v>32</v>
      </c>
      <c r="B159" s="370" t="s">
        <v>498</v>
      </c>
      <c r="C159" s="371"/>
      <c r="D159" s="371"/>
      <c r="E159" s="367" t="s">
        <v>203</v>
      </c>
      <c r="F159" s="527"/>
      <c r="G159" s="539"/>
      <c r="H159" s="527"/>
      <c r="I159" s="372">
        <f t="shared" si="13"/>
        <v>0</v>
      </c>
      <c r="J159" s="372"/>
      <c r="K159" s="372">
        <f>'RAB Pasang'!K159*40%</f>
        <v>11264</v>
      </c>
      <c r="L159" s="387">
        <f t="shared" si="14"/>
        <v>0</v>
      </c>
      <c r="M159" s="385">
        <f t="shared" si="15"/>
        <v>0</v>
      </c>
      <c r="N159" s="388">
        <f t="shared" si="16"/>
        <v>0</v>
      </c>
    </row>
    <row r="160" spans="1:14" ht="13.2" customHeight="1" x14ac:dyDescent="0.3">
      <c r="A160" s="386">
        <f t="shared" si="17"/>
        <v>33</v>
      </c>
      <c r="B160" s="370" t="s">
        <v>499</v>
      </c>
      <c r="C160" s="371"/>
      <c r="D160" s="371"/>
      <c r="E160" s="367" t="s">
        <v>203</v>
      </c>
      <c r="F160" s="527"/>
      <c r="G160" s="539"/>
      <c r="H160" s="527"/>
      <c r="I160" s="372">
        <f t="shared" si="13"/>
        <v>0</v>
      </c>
      <c r="J160" s="372"/>
      <c r="K160" s="372">
        <f>'RAB Pasang'!K160*40%</f>
        <v>11264</v>
      </c>
      <c r="L160" s="387">
        <f t="shared" si="14"/>
        <v>0</v>
      </c>
      <c r="M160" s="385">
        <f t="shared" si="15"/>
        <v>0</v>
      </c>
      <c r="N160" s="388">
        <f t="shared" si="16"/>
        <v>0</v>
      </c>
    </row>
    <row r="161" spans="1:14" ht="13.2" customHeight="1" x14ac:dyDescent="0.3">
      <c r="A161" s="386">
        <f t="shared" si="17"/>
        <v>34</v>
      </c>
      <c r="B161" s="370" t="s">
        <v>500</v>
      </c>
      <c r="C161" s="371"/>
      <c r="D161" s="371"/>
      <c r="E161" s="367" t="s">
        <v>203</v>
      </c>
      <c r="F161" s="527"/>
      <c r="G161" s="539"/>
      <c r="H161" s="527"/>
      <c r="I161" s="372">
        <f t="shared" si="13"/>
        <v>0</v>
      </c>
      <c r="J161" s="372"/>
      <c r="K161" s="372">
        <f>'RAB Pasang'!K161*40%</f>
        <v>11264</v>
      </c>
      <c r="L161" s="387">
        <f t="shared" si="14"/>
        <v>0</v>
      </c>
      <c r="M161" s="385">
        <f t="shared" si="15"/>
        <v>0</v>
      </c>
      <c r="N161" s="388">
        <f t="shared" si="16"/>
        <v>0</v>
      </c>
    </row>
    <row r="162" spans="1:14" ht="13.2" customHeight="1" x14ac:dyDescent="0.3">
      <c r="A162" s="386">
        <f t="shared" si="17"/>
        <v>35</v>
      </c>
      <c r="B162" s="370" t="s">
        <v>501</v>
      </c>
      <c r="C162" s="371"/>
      <c r="D162" s="371"/>
      <c r="E162" s="367" t="s">
        <v>203</v>
      </c>
      <c r="F162" s="527"/>
      <c r="G162" s="539"/>
      <c r="H162" s="527"/>
      <c r="I162" s="372">
        <f t="shared" si="13"/>
        <v>0</v>
      </c>
      <c r="J162" s="372"/>
      <c r="K162" s="372">
        <f>'RAB Pasang'!K162*40%</f>
        <v>11264</v>
      </c>
      <c r="L162" s="387">
        <f t="shared" si="14"/>
        <v>0</v>
      </c>
      <c r="M162" s="385">
        <f t="shared" si="15"/>
        <v>0</v>
      </c>
      <c r="N162" s="388">
        <f t="shared" si="16"/>
        <v>0</v>
      </c>
    </row>
    <row r="163" spans="1:14" ht="13.2" customHeight="1" x14ac:dyDescent="0.3">
      <c r="A163" s="386">
        <f t="shared" si="17"/>
        <v>36</v>
      </c>
      <c r="B163" s="370" t="s">
        <v>502</v>
      </c>
      <c r="C163" s="371"/>
      <c r="D163" s="371"/>
      <c r="E163" s="367" t="s">
        <v>203</v>
      </c>
      <c r="F163" s="527"/>
      <c r="G163" s="539"/>
      <c r="H163" s="527"/>
      <c r="I163" s="372">
        <f t="shared" si="13"/>
        <v>0</v>
      </c>
      <c r="J163" s="372"/>
      <c r="K163" s="372">
        <f>'RAB Pasang'!K163*40%</f>
        <v>11264</v>
      </c>
      <c r="L163" s="387">
        <f t="shared" si="14"/>
        <v>0</v>
      </c>
      <c r="M163" s="385">
        <f t="shared" si="15"/>
        <v>0</v>
      </c>
      <c r="N163" s="388">
        <f t="shared" si="16"/>
        <v>0</v>
      </c>
    </row>
    <row r="164" spans="1:14" ht="13.2" customHeight="1" x14ac:dyDescent="0.3">
      <c r="A164" s="386">
        <f t="shared" si="17"/>
        <v>37</v>
      </c>
      <c r="B164" s="370" t="s">
        <v>503</v>
      </c>
      <c r="C164" s="371"/>
      <c r="D164" s="371"/>
      <c r="E164" s="367" t="s">
        <v>203</v>
      </c>
      <c r="F164" s="527"/>
      <c r="G164" s="539"/>
      <c r="H164" s="527"/>
      <c r="I164" s="372">
        <f t="shared" si="13"/>
        <v>0</v>
      </c>
      <c r="J164" s="372"/>
      <c r="K164" s="372">
        <f>'RAB Pasang'!K164*40%</f>
        <v>11264</v>
      </c>
      <c r="L164" s="387">
        <f t="shared" si="14"/>
        <v>0</v>
      </c>
      <c r="M164" s="385">
        <f t="shared" si="15"/>
        <v>0</v>
      </c>
      <c r="N164" s="388">
        <f t="shared" si="16"/>
        <v>0</v>
      </c>
    </row>
    <row r="165" spans="1:14" ht="13.2" customHeight="1" x14ac:dyDescent="0.3">
      <c r="A165" s="386">
        <f t="shared" si="17"/>
        <v>38</v>
      </c>
      <c r="B165" s="370" t="s">
        <v>506</v>
      </c>
      <c r="C165" s="371"/>
      <c r="D165" s="371"/>
      <c r="E165" s="367" t="s">
        <v>203</v>
      </c>
      <c r="F165" s="527"/>
      <c r="G165" s="539"/>
      <c r="H165" s="527"/>
      <c r="I165" s="372">
        <f t="shared" si="13"/>
        <v>0</v>
      </c>
      <c r="J165" s="372"/>
      <c r="K165" s="372">
        <f>'RAB Pasang'!K165*40%</f>
        <v>11264</v>
      </c>
      <c r="L165" s="387">
        <f t="shared" si="14"/>
        <v>0</v>
      </c>
      <c r="M165" s="385">
        <f t="shared" si="15"/>
        <v>0</v>
      </c>
      <c r="N165" s="388">
        <f t="shared" si="16"/>
        <v>0</v>
      </c>
    </row>
    <row r="166" spans="1:14" ht="13.2" customHeight="1" x14ac:dyDescent="0.3">
      <c r="A166" s="386">
        <f t="shared" si="17"/>
        <v>39</v>
      </c>
      <c r="B166" s="370" t="s">
        <v>507</v>
      </c>
      <c r="C166" s="371"/>
      <c r="D166" s="371"/>
      <c r="E166" s="367" t="s">
        <v>203</v>
      </c>
      <c r="F166" s="527"/>
      <c r="G166" s="539"/>
      <c r="H166" s="527"/>
      <c r="I166" s="372">
        <f t="shared" si="13"/>
        <v>0</v>
      </c>
      <c r="J166" s="372"/>
      <c r="K166" s="372">
        <f>'RAB Pasang'!K166*40%</f>
        <v>11264</v>
      </c>
      <c r="L166" s="387">
        <f t="shared" si="14"/>
        <v>0</v>
      </c>
      <c r="M166" s="385">
        <f t="shared" si="15"/>
        <v>0</v>
      </c>
      <c r="N166" s="388">
        <f t="shared" si="16"/>
        <v>0</v>
      </c>
    </row>
    <row r="167" spans="1:14" ht="13.2" customHeight="1" x14ac:dyDescent="0.3">
      <c r="A167" s="386">
        <f t="shared" si="17"/>
        <v>40</v>
      </c>
      <c r="B167" s="370" t="s">
        <v>508</v>
      </c>
      <c r="C167" s="371"/>
      <c r="D167" s="371"/>
      <c r="E167" s="367" t="s">
        <v>203</v>
      </c>
      <c r="F167" s="527"/>
      <c r="G167" s="539"/>
      <c r="H167" s="527"/>
      <c r="I167" s="372">
        <f t="shared" si="13"/>
        <v>0</v>
      </c>
      <c r="J167" s="372"/>
      <c r="K167" s="372">
        <f>'RAB Pasang'!K167*40%</f>
        <v>11264</v>
      </c>
      <c r="L167" s="387">
        <f t="shared" si="14"/>
        <v>0</v>
      </c>
      <c r="M167" s="385">
        <f t="shared" si="15"/>
        <v>0</v>
      </c>
      <c r="N167" s="388">
        <f t="shared" si="16"/>
        <v>0</v>
      </c>
    </row>
    <row r="168" spans="1:14" ht="13.2" customHeight="1" x14ac:dyDescent="0.3">
      <c r="A168" s="386">
        <f t="shared" si="17"/>
        <v>41</v>
      </c>
      <c r="B168" s="370" t="s">
        <v>509</v>
      </c>
      <c r="C168" s="371"/>
      <c r="D168" s="371"/>
      <c r="E168" s="367" t="s">
        <v>203</v>
      </c>
      <c r="F168" s="527"/>
      <c r="G168" s="539"/>
      <c r="H168" s="527"/>
      <c r="I168" s="372">
        <f t="shared" si="13"/>
        <v>0</v>
      </c>
      <c r="J168" s="372"/>
      <c r="K168" s="372">
        <f>'RAB Pasang'!K168*40%</f>
        <v>11264</v>
      </c>
      <c r="L168" s="387">
        <f t="shared" si="14"/>
        <v>0</v>
      </c>
      <c r="M168" s="385">
        <f t="shared" si="15"/>
        <v>0</v>
      </c>
      <c r="N168" s="388">
        <f t="shared" si="16"/>
        <v>0</v>
      </c>
    </row>
    <row r="169" spans="1:14" ht="13.2" customHeight="1" x14ac:dyDescent="0.3">
      <c r="A169" s="386">
        <f t="shared" si="17"/>
        <v>42</v>
      </c>
      <c r="B169" s="370" t="s">
        <v>510</v>
      </c>
      <c r="C169" s="371"/>
      <c r="D169" s="371"/>
      <c r="E169" s="367" t="s">
        <v>203</v>
      </c>
      <c r="F169" s="527"/>
      <c r="G169" s="539"/>
      <c r="H169" s="527"/>
      <c r="I169" s="372">
        <f t="shared" si="13"/>
        <v>0</v>
      </c>
      <c r="J169" s="372"/>
      <c r="K169" s="372">
        <f>'RAB Pasang'!K169*40%</f>
        <v>11264</v>
      </c>
      <c r="L169" s="387">
        <f t="shared" si="14"/>
        <v>0</v>
      </c>
      <c r="M169" s="385">
        <f t="shared" si="15"/>
        <v>0</v>
      </c>
      <c r="N169" s="388">
        <f t="shared" si="16"/>
        <v>0</v>
      </c>
    </row>
    <row r="170" spans="1:14" ht="13.2" customHeight="1" x14ac:dyDescent="0.3">
      <c r="A170" s="386">
        <f t="shared" si="17"/>
        <v>43</v>
      </c>
      <c r="B170" s="370" t="s">
        <v>511</v>
      </c>
      <c r="C170" s="371"/>
      <c r="D170" s="371"/>
      <c r="E170" s="367" t="s">
        <v>203</v>
      </c>
      <c r="F170" s="527"/>
      <c r="G170" s="539"/>
      <c r="H170" s="527"/>
      <c r="I170" s="372">
        <f t="shared" si="13"/>
        <v>0</v>
      </c>
      <c r="J170" s="372"/>
      <c r="K170" s="372">
        <f>'RAB Pasang'!K170*40%</f>
        <v>11264</v>
      </c>
      <c r="L170" s="387">
        <f t="shared" si="14"/>
        <v>0</v>
      </c>
      <c r="M170" s="385">
        <f t="shared" si="15"/>
        <v>0</v>
      </c>
      <c r="N170" s="388">
        <f t="shared" si="16"/>
        <v>0</v>
      </c>
    </row>
    <row r="171" spans="1:14" ht="13.2" customHeight="1" x14ac:dyDescent="0.3">
      <c r="A171" s="386">
        <f t="shared" si="17"/>
        <v>44</v>
      </c>
      <c r="B171" s="370" t="s">
        <v>512</v>
      </c>
      <c r="C171" s="371"/>
      <c r="D171" s="371"/>
      <c r="E171" s="367" t="s">
        <v>203</v>
      </c>
      <c r="F171" s="527"/>
      <c r="G171" s="539"/>
      <c r="H171" s="527"/>
      <c r="I171" s="372">
        <f t="shared" si="13"/>
        <v>0</v>
      </c>
      <c r="J171" s="372"/>
      <c r="K171" s="372">
        <f>'RAB Pasang'!K171*40%</f>
        <v>11264</v>
      </c>
      <c r="L171" s="387">
        <f t="shared" si="14"/>
        <v>0</v>
      </c>
      <c r="M171" s="385">
        <f t="shared" si="15"/>
        <v>0</v>
      </c>
      <c r="N171" s="388">
        <f t="shared" si="16"/>
        <v>0</v>
      </c>
    </row>
    <row r="172" spans="1:14" ht="13.2" customHeight="1" x14ac:dyDescent="0.3">
      <c r="A172" s="386">
        <f t="shared" si="17"/>
        <v>45</v>
      </c>
      <c r="B172" s="370" t="s">
        <v>513</v>
      </c>
      <c r="C172" s="371"/>
      <c r="D172" s="371"/>
      <c r="E172" s="367" t="s">
        <v>203</v>
      </c>
      <c r="F172" s="527"/>
      <c r="G172" s="539"/>
      <c r="H172" s="527"/>
      <c r="I172" s="372">
        <f t="shared" si="13"/>
        <v>0</v>
      </c>
      <c r="J172" s="372"/>
      <c r="K172" s="372">
        <f>'RAB Pasang'!K172*40%</f>
        <v>11264</v>
      </c>
      <c r="L172" s="387">
        <f t="shared" si="14"/>
        <v>0</v>
      </c>
      <c r="M172" s="385">
        <f t="shared" si="15"/>
        <v>0</v>
      </c>
      <c r="N172" s="388">
        <f t="shared" si="16"/>
        <v>0</v>
      </c>
    </row>
    <row r="173" spans="1:14" ht="13.2" customHeight="1" x14ac:dyDescent="0.3">
      <c r="A173" s="386">
        <f t="shared" si="17"/>
        <v>46</v>
      </c>
      <c r="B173" s="370" t="s">
        <v>514</v>
      </c>
      <c r="C173" s="371"/>
      <c r="D173" s="371"/>
      <c r="E173" s="367" t="s">
        <v>203</v>
      </c>
      <c r="F173" s="527"/>
      <c r="G173" s="539"/>
      <c r="H173" s="527"/>
      <c r="I173" s="372">
        <f t="shared" si="13"/>
        <v>0</v>
      </c>
      <c r="J173" s="372"/>
      <c r="K173" s="372">
        <f>'RAB Pasang'!K173*40%</f>
        <v>11264</v>
      </c>
      <c r="L173" s="387">
        <f t="shared" si="14"/>
        <v>0</v>
      </c>
      <c r="M173" s="385">
        <f t="shared" si="15"/>
        <v>0</v>
      </c>
      <c r="N173" s="388">
        <f t="shared" si="16"/>
        <v>0</v>
      </c>
    </row>
    <row r="174" spans="1:14" ht="13.2" customHeight="1" x14ac:dyDescent="0.3">
      <c r="A174" s="386">
        <f t="shared" si="17"/>
        <v>47</v>
      </c>
      <c r="B174" s="370" t="s">
        <v>515</v>
      </c>
      <c r="C174" s="371"/>
      <c r="D174" s="371"/>
      <c r="E174" s="367" t="s">
        <v>203</v>
      </c>
      <c r="F174" s="527"/>
      <c r="G174" s="539"/>
      <c r="H174" s="527"/>
      <c r="I174" s="372">
        <f t="shared" si="13"/>
        <v>0</v>
      </c>
      <c r="J174" s="372"/>
      <c r="K174" s="372">
        <f>'RAB Pasang'!K174*40%</f>
        <v>11264</v>
      </c>
      <c r="L174" s="387">
        <f t="shared" si="14"/>
        <v>0</v>
      </c>
      <c r="M174" s="385">
        <f t="shared" si="15"/>
        <v>0</v>
      </c>
      <c r="N174" s="388">
        <f t="shared" si="16"/>
        <v>0</v>
      </c>
    </row>
    <row r="175" spans="1:14" ht="13.2" customHeight="1" x14ac:dyDescent="0.3">
      <c r="A175" s="386">
        <f t="shared" si="17"/>
        <v>48</v>
      </c>
      <c r="B175" s="370" t="s">
        <v>516</v>
      </c>
      <c r="C175" s="371"/>
      <c r="D175" s="371"/>
      <c r="E175" s="367" t="s">
        <v>203</v>
      </c>
      <c r="F175" s="527"/>
      <c r="G175" s="539"/>
      <c r="H175" s="527"/>
      <c r="I175" s="372">
        <f t="shared" si="13"/>
        <v>0</v>
      </c>
      <c r="J175" s="372"/>
      <c r="K175" s="372">
        <f>'RAB Pasang'!K175*40%</f>
        <v>11264</v>
      </c>
      <c r="L175" s="387">
        <f t="shared" si="14"/>
        <v>0</v>
      </c>
      <c r="M175" s="385">
        <f t="shared" si="15"/>
        <v>0</v>
      </c>
      <c r="N175" s="388">
        <f t="shared" si="16"/>
        <v>0</v>
      </c>
    </row>
    <row r="176" spans="1:14" ht="13.2" customHeight="1" x14ac:dyDescent="0.3">
      <c r="A176" s="386">
        <f t="shared" si="17"/>
        <v>49</v>
      </c>
      <c r="B176" s="370" t="s">
        <v>542</v>
      </c>
      <c r="C176" s="371"/>
      <c r="D176" s="371"/>
      <c r="E176" s="367" t="s">
        <v>203</v>
      </c>
      <c r="F176" s="527"/>
      <c r="G176" s="527"/>
      <c r="H176" s="527"/>
      <c r="I176" s="372">
        <f t="shared" si="13"/>
        <v>0</v>
      </c>
      <c r="J176" s="372"/>
      <c r="K176" s="372">
        <f>'RAB Pasang'!K176*40%</f>
        <v>6572</v>
      </c>
      <c r="L176" s="387">
        <f t="shared" si="14"/>
        <v>0</v>
      </c>
      <c r="M176" s="385">
        <f t="shared" si="15"/>
        <v>0</v>
      </c>
      <c r="N176" s="388">
        <f t="shared" si="16"/>
        <v>0</v>
      </c>
    </row>
    <row r="177" spans="1:14" ht="13.2" customHeight="1" x14ac:dyDescent="0.3">
      <c r="A177" s="386">
        <f t="shared" si="17"/>
        <v>50</v>
      </c>
      <c r="B177" s="370" t="s">
        <v>543</v>
      </c>
      <c r="C177" s="371"/>
      <c r="D177" s="371"/>
      <c r="E177" s="367" t="s">
        <v>203</v>
      </c>
      <c r="F177" s="527"/>
      <c r="G177" s="527"/>
      <c r="H177" s="527"/>
      <c r="I177" s="372">
        <f t="shared" si="13"/>
        <v>0</v>
      </c>
      <c r="J177" s="372"/>
      <c r="K177" s="372">
        <f>'RAB Pasang'!K177*40%</f>
        <v>6572</v>
      </c>
      <c r="L177" s="387">
        <f t="shared" si="14"/>
        <v>0</v>
      </c>
      <c r="M177" s="385">
        <f t="shared" si="15"/>
        <v>0</v>
      </c>
      <c r="N177" s="388">
        <f t="shared" si="16"/>
        <v>0</v>
      </c>
    </row>
    <row r="178" spans="1:14" ht="13.2" customHeight="1" x14ac:dyDescent="0.3">
      <c r="A178" s="386">
        <f t="shared" si="17"/>
        <v>51</v>
      </c>
      <c r="B178" s="370" t="s">
        <v>544</v>
      </c>
      <c r="C178" s="371"/>
      <c r="D178" s="371"/>
      <c r="E178" s="367" t="s">
        <v>203</v>
      </c>
      <c r="F178" s="527"/>
      <c r="G178" s="527"/>
      <c r="H178" s="527"/>
      <c r="I178" s="372">
        <f t="shared" si="13"/>
        <v>0</v>
      </c>
      <c r="J178" s="372"/>
      <c r="K178" s="372">
        <f>'RAB Pasang'!K178*40%</f>
        <v>6572</v>
      </c>
      <c r="L178" s="387">
        <f t="shared" si="14"/>
        <v>0</v>
      </c>
      <c r="M178" s="385">
        <f t="shared" si="15"/>
        <v>0</v>
      </c>
      <c r="N178" s="388">
        <f t="shared" si="16"/>
        <v>0</v>
      </c>
    </row>
    <row r="179" spans="1:14" ht="13.2" customHeight="1" x14ac:dyDescent="0.3">
      <c r="A179" s="386">
        <f t="shared" si="17"/>
        <v>52</v>
      </c>
      <c r="B179" s="370" t="s">
        <v>545</v>
      </c>
      <c r="C179" s="371"/>
      <c r="D179" s="371"/>
      <c r="E179" s="367" t="s">
        <v>203</v>
      </c>
      <c r="F179" s="527"/>
      <c r="G179" s="527"/>
      <c r="H179" s="527"/>
      <c r="I179" s="372">
        <f t="shared" si="13"/>
        <v>0</v>
      </c>
      <c r="J179" s="372"/>
      <c r="K179" s="372">
        <f>'RAB Pasang'!K179*40%</f>
        <v>6572</v>
      </c>
      <c r="L179" s="387">
        <f t="shared" si="14"/>
        <v>0</v>
      </c>
      <c r="M179" s="385">
        <f t="shared" si="15"/>
        <v>0</v>
      </c>
      <c r="N179" s="388">
        <f t="shared" si="16"/>
        <v>0</v>
      </c>
    </row>
    <row r="180" spans="1:14" ht="13.2" customHeight="1" x14ac:dyDescent="0.3">
      <c r="A180" s="386">
        <f t="shared" si="17"/>
        <v>53</v>
      </c>
      <c r="B180" s="370" t="s">
        <v>546</v>
      </c>
      <c r="C180" s="371"/>
      <c r="D180" s="371"/>
      <c r="E180" s="367" t="s">
        <v>203</v>
      </c>
      <c r="F180" s="527"/>
      <c r="G180" s="527"/>
      <c r="H180" s="527"/>
      <c r="I180" s="372">
        <f t="shared" si="13"/>
        <v>0</v>
      </c>
      <c r="J180" s="372"/>
      <c r="K180" s="372">
        <f>'RAB Pasang'!K180*40%</f>
        <v>6572</v>
      </c>
      <c r="L180" s="387">
        <f t="shared" si="14"/>
        <v>0</v>
      </c>
      <c r="M180" s="385">
        <f t="shared" si="15"/>
        <v>0</v>
      </c>
      <c r="N180" s="388">
        <f t="shared" si="16"/>
        <v>0</v>
      </c>
    </row>
    <row r="181" spans="1:14" ht="13.2" customHeight="1" x14ac:dyDescent="0.3">
      <c r="A181" s="386">
        <f t="shared" si="17"/>
        <v>54</v>
      </c>
      <c r="B181" s="370" t="s">
        <v>547</v>
      </c>
      <c r="C181" s="371"/>
      <c r="D181" s="371"/>
      <c r="E181" s="367" t="s">
        <v>203</v>
      </c>
      <c r="F181" s="527"/>
      <c r="G181" s="527"/>
      <c r="H181" s="527"/>
      <c r="I181" s="372">
        <f t="shared" si="13"/>
        <v>0</v>
      </c>
      <c r="J181" s="372"/>
      <c r="K181" s="372">
        <f>'RAB Pasang'!K181*40%</f>
        <v>6572</v>
      </c>
      <c r="L181" s="387">
        <f t="shared" si="14"/>
        <v>0</v>
      </c>
      <c r="M181" s="385">
        <f t="shared" si="15"/>
        <v>0</v>
      </c>
      <c r="N181" s="388">
        <f t="shared" si="16"/>
        <v>0</v>
      </c>
    </row>
    <row r="182" spans="1:14" ht="13.2" customHeight="1" x14ac:dyDescent="0.3">
      <c r="A182" s="386">
        <f t="shared" si="17"/>
        <v>55</v>
      </c>
      <c r="B182" s="370" t="s">
        <v>548</v>
      </c>
      <c r="C182" s="371"/>
      <c r="D182" s="371"/>
      <c r="E182" s="367" t="s">
        <v>203</v>
      </c>
      <c r="F182" s="527"/>
      <c r="G182" s="527"/>
      <c r="H182" s="527"/>
      <c r="I182" s="372">
        <f t="shared" si="13"/>
        <v>0</v>
      </c>
      <c r="J182" s="372"/>
      <c r="K182" s="372">
        <f>'RAB Pasang'!K182*40%</f>
        <v>6572</v>
      </c>
      <c r="L182" s="387">
        <f t="shared" si="14"/>
        <v>0</v>
      </c>
      <c r="M182" s="385">
        <f t="shared" si="15"/>
        <v>0</v>
      </c>
      <c r="N182" s="388">
        <f t="shared" si="16"/>
        <v>0</v>
      </c>
    </row>
    <row r="183" spans="1:14" ht="13.2" customHeight="1" x14ac:dyDescent="0.3">
      <c r="A183" s="386">
        <f t="shared" si="17"/>
        <v>56</v>
      </c>
      <c r="B183" s="370" t="s">
        <v>549</v>
      </c>
      <c r="C183" s="371"/>
      <c r="D183" s="371"/>
      <c r="E183" s="367" t="s">
        <v>203</v>
      </c>
      <c r="F183" s="527"/>
      <c r="G183" s="527"/>
      <c r="H183" s="527"/>
      <c r="I183" s="372">
        <f t="shared" si="13"/>
        <v>0</v>
      </c>
      <c r="J183" s="372"/>
      <c r="K183" s="372">
        <f>'RAB Pasang'!K183*40%</f>
        <v>6572</v>
      </c>
      <c r="L183" s="387">
        <f t="shared" si="14"/>
        <v>0</v>
      </c>
      <c r="M183" s="385">
        <f t="shared" si="15"/>
        <v>0</v>
      </c>
      <c r="N183" s="388">
        <f t="shared" si="16"/>
        <v>0</v>
      </c>
    </row>
    <row r="184" spans="1:14" ht="13.2" customHeight="1" x14ac:dyDescent="0.3">
      <c r="A184" s="386">
        <f t="shared" si="17"/>
        <v>57</v>
      </c>
      <c r="B184" s="370" t="s">
        <v>550</v>
      </c>
      <c r="C184" s="371"/>
      <c r="D184" s="371"/>
      <c r="E184" s="367" t="s">
        <v>203</v>
      </c>
      <c r="F184" s="527"/>
      <c r="G184" s="527"/>
      <c r="H184" s="527"/>
      <c r="I184" s="372">
        <f t="shared" si="13"/>
        <v>0</v>
      </c>
      <c r="J184" s="372"/>
      <c r="K184" s="372">
        <f>'RAB Pasang'!K184*40%</f>
        <v>6572</v>
      </c>
      <c r="L184" s="387">
        <f t="shared" si="14"/>
        <v>0</v>
      </c>
      <c r="M184" s="385">
        <f t="shared" si="15"/>
        <v>0</v>
      </c>
      <c r="N184" s="388">
        <f t="shared" si="16"/>
        <v>0</v>
      </c>
    </row>
    <row r="185" spans="1:14" ht="13.2" customHeight="1" x14ac:dyDescent="0.3">
      <c r="A185" s="386">
        <f t="shared" si="17"/>
        <v>58</v>
      </c>
      <c r="B185" s="370" t="s">
        <v>551</v>
      </c>
      <c r="C185" s="371"/>
      <c r="D185" s="371"/>
      <c r="E185" s="367" t="s">
        <v>203</v>
      </c>
      <c r="F185" s="527"/>
      <c r="G185" s="527"/>
      <c r="H185" s="527"/>
      <c r="I185" s="372">
        <f t="shared" si="13"/>
        <v>0</v>
      </c>
      <c r="J185" s="372"/>
      <c r="K185" s="372">
        <f>'RAB Pasang'!K185*40%</f>
        <v>6572</v>
      </c>
      <c r="L185" s="387">
        <f t="shared" si="14"/>
        <v>0</v>
      </c>
      <c r="M185" s="385">
        <f t="shared" si="15"/>
        <v>0</v>
      </c>
      <c r="N185" s="388">
        <f t="shared" si="16"/>
        <v>0</v>
      </c>
    </row>
    <row r="186" spans="1:14" ht="13.2" customHeight="1" x14ac:dyDescent="0.3">
      <c r="A186" s="386">
        <f t="shared" si="17"/>
        <v>59</v>
      </c>
      <c r="B186" s="370" t="s">
        <v>552</v>
      </c>
      <c r="C186" s="371"/>
      <c r="D186" s="371"/>
      <c r="E186" s="367" t="s">
        <v>203</v>
      </c>
      <c r="F186" s="527"/>
      <c r="G186" s="527"/>
      <c r="H186" s="527"/>
      <c r="I186" s="372">
        <f t="shared" si="13"/>
        <v>0</v>
      </c>
      <c r="J186" s="372"/>
      <c r="K186" s="372">
        <f>'RAB Pasang'!K186*40%</f>
        <v>6572</v>
      </c>
      <c r="L186" s="387">
        <f t="shared" si="14"/>
        <v>0</v>
      </c>
      <c r="M186" s="385">
        <f t="shared" si="15"/>
        <v>0</v>
      </c>
      <c r="N186" s="388">
        <f t="shared" si="16"/>
        <v>0</v>
      </c>
    </row>
    <row r="187" spans="1:14" ht="13.2" customHeight="1" x14ac:dyDescent="0.3">
      <c r="A187" s="386">
        <f t="shared" si="17"/>
        <v>60</v>
      </c>
      <c r="B187" s="370" t="s">
        <v>553</v>
      </c>
      <c r="C187" s="371"/>
      <c r="D187" s="371"/>
      <c r="E187" s="367" t="s">
        <v>203</v>
      </c>
      <c r="F187" s="527"/>
      <c r="G187" s="527"/>
      <c r="H187" s="527"/>
      <c r="I187" s="372">
        <f t="shared" si="13"/>
        <v>0</v>
      </c>
      <c r="J187" s="372"/>
      <c r="K187" s="372">
        <f>'RAB Pasang'!K187*40%</f>
        <v>6572</v>
      </c>
      <c r="L187" s="387">
        <f t="shared" si="14"/>
        <v>0</v>
      </c>
      <c r="M187" s="385">
        <f t="shared" si="15"/>
        <v>0</v>
      </c>
      <c r="N187" s="388">
        <f t="shared" si="16"/>
        <v>0</v>
      </c>
    </row>
    <row r="188" spans="1:14" ht="13.2" customHeight="1" x14ac:dyDescent="0.3">
      <c r="A188" s="386">
        <f t="shared" si="17"/>
        <v>61</v>
      </c>
      <c r="B188" s="370" t="s">
        <v>554</v>
      </c>
      <c r="C188" s="371"/>
      <c r="D188" s="371"/>
      <c r="E188" s="367" t="s">
        <v>203</v>
      </c>
      <c r="F188" s="527"/>
      <c r="G188" s="527"/>
      <c r="H188" s="527"/>
      <c r="I188" s="372">
        <f t="shared" si="13"/>
        <v>0</v>
      </c>
      <c r="J188" s="372"/>
      <c r="K188" s="372">
        <f>'RAB Pasang'!K188*40%</f>
        <v>6572</v>
      </c>
      <c r="L188" s="387">
        <f t="shared" si="14"/>
        <v>0</v>
      </c>
      <c r="M188" s="385">
        <f t="shared" si="15"/>
        <v>0</v>
      </c>
      <c r="N188" s="388">
        <f t="shared" si="16"/>
        <v>0</v>
      </c>
    </row>
    <row r="189" spans="1:14" ht="13.2" customHeight="1" x14ac:dyDescent="0.3">
      <c r="A189" s="386">
        <f t="shared" si="17"/>
        <v>62</v>
      </c>
      <c r="B189" s="370" t="s">
        <v>555</v>
      </c>
      <c r="C189" s="371"/>
      <c r="D189" s="371"/>
      <c r="E189" s="367" t="s">
        <v>203</v>
      </c>
      <c r="F189" s="527"/>
      <c r="G189" s="527"/>
      <c r="H189" s="527"/>
      <c r="I189" s="372">
        <f t="shared" si="13"/>
        <v>0</v>
      </c>
      <c r="J189" s="372"/>
      <c r="K189" s="372">
        <f>'RAB Pasang'!K189*40%</f>
        <v>6572</v>
      </c>
      <c r="L189" s="387">
        <f t="shared" si="14"/>
        <v>0</v>
      </c>
      <c r="M189" s="385">
        <f t="shared" si="15"/>
        <v>0</v>
      </c>
      <c r="N189" s="388">
        <f t="shared" si="16"/>
        <v>0</v>
      </c>
    </row>
    <row r="190" spans="1:14" ht="13.2" customHeight="1" x14ac:dyDescent="0.3">
      <c r="A190" s="386">
        <f t="shared" si="17"/>
        <v>63</v>
      </c>
      <c r="B190" s="370" t="s">
        <v>558</v>
      </c>
      <c r="C190" s="371"/>
      <c r="D190" s="371"/>
      <c r="E190" s="367" t="s">
        <v>203</v>
      </c>
      <c r="F190" s="527"/>
      <c r="G190" s="527"/>
      <c r="H190" s="527"/>
      <c r="I190" s="372">
        <f t="shared" si="13"/>
        <v>0</v>
      </c>
      <c r="J190" s="372"/>
      <c r="K190" s="372">
        <f>'RAB Pasang'!K190*40%</f>
        <v>6572</v>
      </c>
      <c r="L190" s="387">
        <f t="shared" si="14"/>
        <v>0</v>
      </c>
      <c r="M190" s="385">
        <f t="shared" si="15"/>
        <v>0</v>
      </c>
      <c r="N190" s="388">
        <f t="shared" si="16"/>
        <v>0</v>
      </c>
    </row>
    <row r="191" spans="1:14" ht="13.2" customHeight="1" x14ac:dyDescent="0.3">
      <c r="A191" s="386">
        <f t="shared" si="17"/>
        <v>64</v>
      </c>
      <c r="B191" s="370" t="s">
        <v>559</v>
      </c>
      <c r="C191" s="371"/>
      <c r="D191" s="371"/>
      <c r="E191" s="367" t="s">
        <v>203</v>
      </c>
      <c r="F191" s="527"/>
      <c r="G191" s="527"/>
      <c r="H191" s="527"/>
      <c r="I191" s="372">
        <f t="shared" si="13"/>
        <v>0</v>
      </c>
      <c r="J191" s="372"/>
      <c r="K191" s="372">
        <f>'RAB Pasang'!K191*40%</f>
        <v>6572</v>
      </c>
      <c r="L191" s="387">
        <f t="shared" si="14"/>
        <v>0</v>
      </c>
      <c r="M191" s="385">
        <f t="shared" si="15"/>
        <v>0</v>
      </c>
      <c r="N191" s="388">
        <f t="shared" si="16"/>
        <v>0</v>
      </c>
    </row>
    <row r="192" spans="1:14" ht="13.2" customHeight="1" x14ac:dyDescent="0.3">
      <c r="A192" s="386">
        <f t="shared" si="17"/>
        <v>65</v>
      </c>
      <c r="B192" s="370" t="s">
        <v>560</v>
      </c>
      <c r="C192" s="371"/>
      <c r="D192" s="371"/>
      <c r="E192" s="367" t="s">
        <v>203</v>
      </c>
      <c r="F192" s="527"/>
      <c r="G192" s="527"/>
      <c r="H192" s="527"/>
      <c r="I192" s="372">
        <f t="shared" ref="I192:I255" si="18">SUM(F192:H192)</f>
        <v>0</v>
      </c>
      <c r="J192" s="372"/>
      <c r="K192" s="372">
        <f>'RAB Pasang'!K192*40%</f>
        <v>6572</v>
      </c>
      <c r="L192" s="387">
        <f t="shared" ref="L192:L255" si="19">J192*I192</f>
        <v>0</v>
      </c>
      <c r="M192" s="385">
        <f t="shared" ref="M192:M255" si="20">K192*I192</f>
        <v>0</v>
      </c>
      <c r="N192" s="388">
        <f t="shared" ref="N192:N255" si="21">SUM(L192:M192)</f>
        <v>0</v>
      </c>
    </row>
    <row r="193" spans="1:14" ht="13.2" customHeight="1" x14ac:dyDescent="0.3">
      <c r="A193" s="386">
        <f t="shared" si="17"/>
        <v>66</v>
      </c>
      <c r="B193" s="370" t="s">
        <v>561</v>
      </c>
      <c r="C193" s="371"/>
      <c r="D193" s="371"/>
      <c r="E193" s="367" t="s">
        <v>203</v>
      </c>
      <c r="F193" s="527"/>
      <c r="G193" s="527"/>
      <c r="H193" s="527"/>
      <c r="I193" s="372">
        <f t="shared" si="18"/>
        <v>0</v>
      </c>
      <c r="J193" s="372"/>
      <c r="K193" s="372">
        <f>'RAB Pasang'!K193*40%</f>
        <v>6572</v>
      </c>
      <c r="L193" s="387">
        <f t="shared" si="19"/>
        <v>0</v>
      </c>
      <c r="M193" s="385">
        <f t="shared" si="20"/>
        <v>0</v>
      </c>
      <c r="N193" s="388">
        <f t="shared" si="21"/>
        <v>0</v>
      </c>
    </row>
    <row r="194" spans="1:14" ht="13.2" customHeight="1" x14ac:dyDescent="0.3">
      <c r="A194" s="386">
        <f t="shared" ref="A194:A257" si="22">A193+1</f>
        <v>67</v>
      </c>
      <c r="B194" s="370" t="s">
        <v>562</v>
      </c>
      <c r="C194" s="371"/>
      <c r="D194" s="371"/>
      <c r="E194" s="367" t="s">
        <v>203</v>
      </c>
      <c r="F194" s="527"/>
      <c r="G194" s="527"/>
      <c r="H194" s="527"/>
      <c r="I194" s="372">
        <f t="shared" si="18"/>
        <v>0</v>
      </c>
      <c r="J194" s="372"/>
      <c r="K194" s="372">
        <f>'RAB Pasang'!K194*40%</f>
        <v>6572</v>
      </c>
      <c r="L194" s="387">
        <f t="shared" si="19"/>
        <v>0</v>
      </c>
      <c r="M194" s="385">
        <f t="shared" si="20"/>
        <v>0</v>
      </c>
      <c r="N194" s="388">
        <f t="shared" si="21"/>
        <v>0</v>
      </c>
    </row>
    <row r="195" spans="1:14" ht="13.2" customHeight="1" x14ac:dyDescent="0.3">
      <c r="A195" s="386">
        <f t="shared" si="22"/>
        <v>68</v>
      </c>
      <c r="B195" s="370" t="s">
        <v>563</v>
      </c>
      <c r="C195" s="371"/>
      <c r="D195" s="371"/>
      <c r="E195" s="367" t="s">
        <v>203</v>
      </c>
      <c r="F195" s="527"/>
      <c r="G195" s="527"/>
      <c r="H195" s="527"/>
      <c r="I195" s="372">
        <f t="shared" si="18"/>
        <v>0</v>
      </c>
      <c r="J195" s="372"/>
      <c r="K195" s="372">
        <f>'RAB Pasang'!K195*40%</f>
        <v>6572</v>
      </c>
      <c r="L195" s="387">
        <f t="shared" si="19"/>
        <v>0</v>
      </c>
      <c r="M195" s="385">
        <f t="shared" si="20"/>
        <v>0</v>
      </c>
      <c r="N195" s="388">
        <f t="shared" si="21"/>
        <v>0</v>
      </c>
    </row>
    <row r="196" spans="1:14" ht="13.2" customHeight="1" x14ac:dyDescent="0.3">
      <c r="A196" s="386">
        <f t="shared" si="22"/>
        <v>69</v>
      </c>
      <c r="B196" s="370" t="s">
        <v>564</v>
      </c>
      <c r="C196" s="371"/>
      <c r="D196" s="371"/>
      <c r="E196" s="367" t="s">
        <v>203</v>
      </c>
      <c r="F196" s="527"/>
      <c r="G196" s="527"/>
      <c r="H196" s="527"/>
      <c r="I196" s="372">
        <f t="shared" si="18"/>
        <v>0</v>
      </c>
      <c r="J196" s="372"/>
      <c r="K196" s="372">
        <f>'RAB Pasang'!K196*40%</f>
        <v>6572</v>
      </c>
      <c r="L196" s="387">
        <f t="shared" si="19"/>
        <v>0</v>
      </c>
      <c r="M196" s="385">
        <f t="shared" si="20"/>
        <v>0</v>
      </c>
      <c r="N196" s="388">
        <f t="shared" si="21"/>
        <v>0</v>
      </c>
    </row>
    <row r="197" spans="1:14" ht="13.2" customHeight="1" x14ac:dyDescent="0.3">
      <c r="A197" s="386">
        <f t="shared" si="22"/>
        <v>70</v>
      </c>
      <c r="B197" s="370" t="s">
        <v>565</v>
      </c>
      <c r="C197" s="371"/>
      <c r="D197" s="371"/>
      <c r="E197" s="367" t="s">
        <v>203</v>
      </c>
      <c r="F197" s="527"/>
      <c r="G197" s="527"/>
      <c r="H197" s="527"/>
      <c r="I197" s="372">
        <f t="shared" si="18"/>
        <v>0</v>
      </c>
      <c r="J197" s="372"/>
      <c r="K197" s="372">
        <f>'RAB Pasang'!K197*40%</f>
        <v>6572</v>
      </c>
      <c r="L197" s="387">
        <f t="shared" si="19"/>
        <v>0</v>
      </c>
      <c r="M197" s="385">
        <f t="shared" si="20"/>
        <v>0</v>
      </c>
      <c r="N197" s="388">
        <f t="shared" si="21"/>
        <v>0</v>
      </c>
    </row>
    <row r="198" spans="1:14" ht="13.2" customHeight="1" x14ac:dyDescent="0.3">
      <c r="A198" s="386">
        <f t="shared" si="22"/>
        <v>71</v>
      </c>
      <c r="B198" s="370" t="s">
        <v>566</v>
      </c>
      <c r="C198" s="371"/>
      <c r="D198" s="371"/>
      <c r="E198" s="367" t="s">
        <v>203</v>
      </c>
      <c r="F198" s="527"/>
      <c r="G198" s="527"/>
      <c r="H198" s="527"/>
      <c r="I198" s="372">
        <f t="shared" si="18"/>
        <v>0</v>
      </c>
      <c r="J198" s="372"/>
      <c r="K198" s="372">
        <f>'RAB Pasang'!K198*40%</f>
        <v>6572</v>
      </c>
      <c r="L198" s="387">
        <f t="shared" si="19"/>
        <v>0</v>
      </c>
      <c r="M198" s="385">
        <f t="shared" si="20"/>
        <v>0</v>
      </c>
      <c r="N198" s="388">
        <f t="shared" si="21"/>
        <v>0</v>
      </c>
    </row>
    <row r="199" spans="1:14" ht="13.2" customHeight="1" x14ac:dyDescent="0.3">
      <c r="A199" s="386">
        <f t="shared" si="22"/>
        <v>72</v>
      </c>
      <c r="B199" s="370" t="s">
        <v>567</v>
      </c>
      <c r="C199" s="371"/>
      <c r="D199" s="371"/>
      <c r="E199" s="367" t="s">
        <v>203</v>
      </c>
      <c r="F199" s="527"/>
      <c r="G199" s="527"/>
      <c r="H199" s="527"/>
      <c r="I199" s="372">
        <f t="shared" si="18"/>
        <v>0</v>
      </c>
      <c r="J199" s="372"/>
      <c r="K199" s="372">
        <f>'RAB Pasang'!K199*40%</f>
        <v>6572</v>
      </c>
      <c r="L199" s="387">
        <f t="shared" si="19"/>
        <v>0</v>
      </c>
      <c r="M199" s="385">
        <f t="shared" si="20"/>
        <v>0</v>
      </c>
      <c r="N199" s="388">
        <f t="shared" si="21"/>
        <v>0</v>
      </c>
    </row>
    <row r="200" spans="1:14" ht="13.2" customHeight="1" x14ac:dyDescent="0.3">
      <c r="A200" s="386">
        <f t="shared" si="22"/>
        <v>73</v>
      </c>
      <c r="B200" s="370" t="s">
        <v>568</v>
      </c>
      <c r="C200" s="371"/>
      <c r="D200" s="371"/>
      <c r="E200" s="367" t="s">
        <v>203</v>
      </c>
      <c r="F200" s="527"/>
      <c r="G200" s="527"/>
      <c r="H200" s="527"/>
      <c r="I200" s="372">
        <f t="shared" si="18"/>
        <v>0</v>
      </c>
      <c r="J200" s="372"/>
      <c r="K200" s="372">
        <f>'RAB Pasang'!K200*40%</f>
        <v>6572</v>
      </c>
      <c r="L200" s="387">
        <f t="shared" si="19"/>
        <v>0</v>
      </c>
      <c r="M200" s="385">
        <f t="shared" si="20"/>
        <v>0</v>
      </c>
      <c r="N200" s="388">
        <f t="shared" si="21"/>
        <v>0</v>
      </c>
    </row>
    <row r="201" spans="1:14" ht="13.2" customHeight="1" x14ac:dyDescent="0.3">
      <c r="A201" s="386">
        <f t="shared" si="22"/>
        <v>74</v>
      </c>
      <c r="B201" s="370" t="s">
        <v>570</v>
      </c>
      <c r="C201" s="371"/>
      <c r="D201" s="371"/>
      <c r="E201" s="367" t="s">
        <v>203</v>
      </c>
      <c r="F201" s="527"/>
      <c r="G201" s="527"/>
      <c r="H201" s="527"/>
      <c r="I201" s="372">
        <f t="shared" si="18"/>
        <v>0</v>
      </c>
      <c r="J201" s="372"/>
      <c r="K201" s="372">
        <f>'RAB Pasang'!K201*40%</f>
        <v>6572</v>
      </c>
      <c r="L201" s="387">
        <f t="shared" si="19"/>
        <v>0</v>
      </c>
      <c r="M201" s="385">
        <f t="shared" si="20"/>
        <v>0</v>
      </c>
      <c r="N201" s="388">
        <f t="shared" si="21"/>
        <v>0</v>
      </c>
    </row>
    <row r="202" spans="1:14" ht="13.2" customHeight="1" x14ac:dyDescent="0.3">
      <c r="A202" s="386">
        <f t="shared" si="22"/>
        <v>75</v>
      </c>
      <c r="B202" s="370" t="s">
        <v>571</v>
      </c>
      <c r="C202" s="371"/>
      <c r="D202" s="371"/>
      <c r="E202" s="367" t="s">
        <v>203</v>
      </c>
      <c r="F202" s="527"/>
      <c r="G202" s="527"/>
      <c r="H202" s="527"/>
      <c r="I202" s="372">
        <f t="shared" si="18"/>
        <v>0</v>
      </c>
      <c r="J202" s="372"/>
      <c r="K202" s="372">
        <f>'RAB Pasang'!K202*40%</f>
        <v>6572</v>
      </c>
      <c r="L202" s="387">
        <f t="shared" si="19"/>
        <v>0</v>
      </c>
      <c r="M202" s="385">
        <f t="shared" si="20"/>
        <v>0</v>
      </c>
      <c r="N202" s="388">
        <f t="shared" si="21"/>
        <v>0</v>
      </c>
    </row>
    <row r="203" spans="1:14" ht="13.2" customHeight="1" x14ac:dyDescent="0.3">
      <c r="A203" s="386">
        <f t="shared" si="22"/>
        <v>76</v>
      </c>
      <c r="B203" s="370" t="s">
        <v>572</v>
      </c>
      <c r="C203" s="371"/>
      <c r="D203" s="371"/>
      <c r="E203" s="367" t="s">
        <v>203</v>
      </c>
      <c r="F203" s="527"/>
      <c r="G203" s="527"/>
      <c r="H203" s="527"/>
      <c r="I203" s="372">
        <f t="shared" si="18"/>
        <v>0</v>
      </c>
      <c r="J203" s="372"/>
      <c r="K203" s="372">
        <f>'RAB Pasang'!K203*40%</f>
        <v>6572</v>
      </c>
      <c r="L203" s="387">
        <f t="shared" si="19"/>
        <v>0</v>
      </c>
      <c r="M203" s="385">
        <f t="shared" si="20"/>
        <v>0</v>
      </c>
      <c r="N203" s="388">
        <f t="shared" si="21"/>
        <v>0</v>
      </c>
    </row>
    <row r="204" spans="1:14" ht="13.2" customHeight="1" x14ac:dyDescent="0.3">
      <c r="A204" s="386">
        <f t="shared" si="22"/>
        <v>77</v>
      </c>
      <c r="B204" s="370" t="s">
        <v>573</v>
      </c>
      <c r="C204" s="371"/>
      <c r="D204" s="371"/>
      <c r="E204" s="367" t="s">
        <v>203</v>
      </c>
      <c r="F204" s="527"/>
      <c r="G204" s="527"/>
      <c r="H204" s="527"/>
      <c r="I204" s="372">
        <f t="shared" si="18"/>
        <v>0</v>
      </c>
      <c r="J204" s="372"/>
      <c r="K204" s="372">
        <f>'RAB Pasang'!K204*40%</f>
        <v>6572</v>
      </c>
      <c r="L204" s="387">
        <f t="shared" si="19"/>
        <v>0</v>
      </c>
      <c r="M204" s="385">
        <f t="shared" si="20"/>
        <v>0</v>
      </c>
      <c r="N204" s="388">
        <f t="shared" si="21"/>
        <v>0</v>
      </c>
    </row>
    <row r="205" spans="1:14" ht="13.2" customHeight="1" x14ac:dyDescent="0.3">
      <c r="A205" s="386">
        <f t="shared" si="22"/>
        <v>78</v>
      </c>
      <c r="B205" s="370" t="s">
        <v>574</v>
      </c>
      <c r="C205" s="371"/>
      <c r="D205" s="371"/>
      <c r="E205" s="367" t="s">
        <v>203</v>
      </c>
      <c r="F205" s="527"/>
      <c r="G205" s="527"/>
      <c r="H205" s="527"/>
      <c r="I205" s="372">
        <f t="shared" si="18"/>
        <v>0</v>
      </c>
      <c r="J205" s="372"/>
      <c r="K205" s="372">
        <f>'RAB Pasang'!K205*40%</f>
        <v>6572</v>
      </c>
      <c r="L205" s="387">
        <f t="shared" si="19"/>
        <v>0</v>
      </c>
      <c r="M205" s="385">
        <f t="shared" si="20"/>
        <v>0</v>
      </c>
      <c r="N205" s="388">
        <f t="shared" si="21"/>
        <v>0</v>
      </c>
    </row>
    <row r="206" spans="1:14" ht="13.2" customHeight="1" x14ac:dyDescent="0.3">
      <c r="A206" s="386">
        <f t="shared" si="22"/>
        <v>79</v>
      </c>
      <c r="B206" s="370" t="s">
        <v>575</v>
      </c>
      <c r="C206" s="371"/>
      <c r="D206" s="371"/>
      <c r="E206" s="367" t="s">
        <v>203</v>
      </c>
      <c r="F206" s="527"/>
      <c r="G206" s="527"/>
      <c r="H206" s="527"/>
      <c r="I206" s="372">
        <f t="shared" si="18"/>
        <v>0</v>
      </c>
      <c r="J206" s="372"/>
      <c r="K206" s="372">
        <f>'RAB Pasang'!K206*40%</f>
        <v>6572</v>
      </c>
      <c r="L206" s="387">
        <f t="shared" si="19"/>
        <v>0</v>
      </c>
      <c r="M206" s="385">
        <f t="shared" si="20"/>
        <v>0</v>
      </c>
      <c r="N206" s="388">
        <f t="shared" si="21"/>
        <v>0</v>
      </c>
    </row>
    <row r="207" spans="1:14" ht="13.2" customHeight="1" x14ac:dyDescent="0.3">
      <c r="A207" s="386">
        <f t="shared" si="22"/>
        <v>80</v>
      </c>
      <c r="B207" s="370" t="s">
        <v>576</v>
      </c>
      <c r="C207" s="371"/>
      <c r="D207" s="371"/>
      <c r="E207" s="367" t="s">
        <v>203</v>
      </c>
      <c r="F207" s="527"/>
      <c r="G207" s="527"/>
      <c r="H207" s="527"/>
      <c r="I207" s="372">
        <f t="shared" si="18"/>
        <v>0</v>
      </c>
      <c r="J207" s="372"/>
      <c r="K207" s="372">
        <f>'RAB Pasang'!K207*40%</f>
        <v>6572</v>
      </c>
      <c r="L207" s="387">
        <f t="shared" si="19"/>
        <v>0</v>
      </c>
      <c r="M207" s="385">
        <f t="shared" si="20"/>
        <v>0</v>
      </c>
      <c r="N207" s="388">
        <f t="shared" si="21"/>
        <v>0</v>
      </c>
    </row>
    <row r="208" spans="1:14" ht="13.2" customHeight="1" x14ac:dyDescent="0.3">
      <c r="A208" s="386">
        <f t="shared" si="22"/>
        <v>81</v>
      </c>
      <c r="B208" s="370" t="s">
        <v>577</v>
      </c>
      <c r="C208" s="371"/>
      <c r="D208" s="371"/>
      <c r="E208" s="367" t="s">
        <v>203</v>
      </c>
      <c r="F208" s="527"/>
      <c r="G208" s="527"/>
      <c r="H208" s="527"/>
      <c r="I208" s="372">
        <f t="shared" si="18"/>
        <v>0</v>
      </c>
      <c r="J208" s="372"/>
      <c r="K208" s="372">
        <f>'RAB Pasang'!K208*40%</f>
        <v>6572</v>
      </c>
      <c r="L208" s="387">
        <f t="shared" si="19"/>
        <v>0</v>
      </c>
      <c r="M208" s="385">
        <f t="shared" si="20"/>
        <v>0</v>
      </c>
      <c r="N208" s="388">
        <f t="shared" si="21"/>
        <v>0</v>
      </c>
    </row>
    <row r="209" spans="1:14" ht="13.2" customHeight="1" x14ac:dyDescent="0.3">
      <c r="A209" s="386">
        <f t="shared" si="22"/>
        <v>82</v>
      </c>
      <c r="B209" s="370" t="s">
        <v>578</v>
      </c>
      <c r="C209" s="371"/>
      <c r="D209" s="371"/>
      <c r="E209" s="367" t="s">
        <v>203</v>
      </c>
      <c r="F209" s="527"/>
      <c r="G209" s="527"/>
      <c r="H209" s="527"/>
      <c r="I209" s="372">
        <f t="shared" si="18"/>
        <v>0</v>
      </c>
      <c r="J209" s="372"/>
      <c r="K209" s="372">
        <f>'RAB Pasang'!K209*40%</f>
        <v>6572</v>
      </c>
      <c r="L209" s="387">
        <f t="shared" si="19"/>
        <v>0</v>
      </c>
      <c r="M209" s="385">
        <f t="shared" si="20"/>
        <v>0</v>
      </c>
      <c r="N209" s="388">
        <f t="shared" si="21"/>
        <v>0</v>
      </c>
    </row>
    <row r="210" spans="1:14" ht="13.2" customHeight="1" x14ac:dyDescent="0.3">
      <c r="A210" s="386">
        <f t="shared" si="22"/>
        <v>83</v>
      </c>
      <c r="B210" s="370" t="s">
        <v>579</v>
      </c>
      <c r="C210" s="371"/>
      <c r="D210" s="371"/>
      <c r="E210" s="367" t="s">
        <v>203</v>
      </c>
      <c r="F210" s="527"/>
      <c r="G210" s="527"/>
      <c r="H210" s="527"/>
      <c r="I210" s="372">
        <f t="shared" si="18"/>
        <v>0</v>
      </c>
      <c r="J210" s="372"/>
      <c r="K210" s="372">
        <f>'RAB Pasang'!K210*40%</f>
        <v>6572</v>
      </c>
      <c r="L210" s="387">
        <f t="shared" si="19"/>
        <v>0</v>
      </c>
      <c r="M210" s="385">
        <f t="shared" si="20"/>
        <v>0</v>
      </c>
      <c r="N210" s="388">
        <f t="shared" si="21"/>
        <v>0</v>
      </c>
    </row>
    <row r="211" spans="1:14" ht="13.2" customHeight="1" x14ac:dyDescent="0.3">
      <c r="A211" s="386">
        <f t="shared" si="22"/>
        <v>84</v>
      </c>
      <c r="B211" s="370" t="s">
        <v>518</v>
      </c>
      <c r="C211" s="371"/>
      <c r="D211" s="371"/>
      <c r="E211" s="367" t="s">
        <v>203</v>
      </c>
      <c r="F211" s="527"/>
      <c r="G211" s="527"/>
      <c r="H211" s="527"/>
      <c r="I211" s="372">
        <f t="shared" si="18"/>
        <v>0</v>
      </c>
      <c r="J211" s="372"/>
      <c r="K211" s="372">
        <f>'RAB Pasang'!K211*40%</f>
        <v>12320</v>
      </c>
      <c r="L211" s="387">
        <f t="shared" si="19"/>
        <v>0</v>
      </c>
      <c r="M211" s="385">
        <f t="shared" si="20"/>
        <v>0</v>
      </c>
      <c r="N211" s="388">
        <f t="shared" si="21"/>
        <v>0</v>
      </c>
    </row>
    <row r="212" spans="1:14" ht="13.2" customHeight="1" x14ac:dyDescent="0.3">
      <c r="A212" s="386">
        <f t="shared" si="22"/>
        <v>85</v>
      </c>
      <c r="B212" s="370" t="s">
        <v>519</v>
      </c>
      <c r="C212" s="371"/>
      <c r="D212" s="371"/>
      <c r="E212" s="367" t="s">
        <v>203</v>
      </c>
      <c r="F212" s="527"/>
      <c r="G212" s="527"/>
      <c r="H212" s="527"/>
      <c r="I212" s="372">
        <f t="shared" si="18"/>
        <v>0</v>
      </c>
      <c r="J212" s="372"/>
      <c r="K212" s="372">
        <f>'RAB Pasang'!K212*40%</f>
        <v>12320</v>
      </c>
      <c r="L212" s="387">
        <f t="shared" si="19"/>
        <v>0</v>
      </c>
      <c r="M212" s="385">
        <f t="shared" si="20"/>
        <v>0</v>
      </c>
      <c r="N212" s="388">
        <f t="shared" si="21"/>
        <v>0</v>
      </c>
    </row>
    <row r="213" spans="1:14" ht="13.2" customHeight="1" x14ac:dyDescent="0.3">
      <c r="A213" s="386">
        <f t="shared" si="22"/>
        <v>86</v>
      </c>
      <c r="B213" s="370" t="s">
        <v>520</v>
      </c>
      <c r="C213" s="371"/>
      <c r="D213" s="371"/>
      <c r="E213" s="367" t="s">
        <v>203</v>
      </c>
      <c r="F213" s="527"/>
      <c r="G213" s="527"/>
      <c r="H213" s="527"/>
      <c r="I213" s="372">
        <f t="shared" si="18"/>
        <v>0</v>
      </c>
      <c r="J213" s="372"/>
      <c r="K213" s="372">
        <f>'RAB Pasang'!K213*40%</f>
        <v>12320</v>
      </c>
      <c r="L213" s="387">
        <f t="shared" si="19"/>
        <v>0</v>
      </c>
      <c r="M213" s="385">
        <f t="shared" si="20"/>
        <v>0</v>
      </c>
      <c r="N213" s="388">
        <f t="shared" si="21"/>
        <v>0</v>
      </c>
    </row>
    <row r="214" spans="1:14" ht="13.2" customHeight="1" x14ac:dyDescent="0.3">
      <c r="A214" s="386">
        <f t="shared" si="22"/>
        <v>87</v>
      </c>
      <c r="B214" s="370" t="s">
        <v>521</v>
      </c>
      <c r="C214" s="371"/>
      <c r="D214" s="371"/>
      <c r="E214" s="367" t="s">
        <v>203</v>
      </c>
      <c r="F214" s="527"/>
      <c r="G214" s="527"/>
      <c r="H214" s="527"/>
      <c r="I214" s="372">
        <f t="shared" si="18"/>
        <v>0</v>
      </c>
      <c r="J214" s="372"/>
      <c r="K214" s="372">
        <f>'RAB Pasang'!K214*40%</f>
        <v>12320</v>
      </c>
      <c r="L214" s="387">
        <f t="shared" si="19"/>
        <v>0</v>
      </c>
      <c r="M214" s="385">
        <f t="shared" si="20"/>
        <v>0</v>
      </c>
      <c r="N214" s="388">
        <f t="shared" si="21"/>
        <v>0</v>
      </c>
    </row>
    <row r="215" spans="1:14" ht="13.2" customHeight="1" x14ac:dyDescent="0.3">
      <c r="A215" s="386">
        <f t="shared" si="22"/>
        <v>88</v>
      </c>
      <c r="B215" s="370" t="s">
        <v>522</v>
      </c>
      <c r="C215" s="371"/>
      <c r="D215" s="371"/>
      <c r="E215" s="367" t="s">
        <v>203</v>
      </c>
      <c r="F215" s="527"/>
      <c r="G215" s="527"/>
      <c r="H215" s="527"/>
      <c r="I215" s="372">
        <f t="shared" si="18"/>
        <v>0</v>
      </c>
      <c r="J215" s="372"/>
      <c r="K215" s="372">
        <f>'RAB Pasang'!K215*40%</f>
        <v>12320</v>
      </c>
      <c r="L215" s="387">
        <f t="shared" si="19"/>
        <v>0</v>
      </c>
      <c r="M215" s="385">
        <f t="shared" si="20"/>
        <v>0</v>
      </c>
      <c r="N215" s="388">
        <f t="shared" si="21"/>
        <v>0</v>
      </c>
    </row>
    <row r="216" spans="1:14" ht="13.2" customHeight="1" x14ac:dyDescent="0.3">
      <c r="A216" s="386">
        <f t="shared" si="22"/>
        <v>89</v>
      </c>
      <c r="B216" s="370" t="s">
        <v>523</v>
      </c>
      <c r="C216" s="371"/>
      <c r="D216" s="371"/>
      <c r="E216" s="367" t="s">
        <v>203</v>
      </c>
      <c r="F216" s="527"/>
      <c r="G216" s="527"/>
      <c r="H216" s="527"/>
      <c r="I216" s="372">
        <f t="shared" si="18"/>
        <v>0</v>
      </c>
      <c r="J216" s="372"/>
      <c r="K216" s="372">
        <f>'RAB Pasang'!K216*40%</f>
        <v>12320</v>
      </c>
      <c r="L216" s="387">
        <f t="shared" si="19"/>
        <v>0</v>
      </c>
      <c r="M216" s="385">
        <f t="shared" si="20"/>
        <v>0</v>
      </c>
      <c r="N216" s="388">
        <f t="shared" si="21"/>
        <v>0</v>
      </c>
    </row>
    <row r="217" spans="1:14" ht="13.2" customHeight="1" x14ac:dyDescent="0.3">
      <c r="A217" s="386">
        <f t="shared" si="22"/>
        <v>90</v>
      </c>
      <c r="B217" s="370" t="s">
        <v>524</v>
      </c>
      <c r="C217" s="371"/>
      <c r="D217" s="371"/>
      <c r="E217" s="367" t="s">
        <v>203</v>
      </c>
      <c r="F217" s="527"/>
      <c r="G217" s="527"/>
      <c r="H217" s="527"/>
      <c r="I217" s="372">
        <f t="shared" si="18"/>
        <v>0</v>
      </c>
      <c r="J217" s="372"/>
      <c r="K217" s="372">
        <f>'RAB Pasang'!K217*40%</f>
        <v>12320</v>
      </c>
      <c r="L217" s="387">
        <f t="shared" si="19"/>
        <v>0</v>
      </c>
      <c r="M217" s="385">
        <f t="shared" si="20"/>
        <v>0</v>
      </c>
      <c r="N217" s="388">
        <f t="shared" si="21"/>
        <v>0</v>
      </c>
    </row>
    <row r="218" spans="1:14" ht="13.2" customHeight="1" x14ac:dyDescent="0.3">
      <c r="A218" s="386">
        <f t="shared" si="22"/>
        <v>91</v>
      </c>
      <c r="B218" s="370" t="s">
        <v>525</v>
      </c>
      <c r="C218" s="371"/>
      <c r="D218" s="371"/>
      <c r="E218" s="367" t="s">
        <v>203</v>
      </c>
      <c r="F218" s="527"/>
      <c r="G218" s="527"/>
      <c r="H218" s="527"/>
      <c r="I218" s="372">
        <f t="shared" si="18"/>
        <v>0</v>
      </c>
      <c r="J218" s="372"/>
      <c r="K218" s="372">
        <f>'RAB Pasang'!K218*40%</f>
        <v>12320</v>
      </c>
      <c r="L218" s="387">
        <f t="shared" si="19"/>
        <v>0</v>
      </c>
      <c r="M218" s="385">
        <f t="shared" si="20"/>
        <v>0</v>
      </c>
      <c r="N218" s="388">
        <f t="shared" si="21"/>
        <v>0</v>
      </c>
    </row>
    <row r="219" spans="1:14" ht="13.2" customHeight="1" x14ac:dyDescent="0.3">
      <c r="A219" s="386">
        <f t="shared" si="22"/>
        <v>92</v>
      </c>
      <c r="B219" s="370" t="s">
        <v>526</v>
      </c>
      <c r="C219" s="371"/>
      <c r="D219" s="371"/>
      <c r="E219" s="367" t="s">
        <v>203</v>
      </c>
      <c r="F219" s="527"/>
      <c r="G219" s="527"/>
      <c r="H219" s="527"/>
      <c r="I219" s="372">
        <f t="shared" si="18"/>
        <v>0</v>
      </c>
      <c r="J219" s="372"/>
      <c r="K219" s="372">
        <f>'RAB Pasang'!K219*40%</f>
        <v>12320</v>
      </c>
      <c r="L219" s="387">
        <f t="shared" si="19"/>
        <v>0</v>
      </c>
      <c r="M219" s="385">
        <f t="shared" si="20"/>
        <v>0</v>
      </c>
      <c r="N219" s="388">
        <f t="shared" si="21"/>
        <v>0</v>
      </c>
    </row>
    <row r="220" spans="1:14" ht="13.2" customHeight="1" x14ac:dyDescent="0.3">
      <c r="A220" s="386">
        <f t="shared" si="22"/>
        <v>93</v>
      </c>
      <c r="B220" s="370" t="s">
        <v>527</v>
      </c>
      <c r="C220" s="371"/>
      <c r="D220" s="371"/>
      <c r="E220" s="367" t="s">
        <v>203</v>
      </c>
      <c r="F220" s="527"/>
      <c r="G220" s="527"/>
      <c r="H220" s="527"/>
      <c r="I220" s="372">
        <f t="shared" si="18"/>
        <v>0</v>
      </c>
      <c r="J220" s="372"/>
      <c r="K220" s="372">
        <f>'RAB Pasang'!K220*40%</f>
        <v>12320</v>
      </c>
      <c r="L220" s="387">
        <f t="shared" si="19"/>
        <v>0</v>
      </c>
      <c r="M220" s="385">
        <f t="shared" si="20"/>
        <v>0</v>
      </c>
      <c r="N220" s="388">
        <f t="shared" si="21"/>
        <v>0</v>
      </c>
    </row>
    <row r="221" spans="1:14" ht="13.2" customHeight="1" x14ac:dyDescent="0.3">
      <c r="A221" s="386">
        <f t="shared" si="22"/>
        <v>94</v>
      </c>
      <c r="B221" s="370" t="s">
        <v>528</v>
      </c>
      <c r="C221" s="371"/>
      <c r="D221" s="371"/>
      <c r="E221" s="367" t="s">
        <v>203</v>
      </c>
      <c r="F221" s="527"/>
      <c r="G221" s="527"/>
      <c r="H221" s="527"/>
      <c r="I221" s="372">
        <f t="shared" si="18"/>
        <v>0</v>
      </c>
      <c r="J221" s="372"/>
      <c r="K221" s="372">
        <f>'RAB Pasang'!K221*40%</f>
        <v>12320</v>
      </c>
      <c r="L221" s="387">
        <f t="shared" si="19"/>
        <v>0</v>
      </c>
      <c r="M221" s="385">
        <f t="shared" si="20"/>
        <v>0</v>
      </c>
      <c r="N221" s="388">
        <f t="shared" si="21"/>
        <v>0</v>
      </c>
    </row>
    <row r="222" spans="1:14" ht="13.2" customHeight="1" x14ac:dyDescent="0.3">
      <c r="A222" s="386">
        <f t="shared" si="22"/>
        <v>95</v>
      </c>
      <c r="B222" s="370" t="s">
        <v>529</v>
      </c>
      <c r="C222" s="371"/>
      <c r="D222" s="371"/>
      <c r="E222" s="367" t="s">
        <v>203</v>
      </c>
      <c r="F222" s="527"/>
      <c r="G222" s="527"/>
      <c r="H222" s="527"/>
      <c r="I222" s="372">
        <f t="shared" si="18"/>
        <v>0</v>
      </c>
      <c r="J222" s="372"/>
      <c r="K222" s="372">
        <f>'RAB Pasang'!K222*40%</f>
        <v>12320</v>
      </c>
      <c r="L222" s="387">
        <f t="shared" si="19"/>
        <v>0</v>
      </c>
      <c r="M222" s="385">
        <f t="shared" si="20"/>
        <v>0</v>
      </c>
      <c r="N222" s="388">
        <f t="shared" si="21"/>
        <v>0</v>
      </c>
    </row>
    <row r="223" spans="1:14" ht="13.2" customHeight="1" x14ac:dyDescent="0.3">
      <c r="A223" s="386">
        <f t="shared" si="22"/>
        <v>96</v>
      </c>
      <c r="B223" s="370" t="s">
        <v>530</v>
      </c>
      <c r="C223" s="371"/>
      <c r="D223" s="371"/>
      <c r="E223" s="367" t="s">
        <v>203</v>
      </c>
      <c r="F223" s="527"/>
      <c r="G223" s="527"/>
      <c r="H223" s="527"/>
      <c r="I223" s="372">
        <f t="shared" si="18"/>
        <v>0</v>
      </c>
      <c r="J223" s="372"/>
      <c r="K223" s="372">
        <f>'RAB Pasang'!K223*40%</f>
        <v>12320</v>
      </c>
      <c r="L223" s="387">
        <f t="shared" si="19"/>
        <v>0</v>
      </c>
      <c r="M223" s="385">
        <f t="shared" si="20"/>
        <v>0</v>
      </c>
      <c r="N223" s="388">
        <f t="shared" si="21"/>
        <v>0</v>
      </c>
    </row>
    <row r="224" spans="1:14" ht="13.2" customHeight="1" x14ac:dyDescent="0.3">
      <c r="A224" s="386">
        <f t="shared" si="22"/>
        <v>97</v>
      </c>
      <c r="B224" s="370" t="s">
        <v>531</v>
      </c>
      <c r="C224" s="371"/>
      <c r="D224" s="371"/>
      <c r="E224" s="367" t="s">
        <v>203</v>
      </c>
      <c r="F224" s="527"/>
      <c r="G224" s="527"/>
      <c r="H224" s="527"/>
      <c r="I224" s="372">
        <f t="shared" si="18"/>
        <v>0</v>
      </c>
      <c r="J224" s="372"/>
      <c r="K224" s="372">
        <f>'RAB Pasang'!K224*40%</f>
        <v>12320</v>
      </c>
      <c r="L224" s="387">
        <f t="shared" si="19"/>
        <v>0</v>
      </c>
      <c r="M224" s="385">
        <f t="shared" si="20"/>
        <v>0</v>
      </c>
      <c r="N224" s="388">
        <f t="shared" si="21"/>
        <v>0</v>
      </c>
    </row>
    <row r="225" spans="1:14" ht="13.2" customHeight="1" x14ac:dyDescent="0.3">
      <c r="A225" s="386">
        <f t="shared" si="22"/>
        <v>98</v>
      </c>
      <c r="B225" s="370" t="s">
        <v>532</v>
      </c>
      <c r="C225" s="371"/>
      <c r="D225" s="371"/>
      <c r="E225" s="367" t="s">
        <v>203</v>
      </c>
      <c r="F225" s="527"/>
      <c r="G225" s="527"/>
      <c r="H225" s="527"/>
      <c r="I225" s="372">
        <f t="shared" si="18"/>
        <v>0</v>
      </c>
      <c r="J225" s="372"/>
      <c r="K225" s="372">
        <f>'RAB Pasang'!K225*40%</f>
        <v>12320</v>
      </c>
      <c r="L225" s="387">
        <f t="shared" si="19"/>
        <v>0</v>
      </c>
      <c r="M225" s="385">
        <f t="shared" si="20"/>
        <v>0</v>
      </c>
      <c r="N225" s="388">
        <f t="shared" si="21"/>
        <v>0</v>
      </c>
    </row>
    <row r="226" spans="1:14" ht="13.2" customHeight="1" x14ac:dyDescent="0.3">
      <c r="A226" s="386">
        <f t="shared" si="22"/>
        <v>99</v>
      </c>
      <c r="B226" s="370" t="s">
        <v>533</v>
      </c>
      <c r="C226" s="371"/>
      <c r="D226" s="371"/>
      <c r="E226" s="367" t="s">
        <v>203</v>
      </c>
      <c r="F226" s="527"/>
      <c r="G226" s="527"/>
      <c r="H226" s="527"/>
      <c r="I226" s="372">
        <f t="shared" si="18"/>
        <v>0</v>
      </c>
      <c r="J226" s="372"/>
      <c r="K226" s="372">
        <f>'RAB Pasang'!K226*40%</f>
        <v>12320</v>
      </c>
      <c r="L226" s="387">
        <f t="shared" si="19"/>
        <v>0</v>
      </c>
      <c r="M226" s="385">
        <f t="shared" si="20"/>
        <v>0</v>
      </c>
      <c r="N226" s="388">
        <f t="shared" si="21"/>
        <v>0</v>
      </c>
    </row>
    <row r="227" spans="1:14" ht="13.2" customHeight="1" x14ac:dyDescent="0.3">
      <c r="A227" s="386">
        <f t="shared" si="22"/>
        <v>100</v>
      </c>
      <c r="B227" s="370" t="s">
        <v>534</v>
      </c>
      <c r="C227" s="371"/>
      <c r="D227" s="371"/>
      <c r="E227" s="367" t="s">
        <v>203</v>
      </c>
      <c r="F227" s="527"/>
      <c r="G227" s="527"/>
      <c r="H227" s="527"/>
      <c r="I227" s="372">
        <f t="shared" si="18"/>
        <v>0</v>
      </c>
      <c r="J227" s="372"/>
      <c r="K227" s="372">
        <f>'RAB Pasang'!K227*40%</f>
        <v>12320</v>
      </c>
      <c r="L227" s="387">
        <f t="shared" si="19"/>
        <v>0</v>
      </c>
      <c r="M227" s="385">
        <f t="shared" si="20"/>
        <v>0</v>
      </c>
      <c r="N227" s="388">
        <f t="shared" si="21"/>
        <v>0</v>
      </c>
    </row>
    <row r="228" spans="1:14" ht="13.2" customHeight="1" x14ac:dyDescent="0.3">
      <c r="A228" s="386">
        <f t="shared" si="22"/>
        <v>101</v>
      </c>
      <c r="B228" s="370" t="s">
        <v>535</v>
      </c>
      <c r="C228" s="371"/>
      <c r="D228" s="371"/>
      <c r="E228" s="367" t="s">
        <v>203</v>
      </c>
      <c r="F228" s="527"/>
      <c r="G228" s="527"/>
      <c r="H228" s="527"/>
      <c r="I228" s="372">
        <f t="shared" si="18"/>
        <v>0</v>
      </c>
      <c r="J228" s="372"/>
      <c r="K228" s="372">
        <f>'RAB Pasang'!K228*40%</f>
        <v>12320</v>
      </c>
      <c r="L228" s="387">
        <f t="shared" si="19"/>
        <v>0</v>
      </c>
      <c r="M228" s="385">
        <f t="shared" si="20"/>
        <v>0</v>
      </c>
      <c r="N228" s="388">
        <f t="shared" si="21"/>
        <v>0</v>
      </c>
    </row>
    <row r="229" spans="1:14" ht="13.2" customHeight="1" x14ac:dyDescent="0.3">
      <c r="A229" s="386">
        <f t="shared" si="22"/>
        <v>102</v>
      </c>
      <c r="B229" s="370" t="s">
        <v>536</v>
      </c>
      <c r="C229" s="371"/>
      <c r="D229" s="371"/>
      <c r="E229" s="367" t="s">
        <v>203</v>
      </c>
      <c r="F229" s="527"/>
      <c r="G229" s="527"/>
      <c r="H229" s="527"/>
      <c r="I229" s="372">
        <f t="shared" si="18"/>
        <v>0</v>
      </c>
      <c r="J229" s="372"/>
      <c r="K229" s="372">
        <f>'RAB Pasang'!K229*40%</f>
        <v>12320</v>
      </c>
      <c r="L229" s="387">
        <f t="shared" si="19"/>
        <v>0</v>
      </c>
      <c r="M229" s="385">
        <f t="shared" si="20"/>
        <v>0</v>
      </c>
      <c r="N229" s="388">
        <f t="shared" si="21"/>
        <v>0</v>
      </c>
    </row>
    <row r="230" spans="1:14" ht="13.2" customHeight="1" x14ac:dyDescent="0.3">
      <c r="A230" s="386">
        <f t="shared" si="22"/>
        <v>103</v>
      </c>
      <c r="B230" s="370" t="s">
        <v>537</v>
      </c>
      <c r="C230" s="371"/>
      <c r="D230" s="371"/>
      <c r="E230" s="367" t="s">
        <v>203</v>
      </c>
      <c r="F230" s="527"/>
      <c r="G230" s="527"/>
      <c r="H230" s="527"/>
      <c r="I230" s="372">
        <f t="shared" si="18"/>
        <v>0</v>
      </c>
      <c r="J230" s="372"/>
      <c r="K230" s="372">
        <f>'RAB Pasang'!K230*40%</f>
        <v>12320</v>
      </c>
      <c r="L230" s="387">
        <f t="shared" si="19"/>
        <v>0</v>
      </c>
      <c r="M230" s="385">
        <f t="shared" si="20"/>
        <v>0</v>
      </c>
      <c r="N230" s="388">
        <f t="shared" si="21"/>
        <v>0</v>
      </c>
    </row>
    <row r="231" spans="1:14" ht="13.2" customHeight="1" x14ac:dyDescent="0.3">
      <c r="A231" s="386">
        <f t="shared" si="22"/>
        <v>104</v>
      </c>
      <c r="B231" s="370" t="s">
        <v>538</v>
      </c>
      <c r="C231" s="371"/>
      <c r="D231" s="371"/>
      <c r="E231" s="367" t="s">
        <v>203</v>
      </c>
      <c r="F231" s="527"/>
      <c r="G231" s="527"/>
      <c r="H231" s="527"/>
      <c r="I231" s="372">
        <f t="shared" si="18"/>
        <v>0</v>
      </c>
      <c r="J231" s="372"/>
      <c r="K231" s="372">
        <f>'RAB Pasang'!K231*40%</f>
        <v>12320</v>
      </c>
      <c r="L231" s="387">
        <f t="shared" si="19"/>
        <v>0</v>
      </c>
      <c r="M231" s="385">
        <f t="shared" si="20"/>
        <v>0</v>
      </c>
      <c r="N231" s="388">
        <f t="shared" si="21"/>
        <v>0</v>
      </c>
    </row>
    <row r="232" spans="1:14" ht="13.2" customHeight="1" x14ac:dyDescent="0.3">
      <c r="A232" s="386">
        <f t="shared" si="22"/>
        <v>105</v>
      </c>
      <c r="B232" s="370" t="s">
        <v>539</v>
      </c>
      <c r="C232" s="371"/>
      <c r="D232" s="371"/>
      <c r="E232" s="367" t="s">
        <v>203</v>
      </c>
      <c r="F232" s="527"/>
      <c r="G232" s="527"/>
      <c r="H232" s="527"/>
      <c r="I232" s="372">
        <f t="shared" si="18"/>
        <v>0</v>
      </c>
      <c r="J232" s="372"/>
      <c r="K232" s="372">
        <f>'RAB Pasang'!K232*40%</f>
        <v>12320</v>
      </c>
      <c r="L232" s="387">
        <f t="shared" si="19"/>
        <v>0</v>
      </c>
      <c r="M232" s="385">
        <f t="shared" si="20"/>
        <v>0</v>
      </c>
      <c r="N232" s="388">
        <f t="shared" si="21"/>
        <v>0</v>
      </c>
    </row>
    <row r="233" spans="1:14" ht="13.2" customHeight="1" x14ac:dyDescent="0.3">
      <c r="A233" s="386">
        <f t="shared" si="22"/>
        <v>106</v>
      </c>
      <c r="B233" s="370" t="s">
        <v>445</v>
      </c>
      <c r="C233" s="371"/>
      <c r="D233" s="371"/>
      <c r="E233" s="367" t="s">
        <v>203</v>
      </c>
      <c r="F233" s="527"/>
      <c r="G233" s="527"/>
      <c r="H233" s="527"/>
      <c r="I233" s="372">
        <f t="shared" si="18"/>
        <v>0</v>
      </c>
      <c r="J233" s="372"/>
      <c r="K233" s="372">
        <f>'RAB Pasang'!K233*40%</f>
        <v>6572</v>
      </c>
      <c r="L233" s="387">
        <f t="shared" si="19"/>
        <v>0</v>
      </c>
      <c r="M233" s="385">
        <f t="shared" si="20"/>
        <v>0</v>
      </c>
      <c r="N233" s="388">
        <f t="shared" si="21"/>
        <v>0</v>
      </c>
    </row>
    <row r="234" spans="1:14" ht="13.2" customHeight="1" x14ac:dyDescent="0.3">
      <c r="A234" s="386">
        <f t="shared" si="22"/>
        <v>107</v>
      </c>
      <c r="B234" s="370" t="s">
        <v>446</v>
      </c>
      <c r="C234" s="371"/>
      <c r="D234" s="371"/>
      <c r="E234" s="367" t="s">
        <v>203</v>
      </c>
      <c r="F234" s="527"/>
      <c r="G234" s="527"/>
      <c r="H234" s="527"/>
      <c r="I234" s="372">
        <f t="shared" si="18"/>
        <v>0</v>
      </c>
      <c r="J234" s="372"/>
      <c r="K234" s="372">
        <f>'RAB Pasang'!K234*40%</f>
        <v>6572</v>
      </c>
      <c r="L234" s="387">
        <f t="shared" si="19"/>
        <v>0</v>
      </c>
      <c r="M234" s="385">
        <f t="shared" si="20"/>
        <v>0</v>
      </c>
      <c r="N234" s="388">
        <f t="shared" si="21"/>
        <v>0</v>
      </c>
    </row>
    <row r="235" spans="1:14" ht="13.2" customHeight="1" x14ac:dyDescent="0.3">
      <c r="A235" s="386">
        <f t="shared" si="22"/>
        <v>108</v>
      </c>
      <c r="B235" s="370" t="s">
        <v>447</v>
      </c>
      <c r="C235" s="371"/>
      <c r="D235" s="371"/>
      <c r="E235" s="367" t="s">
        <v>203</v>
      </c>
      <c r="F235" s="527"/>
      <c r="G235" s="527"/>
      <c r="H235" s="527"/>
      <c r="I235" s="372">
        <f t="shared" si="18"/>
        <v>0</v>
      </c>
      <c r="J235" s="372"/>
      <c r="K235" s="372">
        <f>'RAB Pasang'!K235*40%</f>
        <v>6572</v>
      </c>
      <c r="L235" s="387">
        <f t="shared" si="19"/>
        <v>0</v>
      </c>
      <c r="M235" s="385">
        <f t="shared" si="20"/>
        <v>0</v>
      </c>
      <c r="N235" s="388">
        <f t="shared" si="21"/>
        <v>0</v>
      </c>
    </row>
    <row r="236" spans="1:14" ht="13.2" customHeight="1" x14ac:dyDescent="0.3">
      <c r="A236" s="386">
        <f t="shared" si="22"/>
        <v>109</v>
      </c>
      <c r="B236" s="370" t="s">
        <v>448</v>
      </c>
      <c r="C236" s="371"/>
      <c r="D236" s="371"/>
      <c r="E236" s="367" t="s">
        <v>203</v>
      </c>
      <c r="F236" s="527"/>
      <c r="G236" s="527"/>
      <c r="H236" s="527"/>
      <c r="I236" s="372">
        <f t="shared" si="18"/>
        <v>0</v>
      </c>
      <c r="J236" s="372"/>
      <c r="K236" s="372">
        <f>'RAB Pasang'!K236*40%</f>
        <v>6572</v>
      </c>
      <c r="L236" s="387">
        <f t="shared" si="19"/>
        <v>0</v>
      </c>
      <c r="M236" s="385">
        <f t="shared" si="20"/>
        <v>0</v>
      </c>
      <c r="N236" s="388">
        <f t="shared" si="21"/>
        <v>0</v>
      </c>
    </row>
    <row r="237" spans="1:14" ht="13.2" customHeight="1" x14ac:dyDescent="0.3">
      <c r="A237" s="386">
        <f t="shared" si="22"/>
        <v>110</v>
      </c>
      <c r="B237" s="370" t="s">
        <v>449</v>
      </c>
      <c r="C237" s="371"/>
      <c r="D237" s="371"/>
      <c r="E237" s="367" t="s">
        <v>203</v>
      </c>
      <c r="F237" s="527"/>
      <c r="G237" s="527"/>
      <c r="H237" s="527"/>
      <c r="I237" s="372">
        <f t="shared" si="18"/>
        <v>0</v>
      </c>
      <c r="J237" s="372"/>
      <c r="K237" s="372">
        <f>'RAB Pasang'!K237*40%</f>
        <v>6572</v>
      </c>
      <c r="L237" s="387">
        <f t="shared" si="19"/>
        <v>0</v>
      </c>
      <c r="M237" s="385">
        <f t="shared" si="20"/>
        <v>0</v>
      </c>
      <c r="N237" s="388">
        <f t="shared" si="21"/>
        <v>0</v>
      </c>
    </row>
    <row r="238" spans="1:14" ht="13.2" customHeight="1" x14ac:dyDescent="0.3">
      <c r="A238" s="386">
        <f t="shared" si="22"/>
        <v>111</v>
      </c>
      <c r="B238" s="370" t="s">
        <v>450</v>
      </c>
      <c r="C238" s="371"/>
      <c r="D238" s="371"/>
      <c r="E238" s="367" t="s">
        <v>203</v>
      </c>
      <c r="F238" s="527"/>
      <c r="G238" s="527"/>
      <c r="H238" s="527"/>
      <c r="I238" s="372">
        <f t="shared" si="18"/>
        <v>0</v>
      </c>
      <c r="J238" s="372"/>
      <c r="K238" s="372">
        <f>'RAB Pasang'!K238*40%</f>
        <v>6572</v>
      </c>
      <c r="L238" s="387">
        <f t="shared" si="19"/>
        <v>0</v>
      </c>
      <c r="M238" s="385">
        <f t="shared" si="20"/>
        <v>0</v>
      </c>
      <c r="N238" s="388">
        <f t="shared" si="21"/>
        <v>0</v>
      </c>
    </row>
    <row r="239" spans="1:14" ht="13.2" customHeight="1" x14ac:dyDescent="0.3">
      <c r="A239" s="386">
        <f t="shared" si="22"/>
        <v>112</v>
      </c>
      <c r="B239" s="370" t="s">
        <v>451</v>
      </c>
      <c r="C239" s="371"/>
      <c r="D239" s="371"/>
      <c r="E239" s="367" t="s">
        <v>203</v>
      </c>
      <c r="F239" s="527"/>
      <c r="G239" s="527"/>
      <c r="H239" s="527"/>
      <c r="I239" s="372">
        <f t="shared" si="18"/>
        <v>0</v>
      </c>
      <c r="J239" s="372"/>
      <c r="K239" s="372">
        <f>'RAB Pasang'!K239*40%</f>
        <v>6572</v>
      </c>
      <c r="L239" s="387">
        <f t="shared" si="19"/>
        <v>0</v>
      </c>
      <c r="M239" s="385">
        <f t="shared" si="20"/>
        <v>0</v>
      </c>
      <c r="N239" s="388">
        <f t="shared" si="21"/>
        <v>0</v>
      </c>
    </row>
    <row r="240" spans="1:14" ht="13.2" customHeight="1" x14ac:dyDescent="0.3">
      <c r="A240" s="386">
        <f t="shared" si="22"/>
        <v>113</v>
      </c>
      <c r="B240" s="370" t="s">
        <v>452</v>
      </c>
      <c r="C240" s="371"/>
      <c r="D240" s="371"/>
      <c r="E240" s="367" t="s">
        <v>203</v>
      </c>
      <c r="F240" s="527"/>
      <c r="G240" s="527"/>
      <c r="H240" s="527"/>
      <c r="I240" s="372">
        <f t="shared" si="18"/>
        <v>0</v>
      </c>
      <c r="J240" s="372"/>
      <c r="K240" s="372">
        <f>'RAB Pasang'!K240*40%</f>
        <v>6572</v>
      </c>
      <c r="L240" s="387">
        <f t="shared" si="19"/>
        <v>0</v>
      </c>
      <c r="M240" s="385">
        <f t="shared" si="20"/>
        <v>0</v>
      </c>
      <c r="N240" s="388">
        <f t="shared" si="21"/>
        <v>0</v>
      </c>
    </row>
    <row r="241" spans="1:14" ht="13.2" customHeight="1" x14ac:dyDescent="0.3">
      <c r="A241" s="386">
        <f t="shared" si="22"/>
        <v>114</v>
      </c>
      <c r="B241" s="370" t="s">
        <v>453</v>
      </c>
      <c r="C241" s="371"/>
      <c r="D241" s="371"/>
      <c r="E241" s="367" t="s">
        <v>203</v>
      </c>
      <c r="F241" s="527"/>
      <c r="G241" s="527"/>
      <c r="H241" s="527"/>
      <c r="I241" s="372">
        <f t="shared" si="18"/>
        <v>0</v>
      </c>
      <c r="J241" s="372"/>
      <c r="K241" s="372">
        <f>'RAB Pasang'!K241*40%</f>
        <v>6572</v>
      </c>
      <c r="L241" s="387">
        <f t="shared" si="19"/>
        <v>0</v>
      </c>
      <c r="M241" s="385">
        <f t="shared" si="20"/>
        <v>0</v>
      </c>
      <c r="N241" s="388">
        <f t="shared" si="21"/>
        <v>0</v>
      </c>
    </row>
    <row r="242" spans="1:14" ht="13.2" customHeight="1" x14ac:dyDescent="0.3">
      <c r="A242" s="386">
        <f t="shared" si="22"/>
        <v>115</v>
      </c>
      <c r="B242" s="370" t="s">
        <v>454</v>
      </c>
      <c r="C242" s="371"/>
      <c r="D242" s="371"/>
      <c r="E242" s="367" t="s">
        <v>203</v>
      </c>
      <c r="F242" s="527"/>
      <c r="G242" s="527"/>
      <c r="H242" s="527"/>
      <c r="I242" s="372">
        <f t="shared" si="18"/>
        <v>0</v>
      </c>
      <c r="J242" s="372"/>
      <c r="K242" s="372">
        <f>'RAB Pasang'!K242*40%</f>
        <v>6572</v>
      </c>
      <c r="L242" s="387">
        <f t="shared" si="19"/>
        <v>0</v>
      </c>
      <c r="M242" s="385">
        <f t="shared" si="20"/>
        <v>0</v>
      </c>
      <c r="N242" s="388">
        <f t="shared" si="21"/>
        <v>0</v>
      </c>
    </row>
    <row r="243" spans="1:14" ht="13.2" customHeight="1" x14ac:dyDescent="0.3">
      <c r="A243" s="386">
        <f t="shared" si="22"/>
        <v>116</v>
      </c>
      <c r="B243" s="370" t="s">
        <v>455</v>
      </c>
      <c r="C243" s="371"/>
      <c r="D243" s="371"/>
      <c r="E243" s="367" t="s">
        <v>203</v>
      </c>
      <c r="F243" s="527"/>
      <c r="G243" s="527"/>
      <c r="H243" s="527"/>
      <c r="I243" s="372">
        <f t="shared" si="18"/>
        <v>0</v>
      </c>
      <c r="J243" s="372"/>
      <c r="K243" s="372">
        <f>'RAB Pasang'!K243*40%</f>
        <v>6572</v>
      </c>
      <c r="L243" s="387">
        <f t="shared" si="19"/>
        <v>0</v>
      </c>
      <c r="M243" s="385">
        <f t="shared" si="20"/>
        <v>0</v>
      </c>
      <c r="N243" s="388">
        <f t="shared" si="21"/>
        <v>0</v>
      </c>
    </row>
    <row r="244" spans="1:14" ht="13.2" customHeight="1" x14ac:dyDescent="0.3">
      <c r="A244" s="386">
        <f t="shared" si="22"/>
        <v>117</v>
      </c>
      <c r="B244" s="370" t="s">
        <v>456</v>
      </c>
      <c r="C244" s="371"/>
      <c r="D244" s="371"/>
      <c r="E244" s="367" t="s">
        <v>203</v>
      </c>
      <c r="F244" s="527"/>
      <c r="G244" s="527"/>
      <c r="H244" s="527"/>
      <c r="I244" s="372">
        <f t="shared" si="18"/>
        <v>0</v>
      </c>
      <c r="J244" s="372"/>
      <c r="K244" s="372">
        <f>'RAB Pasang'!K244*40%</f>
        <v>6572</v>
      </c>
      <c r="L244" s="387">
        <f t="shared" si="19"/>
        <v>0</v>
      </c>
      <c r="M244" s="385">
        <f t="shared" si="20"/>
        <v>0</v>
      </c>
      <c r="N244" s="388">
        <f t="shared" si="21"/>
        <v>0</v>
      </c>
    </row>
    <row r="245" spans="1:14" ht="13.2" customHeight="1" x14ac:dyDescent="0.3">
      <c r="A245" s="386">
        <f t="shared" si="22"/>
        <v>118</v>
      </c>
      <c r="B245" s="370" t="s">
        <v>457</v>
      </c>
      <c r="C245" s="371"/>
      <c r="D245" s="371"/>
      <c r="E245" s="367" t="s">
        <v>203</v>
      </c>
      <c r="F245" s="527"/>
      <c r="G245" s="527"/>
      <c r="H245" s="527"/>
      <c r="I245" s="372">
        <f t="shared" si="18"/>
        <v>0</v>
      </c>
      <c r="J245" s="372"/>
      <c r="K245" s="372">
        <f>'RAB Pasang'!K245*40%</f>
        <v>6572</v>
      </c>
      <c r="L245" s="387">
        <f t="shared" si="19"/>
        <v>0</v>
      </c>
      <c r="M245" s="385">
        <f t="shared" si="20"/>
        <v>0</v>
      </c>
      <c r="N245" s="388">
        <f t="shared" si="21"/>
        <v>0</v>
      </c>
    </row>
    <row r="246" spans="1:14" ht="13.2" customHeight="1" x14ac:dyDescent="0.3">
      <c r="A246" s="386">
        <f t="shared" si="22"/>
        <v>119</v>
      </c>
      <c r="B246" s="370" t="s">
        <v>458</v>
      </c>
      <c r="C246" s="371"/>
      <c r="D246" s="371"/>
      <c r="E246" s="367" t="s">
        <v>203</v>
      </c>
      <c r="F246" s="527"/>
      <c r="G246" s="527"/>
      <c r="H246" s="527"/>
      <c r="I246" s="372">
        <f t="shared" si="18"/>
        <v>0</v>
      </c>
      <c r="J246" s="372"/>
      <c r="K246" s="372">
        <f>'RAB Pasang'!K246*40%</f>
        <v>6572</v>
      </c>
      <c r="L246" s="387">
        <f t="shared" si="19"/>
        <v>0</v>
      </c>
      <c r="M246" s="385">
        <f t="shared" si="20"/>
        <v>0</v>
      </c>
      <c r="N246" s="388">
        <f t="shared" si="21"/>
        <v>0</v>
      </c>
    </row>
    <row r="247" spans="1:14" ht="13.2" customHeight="1" x14ac:dyDescent="0.3">
      <c r="A247" s="386">
        <f t="shared" si="22"/>
        <v>120</v>
      </c>
      <c r="B247" s="370" t="s">
        <v>1654</v>
      </c>
      <c r="C247" s="371"/>
      <c r="D247" s="371"/>
      <c r="E247" s="367" t="s">
        <v>203</v>
      </c>
      <c r="F247" s="527"/>
      <c r="G247" s="527"/>
      <c r="H247" s="527"/>
      <c r="I247" s="372">
        <f t="shared" si="18"/>
        <v>0</v>
      </c>
      <c r="J247" s="372"/>
      <c r="K247" s="372">
        <f>'RAB Pasang'!K247*40%</f>
        <v>7656</v>
      </c>
      <c r="L247" s="387">
        <f t="shared" si="19"/>
        <v>0</v>
      </c>
      <c r="M247" s="385">
        <f t="shared" si="20"/>
        <v>0</v>
      </c>
      <c r="N247" s="388">
        <f t="shared" si="21"/>
        <v>0</v>
      </c>
    </row>
    <row r="248" spans="1:14" ht="13.2" customHeight="1" x14ac:dyDescent="0.3">
      <c r="A248" s="386">
        <f t="shared" si="22"/>
        <v>121</v>
      </c>
      <c r="B248" s="370" t="s">
        <v>1660</v>
      </c>
      <c r="C248" s="371"/>
      <c r="D248" s="371"/>
      <c r="E248" s="367" t="s">
        <v>264</v>
      </c>
      <c r="F248" s="527"/>
      <c r="G248" s="527"/>
      <c r="H248" s="527"/>
      <c r="I248" s="372">
        <f t="shared" si="18"/>
        <v>0</v>
      </c>
      <c r="J248" s="372"/>
      <c r="K248" s="372">
        <f>'RAB Pasang'!K248*40%</f>
        <v>10412</v>
      </c>
      <c r="L248" s="387">
        <f t="shared" si="19"/>
        <v>0</v>
      </c>
      <c r="M248" s="385">
        <f t="shared" si="20"/>
        <v>0</v>
      </c>
      <c r="N248" s="388">
        <f t="shared" si="21"/>
        <v>0</v>
      </c>
    </row>
    <row r="249" spans="1:14" ht="13.2" customHeight="1" x14ac:dyDescent="0.3">
      <c r="A249" s="386">
        <f t="shared" si="22"/>
        <v>122</v>
      </c>
      <c r="B249" s="370" t="s">
        <v>1954</v>
      </c>
      <c r="C249" s="373"/>
      <c r="D249" s="373"/>
      <c r="E249" s="367" t="s">
        <v>264</v>
      </c>
      <c r="F249" s="527"/>
      <c r="G249" s="527"/>
      <c r="H249" s="527"/>
      <c r="I249" s="372">
        <f t="shared" si="18"/>
        <v>0</v>
      </c>
      <c r="J249" s="372"/>
      <c r="K249" s="375">
        <f>'RAB Pasang'!K249*40%</f>
        <v>10412</v>
      </c>
      <c r="L249" s="387">
        <f t="shared" si="19"/>
        <v>0</v>
      </c>
      <c r="M249" s="385">
        <f t="shared" si="20"/>
        <v>0</v>
      </c>
      <c r="N249" s="388">
        <f t="shared" si="21"/>
        <v>0</v>
      </c>
    </row>
    <row r="250" spans="1:14" ht="13.2" customHeight="1" x14ac:dyDescent="0.3">
      <c r="A250" s="386">
        <f t="shared" si="22"/>
        <v>123</v>
      </c>
      <c r="B250" s="370" t="s">
        <v>1695</v>
      </c>
      <c r="C250" s="373"/>
      <c r="D250" s="373"/>
      <c r="E250" s="367" t="s">
        <v>264</v>
      </c>
      <c r="F250" s="527"/>
      <c r="G250" s="527"/>
      <c r="H250" s="527"/>
      <c r="I250" s="372">
        <f t="shared" si="18"/>
        <v>0</v>
      </c>
      <c r="J250" s="372"/>
      <c r="K250" s="375">
        <f>'RAB Pasang'!K250*40%</f>
        <v>10412</v>
      </c>
      <c r="L250" s="387">
        <f t="shared" si="19"/>
        <v>0</v>
      </c>
      <c r="M250" s="385">
        <f t="shared" si="20"/>
        <v>0</v>
      </c>
      <c r="N250" s="388">
        <f t="shared" si="21"/>
        <v>0</v>
      </c>
    </row>
    <row r="251" spans="1:14" ht="13.2" customHeight="1" x14ac:dyDescent="0.3">
      <c r="A251" s="386">
        <f t="shared" si="22"/>
        <v>124</v>
      </c>
      <c r="B251" s="370" t="s">
        <v>581</v>
      </c>
      <c r="C251" s="371"/>
      <c r="D251" s="371"/>
      <c r="E251" s="367" t="s">
        <v>203</v>
      </c>
      <c r="F251" s="527"/>
      <c r="G251" s="527"/>
      <c r="H251" s="527"/>
      <c r="I251" s="372">
        <f t="shared" si="18"/>
        <v>0</v>
      </c>
      <c r="J251" s="372"/>
      <c r="K251" s="372">
        <f>'RAB Pasang'!K251*40%</f>
        <v>10516</v>
      </c>
      <c r="L251" s="387">
        <f t="shared" si="19"/>
        <v>0</v>
      </c>
      <c r="M251" s="385">
        <f t="shared" si="20"/>
        <v>0</v>
      </c>
      <c r="N251" s="388">
        <f t="shared" si="21"/>
        <v>0</v>
      </c>
    </row>
    <row r="252" spans="1:14" ht="13.2" customHeight="1" x14ac:dyDescent="0.3">
      <c r="A252" s="386">
        <f t="shared" si="22"/>
        <v>125</v>
      </c>
      <c r="B252" s="376" t="s">
        <v>1703</v>
      </c>
      <c r="C252" s="373"/>
      <c r="D252" s="373"/>
      <c r="E252" s="374" t="s">
        <v>235</v>
      </c>
      <c r="F252" s="528"/>
      <c r="G252" s="528"/>
      <c r="H252" s="528"/>
      <c r="I252" s="372">
        <f t="shared" si="18"/>
        <v>0</v>
      </c>
      <c r="J252" s="375"/>
      <c r="K252" s="375">
        <f>'RAB Pasang'!K252*40%</f>
        <v>9856</v>
      </c>
      <c r="L252" s="387">
        <f t="shared" si="19"/>
        <v>0</v>
      </c>
      <c r="M252" s="385">
        <f t="shared" si="20"/>
        <v>0</v>
      </c>
      <c r="N252" s="388">
        <f t="shared" si="21"/>
        <v>0</v>
      </c>
    </row>
    <row r="253" spans="1:14" ht="13.2" customHeight="1" x14ac:dyDescent="0.3">
      <c r="A253" s="386">
        <f t="shared" si="22"/>
        <v>126</v>
      </c>
      <c r="B253" s="376" t="s">
        <v>1713</v>
      </c>
      <c r="C253" s="373"/>
      <c r="D253" s="373"/>
      <c r="E253" s="374" t="s">
        <v>235</v>
      </c>
      <c r="F253" s="528"/>
      <c r="G253" s="528"/>
      <c r="H253" s="528"/>
      <c r="I253" s="372">
        <f t="shared" si="18"/>
        <v>0</v>
      </c>
      <c r="J253" s="375"/>
      <c r="K253" s="375">
        <f>'RAB Pasang'!K253*40%</f>
        <v>9856</v>
      </c>
      <c r="L253" s="387">
        <f t="shared" si="19"/>
        <v>0</v>
      </c>
      <c r="M253" s="385">
        <f t="shared" si="20"/>
        <v>0</v>
      </c>
      <c r="N253" s="388">
        <f t="shared" si="21"/>
        <v>0</v>
      </c>
    </row>
    <row r="254" spans="1:14" ht="13.2" customHeight="1" x14ac:dyDescent="0.3">
      <c r="A254" s="386">
        <f t="shared" si="22"/>
        <v>127</v>
      </c>
      <c r="B254" s="376" t="s">
        <v>1693</v>
      </c>
      <c r="C254" s="373"/>
      <c r="D254" s="373"/>
      <c r="E254" s="374" t="s">
        <v>203</v>
      </c>
      <c r="F254" s="528"/>
      <c r="G254" s="528"/>
      <c r="H254" s="528"/>
      <c r="I254" s="372">
        <f t="shared" si="18"/>
        <v>0</v>
      </c>
      <c r="J254" s="375"/>
      <c r="K254" s="375">
        <f>'RAB Pasang'!K254*40%</f>
        <v>28164</v>
      </c>
      <c r="L254" s="387">
        <f t="shared" si="19"/>
        <v>0</v>
      </c>
      <c r="M254" s="385">
        <f t="shared" si="20"/>
        <v>0</v>
      </c>
      <c r="N254" s="388">
        <f t="shared" si="21"/>
        <v>0</v>
      </c>
    </row>
    <row r="255" spans="1:14" ht="13.2" customHeight="1" x14ac:dyDescent="0.3">
      <c r="A255" s="386">
        <f t="shared" si="22"/>
        <v>128</v>
      </c>
      <c r="B255" s="376" t="s">
        <v>1694</v>
      </c>
      <c r="C255" s="373"/>
      <c r="D255" s="373"/>
      <c r="E255" s="374" t="s">
        <v>203</v>
      </c>
      <c r="F255" s="528"/>
      <c r="G255" s="528"/>
      <c r="H255" s="528"/>
      <c r="I255" s="372">
        <f t="shared" si="18"/>
        <v>0</v>
      </c>
      <c r="J255" s="375"/>
      <c r="K255" s="375">
        <f>'RAB Pasang'!K255*40%</f>
        <v>72444</v>
      </c>
      <c r="L255" s="387">
        <f t="shared" si="19"/>
        <v>0</v>
      </c>
      <c r="M255" s="385">
        <f t="shared" si="20"/>
        <v>0</v>
      </c>
      <c r="N255" s="388">
        <f t="shared" si="21"/>
        <v>0</v>
      </c>
    </row>
    <row r="256" spans="1:14" ht="13.2" customHeight="1" x14ac:dyDescent="0.3">
      <c r="A256" s="386">
        <f t="shared" si="22"/>
        <v>129</v>
      </c>
      <c r="B256" s="376" t="s">
        <v>1696</v>
      </c>
      <c r="C256" s="373"/>
      <c r="D256" s="373"/>
      <c r="E256" s="374" t="s">
        <v>203</v>
      </c>
      <c r="F256" s="528"/>
      <c r="G256" s="528"/>
      <c r="H256" s="528"/>
      <c r="I256" s="372">
        <f t="shared" ref="I256:I263" si="23">SUM(F256:H256)</f>
        <v>0</v>
      </c>
      <c r="J256" s="375"/>
      <c r="K256" s="375">
        <f>'RAB Pasang'!K256*40%</f>
        <v>6572</v>
      </c>
      <c r="L256" s="387">
        <f t="shared" ref="L256:L263" si="24">J256*I256</f>
        <v>0</v>
      </c>
      <c r="M256" s="385">
        <f t="shared" ref="M256:M263" si="25">K256*I256</f>
        <v>0</v>
      </c>
      <c r="N256" s="388">
        <f t="shared" ref="N256:N263" si="26">SUM(L256:M256)</f>
        <v>0</v>
      </c>
    </row>
    <row r="257" spans="1:14" ht="13.2" customHeight="1" x14ac:dyDescent="0.3">
      <c r="A257" s="386">
        <f t="shared" si="22"/>
        <v>130</v>
      </c>
      <c r="B257" s="376" t="s">
        <v>1697</v>
      </c>
      <c r="C257" s="373"/>
      <c r="D257" s="373"/>
      <c r="E257" s="374" t="s">
        <v>203</v>
      </c>
      <c r="F257" s="528"/>
      <c r="G257" s="528"/>
      <c r="H257" s="528"/>
      <c r="I257" s="372">
        <f t="shared" si="23"/>
        <v>0</v>
      </c>
      <c r="J257" s="375"/>
      <c r="K257" s="375">
        <f>'RAB Pasang'!K257*40%</f>
        <v>6572</v>
      </c>
      <c r="L257" s="387">
        <f t="shared" si="24"/>
        <v>0</v>
      </c>
      <c r="M257" s="385">
        <f t="shared" si="25"/>
        <v>0</v>
      </c>
      <c r="N257" s="388">
        <f t="shared" si="26"/>
        <v>0</v>
      </c>
    </row>
    <row r="258" spans="1:14" ht="13.2" customHeight="1" x14ac:dyDescent="0.3">
      <c r="A258" s="386">
        <f t="shared" ref="A258:A263" si="27">A257+1</f>
        <v>131</v>
      </c>
      <c r="B258" s="376" t="s">
        <v>1698</v>
      </c>
      <c r="C258" s="373"/>
      <c r="D258" s="373"/>
      <c r="E258" s="374" t="s">
        <v>203</v>
      </c>
      <c r="F258" s="528"/>
      <c r="G258" s="528"/>
      <c r="H258" s="528"/>
      <c r="I258" s="372">
        <f t="shared" si="23"/>
        <v>0</v>
      </c>
      <c r="J258" s="375"/>
      <c r="K258" s="375">
        <f>'RAB Pasang'!K258*40%</f>
        <v>6572</v>
      </c>
      <c r="L258" s="387">
        <f t="shared" si="24"/>
        <v>0</v>
      </c>
      <c r="M258" s="385">
        <f t="shared" si="25"/>
        <v>0</v>
      </c>
      <c r="N258" s="388">
        <f t="shared" si="26"/>
        <v>0</v>
      </c>
    </row>
    <row r="259" spans="1:14" ht="13.2" customHeight="1" x14ac:dyDescent="0.3">
      <c r="A259" s="386">
        <f t="shared" si="27"/>
        <v>132</v>
      </c>
      <c r="B259" s="376" t="s">
        <v>1699</v>
      </c>
      <c r="C259" s="373"/>
      <c r="D259" s="373"/>
      <c r="E259" s="374" t="s">
        <v>203</v>
      </c>
      <c r="F259" s="528"/>
      <c r="G259" s="528"/>
      <c r="H259" s="528"/>
      <c r="I259" s="372">
        <f t="shared" si="23"/>
        <v>0</v>
      </c>
      <c r="J259" s="375"/>
      <c r="K259" s="375">
        <f>'RAB Pasang'!K259*40%</f>
        <v>6572</v>
      </c>
      <c r="L259" s="387">
        <f t="shared" si="24"/>
        <v>0</v>
      </c>
      <c r="M259" s="385">
        <f t="shared" si="25"/>
        <v>0</v>
      </c>
      <c r="N259" s="388">
        <f t="shared" si="26"/>
        <v>0</v>
      </c>
    </row>
    <row r="260" spans="1:14" ht="13.2" customHeight="1" x14ac:dyDescent="0.3">
      <c r="A260" s="386">
        <f t="shared" si="27"/>
        <v>133</v>
      </c>
      <c r="B260" s="376" t="s">
        <v>1700</v>
      </c>
      <c r="C260" s="373"/>
      <c r="D260" s="373"/>
      <c r="E260" s="374" t="s">
        <v>203</v>
      </c>
      <c r="F260" s="528"/>
      <c r="G260" s="528"/>
      <c r="H260" s="528"/>
      <c r="I260" s="372">
        <f t="shared" si="23"/>
        <v>0</v>
      </c>
      <c r="J260" s="375"/>
      <c r="K260" s="375">
        <f>'RAB Pasang'!K260*40%</f>
        <v>6572</v>
      </c>
      <c r="L260" s="387">
        <f t="shared" si="24"/>
        <v>0</v>
      </c>
      <c r="M260" s="385">
        <f t="shared" si="25"/>
        <v>0</v>
      </c>
      <c r="N260" s="388">
        <f t="shared" si="26"/>
        <v>0</v>
      </c>
    </row>
    <row r="261" spans="1:14" ht="13.2" customHeight="1" x14ac:dyDescent="0.3">
      <c r="A261" s="386">
        <f t="shared" si="27"/>
        <v>134</v>
      </c>
      <c r="B261" s="376" t="s">
        <v>1701</v>
      </c>
      <c r="C261" s="373"/>
      <c r="D261" s="373"/>
      <c r="E261" s="374" t="s">
        <v>203</v>
      </c>
      <c r="F261" s="528"/>
      <c r="G261" s="528"/>
      <c r="H261" s="528"/>
      <c r="I261" s="372">
        <f t="shared" si="23"/>
        <v>0</v>
      </c>
      <c r="J261" s="375"/>
      <c r="K261" s="375">
        <f>'RAB Pasang'!K261*40%</f>
        <v>6572</v>
      </c>
      <c r="L261" s="387">
        <f t="shared" si="24"/>
        <v>0</v>
      </c>
      <c r="M261" s="385">
        <f t="shared" si="25"/>
        <v>0</v>
      </c>
      <c r="N261" s="388">
        <f t="shared" si="26"/>
        <v>0</v>
      </c>
    </row>
    <row r="262" spans="1:14" ht="13.2" customHeight="1" x14ac:dyDescent="0.3">
      <c r="A262" s="386">
        <f t="shared" si="27"/>
        <v>135</v>
      </c>
      <c r="B262" s="370" t="s">
        <v>1702</v>
      </c>
      <c r="C262" s="371"/>
      <c r="D262" s="371"/>
      <c r="E262" s="367" t="s">
        <v>203</v>
      </c>
      <c r="F262" s="527"/>
      <c r="G262" s="527"/>
      <c r="H262" s="527"/>
      <c r="I262" s="372">
        <f t="shared" si="23"/>
        <v>0</v>
      </c>
      <c r="J262" s="372"/>
      <c r="K262" s="372">
        <f>'RAB Pasang'!K262*40%</f>
        <v>6572</v>
      </c>
      <c r="L262" s="387">
        <f t="shared" si="24"/>
        <v>0</v>
      </c>
      <c r="M262" s="387">
        <f t="shared" si="25"/>
        <v>0</v>
      </c>
      <c r="N262" s="422">
        <f t="shared" si="26"/>
        <v>0</v>
      </c>
    </row>
    <row r="263" spans="1:14" ht="13.2" customHeight="1" x14ac:dyDescent="0.3">
      <c r="A263" s="386">
        <f t="shared" si="27"/>
        <v>136</v>
      </c>
      <c r="B263" s="389" t="s">
        <v>1641</v>
      </c>
      <c r="C263" s="390"/>
      <c r="D263" s="390"/>
      <c r="E263" s="391" t="s">
        <v>1653</v>
      </c>
      <c r="F263" s="562"/>
      <c r="G263" s="562"/>
      <c r="H263" s="562"/>
      <c r="I263" s="541">
        <f t="shared" si="23"/>
        <v>0</v>
      </c>
      <c r="J263" s="409"/>
      <c r="K263" s="409">
        <f>'RAB Pasang'!K263*40%</f>
        <v>49288</v>
      </c>
      <c r="L263" s="387">
        <f t="shared" si="24"/>
        <v>0</v>
      </c>
      <c r="M263" s="387">
        <f t="shared" si="25"/>
        <v>0</v>
      </c>
      <c r="N263" s="422">
        <f t="shared" si="26"/>
        <v>0</v>
      </c>
    </row>
    <row r="264" spans="1:14" ht="13.95" customHeight="1" x14ac:dyDescent="0.3">
      <c r="A264" s="485"/>
      <c r="B264" s="486" t="s">
        <v>647</v>
      </c>
      <c r="C264" s="487"/>
      <c r="D264" s="487"/>
      <c r="E264" s="488"/>
      <c r="F264" s="540"/>
      <c r="G264" s="540"/>
      <c r="H264" s="540"/>
      <c r="I264" s="489"/>
      <c r="J264" s="488"/>
      <c r="K264" s="488"/>
      <c r="L264" s="490">
        <f>SUM(L128:L263)</f>
        <v>0</v>
      </c>
      <c r="M264" s="490">
        <f t="shared" ref="M264:N264" si="28">SUM(M128:M263)</f>
        <v>0</v>
      </c>
      <c r="N264" s="491">
        <f t="shared" si="28"/>
        <v>0</v>
      </c>
    </row>
    <row r="265" spans="1:14" ht="7.2" customHeight="1" x14ac:dyDescent="0.3">
      <c r="A265" s="392"/>
      <c r="B265" s="393"/>
      <c r="C265" s="394"/>
      <c r="D265" s="394"/>
      <c r="E265" s="395"/>
      <c r="F265" s="563"/>
      <c r="G265" s="563"/>
      <c r="H265" s="563"/>
      <c r="I265" s="467"/>
      <c r="J265" s="383"/>
      <c r="K265" s="383"/>
      <c r="L265" s="383"/>
      <c r="M265" s="383"/>
      <c r="N265" s="396"/>
    </row>
    <row r="266" spans="1:14" ht="13.2" customHeight="1" x14ac:dyDescent="0.3">
      <c r="A266" s="477" t="s">
        <v>608</v>
      </c>
      <c r="B266" s="478" t="s">
        <v>619</v>
      </c>
      <c r="C266" s="479"/>
      <c r="D266" s="480"/>
      <c r="E266" s="481"/>
      <c r="F266" s="483"/>
      <c r="G266" s="483"/>
      <c r="H266" s="483"/>
      <c r="I266" s="483"/>
      <c r="J266" s="481"/>
      <c r="K266" s="481"/>
      <c r="L266" s="481"/>
      <c r="M266" s="481"/>
      <c r="N266" s="482"/>
    </row>
    <row r="267" spans="1:14" ht="13.2" customHeight="1" x14ac:dyDescent="0.3">
      <c r="A267" s="397">
        <v>1</v>
      </c>
      <c r="B267" s="398" t="s">
        <v>648</v>
      </c>
      <c r="C267" s="373"/>
      <c r="D267" s="373"/>
      <c r="E267" s="374"/>
      <c r="F267" s="560"/>
      <c r="G267" s="560"/>
      <c r="H267" s="560"/>
      <c r="I267" s="468"/>
      <c r="J267" s="399"/>
      <c r="K267" s="399"/>
      <c r="L267" s="399"/>
      <c r="M267" s="399"/>
      <c r="N267" s="400"/>
    </row>
    <row r="268" spans="1:14" ht="13.2" customHeight="1" x14ac:dyDescent="0.3">
      <c r="A268" s="401"/>
      <c r="B268" s="402" t="s">
        <v>1828</v>
      </c>
      <c r="C268" s="371" t="s">
        <v>650</v>
      </c>
      <c r="D268" s="371" t="s">
        <v>651</v>
      </c>
      <c r="E268" s="367" t="s">
        <v>596</v>
      </c>
      <c r="F268" s="536"/>
      <c r="G268" s="536"/>
      <c r="H268" s="536"/>
      <c r="I268" s="466">
        <f t="shared" ref="I268:I482" si="29">SUM(F268:H268)</f>
        <v>0</v>
      </c>
      <c r="J268" s="372"/>
      <c r="K268" s="372"/>
      <c r="L268" s="387">
        <f t="shared" ref="L268:L482" si="30">J268*I268</f>
        <v>0</v>
      </c>
      <c r="M268" s="387">
        <f t="shared" ref="M268:M482" si="31">K268*I268</f>
        <v>0</v>
      </c>
      <c r="N268" s="422">
        <f t="shared" ref="N268:N482" si="32">SUM(L268:M268)</f>
        <v>0</v>
      </c>
    </row>
    <row r="269" spans="1:14" ht="13.2" customHeight="1" x14ac:dyDescent="0.3">
      <c r="A269" s="401"/>
      <c r="B269" s="402"/>
      <c r="C269" s="371" t="s">
        <v>652</v>
      </c>
      <c r="D269" s="371" t="s">
        <v>651</v>
      </c>
      <c r="E269" s="367" t="s">
        <v>596</v>
      </c>
      <c r="F269" s="536"/>
      <c r="G269" s="536"/>
      <c r="H269" s="536"/>
      <c r="I269" s="466">
        <f t="shared" si="29"/>
        <v>0</v>
      </c>
      <c r="J269" s="372"/>
      <c r="K269" s="372"/>
      <c r="L269" s="387">
        <f t="shared" si="30"/>
        <v>0</v>
      </c>
      <c r="M269" s="387">
        <f t="shared" si="31"/>
        <v>0</v>
      </c>
      <c r="N269" s="422">
        <f t="shared" si="32"/>
        <v>0</v>
      </c>
    </row>
    <row r="270" spans="1:14" ht="13.2" customHeight="1" x14ac:dyDescent="0.3">
      <c r="A270" s="401"/>
      <c r="B270" s="402"/>
      <c r="C270" s="371" t="s">
        <v>652</v>
      </c>
      <c r="D270" s="371" t="s">
        <v>653</v>
      </c>
      <c r="E270" s="367" t="s">
        <v>596</v>
      </c>
      <c r="F270" s="536"/>
      <c r="G270" s="536"/>
      <c r="H270" s="536"/>
      <c r="I270" s="466">
        <f t="shared" si="29"/>
        <v>0</v>
      </c>
      <c r="J270" s="372"/>
      <c r="K270" s="372"/>
      <c r="L270" s="387">
        <f t="shared" si="30"/>
        <v>0</v>
      </c>
      <c r="M270" s="387">
        <f t="shared" si="31"/>
        <v>0</v>
      </c>
      <c r="N270" s="422">
        <f t="shared" si="32"/>
        <v>0</v>
      </c>
    </row>
    <row r="271" spans="1:14" ht="13.2" customHeight="1" x14ac:dyDescent="0.3">
      <c r="A271" s="401"/>
      <c r="B271" s="402"/>
      <c r="C271" s="371" t="s">
        <v>652</v>
      </c>
      <c r="D271" s="371" t="s">
        <v>654</v>
      </c>
      <c r="E271" s="367" t="s">
        <v>596</v>
      </c>
      <c r="F271" s="536"/>
      <c r="G271" s="536"/>
      <c r="H271" s="536"/>
      <c r="I271" s="466">
        <f t="shared" si="29"/>
        <v>0</v>
      </c>
      <c r="J271" s="372"/>
      <c r="K271" s="372"/>
      <c r="L271" s="387">
        <f t="shared" si="30"/>
        <v>0</v>
      </c>
      <c r="M271" s="387">
        <f t="shared" si="31"/>
        <v>0</v>
      </c>
      <c r="N271" s="422">
        <f t="shared" si="32"/>
        <v>0</v>
      </c>
    </row>
    <row r="272" spans="1:14" ht="13.2" customHeight="1" x14ac:dyDescent="0.3">
      <c r="A272" s="401"/>
      <c r="B272" s="402"/>
      <c r="C272" s="371" t="s">
        <v>652</v>
      </c>
      <c r="D272" s="371" t="s">
        <v>655</v>
      </c>
      <c r="E272" s="367" t="s">
        <v>596</v>
      </c>
      <c r="F272" s="536"/>
      <c r="G272" s="536"/>
      <c r="H272" s="536"/>
      <c r="I272" s="466">
        <f t="shared" si="29"/>
        <v>0</v>
      </c>
      <c r="J272" s="372"/>
      <c r="K272" s="372"/>
      <c r="L272" s="387">
        <f t="shared" si="30"/>
        <v>0</v>
      </c>
      <c r="M272" s="387">
        <f t="shared" si="31"/>
        <v>0</v>
      </c>
      <c r="N272" s="422">
        <f t="shared" si="32"/>
        <v>0</v>
      </c>
    </row>
    <row r="273" spans="1:14" ht="13.2" customHeight="1" x14ac:dyDescent="0.3">
      <c r="A273" s="401"/>
      <c r="B273" s="402"/>
      <c r="C273" s="371" t="s">
        <v>652</v>
      </c>
      <c r="D273" s="371" t="s">
        <v>656</v>
      </c>
      <c r="E273" s="367" t="s">
        <v>596</v>
      </c>
      <c r="F273" s="536"/>
      <c r="G273" s="536"/>
      <c r="H273" s="536"/>
      <c r="I273" s="466">
        <f t="shared" si="29"/>
        <v>0</v>
      </c>
      <c r="J273" s="372"/>
      <c r="K273" s="372"/>
      <c r="L273" s="387">
        <f t="shared" si="30"/>
        <v>0</v>
      </c>
      <c r="M273" s="387">
        <f t="shared" si="31"/>
        <v>0</v>
      </c>
      <c r="N273" s="422">
        <f t="shared" si="32"/>
        <v>0</v>
      </c>
    </row>
    <row r="274" spans="1:14" ht="13.2" customHeight="1" x14ac:dyDescent="0.3">
      <c r="A274" s="401"/>
      <c r="B274" s="402"/>
      <c r="C274" s="371" t="s">
        <v>652</v>
      </c>
      <c r="D274" s="371" t="s">
        <v>657</v>
      </c>
      <c r="E274" s="367" t="s">
        <v>596</v>
      </c>
      <c r="F274" s="536"/>
      <c r="G274" s="536"/>
      <c r="H274" s="536"/>
      <c r="I274" s="466">
        <f t="shared" si="29"/>
        <v>0</v>
      </c>
      <c r="J274" s="372"/>
      <c r="K274" s="372"/>
      <c r="L274" s="387">
        <f t="shared" si="30"/>
        <v>0</v>
      </c>
      <c r="M274" s="387">
        <f t="shared" si="31"/>
        <v>0</v>
      </c>
      <c r="N274" s="422">
        <f t="shared" si="32"/>
        <v>0</v>
      </c>
    </row>
    <row r="275" spans="1:14" ht="13.2" customHeight="1" x14ac:dyDescent="0.3">
      <c r="A275" s="401"/>
      <c r="B275" s="402"/>
      <c r="C275" s="371" t="s">
        <v>652</v>
      </c>
      <c r="D275" s="371" t="s">
        <v>658</v>
      </c>
      <c r="E275" s="367" t="s">
        <v>596</v>
      </c>
      <c r="F275" s="536"/>
      <c r="G275" s="536"/>
      <c r="H275" s="536"/>
      <c r="I275" s="466">
        <f t="shared" si="29"/>
        <v>0</v>
      </c>
      <c r="J275" s="372"/>
      <c r="K275" s="372"/>
      <c r="L275" s="387">
        <f t="shared" si="30"/>
        <v>0</v>
      </c>
      <c r="M275" s="387">
        <f t="shared" si="31"/>
        <v>0</v>
      </c>
      <c r="N275" s="422">
        <f t="shared" si="32"/>
        <v>0</v>
      </c>
    </row>
    <row r="276" spans="1:14" ht="13.2" customHeight="1" x14ac:dyDescent="0.3">
      <c r="A276" s="401"/>
      <c r="B276" s="402"/>
      <c r="C276" s="371" t="s">
        <v>652</v>
      </c>
      <c r="D276" s="371" t="s">
        <v>659</v>
      </c>
      <c r="E276" s="367" t="s">
        <v>596</v>
      </c>
      <c r="F276" s="536"/>
      <c r="G276" s="536"/>
      <c r="H276" s="536"/>
      <c r="I276" s="466">
        <f t="shared" si="29"/>
        <v>0</v>
      </c>
      <c r="J276" s="372"/>
      <c r="K276" s="372"/>
      <c r="L276" s="387">
        <f t="shared" si="30"/>
        <v>0</v>
      </c>
      <c r="M276" s="387">
        <f t="shared" si="31"/>
        <v>0</v>
      </c>
      <c r="N276" s="422">
        <f t="shared" si="32"/>
        <v>0</v>
      </c>
    </row>
    <row r="277" spans="1:14" ht="13.2" customHeight="1" x14ac:dyDescent="0.3">
      <c r="A277" s="401"/>
      <c r="B277" s="402"/>
      <c r="C277" s="371" t="s">
        <v>652</v>
      </c>
      <c r="D277" s="371" t="s">
        <v>660</v>
      </c>
      <c r="E277" s="367" t="s">
        <v>596</v>
      </c>
      <c r="F277" s="536"/>
      <c r="G277" s="536"/>
      <c r="H277" s="536"/>
      <c r="I277" s="466">
        <f t="shared" si="29"/>
        <v>0</v>
      </c>
      <c r="J277" s="372"/>
      <c r="K277" s="372"/>
      <c r="L277" s="387">
        <f t="shared" si="30"/>
        <v>0</v>
      </c>
      <c r="M277" s="387">
        <f t="shared" si="31"/>
        <v>0</v>
      </c>
      <c r="N277" s="422">
        <f t="shared" si="32"/>
        <v>0</v>
      </c>
    </row>
    <row r="278" spans="1:14" ht="13.2" customHeight="1" x14ac:dyDescent="0.3">
      <c r="A278" s="401"/>
      <c r="B278" s="402"/>
      <c r="C278" s="371" t="s">
        <v>652</v>
      </c>
      <c r="D278" s="371" t="s">
        <v>661</v>
      </c>
      <c r="E278" s="367" t="s">
        <v>596</v>
      </c>
      <c r="F278" s="536"/>
      <c r="G278" s="536"/>
      <c r="H278" s="536"/>
      <c r="I278" s="466">
        <f t="shared" si="29"/>
        <v>0</v>
      </c>
      <c r="J278" s="372"/>
      <c r="K278" s="372"/>
      <c r="L278" s="387">
        <f t="shared" si="30"/>
        <v>0</v>
      </c>
      <c r="M278" s="387">
        <f t="shared" si="31"/>
        <v>0</v>
      </c>
      <c r="N278" s="422">
        <f t="shared" si="32"/>
        <v>0</v>
      </c>
    </row>
    <row r="279" spans="1:14" ht="13.2" customHeight="1" x14ac:dyDescent="0.3">
      <c r="A279" s="401"/>
      <c r="B279" s="402"/>
      <c r="C279" s="371" t="s">
        <v>652</v>
      </c>
      <c r="D279" s="371" t="s">
        <v>662</v>
      </c>
      <c r="E279" s="367" t="s">
        <v>596</v>
      </c>
      <c r="F279" s="536"/>
      <c r="G279" s="536"/>
      <c r="H279" s="536"/>
      <c r="I279" s="466">
        <f t="shared" si="29"/>
        <v>0</v>
      </c>
      <c r="J279" s="372"/>
      <c r="K279" s="372"/>
      <c r="L279" s="387">
        <f t="shared" si="30"/>
        <v>0</v>
      </c>
      <c r="M279" s="387">
        <f t="shared" si="31"/>
        <v>0</v>
      </c>
      <c r="N279" s="422">
        <f t="shared" si="32"/>
        <v>0</v>
      </c>
    </row>
    <row r="280" spans="1:14" ht="13.2" customHeight="1" x14ac:dyDescent="0.3">
      <c r="A280" s="401"/>
      <c r="B280" s="402"/>
      <c r="C280" s="371" t="s">
        <v>652</v>
      </c>
      <c r="D280" s="371" t="s">
        <v>663</v>
      </c>
      <c r="E280" s="367" t="s">
        <v>596</v>
      </c>
      <c r="F280" s="536"/>
      <c r="G280" s="536"/>
      <c r="H280" s="536"/>
      <c r="I280" s="466">
        <f t="shared" si="29"/>
        <v>0</v>
      </c>
      <c r="J280" s="372"/>
      <c r="K280" s="372"/>
      <c r="L280" s="387">
        <f t="shared" si="30"/>
        <v>0</v>
      </c>
      <c r="M280" s="387">
        <f t="shared" si="31"/>
        <v>0</v>
      </c>
      <c r="N280" s="422">
        <f t="shared" si="32"/>
        <v>0</v>
      </c>
    </row>
    <row r="281" spans="1:14" ht="13.2" customHeight="1" x14ac:dyDescent="0.3">
      <c r="A281" s="401"/>
      <c r="B281" s="402"/>
      <c r="C281" s="373" t="s">
        <v>652</v>
      </c>
      <c r="D281" s="373" t="s">
        <v>664</v>
      </c>
      <c r="E281" s="374" t="s">
        <v>596</v>
      </c>
      <c r="F281" s="559"/>
      <c r="G281" s="559"/>
      <c r="H281" s="559"/>
      <c r="I281" s="468">
        <f t="shared" si="29"/>
        <v>0</v>
      </c>
      <c r="J281" s="375"/>
      <c r="K281" s="372"/>
      <c r="L281" s="399">
        <f t="shared" si="30"/>
        <v>0</v>
      </c>
      <c r="M281" s="399">
        <f t="shared" si="31"/>
        <v>0</v>
      </c>
      <c r="N281" s="400">
        <f t="shared" si="32"/>
        <v>0</v>
      </c>
    </row>
    <row r="282" spans="1:14" ht="13.2" customHeight="1" x14ac:dyDescent="0.3">
      <c r="A282" s="401"/>
      <c r="B282" s="403" t="s">
        <v>1922</v>
      </c>
      <c r="C282" s="404" t="s">
        <v>652</v>
      </c>
      <c r="D282" s="404" t="s">
        <v>655</v>
      </c>
      <c r="E282" s="405" t="s">
        <v>596</v>
      </c>
      <c r="F282" s="565"/>
      <c r="G282" s="565"/>
      <c r="H282" s="565"/>
      <c r="I282" s="542"/>
      <c r="J282" s="406"/>
      <c r="K282" s="406"/>
      <c r="L282" s="469">
        <f t="shared" si="30"/>
        <v>0</v>
      </c>
      <c r="M282" s="469">
        <f t="shared" si="31"/>
        <v>0</v>
      </c>
      <c r="N282" s="470">
        <f t="shared" si="32"/>
        <v>0</v>
      </c>
    </row>
    <row r="283" spans="1:14" ht="13.2" customHeight="1" x14ac:dyDescent="0.3">
      <c r="A283" s="401"/>
      <c r="B283" s="407"/>
      <c r="C283" s="371" t="s">
        <v>652</v>
      </c>
      <c r="D283" s="371" t="s">
        <v>656</v>
      </c>
      <c r="E283" s="367" t="s">
        <v>596</v>
      </c>
      <c r="F283" s="536"/>
      <c r="G283" s="536"/>
      <c r="H283" s="536"/>
      <c r="I283" s="466"/>
      <c r="J283" s="372"/>
      <c r="K283" s="372"/>
      <c r="L283" s="387">
        <f t="shared" si="30"/>
        <v>0</v>
      </c>
      <c r="M283" s="387">
        <f t="shared" si="31"/>
        <v>0</v>
      </c>
      <c r="N283" s="422">
        <f t="shared" si="32"/>
        <v>0</v>
      </c>
    </row>
    <row r="284" spans="1:14" ht="13.2" customHeight="1" x14ac:dyDescent="0.3">
      <c r="A284" s="401"/>
      <c r="B284" s="408"/>
      <c r="C284" s="390" t="s">
        <v>652</v>
      </c>
      <c r="D284" s="390" t="s">
        <v>657</v>
      </c>
      <c r="E284" s="391" t="s">
        <v>596</v>
      </c>
      <c r="F284" s="566"/>
      <c r="G284" s="566"/>
      <c r="H284" s="566"/>
      <c r="I284" s="541"/>
      <c r="J284" s="409"/>
      <c r="K284" s="409"/>
      <c r="L284" s="471">
        <f t="shared" si="30"/>
        <v>0</v>
      </c>
      <c r="M284" s="471">
        <f t="shared" si="31"/>
        <v>0</v>
      </c>
      <c r="N284" s="472">
        <f t="shared" si="32"/>
        <v>0</v>
      </c>
    </row>
    <row r="285" spans="1:14" ht="13.2" customHeight="1" x14ac:dyDescent="0.3">
      <c r="A285" s="401"/>
      <c r="B285" s="403" t="s">
        <v>1923</v>
      </c>
      <c r="C285" s="404" t="s">
        <v>652</v>
      </c>
      <c r="D285" s="371" t="s">
        <v>662</v>
      </c>
      <c r="E285" s="405" t="s">
        <v>596</v>
      </c>
      <c r="F285" s="565"/>
      <c r="G285" s="565"/>
      <c r="H285" s="565"/>
      <c r="I285" s="542"/>
      <c r="J285" s="406"/>
      <c r="K285" s="406"/>
      <c r="L285" s="469">
        <f t="shared" si="30"/>
        <v>0</v>
      </c>
      <c r="M285" s="469">
        <f t="shared" si="31"/>
        <v>0</v>
      </c>
      <c r="N285" s="470">
        <f t="shared" si="32"/>
        <v>0</v>
      </c>
    </row>
    <row r="286" spans="1:14" ht="13.2" customHeight="1" x14ac:dyDescent="0.3">
      <c r="A286" s="401"/>
      <c r="B286" s="407"/>
      <c r="C286" s="373" t="s">
        <v>652</v>
      </c>
      <c r="D286" s="373" t="s">
        <v>663</v>
      </c>
      <c r="E286" s="367" t="s">
        <v>596</v>
      </c>
      <c r="F286" s="536"/>
      <c r="G286" s="536"/>
      <c r="H286" s="536"/>
      <c r="I286" s="466"/>
      <c r="J286" s="372"/>
      <c r="K286" s="372"/>
      <c r="L286" s="387">
        <f t="shared" si="30"/>
        <v>0</v>
      </c>
      <c r="M286" s="387">
        <f t="shared" si="31"/>
        <v>0</v>
      </c>
      <c r="N286" s="422">
        <f t="shared" si="32"/>
        <v>0</v>
      </c>
    </row>
    <row r="287" spans="1:14" ht="13.2" customHeight="1" x14ac:dyDescent="0.3">
      <c r="A287" s="401"/>
      <c r="B287" s="403" t="s">
        <v>1924</v>
      </c>
      <c r="C287" s="404" t="s">
        <v>652</v>
      </c>
      <c r="D287" s="404" t="s">
        <v>658</v>
      </c>
      <c r="E287" s="405" t="s">
        <v>596</v>
      </c>
      <c r="F287" s="565"/>
      <c r="G287" s="565"/>
      <c r="H287" s="565"/>
      <c r="I287" s="542"/>
      <c r="J287" s="406"/>
      <c r="K287" s="406"/>
      <c r="L287" s="469">
        <f t="shared" si="30"/>
        <v>0</v>
      </c>
      <c r="M287" s="469">
        <f t="shared" si="31"/>
        <v>0</v>
      </c>
      <c r="N287" s="470">
        <f t="shared" si="32"/>
        <v>0</v>
      </c>
    </row>
    <row r="288" spans="1:14" ht="13.2" customHeight="1" x14ac:dyDescent="0.3">
      <c r="A288" s="401"/>
      <c r="B288" s="408"/>
      <c r="C288" s="390" t="s">
        <v>652</v>
      </c>
      <c r="D288" s="390" t="s">
        <v>659</v>
      </c>
      <c r="E288" s="367" t="s">
        <v>596</v>
      </c>
      <c r="F288" s="536"/>
      <c r="G288" s="536"/>
      <c r="H288" s="536"/>
      <c r="I288" s="466"/>
      <c r="J288" s="372"/>
      <c r="K288" s="372"/>
      <c r="L288" s="387">
        <f t="shared" si="30"/>
        <v>0</v>
      </c>
      <c r="M288" s="387">
        <f t="shared" si="31"/>
        <v>0</v>
      </c>
      <c r="N288" s="422">
        <f t="shared" si="32"/>
        <v>0</v>
      </c>
    </row>
    <row r="289" spans="1:14" ht="13.2" customHeight="1" x14ac:dyDescent="0.3">
      <c r="A289" s="401"/>
      <c r="B289" s="403" t="s">
        <v>1925</v>
      </c>
      <c r="C289" s="404" t="s">
        <v>652</v>
      </c>
      <c r="D289" s="404" t="s">
        <v>630</v>
      </c>
      <c r="E289" s="405" t="s">
        <v>596</v>
      </c>
      <c r="F289" s="565"/>
      <c r="G289" s="565"/>
      <c r="H289" s="565"/>
      <c r="I289" s="542"/>
      <c r="J289" s="406"/>
      <c r="K289" s="406"/>
      <c r="L289" s="469">
        <f t="shared" si="30"/>
        <v>0</v>
      </c>
      <c r="M289" s="469">
        <f t="shared" si="31"/>
        <v>0</v>
      </c>
      <c r="N289" s="470">
        <f t="shared" si="32"/>
        <v>0</v>
      </c>
    </row>
    <row r="290" spans="1:14" ht="13.2" customHeight="1" x14ac:dyDescent="0.3">
      <c r="A290" s="410"/>
      <c r="B290" s="408"/>
      <c r="C290" s="390" t="s">
        <v>652</v>
      </c>
      <c r="D290" s="390" t="s">
        <v>1569</v>
      </c>
      <c r="E290" s="391" t="s">
        <v>596</v>
      </c>
      <c r="F290" s="566"/>
      <c r="G290" s="566"/>
      <c r="H290" s="566"/>
      <c r="I290" s="541"/>
      <c r="J290" s="409"/>
      <c r="K290" s="409"/>
      <c r="L290" s="471">
        <f t="shared" si="30"/>
        <v>0</v>
      </c>
      <c r="M290" s="471">
        <f t="shared" si="31"/>
        <v>0</v>
      </c>
      <c r="N290" s="472">
        <f t="shared" si="32"/>
        <v>0</v>
      </c>
    </row>
    <row r="291" spans="1:14" ht="13.2" customHeight="1" x14ac:dyDescent="0.3">
      <c r="A291" s="397">
        <v>9</v>
      </c>
      <c r="B291" s="398" t="s">
        <v>1577</v>
      </c>
      <c r="C291" s="371"/>
      <c r="D291" s="371"/>
      <c r="E291" s="367"/>
      <c r="F291" s="537"/>
      <c r="G291" s="537"/>
      <c r="H291" s="537"/>
      <c r="I291" s="466">
        <f t="shared" ref="I291" si="33">SUM(F291:H291)</f>
        <v>0</v>
      </c>
      <c r="J291" s="372"/>
      <c r="K291" s="406"/>
      <c r="L291" s="387">
        <f t="shared" si="30"/>
        <v>0</v>
      </c>
      <c r="M291" s="387">
        <f t="shared" si="31"/>
        <v>0</v>
      </c>
      <c r="N291" s="422">
        <f t="shared" si="32"/>
        <v>0</v>
      </c>
    </row>
    <row r="292" spans="1:14" ht="13.2" customHeight="1" x14ac:dyDescent="0.3">
      <c r="A292" s="401"/>
      <c r="B292" s="402" t="s">
        <v>1828</v>
      </c>
      <c r="C292" s="371" t="s">
        <v>650</v>
      </c>
      <c r="D292" s="371" t="s">
        <v>651</v>
      </c>
      <c r="E292" s="367" t="s">
        <v>235</v>
      </c>
      <c r="F292" s="539"/>
      <c r="G292" s="539"/>
      <c r="H292" s="539"/>
      <c r="I292" s="372">
        <f t="shared" ref="I292:I323" si="34">SUM(F292:H292)</f>
        <v>0</v>
      </c>
      <c r="J292" s="372"/>
      <c r="K292" s="372"/>
      <c r="L292" s="387">
        <f t="shared" ref="L292:L323" si="35">J292*I292</f>
        <v>0</v>
      </c>
      <c r="M292" s="387">
        <f t="shared" ref="M292:M323" si="36">K292*I292</f>
        <v>0</v>
      </c>
      <c r="N292" s="422">
        <f t="shared" ref="N292:N323" si="37">SUM(L292:M292)</f>
        <v>0</v>
      </c>
    </row>
    <row r="293" spans="1:14" ht="13.2" customHeight="1" x14ac:dyDescent="0.3">
      <c r="A293" s="401"/>
      <c r="B293" s="402"/>
      <c r="C293" s="371" t="s">
        <v>652</v>
      </c>
      <c r="D293" s="371" t="s">
        <v>651</v>
      </c>
      <c r="E293" s="367" t="s">
        <v>235</v>
      </c>
      <c r="F293" s="539"/>
      <c r="G293" s="539"/>
      <c r="H293" s="539"/>
      <c r="I293" s="372">
        <f t="shared" si="34"/>
        <v>0</v>
      </c>
      <c r="J293" s="372"/>
      <c r="K293" s="372"/>
      <c r="L293" s="387">
        <f t="shared" si="35"/>
        <v>0</v>
      </c>
      <c r="M293" s="387">
        <f t="shared" si="36"/>
        <v>0</v>
      </c>
      <c r="N293" s="422">
        <f t="shared" si="37"/>
        <v>0</v>
      </c>
    </row>
    <row r="294" spans="1:14" ht="13.2" customHeight="1" x14ac:dyDescent="0.3">
      <c r="A294" s="401"/>
      <c r="B294" s="402"/>
      <c r="C294" s="371" t="s">
        <v>652</v>
      </c>
      <c r="D294" s="371" t="s">
        <v>653</v>
      </c>
      <c r="E294" s="367" t="s">
        <v>235</v>
      </c>
      <c r="F294" s="539"/>
      <c r="G294" s="539"/>
      <c r="H294" s="539"/>
      <c r="I294" s="372">
        <f t="shared" si="34"/>
        <v>0</v>
      </c>
      <c r="J294" s="372"/>
      <c r="K294" s="372"/>
      <c r="L294" s="387">
        <f t="shared" si="35"/>
        <v>0</v>
      </c>
      <c r="M294" s="387">
        <f t="shared" si="36"/>
        <v>0</v>
      </c>
      <c r="N294" s="422">
        <f t="shared" si="37"/>
        <v>0</v>
      </c>
    </row>
    <row r="295" spans="1:14" ht="13.2" customHeight="1" x14ac:dyDescent="0.3">
      <c r="A295" s="401"/>
      <c r="B295" s="402"/>
      <c r="C295" s="371" t="s">
        <v>652</v>
      </c>
      <c r="D295" s="371" t="s">
        <v>654</v>
      </c>
      <c r="E295" s="367" t="s">
        <v>235</v>
      </c>
      <c r="F295" s="539"/>
      <c r="G295" s="539"/>
      <c r="H295" s="539"/>
      <c r="I295" s="372">
        <f t="shared" si="34"/>
        <v>0</v>
      </c>
      <c r="J295" s="372"/>
      <c r="K295" s="372"/>
      <c r="L295" s="387">
        <f t="shared" si="35"/>
        <v>0</v>
      </c>
      <c r="M295" s="387">
        <f t="shared" si="36"/>
        <v>0</v>
      </c>
      <c r="N295" s="422">
        <f t="shared" si="37"/>
        <v>0</v>
      </c>
    </row>
    <row r="296" spans="1:14" ht="13.2" customHeight="1" x14ac:dyDescent="0.3">
      <c r="A296" s="401"/>
      <c r="B296" s="402"/>
      <c r="C296" s="371" t="s">
        <v>652</v>
      </c>
      <c r="D296" s="371" t="s">
        <v>655</v>
      </c>
      <c r="E296" s="367" t="s">
        <v>235</v>
      </c>
      <c r="F296" s="539"/>
      <c r="G296" s="539"/>
      <c r="H296" s="539"/>
      <c r="I296" s="372">
        <f t="shared" si="34"/>
        <v>0</v>
      </c>
      <c r="J296" s="372"/>
      <c r="K296" s="372"/>
      <c r="L296" s="387">
        <f t="shared" si="35"/>
        <v>0</v>
      </c>
      <c r="M296" s="387">
        <f t="shared" si="36"/>
        <v>0</v>
      </c>
      <c r="N296" s="422">
        <f t="shared" si="37"/>
        <v>0</v>
      </c>
    </row>
    <row r="297" spans="1:14" ht="13.2" customHeight="1" x14ac:dyDescent="0.3">
      <c r="A297" s="401"/>
      <c r="B297" s="402"/>
      <c r="C297" s="371" t="s">
        <v>652</v>
      </c>
      <c r="D297" s="371" t="s">
        <v>656</v>
      </c>
      <c r="E297" s="367" t="s">
        <v>235</v>
      </c>
      <c r="F297" s="539"/>
      <c r="G297" s="539"/>
      <c r="H297" s="539"/>
      <c r="I297" s="372">
        <f t="shared" si="34"/>
        <v>0</v>
      </c>
      <c r="J297" s="372"/>
      <c r="K297" s="372"/>
      <c r="L297" s="387">
        <f t="shared" si="35"/>
        <v>0</v>
      </c>
      <c r="M297" s="387">
        <f t="shared" si="36"/>
        <v>0</v>
      </c>
      <c r="N297" s="422">
        <f t="shared" si="37"/>
        <v>0</v>
      </c>
    </row>
    <row r="298" spans="1:14" ht="13.2" customHeight="1" x14ac:dyDescent="0.3">
      <c r="A298" s="401"/>
      <c r="B298" s="402"/>
      <c r="C298" s="371" t="s">
        <v>652</v>
      </c>
      <c r="D298" s="371" t="s">
        <v>657</v>
      </c>
      <c r="E298" s="367" t="s">
        <v>235</v>
      </c>
      <c r="F298" s="539"/>
      <c r="G298" s="539"/>
      <c r="H298" s="539"/>
      <c r="I298" s="372">
        <f t="shared" si="34"/>
        <v>0</v>
      </c>
      <c r="J298" s="372"/>
      <c r="K298" s="372"/>
      <c r="L298" s="387">
        <f t="shared" si="35"/>
        <v>0</v>
      </c>
      <c r="M298" s="387">
        <f t="shared" si="36"/>
        <v>0</v>
      </c>
      <c r="N298" s="422">
        <f t="shared" si="37"/>
        <v>0</v>
      </c>
    </row>
    <row r="299" spans="1:14" ht="13.2" customHeight="1" x14ac:dyDescent="0.3">
      <c r="A299" s="401"/>
      <c r="B299" s="402"/>
      <c r="C299" s="371" t="s">
        <v>652</v>
      </c>
      <c r="D299" s="371" t="s">
        <v>658</v>
      </c>
      <c r="E299" s="367" t="s">
        <v>235</v>
      </c>
      <c r="F299" s="539"/>
      <c r="G299" s="539"/>
      <c r="H299" s="539"/>
      <c r="I299" s="372">
        <f t="shared" si="34"/>
        <v>0</v>
      </c>
      <c r="J299" s="372"/>
      <c r="K299" s="372"/>
      <c r="L299" s="387">
        <f t="shared" si="35"/>
        <v>0</v>
      </c>
      <c r="M299" s="387">
        <f t="shared" si="36"/>
        <v>0</v>
      </c>
      <c r="N299" s="422">
        <f t="shared" si="37"/>
        <v>0</v>
      </c>
    </row>
    <row r="300" spans="1:14" ht="13.2" customHeight="1" x14ac:dyDescent="0.3">
      <c r="A300" s="401"/>
      <c r="B300" s="402"/>
      <c r="C300" s="371" t="s">
        <v>652</v>
      </c>
      <c r="D300" s="371" t="s">
        <v>659</v>
      </c>
      <c r="E300" s="367" t="s">
        <v>235</v>
      </c>
      <c r="F300" s="539"/>
      <c r="G300" s="539"/>
      <c r="H300" s="539"/>
      <c r="I300" s="372">
        <f t="shared" si="34"/>
        <v>0</v>
      </c>
      <c r="J300" s="372"/>
      <c r="K300" s="372"/>
      <c r="L300" s="387">
        <f t="shared" si="35"/>
        <v>0</v>
      </c>
      <c r="M300" s="387">
        <f t="shared" si="36"/>
        <v>0</v>
      </c>
      <c r="N300" s="422">
        <f t="shared" si="37"/>
        <v>0</v>
      </c>
    </row>
    <row r="301" spans="1:14" ht="13.2" customHeight="1" x14ac:dyDescent="0.3">
      <c r="A301" s="401"/>
      <c r="B301" s="402"/>
      <c r="C301" s="371" t="s">
        <v>652</v>
      </c>
      <c r="D301" s="371" t="s">
        <v>660</v>
      </c>
      <c r="E301" s="367" t="s">
        <v>235</v>
      </c>
      <c r="F301" s="539"/>
      <c r="G301" s="539"/>
      <c r="H301" s="539"/>
      <c r="I301" s="372">
        <f t="shared" si="34"/>
        <v>0</v>
      </c>
      <c r="J301" s="372"/>
      <c r="K301" s="372"/>
      <c r="L301" s="387">
        <f t="shared" si="35"/>
        <v>0</v>
      </c>
      <c r="M301" s="387">
        <f t="shared" si="36"/>
        <v>0</v>
      </c>
      <c r="N301" s="422">
        <f t="shared" si="37"/>
        <v>0</v>
      </c>
    </row>
    <row r="302" spans="1:14" ht="13.2" customHeight="1" x14ac:dyDescent="0.3">
      <c r="A302" s="401"/>
      <c r="B302" s="402"/>
      <c r="C302" s="371" t="s">
        <v>652</v>
      </c>
      <c r="D302" s="371" t="s">
        <v>661</v>
      </c>
      <c r="E302" s="367" t="s">
        <v>235</v>
      </c>
      <c r="F302" s="539"/>
      <c r="G302" s="539"/>
      <c r="H302" s="539"/>
      <c r="I302" s="372">
        <f t="shared" si="34"/>
        <v>0</v>
      </c>
      <c r="J302" s="372"/>
      <c r="K302" s="372"/>
      <c r="L302" s="387">
        <f t="shared" si="35"/>
        <v>0</v>
      </c>
      <c r="M302" s="387">
        <f t="shared" si="36"/>
        <v>0</v>
      </c>
      <c r="N302" s="422">
        <f t="shared" si="37"/>
        <v>0</v>
      </c>
    </row>
    <row r="303" spans="1:14" ht="13.2" customHeight="1" x14ac:dyDescent="0.3">
      <c r="A303" s="401"/>
      <c r="B303" s="402"/>
      <c r="C303" s="371" t="s">
        <v>652</v>
      </c>
      <c r="D303" s="371" t="s">
        <v>662</v>
      </c>
      <c r="E303" s="367" t="s">
        <v>235</v>
      </c>
      <c r="F303" s="539"/>
      <c r="G303" s="539"/>
      <c r="H303" s="539"/>
      <c r="I303" s="372">
        <f t="shared" si="34"/>
        <v>0</v>
      </c>
      <c r="J303" s="372"/>
      <c r="K303" s="372"/>
      <c r="L303" s="387">
        <f t="shared" si="35"/>
        <v>0</v>
      </c>
      <c r="M303" s="387">
        <f t="shared" si="36"/>
        <v>0</v>
      </c>
      <c r="N303" s="422">
        <f t="shared" si="37"/>
        <v>0</v>
      </c>
    </row>
    <row r="304" spans="1:14" ht="13.2" customHeight="1" x14ac:dyDescent="0.3">
      <c r="A304" s="401"/>
      <c r="B304" s="402"/>
      <c r="C304" s="371" t="s">
        <v>652</v>
      </c>
      <c r="D304" s="371" t="s">
        <v>663</v>
      </c>
      <c r="E304" s="367" t="s">
        <v>235</v>
      </c>
      <c r="F304" s="539"/>
      <c r="G304" s="539"/>
      <c r="H304" s="539"/>
      <c r="I304" s="372">
        <f t="shared" si="34"/>
        <v>0</v>
      </c>
      <c r="J304" s="372"/>
      <c r="K304" s="372"/>
      <c r="L304" s="387">
        <f t="shared" si="35"/>
        <v>0</v>
      </c>
      <c r="M304" s="387">
        <f t="shared" si="36"/>
        <v>0</v>
      </c>
      <c r="N304" s="422">
        <f t="shared" si="37"/>
        <v>0</v>
      </c>
    </row>
    <row r="305" spans="1:14" ht="13.2" customHeight="1" x14ac:dyDescent="0.3">
      <c r="A305" s="401"/>
      <c r="B305" s="402"/>
      <c r="C305" s="373" t="s">
        <v>652</v>
      </c>
      <c r="D305" s="373" t="s">
        <v>664</v>
      </c>
      <c r="E305" s="374" t="s">
        <v>235</v>
      </c>
      <c r="F305" s="571"/>
      <c r="G305" s="571"/>
      <c r="H305" s="571"/>
      <c r="I305" s="375">
        <f t="shared" si="34"/>
        <v>0</v>
      </c>
      <c r="J305" s="375"/>
      <c r="K305" s="409"/>
      <c r="L305" s="399">
        <f t="shared" si="35"/>
        <v>0</v>
      </c>
      <c r="M305" s="399">
        <f t="shared" si="36"/>
        <v>0</v>
      </c>
      <c r="N305" s="400">
        <f t="shared" si="37"/>
        <v>0</v>
      </c>
    </row>
    <row r="306" spans="1:14" ht="13.2" customHeight="1" x14ac:dyDescent="0.3">
      <c r="A306" s="401"/>
      <c r="B306" s="403" t="s">
        <v>1824</v>
      </c>
      <c r="C306" s="404" t="s">
        <v>652</v>
      </c>
      <c r="D306" s="404" t="s">
        <v>655</v>
      </c>
      <c r="E306" s="405" t="s">
        <v>235</v>
      </c>
      <c r="F306" s="576"/>
      <c r="G306" s="576"/>
      <c r="H306" s="576"/>
      <c r="I306" s="406">
        <f t="shared" si="34"/>
        <v>0</v>
      </c>
      <c r="J306" s="406"/>
      <c r="K306" s="406"/>
      <c r="L306" s="469">
        <f t="shared" si="35"/>
        <v>0</v>
      </c>
      <c r="M306" s="469">
        <f t="shared" si="36"/>
        <v>0</v>
      </c>
      <c r="N306" s="470">
        <f t="shared" si="37"/>
        <v>0</v>
      </c>
    </row>
    <row r="307" spans="1:14" ht="13.2" customHeight="1" x14ac:dyDescent="0.3">
      <c r="A307" s="401"/>
      <c r="B307" s="407"/>
      <c r="C307" s="371" t="s">
        <v>652</v>
      </c>
      <c r="D307" s="371" t="s">
        <v>656</v>
      </c>
      <c r="E307" s="367" t="s">
        <v>235</v>
      </c>
      <c r="F307" s="539"/>
      <c r="G307" s="539"/>
      <c r="H307" s="539"/>
      <c r="I307" s="372">
        <f t="shared" si="34"/>
        <v>0</v>
      </c>
      <c r="J307" s="372"/>
      <c r="K307" s="372"/>
      <c r="L307" s="387">
        <f t="shared" si="35"/>
        <v>0</v>
      </c>
      <c r="M307" s="387">
        <f t="shared" si="36"/>
        <v>0</v>
      </c>
      <c r="N307" s="422">
        <f t="shared" si="37"/>
        <v>0</v>
      </c>
    </row>
    <row r="308" spans="1:14" ht="13.2" customHeight="1" x14ac:dyDescent="0.3">
      <c r="A308" s="401"/>
      <c r="B308" s="408"/>
      <c r="C308" s="390" t="s">
        <v>652</v>
      </c>
      <c r="D308" s="390" t="s">
        <v>657</v>
      </c>
      <c r="E308" s="391" t="s">
        <v>235</v>
      </c>
      <c r="F308" s="577"/>
      <c r="G308" s="577"/>
      <c r="H308" s="577"/>
      <c r="I308" s="409">
        <f t="shared" si="34"/>
        <v>0</v>
      </c>
      <c r="J308" s="409"/>
      <c r="K308" s="409"/>
      <c r="L308" s="471">
        <f t="shared" si="35"/>
        <v>0</v>
      </c>
      <c r="M308" s="471">
        <f t="shared" si="36"/>
        <v>0</v>
      </c>
      <c r="N308" s="472">
        <f t="shared" si="37"/>
        <v>0</v>
      </c>
    </row>
    <row r="309" spans="1:14" ht="13.2" customHeight="1" x14ac:dyDescent="0.3">
      <c r="A309" s="401"/>
      <c r="B309" s="403" t="s">
        <v>1825</v>
      </c>
      <c r="C309" s="404" t="s">
        <v>652</v>
      </c>
      <c r="D309" s="371" t="s">
        <v>662</v>
      </c>
      <c r="E309" s="405" t="s">
        <v>235</v>
      </c>
      <c r="F309" s="576"/>
      <c r="G309" s="576"/>
      <c r="H309" s="576"/>
      <c r="I309" s="406">
        <f t="shared" si="34"/>
        <v>0</v>
      </c>
      <c r="J309" s="406"/>
      <c r="K309" s="406"/>
      <c r="L309" s="469">
        <f t="shared" si="35"/>
        <v>0</v>
      </c>
      <c r="M309" s="469">
        <f t="shared" si="36"/>
        <v>0</v>
      </c>
      <c r="N309" s="470">
        <f t="shared" si="37"/>
        <v>0</v>
      </c>
    </row>
    <row r="310" spans="1:14" ht="13.2" customHeight="1" x14ac:dyDescent="0.3">
      <c r="A310" s="401"/>
      <c r="B310" s="407"/>
      <c r="C310" s="373" t="s">
        <v>652</v>
      </c>
      <c r="D310" s="373" t="s">
        <v>663</v>
      </c>
      <c r="E310" s="374" t="s">
        <v>235</v>
      </c>
      <c r="F310" s="539"/>
      <c r="G310" s="539"/>
      <c r="H310" s="539"/>
      <c r="I310" s="372">
        <f t="shared" si="34"/>
        <v>0</v>
      </c>
      <c r="J310" s="372"/>
      <c r="K310" s="409"/>
      <c r="L310" s="387">
        <f t="shared" si="35"/>
        <v>0</v>
      </c>
      <c r="M310" s="387">
        <f t="shared" si="36"/>
        <v>0</v>
      </c>
      <c r="N310" s="422">
        <f t="shared" si="37"/>
        <v>0</v>
      </c>
    </row>
    <row r="311" spans="1:14" ht="13.2" customHeight="1" x14ac:dyDescent="0.3">
      <c r="A311" s="401"/>
      <c r="B311" s="403" t="s">
        <v>1826</v>
      </c>
      <c r="C311" s="404" t="s">
        <v>652</v>
      </c>
      <c r="D311" s="404" t="s">
        <v>658</v>
      </c>
      <c r="E311" s="405" t="s">
        <v>235</v>
      </c>
      <c r="F311" s="576"/>
      <c r="G311" s="576"/>
      <c r="H311" s="576"/>
      <c r="I311" s="406">
        <f t="shared" si="34"/>
        <v>0</v>
      </c>
      <c r="J311" s="406"/>
      <c r="K311" s="406"/>
      <c r="L311" s="469">
        <f t="shared" si="35"/>
        <v>0</v>
      </c>
      <c r="M311" s="469">
        <f t="shared" si="36"/>
        <v>0</v>
      </c>
      <c r="N311" s="470">
        <f t="shared" si="37"/>
        <v>0</v>
      </c>
    </row>
    <row r="312" spans="1:14" ht="13.2" customHeight="1" x14ac:dyDescent="0.3">
      <c r="A312" s="401"/>
      <c r="B312" s="407"/>
      <c r="C312" s="390" t="s">
        <v>652</v>
      </c>
      <c r="D312" s="390" t="s">
        <v>659</v>
      </c>
      <c r="E312" s="391" t="s">
        <v>235</v>
      </c>
      <c r="F312" s="539"/>
      <c r="G312" s="539"/>
      <c r="H312" s="539"/>
      <c r="I312" s="372">
        <f t="shared" si="34"/>
        <v>0</v>
      </c>
      <c r="J312" s="372"/>
      <c r="K312" s="409"/>
      <c r="L312" s="387">
        <f t="shared" si="35"/>
        <v>0</v>
      </c>
      <c r="M312" s="387">
        <f t="shared" si="36"/>
        <v>0</v>
      </c>
      <c r="N312" s="422">
        <f t="shared" si="37"/>
        <v>0</v>
      </c>
    </row>
    <row r="313" spans="1:14" ht="13.2" customHeight="1" x14ac:dyDescent="0.3">
      <c r="A313" s="401"/>
      <c r="B313" s="403" t="s">
        <v>1827</v>
      </c>
      <c r="C313" s="404" t="s">
        <v>652</v>
      </c>
      <c r="D313" s="404" t="s">
        <v>630</v>
      </c>
      <c r="E313" s="405" t="s">
        <v>235</v>
      </c>
      <c r="F313" s="576"/>
      <c r="G313" s="576"/>
      <c r="H313" s="576"/>
      <c r="I313" s="406">
        <f t="shared" si="34"/>
        <v>0</v>
      </c>
      <c r="J313" s="406"/>
      <c r="K313" s="369"/>
      <c r="L313" s="469">
        <f t="shared" si="35"/>
        <v>0</v>
      </c>
      <c r="M313" s="469">
        <f t="shared" si="36"/>
        <v>0</v>
      </c>
      <c r="N313" s="470">
        <f t="shared" si="37"/>
        <v>0</v>
      </c>
    </row>
    <row r="314" spans="1:14" ht="13.2" customHeight="1" x14ac:dyDescent="0.3">
      <c r="A314" s="410"/>
      <c r="B314" s="408"/>
      <c r="C314" s="390" t="s">
        <v>652</v>
      </c>
      <c r="D314" s="390" t="s">
        <v>1569</v>
      </c>
      <c r="E314" s="391" t="s">
        <v>235</v>
      </c>
      <c r="F314" s="577"/>
      <c r="G314" s="577"/>
      <c r="H314" s="577"/>
      <c r="I314" s="409">
        <f t="shared" si="34"/>
        <v>0</v>
      </c>
      <c r="J314" s="409"/>
      <c r="K314" s="409"/>
      <c r="L314" s="471">
        <f t="shared" si="35"/>
        <v>0</v>
      </c>
      <c r="M314" s="471">
        <f t="shared" si="36"/>
        <v>0</v>
      </c>
      <c r="N314" s="472">
        <f t="shared" si="37"/>
        <v>0</v>
      </c>
    </row>
    <row r="315" spans="1:14" ht="13.2" customHeight="1" x14ac:dyDescent="0.3">
      <c r="A315" s="397">
        <v>8</v>
      </c>
      <c r="B315" s="398" t="s">
        <v>1576</v>
      </c>
      <c r="C315" s="371"/>
      <c r="D315" s="371"/>
      <c r="E315" s="367"/>
      <c r="F315" s="527"/>
      <c r="G315" s="527"/>
      <c r="H315" s="527"/>
      <c r="I315" s="372">
        <f t="shared" si="34"/>
        <v>0</v>
      </c>
      <c r="J315" s="372"/>
      <c r="K315" s="369"/>
      <c r="L315" s="387">
        <f t="shared" si="35"/>
        <v>0</v>
      </c>
      <c r="M315" s="387">
        <f t="shared" si="36"/>
        <v>0</v>
      </c>
      <c r="N315" s="422">
        <f t="shared" si="37"/>
        <v>0</v>
      </c>
    </row>
    <row r="316" spans="1:14" ht="13.2" customHeight="1" x14ac:dyDescent="0.3">
      <c r="A316" s="401"/>
      <c r="B316" s="402" t="s">
        <v>1828</v>
      </c>
      <c r="C316" s="371" t="s">
        <v>650</v>
      </c>
      <c r="D316" s="371" t="s">
        <v>651</v>
      </c>
      <c r="E316" s="367" t="s">
        <v>235</v>
      </c>
      <c r="F316" s="539"/>
      <c r="G316" s="539"/>
      <c r="H316" s="539"/>
      <c r="I316" s="372">
        <f t="shared" si="34"/>
        <v>0</v>
      </c>
      <c r="J316" s="372"/>
      <c r="K316" s="372"/>
      <c r="L316" s="387">
        <f t="shared" si="35"/>
        <v>0</v>
      </c>
      <c r="M316" s="387">
        <f t="shared" si="36"/>
        <v>0</v>
      </c>
      <c r="N316" s="422">
        <f t="shared" si="37"/>
        <v>0</v>
      </c>
    </row>
    <row r="317" spans="1:14" ht="13.2" customHeight="1" x14ac:dyDescent="0.3">
      <c r="A317" s="401"/>
      <c r="B317" s="402"/>
      <c r="C317" s="371" t="s">
        <v>652</v>
      </c>
      <c r="D317" s="371" t="s">
        <v>651</v>
      </c>
      <c r="E317" s="367" t="s">
        <v>235</v>
      </c>
      <c r="F317" s="539"/>
      <c r="G317" s="539"/>
      <c r="H317" s="539"/>
      <c r="I317" s="372">
        <f t="shared" si="34"/>
        <v>0</v>
      </c>
      <c r="J317" s="372"/>
      <c r="K317" s="372"/>
      <c r="L317" s="387">
        <f t="shared" si="35"/>
        <v>0</v>
      </c>
      <c r="M317" s="387">
        <f t="shared" si="36"/>
        <v>0</v>
      </c>
      <c r="N317" s="422">
        <f t="shared" si="37"/>
        <v>0</v>
      </c>
    </row>
    <row r="318" spans="1:14" ht="13.2" customHeight="1" x14ac:dyDescent="0.3">
      <c r="A318" s="401"/>
      <c r="B318" s="402"/>
      <c r="C318" s="371" t="s">
        <v>652</v>
      </c>
      <c r="D318" s="371" t="s">
        <v>653</v>
      </c>
      <c r="E318" s="367" t="s">
        <v>235</v>
      </c>
      <c r="F318" s="539"/>
      <c r="G318" s="539"/>
      <c r="H318" s="539"/>
      <c r="I318" s="372">
        <f t="shared" si="34"/>
        <v>0</v>
      </c>
      <c r="J318" s="372"/>
      <c r="K318" s="372"/>
      <c r="L318" s="387">
        <f t="shared" si="35"/>
        <v>0</v>
      </c>
      <c r="M318" s="387">
        <f t="shared" si="36"/>
        <v>0</v>
      </c>
      <c r="N318" s="422">
        <f t="shared" si="37"/>
        <v>0</v>
      </c>
    </row>
    <row r="319" spans="1:14" ht="13.2" customHeight="1" x14ac:dyDescent="0.3">
      <c r="A319" s="401"/>
      <c r="B319" s="402"/>
      <c r="C319" s="371" t="s">
        <v>652</v>
      </c>
      <c r="D319" s="371" t="s">
        <v>654</v>
      </c>
      <c r="E319" s="367" t="s">
        <v>235</v>
      </c>
      <c r="F319" s="539"/>
      <c r="G319" s="539"/>
      <c r="H319" s="539"/>
      <c r="I319" s="372">
        <f t="shared" si="34"/>
        <v>0</v>
      </c>
      <c r="J319" s="372"/>
      <c r="K319" s="372"/>
      <c r="L319" s="387">
        <f t="shared" si="35"/>
        <v>0</v>
      </c>
      <c r="M319" s="387">
        <f t="shared" si="36"/>
        <v>0</v>
      </c>
      <c r="N319" s="422">
        <f t="shared" si="37"/>
        <v>0</v>
      </c>
    </row>
    <row r="320" spans="1:14" ht="13.2" customHeight="1" x14ac:dyDescent="0.3">
      <c r="A320" s="401"/>
      <c r="B320" s="402"/>
      <c r="C320" s="371" t="s">
        <v>652</v>
      </c>
      <c r="D320" s="371" t="s">
        <v>655</v>
      </c>
      <c r="E320" s="367" t="s">
        <v>235</v>
      </c>
      <c r="F320" s="539"/>
      <c r="G320" s="539"/>
      <c r="H320" s="539"/>
      <c r="I320" s="372">
        <f t="shared" si="34"/>
        <v>0</v>
      </c>
      <c r="J320" s="372"/>
      <c r="K320" s="372"/>
      <c r="L320" s="387">
        <f t="shared" si="35"/>
        <v>0</v>
      </c>
      <c r="M320" s="387">
        <f t="shared" si="36"/>
        <v>0</v>
      </c>
      <c r="N320" s="422">
        <f t="shared" si="37"/>
        <v>0</v>
      </c>
    </row>
    <row r="321" spans="1:14" ht="13.2" customHeight="1" x14ac:dyDescent="0.3">
      <c r="A321" s="401"/>
      <c r="B321" s="402"/>
      <c r="C321" s="371" t="s">
        <v>652</v>
      </c>
      <c r="D321" s="371" t="s">
        <v>656</v>
      </c>
      <c r="E321" s="367" t="s">
        <v>235</v>
      </c>
      <c r="F321" s="539"/>
      <c r="G321" s="539"/>
      <c r="H321" s="539"/>
      <c r="I321" s="372">
        <f t="shared" si="34"/>
        <v>0</v>
      </c>
      <c r="J321" s="372"/>
      <c r="K321" s="372"/>
      <c r="L321" s="387">
        <f t="shared" si="35"/>
        <v>0</v>
      </c>
      <c r="M321" s="387">
        <f t="shared" si="36"/>
        <v>0</v>
      </c>
      <c r="N321" s="422">
        <f t="shared" si="37"/>
        <v>0</v>
      </c>
    </row>
    <row r="322" spans="1:14" ht="13.2" customHeight="1" x14ac:dyDescent="0.3">
      <c r="A322" s="401"/>
      <c r="B322" s="402"/>
      <c r="C322" s="371" t="s">
        <v>652</v>
      </c>
      <c r="D322" s="371" t="s">
        <v>657</v>
      </c>
      <c r="E322" s="367" t="s">
        <v>235</v>
      </c>
      <c r="F322" s="539"/>
      <c r="G322" s="539"/>
      <c r="H322" s="539"/>
      <c r="I322" s="372">
        <f t="shared" si="34"/>
        <v>0</v>
      </c>
      <c r="J322" s="372"/>
      <c r="K322" s="372"/>
      <c r="L322" s="387">
        <f t="shared" si="35"/>
        <v>0</v>
      </c>
      <c r="M322" s="387">
        <f t="shared" si="36"/>
        <v>0</v>
      </c>
      <c r="N322" s="422">
        <f t="shared" si="37"/>
        <v>0</v>
      </c>
    </row>
    <row r="323" spans="1:14" ht="13.2" customHeight="1" x14ac:dyDescent="0.3">
      <c r="A323" s="401"/>
      <c r="B323" s="402"/>
      <c r="C323" s="371" t="s">
        <v>652</v>
      </c>
      <c r="D323" s="371" t="s">
        <v>658</v>
      </c>
      <c r="E323" s="367" t="s">
        <v>235</v>
      </c>
      <c r="F323" s="539"/>
      <c r="G323" s="539"/>
      <c r="H323" s="539"/>
      <c r="I323" s="372">
        <f t="shared" si="34"/>
        <v>0</v>
      </c>
      <c r="J323" s="372"/>
      <c r="K323" s="372"/>
      <c r="L323" s="387">
        <f t="shared" si="35"/>
        <v>0</v>
      </c>
      <c r="M323" s="387">
        <f t="shared" si="36"/>
        <v>0</v>
      </c>
      <c r="N323" s="422">
        <f t="shared" si="37"/>
        <v>0</v>
      </c>
    </row>
    <row r="324" spans="1:14" ht="13.2" customHeight="1" x14ac:dyDescent="0.3">
      <c r="A324" s="401"/>
      <c r="B324" s="402"/>
      <c r="C324" s="371" t="s">
        <v>652</v>
      </c>
      <c r="D324" s="371" t="s">
        <v>659</v>
      </c>
      <c r="E324" s="367" t="s">
        <v>235</v>
      </c>
      <c r="F324" s="539"/>
      <c r="G324" s="539"/>
      <c r="H324" s="539"/>
      <c r="I324" s="372">
        <f t="shared" ref="I324:I355" si="38">SUM(F324:H324)</f>
        <v>0</v>
      </c>
      <c r="J324" s="372"/>
      <c r="K324" s="372"/>
      <c r="L324" s="387">
        <f t="shared" ref="L324:L355" si="39">J324*I324</f>
        <v>0</v>
      </c>
      <c r="M324" s="387">
        <f t="shared" ref="M324:M355" si="40">K324*I324</f>
        <v>0</v>
      </c>
      <c r="N324" s="422">
        <f t="shared" ref="N324:N355" si="41">SUM(L324:M324)</f>
        <v>0</v>
      </c>
    </row>
    <row r="325" spans="1:14" ht="13.2" customHeight="1" x14ac:dyDescent="0.3">
      <c r="A325" s="401"/>
      <c r="B325" s="402"/>
      <c r="C325" s="371" t="s">
        <v>652</v>
      </c>
      <c r="D325" s="371" t="s">
        <v>660</v>
      </c>
      <c r="E325" s="367" t="s">
        <v>235</v>
      </c>
      <c r="F325" s="539"/>
      <c r="G325" s="539"/>
      <c r="H325" s="539"/>
      <c r="I325" s="372">
        <f t="shared" si="38"/>
        <v>0</v>
      </c>
      <c r="J325" s="372"/>
      <c r="K325" s="372"/>
      <c r="L325" s="387">
        <f t="shared" si="39"/>
        <v>0</v>
      </c>
      <c r="M325" s="387">
        <f t="shared" si="40"/>
        <v>0</v>
      </c>
      <c r="N325" s="422">
        <f t="shared" si="41"/>
        <v>0</v>
      </c>
    </row>
    <row r="326" spans="1:14" ht="13.2" customHeight="1" x14ac:dyDescent="0.3">
      <c r="A326" s="401"/>
      <c r="B326" s="402"/>
      <c r="C326" s="371" t="s">
        <v>652</v>
      </c>
      <c r="D326" s="371" t="s">
        <v>661</v>
      </c>
      <c r="E326" s="367" t="s">
        <v>235</v>
      </c>
      <c r="F326" s="539"/>
      <c r="G326" s="539"/>
      <c r="H326" s="539"/>
      <c r="I326" s="372">
        <f t="shared" si="38"/>
        <v>0</v>
      </c>
      <c r="J326" s="372"/>
      <c r="K326" s="372"/>
      <c r="L326" s="387">
        <f t="shared" si="39"/>
        <v>0</v>
      </c>
      <c r="M326" s="387">
        <f t="shared" si="40"/>
        <v>0</v>
      </c>
      <c r="N326" s="422">
        <f t="shared" si="41"/>
        <v>0</v>
      </c>
    </row>
    <row r="327" spans="1:14" ht="13.2" customHeight="1" x14ac:dyDescent="0.3">
      <c r="A327" s="401"/>
      <c r="B327" s="402"/>
      <c r="C327" s="371" t="s">
        <v>652</v>
      </c>
      <c r="D327" s="371" t="s">
        <v>662</v>
      </c>
      <c r="E327" s="367" t="s">
        <v>235</v>
      </c>
      <c r="F327" s="539"/>
      <c r="G327" s="539"/>
      <c r="H327" s="539"/>
      <c r="I327" s="372">
        <f t="shared" si="38"/>
        <v>0</v>
      </c>
      <c r="J327" s="372"/>
      <c r="K327" s="372"/>
      <c r="L327" s="387">
        <f t="shared" si="39"/>
        <v>0</v>
      </c>
      <c r="M327" s="387">
        <f t="shared" si="40"/>
        <v>0</v>
      </c>
      <c r="N327" s="422">
        <f t="shared" si="41"/>
        <v>0</v>
      </c>
    </row>
    <row r="328" spans="1:14" ht="13.2" customHeight="1" x14ac:dyDescent="0.3">
      <c r="A328" s="401"/>
      <c r="B328" s="402"/>
      <c r="C328" s="371" t="s">
        <v>652</v>
      </c>
      <c r="D328" s="371" t="s">
        <v>663</v>
      </c>
      <c r="E328" s="367" t="s">
        <v>235</v>
      </c>
      <c r="F328" s="539"/>
      <c r="G328" s="539"/>
      <c r="H328" s="539"/>
      <c r="I328" s="372">
        <f t="shared" si="38"/>
        <v>0</v>
      </c>
      <c r="J328" s="372"/>
      <c r="K328" s="372"/>
      <c r="L328" s="387">
        <f t="shared" si="39"/>
        <v>0</v>
      </c>
      <c r="M328" s="387">
        <f t="shared" si="40"/>
        <v>0</v>
      </c>
      <c r="N328" s="422">
        <f t="shared" si="41"/>
        <v>0</v>
      </c>
    </row>
    <row r="329" spans="1:14" ht="13.2" customHeight="1" x14ac:dyDescent="0.3">
      <c r="A329" s="401"/>
      <c r="B329" s="402"/>
      <c r="C329" s="373" t="s">
        <v>652</v>
      </c>
      <c r="D329" s="373" t="s">
        <v>664</v>
      </c>
      <c r="E329" s="374" t="s">
        <v>235</v>
      </c>
      <c r="F329" s="571"/>
      <c r="G329" s="571"/>
      <c r="H329" s="571"/>
      <c r="I329" s="375">
        <f t="shared" si="38"/>
        <v>0</v>
      </c>
      <c r="J329" s="375"/>
      <c r="K329" s="375"/>
      <c r="L329" s="399">
        <f t="shared" si="39"/>
        <v>0</v>
      </c>
      <c r="M329" s="399">
        <f t="shared" si="40"/>
        <v>0</v>
      </c>
      <c r="N329" s="400">
        <f t="shared" si="41"/>
        <v>0</v>
      </c>
    </row>
    <row r="330" spans="1:14" ht="13.2" customHeight="1" x14ac:dyDescent="0.3">
      <c r="A330" s="401"/>
      <c r="B330" s="403" t="s">
        <v>1824</v>
      </c>
      <c r="C330" s="404" t="s">
        <v>652</v>
      </c>
      <c r="D330" s="404" t="s">
        <v>655</v>
      </c>
      <c r="E330" s="405" t="s">
        <v>235</v>
      </c>
      <c r="F330" s="576"/>
      <c r="G330" s="576"/>
      <c r="H330" s="576"/>
      <c r="I330" s="406">
        <f t="shared" si="38"/>
        <v>0</v>
      </c>
      <c r="J330" s="406"/>
      <c r="K330" s="406"/>
      <c r="L330" s="469">
        <f t="shared" si="39"/>
        <v>0</v>
      </c>
      <c r="M330" s="469">
        <f t="shared" si="40"/>
        <v>0</v>
      </c>
      <c r="N330" s="470">
        <f t="shared" si="41"/>
        <v>0</v>
      </c>
    </row>
    <row r="331" spans="1:14" ht="13.2" customHeight="1" x14ac:dyDescent="0.3">
      <c r="A331" s="401"/>
      <c r="B331" s="407"/>
      <c r="C331" s="371" t="s">
        <v>652</v>
      </c>
      <c r="D331" s="371" t="s">
        <v>656</v>
      </c>
      <c r="E331" s="367" t="s">
        <v>235</v>
      </c>
      <c r="F331" s="539"/>
      <c r="G331" s="539"/>
      <c r="H331" s="539"/>
      <c r="I331" s="372">
        <f t="shared" si="38"/>
        <v>0</v>
      </c>
      <c r="J331" s="372"/>
      <c r="K331" s="372"/>
      <c r="L331" s="387">
        <f t="shared" si="39"/>
        <v>0</v>
      </c>
      <c r="M331" s="387">
        <f t="shared" si="40"/>
        <v>0</v>
      </c>
      <c r="N331" s="422">
        <f t="shared" si="41"/>
        <v>0</v>
      </c>
    </row>
    <row r="332" spans="1:14" ht="13.2" customHeight="1" x14ac:dyDescent="0.3">
      <c r="A332" s="401"/>
      <c r="B332" s="408"/>
      <c r="C332" s="390" t="s">
        <v>652</v>
      </c>
      <c r="D332" s="390" t="s">
        <v>657</v>
      </c>
      <c r="E332" s="391" t="s">
        <v>235</v>
      </c>
      <c r="F332" s="577"/>
      <c r="G332" s="577"/>
      <c r="H332" s="577"/>
      <c r="I332" s="409">
        <f t="shared" si="38"/>
        <v>0</v>
      </c>
      <c r="J332" s="409"/>
      <c r="K332" s="409"/>
      <c r="L332" s="471">
        <f t="shared" si="39"/>
        <v>0</v>
      </c>
      <c r="M332" s="471">
        <f t="shared" si="40"/>
        <v>0</v>
      </c>
      <c r="N332" s="472">
        <f t="shared" si="41"/>
        <v>0</v>
      </c>
    </row>
    <row r="333" spans="1:14" ht="13.2" customHeight="1" x14ac:dyDescent="0.3">
      <c r="A333" s="401"/>
      <c r="B333" s="403" t="s">
        <v>1825</v>
      </c>
      <c r="C333" s="404" t="s">
        <v>652</v>
      </c>
      <c r="D333" s="371" t="s">
        <v>662</v>
      </c>
      <c r="E333" s="405" t="s">
        <v>235</v>
      </c>
      <c r="F333" s="576"/>
      <c r="G333" s="576"/>
      <c r="H333" s="576"/>
      <c r="I333" s="406">
        <f t="shared" si="38"/>
        <v>0</v>
      </c>
      <c r="J333" s="406"/>
      <c r="K333" s="406"/>
      <c r="L333" s="469">
        <f t="shared" si="39"/>
        <v>0</v>
      </c>
      <c r="M333" s="469">
        <f t="shared" si="40"/>
        <v>0</v>
      </c>
      <c r="N333" s="470">
        <f t="shared" si="41"/>
        <v>0</v>
      </c>
    </row>
    <row r="334" spans="1:14" ht="13.2" customHeight="1" x14ac:dyDescent="0.3">
      <c r="A334" s="401"/>
      <c r="B334" s="407"/>
      <c r="C334" s="371" t="s">
        <v>652</v>
      </c>
      <c r="D334" s="371" t="s">
        <v>663</v>
      </c>
      <c r="E334" s="367" t="s">
        <v>235</v>
      </c>
      <c r="F334" s="539"/>
      <c r="G334" s="539"/>
      <c r="H334" s="539"/>
      <c r="I334" s="372">
        <f t="shared" si="38"/>
        <v>0</v>
      </c>
      <c r="J334" s="372"/>
      <c r="K334" s="409"/>
      <c r="L334" s="387">
        <f t="shared" si="39"/>
        <v>0</v>
      </c>
      <c r="M334" s="387">
        <f t="shared" si="40"/>
        <v>0</v>
      </c>
      <c r="N334" s="422">
        <f t="shared" si="41"/>
        <v>0</v>
      </c>
    </row>
    <row r="335" spans="1:14" ht="13.2" customHeight="1" x14ac:dyDescent="0.3">
      <c r="A335" s="401"/>
      <c r="B335" s="403" t="s">
        <v>1826</v>
      </c>
      <c r="C335" s="404" t="s">
        <v>652</v>
      </c>
      <c r="D335" s="371" t="s">
        <v>658</v>
      </c>
      <c r="E335" s="405" t="s">
        <v>235</v>
      </c>
      <c r="F335" s="576"/>
      <c r="G335" s="576"/>
      <c r="H335" s="576"/>
      <c r="I335" s="406">
        <f t="shared" si="38"/>
        <v>0</v>
      </c>
      <c r="J335" s="406"/>
      <c r="K335" s="406"/>
      <c r="L335" s="469">
        <f t="shared" si="39"/>
        <v>0</v>
      </c>
      <c r="M335" s="469">
        <f t="shared" si="40"/>
        <v>0</v>
      </c>
      <c r="N335" s="470">
        <f t="shared" si="41"/>
        <v>0</v>
      </c>
    </row>
    <row r="336" spans="1:14" ht="13.2" customHeight="1" x14ac:dyDescent="0.3">
      <c r="A336" s="401"/>
      <c r="B336" s="407"/>
      <c r="C336" s="371" t="s">
        <v>652</v>
      </c>
      <c r="D336" s="371" t="s">
        <v>659</v>
      </c>
      <c r="E336" s="367" t="s">
        <v>235</v>
      </c>
      <c r="F336" s="539"/>
      <c r="G336" s="539"/>
      <c r="H336" s="539"/>
      <c r="I336" s="372">
        <f t="shared" si="38"/>
        <v>0</v>
      </c>
      <c r="J336" s="372"/>
      <c r="K336" s="409"/>
      <c r="L336" s="387">
        <f t="shared" si="39"/>
        <v>0</v>
      </c>
      <c r="M336" s="387">
        <f t="shared" si="40"/>
        <v>0</v>
      </c>
      <c r="N336" s="422">
        <f t="shared" si="41"/>
        <v>0</v>
      </c>
    </row>
    <row r="337" spans="1:14" ht="13.2" customHeight="1" x14ac:dyDescent="0.3">
      <c r="A337" s="401"/>
      <c r="B337" s="403" t="s">
        <v>1827</v>
      </c>
      <c r="C337" s="404" t="s">
        <v>652</v>
      </c>
      <c r="D337" s="404" t="s">
        <v>630</v>
      </c>
      <c r="E337" s="405" t="s">
        <v>235</v>
      </c>
      <c r="F337" s="576"/>
      <c r="G337" s="576"/>
      <c r="H337" s="576"/>
      <c r="I337" s="406">
        <f t="shared" si="38"/>
        <v>0</v>
      </c>
      <c r="J337" s="406"/>
      <c r="K337" s="369"/>
      <c r="L337" s="469">
        <f t="shared" si="39"/>
        <v>0</v>
      </c>
      <c r="M337" s="469">
        <f t="shared" si="40"/>
        <v>0</v>
      </c>
      <c r="N337" s="470">
        <f t="shared" si="41"/>
        <v>0</v>
      </c>
    </row>
    <row r="338" spans="1:14" ht="13.2" customHeight="1" x14ac:dyDescent="0.3">
      <c r="A338" s="410"/>
      <c r="B338" s="408"/>
      <c r="C338" s="390" t="s">
        <v>652</v>
      </c>
      <c r="D338" s="390" t="s">
        <v>1569</v>
      </c>
      <c r="E338" s="391" t="s">
        <v>235</v>
      </c>
      <c r="F338" s="577"/>
      <c r="G338" s="577"/>
      <c r="H338" s="577"/>
      <c r="I338" s="409">
        <f t="shared" si="38"/>
        <v>0</v>
      </c>
      <c r="J338" s="409"/>
      <c r="K338" s="409"/>
      <c r="L338" s="471">
        <f t="shared" si="39"/>
        <v>0</v>
      </c>
      <c r="M338" s="471">
        <f t="shared" si="40"/>
        <v>0</v>
      </c>
      <c r="N338" s="472">
        <f t="shared" si="41"/>
        <v>0</v>
      </c>
    </row>
    <row r="339" spans="1:14" ht="13.2" customHeight="1" x14ac:dyDescent="0.3">
      <c r="A339" s="397">
        <v>7</v>
      </c>
      <c r="B339" s="398" t="s">
        <v>1575</v>
      </c>
      <c r="C339" s="371"/>
      <c r="D339" s="371"/>
      <c r="E339" s="367"/>
      <c r="F339" s="527"/>
      <c r="G339" s="527"/>
      <c r="H339" s="527"/>
      <c r="I339" s="372">
        <f t="shared" si="38"/>
        <v>0</v>
      </c>
      <c r="J339" s="372"/>
      <c r="K339" s="372"/>
      <c r="L339" s="387">
        <f t="shared" si="39"/>
        <v>0</v>
      </c>
      <c r="M339" s="387">
        <f t="shared" si="40"/>
        <v>0</v>
      </c>
      <c r="N339" s="422">
        <f t="shared" si="41"/>
        <v>0</v>
      </c>
    </row>
    <row r="340" spans="1:14" ht="13.2" customHeight="1" x14ac:dyDescent="0.3">
      <c r="A340" s="401"/>
      <c r="B340" s="402" t="s">
        <v>1828</v>
      </c>
      <c r="C340" s="371" t="s">
        <v>650</v>
      </c>
      <c r="D340" s="371" t="s">
        <v>651</v>
      </c>
      <c r="E340" s="367" t="s">
        <v>235</v>
      </c>
      <c r="F340" s="539"/>
      <c r="G340" s="539"/>
      <c r="H340" s="539"/>
      <c r="I340" s="372">
        <f t="shared" si="38"/>
        <v>0</v>
      </c>
      <c r="J340" s="372"/>
      <c r="K340" s="372"/>
      <c r="L340" s="387">
        <f t="shared" si="39"/>
        <v>0</v>
      </c>
      <c r="M340" s="387">
        <f t="shared" si="40"/>
        <v>0</v>
      </c>
      <c r="N340" s="422">
        <f t="shared" si="41"/>
        <v>0</v>
      </c>
    </row>
    <row r="341" spans="1:14" ht="13.2" customHeight="1" x14ac:dyDescent="0.3">
      <c r="A341" s="401"/>
      <c r="B341" s="402"/>
      <c r="C341" s="371" t="s">
        <v>652</v>
      </c>
      <c r="D341" s="371" t="s">
        <v>651</v>
      </c>
      <c r="E341" s="367" t="s">
        <v>235</v>
      </c>
      <c r="F341" s="539"/>
      <c r="G341" s="539"/>
      <c r="H341" s="539"/>
      <c r="I341" s="372">
        <f t="shared" si="38"/>
        <v>0</v>
      </c>
      <c r="J341" s="372"/>
      <c r="K341" s="372"/>
      <c r="L341" s="387">
        <f t="shared" si="39"/>
        <v>0</v>
      </c>
      <c r="M341" s="387">
        <f t="shared" si="40"/>
        <v>0</v>
      </c>
      <c r="N341" s="422">
        <f t="shared" si="41"/>
        <v>0</v>
      </c>
    </row>
    <row r="342" spans="1:14" ht="13.2" customHeight="1" x14ac:dyDescent="0.3">
      <c r="A342" s="401"/>
      <c r="B342" s="402"/>
      <c r="C342" s="371" t="s">
        <v>652</v>
      </c>
      <c r="D342" s="371" t="s">
        <v>653</v>
      </c>
      <c r="E342" s="367" t="s">
        <v>235</v>
      </c>
      <c r="F342" s="539"/>
      <c r="G342" s="539"/>
      <c r="H342" s="539"/>
      <c r="I342" s="372">
        <f t="shared" si="38"/>
        <v>0</v>
      </c>
      <c r="J342" s="372"/>
      <c r="K342" s="372"/>
      <c r="L342" s="387">
        <f t="shared" si="39"/>
        <v>0</v>
      </c>
      <c r="M342" s="387">
        <f t="shared" si="40"/>
        <v>0</v>
      </c>
      <c r="N342" s="422">
        <f t="shared" si="41"/>
        <v>0</v>
      </c>
    </row>
    <row r="343" spans="1:14" ht="13.2" customHeight="1" x14ac:dyDescent="0.3">
      <c r="A343" s="401"/>
      <c r="B343" s="402"/>
      <c r="C343" s="371" t="s">
        <v>652</v>
      </c>
      <c r="D343" s="371" t="s">
        <v>654</v>
      </c>
      <c r="E343" s="367" t="s">
        <v>235</v>
      </c>
      <c r="F343" s="539"/>
      <c r="G343" s="539"/>
      <c r="H343" s="539"/>
      <c r="I343" s="372">
        <f t="shared" si="38"/>
        <v>0</v>
      </c>
      <c r="J343" s="372"/>
      <c r="K343" s="372"/>
      <c r="L343" s="387">
        <f t="shared" si="39"/>
        <v>0</v>
      </c>
      <c r="M343" s="387">
        <f t="shared" si="40"/>
        <v>0</v>
      </c>
      <c r="N343" s="422">
        <f t="shared" si="41"/>
        <v>0</v>
      </c>
    </row>
    <row r="344" spans="1:14" ht="13.2" customHeight="1" x14ac:dyDescent="0.3">
      <c r="A344" s="401"/>
      <c r="B344" s="402"/>
      <c r="C344" s="371" t="s">
        <v>652</v>
      </c>
      <c r="D344" s="371" t="s">
        <v>655</v>
      </c>
      <c r="E344" s="367" t="s">
        <v>235</v>
      </c>
      <c r="F344" s="539"/>
      <c r="G344" s="539"/>
      <c r="H344" s="539"/>
      <c r="I344" s="372">
        <f t="shared" si="38"/>
        <v>0</v>
      </c>
      <c r="J344" s="372"/>
      <c r="K344" s="372"/>
      <c r="L344" s="387">
        <f t="shared" si="39"/>
        <v>0</v>
      </c>
      <c r="M344" s="387">
        <f t="shared" si="40"/>
        <v>0</v>
      </c>
      <c r="N344" s="422">
        <f t="shared" si="41"/>
        <v>0</v>
      </c>
    </row>
    <row r="345" spans="1:14" ht="13.2" customHeight="1" x14ac:dyDescent="0.3">
      <c r="A345" s="401"/>
      <c r="B345" s="402"/>
      <c r="C345" s="371" t="s">
        <v>652</v>
      </c>
      <c r="D345" s="371" t="s">
        <v>656</v>
      </c>
      <c r="E345" s="367" t="s">
        <v>235</v>
      </c>
      <c r="F345" s="539"/>
      <c r="G345" s="539"/>
      <c r="H345" s="539"/>
      <c r="I345" s="372">
        <f t="shared" si="38"/>
        <v>0</v>
      </c>
      <c r="J345" s="372"/>
      <c r="K345" s="372"/>
      <c r="L345" s="387">
        <f t="shared" si="39"/>
        <v>0</v>
      </c>
      <c r="M345" s="387">
        <f t="shared" si="40"/>
        <v>0</v>
      </c>
      <c r="N345" s="422">
        <f t="shared" si="41"/>
        <v>0</v>
      </c>
    </row>
    <row r="346" spans="1:14" ht="13.2" customHeight="1" x14ac:dyDescent="0.3">
      <c r="A346" s="401"/>
      <c r="B346" s="402"/>
      <c r="C346" s="371" t="s">
        <v>652</v>
      </c>
      <c r="D346" s="371" t="s">
        <v>657</v>
      </c>
      <c r="E346" s="367" t="s">
        <v>235</v>
      </c>
      <c r="F346" s="539"/>
      <c r="G346" s="539"/>
      <c r="H346" s="539"/>
      <c r="I346" s="372">
        <f t="shared" si="38"/>
        <v>0</v>
      </c>
      <c r="J346" s="372"/>
      <c r="K346" s="372"/>
      <c r="L346" s="387">
        <f t="shared" si="39"/>
        <v>0</v>
      </c>
      <c r="M346" s="387">
        <f t="shared" si="40"/>
        <v>0</v>
      </c>
      <c r="N346" s="422">
        <f t="shared" si="41"/>
        <v>0</v>
      </c>
    </row>
    <row r="347" spans="1:14" ht="13.2" customHeight="1" x14ac:dyDescent="0.3">
      <c r="A347" s="401"/>
      <c r="B347" s="402"/>
      <c r="C347" s="371" t="s">
        <v>652</v>
      </c>
      <c r="D347" s="371" t="s">
        <v>658</v>
      </c>
      <c r="E347" s="367" t="s">
        <v>235</v>
      </c>
      <c r="F347" s="539"/>
      <c r="G347" s="539"/>
      <c r="H347" s="539"/>
      <c r="I347" s="372">
        <f t="shared" si="38"/>
        <v>0</v>
      </c>
      <c r="J347" s="372"/>
      <c r="K347" s="372"/>
      <c r="L347" s="387">
        <f t="shared" si="39"/>
        <v>0</v>
      </c>
      <c r="M347" s="387">
        <f t="shared" si="40"/>
        <v>0</v>
      </c>
      <c r="N347" s="422">
        <f t="shared" si="41"/>
        <v>0</v>
      </c>
    </row>
    <row r="348" spans="1:14" ht="13.2" customHeight="1" x14ac:dyDescent="0.3">
      <c r="A348" s="401"/>
      <c r="B348" s="402"/>
      <c r="C348" s="371" t="s">
        <v>652</v>
      </c>
      <c r="D348" s="371" t="s">
        <v>659</v>
      </c>
      <c r="E348" s="367" t="s">
        <v>235</v>
      </c>
      <c r="F348" s="539"/>
      <c r="G348" s="539"/>
      <c r="H348" s="539"/>
      <c r="I348" s="372">
        <f t="shared" si="38"/>
        <v>0</v>
      </c>
      <c r="J348" s="372"/>
      <c r="K348" s="372"/>
      <c r="L348" s="387">
        <f t="shared" si="39"/>
        <v>0</v>
      </c>
      <c r="M348" s="387">
        <f t="shared" si="40"/>
        <v>0</v>
      </c>
      <c r="N348" s="422">
        <f t="shared" si="41"/>
        <v>0</v>
      </c>
    </row>
    <row r="349" spans="1:14" ht="13.2" customHeight="1" x14ac:dyDescent="0.3">
      <c r="A349" s="401"/>
      <c r="B349" s="402"/>
      <c r="C349" s="371" t="s">
        <v>652</v>
      </c>
      <c r="D349" s="371" t="s">
        <v>660</v>
      </c>
      <c r="E349" s="367" t="s">
        <v>235</v>
      </c>
      <c r="F349" s="539"/>
      <c r="G349" s="539"/>
      <c r="H349" s="539"/>
      <c r="I349" s="372">
        <f t="shared" si="38"/>
        <v>0</v>
      </c>
      <c r="J349" s="372"/>
      <c r="K349" s="372"/>
      <c r="L349" s="387">
        <f t="shared" si="39"/>
        <v>0</v>
      </c>
      <c r="M349" s="387">
        <f t="shared" si="40"/>
        <v>0</v>
      </c>
      <c r="N349" s="422">
        <f t="shared" si="41"/>
        <v>0</v>
      </c>
    </row>
    <row r="350" spans="1:14" ht="13.2" customHeight="1" x14ac:dyDescent="0.3">
      <c r="A350" s="401"/>
      <c r="B350" s="402"/>
      <c r="C350" s="371" t="s">
        <v>652</v>
      </c>
      <c r="D350" s="371" t="s">
        <v>661</v>
      </c>
      <c r="E350" s="367" t="s">
        <v>235</v>
      </c>
      <c r="F350" s="539"/>
      <c r="G350" s="539"/>
      <c r="H350" s="539"/>
      <c r="I350" s="372">
        <f t="shared" si="38"/>
        <v>0</v>
      </c>
      <c r="J350" s="372"/>
      <c r="K350" s="372"/>
      <c r="L350" s="387">
        <f t="shared" si="39"/>
        <v>0</v>
      </c>
      <c r="M350" s="387">
        <f t="shared" si="40"/>
        <v>0</v>
      </c>
      <c r="N350" s="422">
        <f t="shared" si="41"/>
        <v>0</v>
      </c>
    </row>
    <row r="351" spans="1:14" ht="13.2" customHeight="1" x14ac:dyDescent="0.3">
      <c r="A351" s="401"/>
      <c r="B351" s="402"/>
      <c r="C351" s="371" t="s">
        <v>652</v>
      </c>
      <c r="D351" s="371" t="s">
        <v>662</v>
      </c>
      <c r="E351" s="367" t="s">
        <v>235</v>
      </c>
      <c r="F351" s="539"/>
      <c r="G351" s="539"/>
      <c r="H351" s="539"/>
      <c r="I351" s="372">
        <f t="shared" si="38"/>
        <v>0</v>
      </c>
      <c r="J351" s="372"/>
      <c r="K351" s="372"/>
      <c r="L351" s="387">
        <f t="shared" si="39"/>
        <v>0</v>
      </c>
      <c r="M351" s="387">
        <f t="shared" si="40"/>
        <v>0</v>
      </c>
      <c r="N351" s="422">
        <f t="shared" si="41"/>
        <v>0</v>
      </c>
    </row>
    <row r="352" spans="1:14" ht="13.2" customHeight="1" x14ac:dyDescent="0.3">
      <c r="A352" s="401"/>
      <c r="B352" s="402"/>
      <c r="C352" s="371" t="s">
        <v>652</v>
      </c>
      <c r="D352" s="371" t="s">
        <v>663</v>
      </c>
      <c r="E352" s="367" t="s">
        <v>235</v>
      </c>
      <c r="F352" s="539"/>
      <c r="G352" s="539"/>
      <c r="H352" s="539"/>
      <c r="I352" s="372">
        <f t="shared" si="38"/>
        <v>0</v>
      </c>
      <c r="J352" s="372"/>
      <c r="K352" s="372"/>
      <c r="L352" s="387">
        <f t="shared" si="39"/>
        <v>0</v>
      </c>
      <c r="M352" s="387">
        <f t="shared" si="40"/>
        <v>0</v>
      </c>
      <c r="N352" s="422">
        <f t="shared" si="41"/>
        <v>0</v>
      </c>
    </row>
    <row r="353" spans="1:14" ht="13.2" customHeight="1" x14ac:dyDescent="0.3">
      <c r="A353" s="401"/>
      <c r="B353" s="402"/>
      <c r="C353" s="373" t="s">
        <v>652</v>
      </c>
      <c r="D353" s="373" t="s">
        <v>664</v>
      </c>
      <c r="E353" s="374" t="s">
        <v>235</v>
      </c>
      <c r="F353" s="571"/>
      <c r="G353" s="571"/>
      <c r="H353" s="571"/>
      <c r="I353" s="375">
        <f t="shared" si="38"/>
        <v>0</v>
      </c>
      <c r="J353" s="375"/>
      <c r="K353" s="372"/>
      <c r="L353" s="399">
        <f t="shared" si="39"/>
        <v>0</v>
      </c>
      <c r="M353" s="399">
        <f t="shared" si="40"/>
        <v>0</v>
      </c>
      <c r="N353" s="400">
        <f t="shared" si="41"/>
        <v>0</v>
      </c>
    </row>
    <row r="354" spans="1:14" ht="13.2" customHeight="1" x14ac:dyDescent="0.3">
      <c r="A354" s="401"/>
      <c r="B354" s="403" t="s">
        <v>1824</v>
      </c>
      <c r="C354" s="404" t="s">
        <v>652</v>
      </c>
      <c r="D354" s="404" t="s">
        <v>655</v>
      </c>
      <c r="E354" s="405" t="s">
        <v>235</v>
      </c>
      <c r="F354" s="576"/>
      <c r="G354" s="576"/>
      <c r="H354" s="576"/>
      <c r="I354" s="406">
        <f t="shared" si="38"/>
        <v>0</v>
      </c>
      <c r="J354" s="406"/>
      <c r="K354" s="406"/>
      <c r="L354" s="469">
        <f t="shared" si="39"/>
        <v>0</v>
      </c>
      <c r="M354" s="469">
        <f t="shared" si="40"/>
        <v>0</v>
      </c>
      <c r="N354" s="470">
        <f t="shared" si="41"/>
        <v>0</v>
      </c>
    </row>
    <row r="355" spans="1:14" ht="13.2" customHeight="1" x14ac:dyDescent="0.3">
      <c r="A355" s="401"/>
      <c r="B355" s="407"/>
      <c r="C355" s="371" t="s">
        <v>652</v>
      </c>
      <c r="D355" s="371" t="s">
        <v>656</v>
      </c>
      <c r="E355" s="367" t="s">
        <v>235</v>
      </c>
      <c r="F355" s="539"/>
      <c r="G355" s="539"/>
      <c r="H355" s="539"/>
      <c r="I355" s="372">
        <f t="shared" si="38"/>
        <v>0</v>
      </c>
      <c r="J355" s="372"/>
      <c r="K355" s="372"/>
      <c r="L355" s="387">
        <f t="shared" si="39"/>
        <v>0</v>
      </c>
      <c r="M355" s="387">
        <f t="shared" si="40"/>
        <v>0</v>
      </c>
      <c r="N355" s="422">
        <f t="shared" si="41"/>
        <v>0</v>
      </c>
    </row>
    <row r="356" spans="1:14" ht="13.2" customHeight="1" x14ac:dyDescent="0.3">
      <c r="A356" s="401"/>
      <c r="B356" s="408"/>
      <c r="C356" s="390" t="s">
        <v>652</v>
      </c>
      <c r="D356" s="390" t="s">
        <v>657</v>
      </c>
      <c r="E356" s="391" t="s">
        <v>235</v>
      </c>
      <c r="F356" s="577"/>
      <c r="G356" s="577"/>
      <c r="H356" s="577"/>
      <c r="I356" s="409">
        <f t="shared" ref="I356:I362" si="42">SUM(F356:H356)</f>
        <v>0</v>
      </c>
      <c r="J356" s="409"/>
      <c r="K356" s="409"/>
      <c r="L356" s="471">
        <f t="shared" ref="L356:L362" si="43">J356*I356</f>
        <v>0</v>
      </c>
      <c r="M356" s="471">
        <f t="shared" ref="M356:M362" si="44">K356*I356</f>
        <v>0</v>
      </c>
      <c r="N356" s="472">
        <f t="shared" ref="N356:N362" si="45">SUM(L356:M356)</f>
        <v>0</v>
      </c>
    </row>
    <row r="357" spans="1:14" ht="13.2" customHeight="1" x14ac:dyDescent="0.3">
      <c r="A357" s="401"/>
      <c r="B357" s="403" t="s">
        <v>1825</v>
      </c>
      <c r="C357" s="404" t="s">
        <v>652</v>
      </c>
      <c r="D357" s="371" t="s">
        <v>662</v>
      </c>
      <c r="E357" s="405" t="s">
        <v>235</v>
      </c>
      <c r="F357" s="576"/>
      <c r="G357" s="576"/>
      <c r="H357" s="576"/>
      <c r="I357" s="406">
        <f t="shared" si="42"/>
        <v>0</v>
      </c>
      <c r="J357" s="406"/>
      <c r="K357" s="406"/>
      <c r="L357" s="469">
        <f t="shared" si="43"/>
        <v>0</v>
      </c>
      <c r="M357" s="469">
        <f t="shared" si="44"/>
        <v>0</v>
      </c>
      <c r="N357" s="470">
        <f t="shared" si="45"/>
        <v>0</v>
      </c>
    </row>
    <row r="358" spans="1:14" ht="13.2" customHeight="1" x14ac:dyDescent="0.3">
      <c r="A358" s="401"/>
      <c r="B358" s="407"/>
      <c r="C358" s="371" t="s">
        <v>652</v>
      </c>
      <c r="D358" s="371" t="s">
        <v>663</v>
      </c>
      <c r="E358" s="367" t="s">
        <v>235</v>
      </c>
      <c r="F358" s="539"/>
      <c r="G358" s="539"/>
      <c r="H358" s="539"/>
      <c r="I358" s="372">
        <f t="shared" si="42"/>
        <v>0</v>
      </c>
      <c r="J358" s="372"/>
      <c r="K358" s="409"/>
      <c r="L358" s="387">
        <f t="shared" si="43"/>
        <v>0</v>
      </c>
      <c r="M358" s="387">
        <f t="shared" si="44"/>
        <v>0</v>
      </c>
      <c r="N358" s="422">
        <f t="shared" si="45"/>
        <v>0</v>
      </c>
    </row>
    <row r="359" spans="1:14" ht="13.2" customHeight="1" x14ac:dyDescent="0.3">
      <c r="A359" s="401"/>
      <c r="B359" s="403" t="s">
        <v>1826</v>
      </c>
      <c r="C359" s="404" t="s">
        <v>652</v>
      </c>
      <c r="D359" s="371" t="s">
        <v>658</v>
      </c>
      <c r="E359" s="405" t="s">
        <v>235</v>
      </c>
      <c r="F359" s="576"/>
      <c r="G359" s="576"/>
      <c r="H359" s="576"/>
      <c r="I359" s="406">
        <f t="shared" si="42"/>
        <v>0</v>
      </c>
      <c r="J359" s="406"/>
      <c r="K359" s="406"/>
      <c r="L359" s="469">
        <f t="shared" si="43"/>
        <v>0</v>
      </c>
      <c r="M359" s="469">
        <f t="shared" si="44"/>
        <v>0</v>
      </c>
      <c r="N359" s="470">
        <f t="shared" si="45"/>
        <v>0</v>
      </c>
    </row>
    <row r="360" spans="1:14" ht="13.2" customHeight="1" x14ac:dyDescent="0.3">
      <c r="A360" s="401"/>
      <c r="B360" s="407"/>
      <c r="C360" s="371" t="s">
        <v>652</v>
      </c>
      <c r="D360" s="371" t="s">
        <v>659</v>
      </c>
      <c r="E360" s="367" t="s">
        <v>235</v>
      </c>
      <c r="F360" s="539"/>
      <c r="G360" s="539"/>
      <c r="H360" s="539"/>
      <c r="I360" s="372">
        <f t="shared" si="42"/>
        <v>0</v>
      </c>
      <c r="J360" s="372"/>
      <c r="K360" s="409"/>
      <c r="L360" s="387">
        <f t="shared" si="43"/>
        <v>0</v>
      </c>
      <c r="M360" s="387">
        <f t="shared" si="44"/>
        <v>0</v>
      </c>
      <c r="N360" s="422">
        <f t="shared" si="45"/>
        <v>0</v>
      </c>
    </row>
    <row r="361" spans="1:14" ht="13.2" customHeight="1" x14ac:dyDescent="0.3">
      <c r="A361" s="401"/>
      <c r="B361" s="403" t="s">
        <v>1827</v>
      </c>
      <c r="C361" s="404" t="s">
        <v>652</v>
      </c>
      <c r="D361" s="404" t="s">
        <v>630</v>
      </c>
      <c r="E361" s="405" t="s">
        <v>235</v>
      </c>
      <c r="F361" s="576"/>
      <c r="G361" s="576"/>
      <c r="H361" s="576"/>
      <c r="I361" s="406">
        <f t="shared" si="42"/>
        <v>0</v>
      </c>
      <c r="J361" s="406"/>
      <c r="K361" s="369"/>
      <c r="L361" s="469">
        <f t="shared" si="43"/>
        <v>0</v>
      </c>
      <c r="M361" s="469">
        <f t="shared" si="44"/>
        <v>0</v>
      </c>
      <c r="N361" s="470">
        <f t="shared" si="45"/>
        <v>0</v>
      </c>
    </row>
    <row r="362" spans="1:14" ht="13.2" customHeight="1" x14ac:dyDescent="0.3">
      <c r="A362" s="410"/>
      <c r="B362" s="408"/>
      <c r="C362" s="390" t="s">
        <v>652</v>
      </c>
      <c r="D362" s="390" t="s">
        <v>1569</v>
      </c>
      <c r="E362" s="391" t="s">
        <v>235</v>
      </c>
      <c r="F362" s="577"/>
      <c r="G362" s="577"/>
      <c r="H362" s="577"/>
      <c r="I362" s="409">
        <f t="shared" si="42"/>
        <v>0</v>
      </c>
      <c r="J362" s="409"/>
      <c r="K362" s="409"/>
      <c r="L362" s="471">
        <f t="shared" si="43"/>
        <v>0</v>
      </c>
      <c r="M362" s="471">
        <f t="shared" si="44"/>
        <v>0</v>
      </c>
      <c r="N362" s="472">
        <f t="shared" si="45"/>
        <v>0</v>
      </c>
    </row>
    <row r="363" spans="1:14" ht="13.2" customHeight="1" x14ac:dyDescent="0.3">
      <c r="A363" s="397">
        <v>6</v>
      </c>
      <c r="B363" s="398" t="s">
        <v>1574</v>
      </c>
      <c r="C363" s="371"/>
      <c r="D363" s="371"/>
      <c r="E363" s="367"/>
      <c r="F363" s="527"/>
      <c r="G363" s="527"/>
      <c r="H363" s="527"/>
      <c r="I363" s="372">
        <f t="shared" ref="I363:I371" si="46">SUM(F363:H363)</f>
        <v>0</v>
      </c>
      <c r="J363" s="372"/>
      <c r="K363" s="369"/>
      <c r="L363" s="387">
        <f t="shared" ref="L363:L371" si="47">J363*I363</f>
        <v>0</v>
      </c>
      <c r="M363" s="387">
        <f t="shared" ref="M363:M371" si="48">K363*I363</f>
        <v>0</v>
      </c>
      <c r="N363" s="422">
        <f t="shared" ref="N363:N371" si="49">SUM(L363:M363)</f>
        <v>0</v>
      </c>
    </row>
    <row r="364" spans="1:14" ht="13.2" customHeight="1" x14ac:dyDescent="0.3">
      <c r="A364" s="401"/>
      <c r="B364" s="402" t="s">
        <v>1828</v>
      </c>
      <c r="C364" s="371" t="s">
        <v>650</v>
      </c>
      <c r="D364" s="371" t="s">
        <v>651</v>
      </c>
      <c r="E364" s="367" t="s">
        <v>235</v>
      </c>
      <c r="F364" s="539"/>
      <c r="G364" s="539"/>
      <c r="H364" s="539"/>
      <c r="I364" s="372">
        <f t="shared" si="46"/>
        <v>0</v>
      </c>
      <c r="J364" s="372"/>
      <c r="K364" s="372"/>
      <c r="L364" s="387">
        <f t="shared" si="47"/>
        <v>0</v>
      </c>
      <c r="M364" s="387">
        <f t="shared" si="48"/>
        <v>0</v>
      </c>
      <c r="N364" s="422">
        <f t="shared" si="49"/>
        <v>0</v>
      </c>
    </row>
    <row r="365" spans="1:14" ht="13.2" customHeight="1" x14ac:dyDescent="0.3">
      <c r="A365" s="401"/>
      <c r="B365" s="402"/>
      <c r="C365" s="371" t="s">
        <v>652</v>
      </c>
      <c r="D365" s="371" t="s">
        <v>651</v>
      </c>
      <c r="E365" s="367" t="s">
        <v>235</v>
      </c>
      <c r="F365" s="539"/>
      <c r="G365" s="539"/>
      <c r="H365" s="539"/>
      <c r="I365" s="372">
        <f t="shared" si="46"/>
        <v>0</v>
      </c>
      <c r="J365" s="372"/>
      <c r="K365" s="372"/>
      <c r="L365" s="387">
        <f t="shared" si="47"/>
        <v>0</v>
      </c>
      <c r="M365" s="387">
        <f t="shared" si="48"/>
        <v>0</v>
      </c>
      <c r="N365" s="422">
        <f t="shared" si="49"/>
        <v>0</v>
      </c>
    </row>
    <row r="366" spans="1:14" ht="13.2" customHeight="1" x14ac:dyDescent="0.3">
      <c r="A366" s="401"/>
      <c r="B366" s="402"/>
      <c r="C366" s="371" t="s">
        <v>652</v>
      </c>
      <c r="D366" s="371" t="s">
        <v>653</v>
      </c>
      <c r="E366" s="367" t="s">
        <v>235</v>
      </c>
      <c r="F366" s="539"/>
      <c r="G366" s="539"/>
      <c r="H366" s="539"/>
      <c r="I366" s="372">
        <f t="shared" si="46"/>
        <v>0</v>
      </c>
      <c r="J366" s="372"/>
      <c r="K366" s="372"/>
      <c r="L366" s="387">
        <f t="shared" si="47"/>
        <v>0</v>
      </c>
      <c r="M366" s="387">
        <f t="shared" si="48"/>
        <v>0</v>
      </c>
      <c r="N366" s="422">
        <f t="shared" si="49"/>
        <v>0</v>
      </c>
    </row>
    <row r="367" spans="1:14" ht="13.2" customHeight="1" x14ac:dyDescent="0.3">
      <c r="A367" s="401"/>
      <c r="B367" s="402"/>
      <c r="C367" s="371" t="s">
        <v>652</v>
      </c>
      <c r="D367" s="371" t="s">
        <v>654</v>
      </c>
      <c r="E367" s="367" t="s">
        <v>235</v>
      </c>
      <c r="F367" s="539"/>
      <c r="G367" s="539"/>
      <c r="H367" s="539"/>
      <c r="I367" s="372">
        <f t="shared" si="46"/>
        <v>0</v>
      </c>
      <c r="J367" s="372"/>
      <c r="K367" s="372"/>
      <c r="L367" s="387">
        <f t="shared" si="47"/>
        <v>0</v>
      </c>
      <c r="M367" s="387">
        <f t="shared" si="48"/>
        <v>0</v>
      </c>
      <c r="N367" s="422">
        <f t="shared" si="49"/>
        <v>0</v>
      </c>
    </row>
    <row r="368" spans="1:14" ht="13.2" customHeight="1" x14ac:dyDescent="0.3">
      <c r="A368" s="401"/>
      <c r="B368" s="402"/>
      <c r="C368" s="371" t="s">
        <v>652</v>
      </c>
      <c r="D368" s="371" t="s">
        <v>655</v>
      </c>
      <c r="E368" s="367" t="s">
        <v>235</v>
      </c>
      <c r="F368" s="539"/>
      <c r="G368" s="539"/>
      <c r="H368" s="539"/>
      <c r="I368" s="372">
        <f t="shared" si="46"/>
        <v>0</v>
      </c>
      <c r="J368" s="372"/>
      <c r="K368" s="372"/>
      <c r="L368" s="387">
        <f t="shared" si="47"/>
        <v>0</v>
      </c>
      <c r="M368" s="387">
        <f t="shared" si="48"/>
        <v>0</v>
      </c>
      <c r="N368" s="422">
        <f t="shared" si="49"/>
        <v>0</v>
      </c>
    </row>
    <row r="369" spans="1:14" ht="13.2" customHeight="1" x14ac:dyDescent="0.3">
      <c r="A369" s="401"/>
      <c r="B369" s="402"/>
      <c r="C369" s="371" t="s">
        <v>652</v>
      </c>
      <c r="D369" s="371" t="s">
        <v>656</v>
      </c>
      <c r="E369" s="367" t="s">
        <v>235</v>
      </c>
      <c r="F369" s="539"/>
      <c r="G369" s="539"/>
      <c r="H369" s="539"/>
      <c r="I369" s="372">
        <f t="shared" si="46"/>
        <v>0</v>
      </c>
      <c r="J369" s="372"/>
      <c r="K369" s="372"/>
      <c r="L369" s="387">
        <f t="shared" si="47"/>
        <v>0</v>
      </c>
      <c r="M369" s="387">
        <f t="shared" si="48"/>
        <v>0</v>
      </c>
      <c r="N369" s="422">
        <f t="shared" si="49"/>
        <v>0</v>
      </c>
    </row>
    <row r="370" spans="1:14" ht="13.2" customHeight="1" x14ac:dyDescent="0.3">
      <c r="A370" s="401"/>
      <c r="B370" s="402"/>
      <c r="C370" s="371" t="s">
        <v>652</v>
      </c>
      <c r="D370" s="371" t="s">
        <v>657</v>
      </c>
      <c r="E370" s="367" t="s">
        <v>235</v>
      </c>
      <c r="F370" s="539"/>
      <c r="G370" s="539"/>
      <c r="H370" s="539"/>
      <c r="I370" s="372">
        <f t="shared" si="46"/>
        <v>0</v>
      </c>
      <c r="J370" s="372"/>
      <c r="K370" s="372"/>
      <c r="L370" s="387">
        <f t="shared" si="47"/>
        <v>0</v>
      </c>
      <c r="M370" s="387">
        <f t="shared" si="48"/>
        <v>0</v>
      </c>
      <c r="N370" s="422">
        <f t="shared" si="49"/>
        <v>0</v>
      </c>
    </row>
    <row r="371" spans="1:14" ht="13.2" customHeight="1" x14ac:dyDescent="0.3">
      <c r="A371" s="401"/>
      <c r="B371" s="402"/>
      <c r="C371" s="371" t="s">
        <v>652</v>
      </c>
      <c r="D371" s="371" t="s">
        <v>658</v>
      </c>
      <c r="E371" s="367" t="s">
        <v>235</v>
      </c>
      <c r="F371" s="539"/>
      <c r="G371" s="539"/>
      <c r="H371" s="539"/>
      <c r="I371" s="372">
        <f t="shared" si="46"/>
        <v>0</v>
      </c>
      <c r="J371" s="372"/>
      <c r="K371" s="372"/>
      <c r="L371" s="387">
        <f t="shared" si="47"/>
        <v>0</v>
      </c>
      <c r="M371" s="387">
        <f t="shared" si="48"/>
        <v>0</v>
      </c>
      <c r="N371" s="422">
        <f t="shared" si="49"/>
        <v>0</v>
      </c>
    </row>
    <row r="372" spans="1:14" ht="13.2" customHeight="1" x14ac:dyDescent="0.3">
      <c r="A372" s="401"/>
      <c r="B372" s="402"/>
      <c r="C372" s="371" t="s">
        <v>652</v>
      </c>
      <c r="D372" s="371" t="s">
        <v>659</v>
      </c>
      <c r="E372" s="367" t="s">
        <v>235</v>
      </c>
      <c r="F372" s="539"/>
      <c r="G372" s="539"/>
      <c r="H372" s="539"/>
      <c r="I372" s="372">
        <f t="shared" ref="I372:I403" si="50">SUM(F372:H372)</f>
        <v>0</v>
      </c>
      <c r="J372" s="372"/>
      <c r="K372" s="372"/>
      <c r="L372" s="387">
        <f t="shared" ref="L372:L403" si="51">J372*I372</f>
        <v>0</v>
      </c>
      <c r="M372" s="387">
        <f t="shared" ref="M372:M403" si="52">K372*I372</f>
        <v>0</v>
      </c>
      <c r="N372" s="422">
        <f t="shared" ref="N372:N403" si="53">SUM(L372:M372)</f>
        <v>0</v>
      </c>
    </row>
    <row r="373" spans="1:14" ht="13.2" customHeight="1" x14ac:dyDescent="0.3">
      <c r="A373" s="401"/>
      <c r="B373" s="402"/>
      <c r="C373" s="371" t="s">
        <v>652</v>
      </c>
      <c r="D373" s="371" t="s">
        <v>660</v>
      </c>
      <c r="E373" s="367" t="s">
        <v>235</v>
      </c>
      <c r="F373" s="539"/>
      <c r="G373" s="539"/>
      <c r="H373" s="539"/>
      <c r="I373" s="372">
        <f t="shared" si="50"/>
        <v>0</v>
      </c>
      <c r="J373" s="372"/>
      <c r="K373" s="372"/>
      <c r="L373" s="387">
        <f t="shared" si="51"/>
        <v>0</v>
      </c>
      <c r="M373" s="387">
        <f t="shared" si="52"/>
        <v>0</v>
      </c>
      <c r="N373" s="422">
        <f t="shared" si="53"/>
        <v>0</v>
      </c>
    </row>
    <row r="374" spans="1:14" ht="13.2" customHeight="1" x14ac:dyDescent="0.3">
      <c r="A374" s="401"/>
      <c r="B374" s="402"/>
      <c r="C374" s="371" t="s">
        <v>652</v>
      </c>
      <c r="D374" s="371" t="s">
        <v>661</v>
      </c>
      <c r="E374" s="367" t="s">
        <v>235</v>
      </c>
      <c r="F374" s="539"/>
      <c r="G374" s="539"/>
      <c r="H374" s="539"/>
      <c r="I374" s="372">
        <f t="shared" si="50"/>
        <v>0</v>
      </c>
      <c r="J374" s="372"/>
      <c r="K374" s="372"/>
      <c r="L374" s="387">
        <f t="shared" si="51"/>
        <v>0</v>
      </c>
      <c r="M374" s="387">
        <f t="shared" si="52"/>
        <v>0</v>
      </c>
      <c r="N374" s="422">
        <f t="shared" si="53"/>
        <v>0</v>
      </c>
    </row>
    <row r="375" spans="1:14" ht="13.2" customHeight="1" x14ac:dyDescent="0.3">
      <c r="A375" s="401"/>
      <c r="B375" s="402"/>
      <c r="C375" s="371" t="s">
        <v>652</v>
      </c>
      <c r="D375" s="371" t="s">
        <v>662</v>
      </c>
      <c r="E375" s="367" t="s">
        <v>235</v>
      </c>
      <c r="F375" s="539"/>
      <c r="G375" s="539"/>
      <c r="H375" s="539"/>
      <c r="I375" s="372">
        <f t="shared" si="50"/>
        <v>0</v>
      </c>
      <c r="J375" s="372"/>
      <c r="K375" s="372"/>
      <c r="L375" s="387">
        <f t="shared" si="51"/>
        <v>0</v>
      </c>
      <c r="M375" s="387">
        <f t="shared" si="52"/>
        <v>0</v>
      </c>
      <c r="N375" s="422">
        <f t="shared" si="53"/>
        <v>0</v>
      </c>
    </row>
    <row r="376" spans="1:14" ht="13.2" customHeight="1" x14ac:dyDescent="0.3">
      <c r="A376" s="401"/>
      <c r="B376" s="402"/>
      <c r="C376" s="371" t="s">
        <v>652</v>
      </c>
      <c r="D376" s="371" t="s">
        <v>663</v>
      </c>
      <c r="E376" s="367" t="s">
        <v>235</v>
      </c>
      <c r="F376" s="539"/>
      <c r="G376" s="539"/>
      <c r="H376" s="539"/>
      <c r="I376" s="372">
        <f t="shared" si="50"/>
        <v>0</v>
      </c>
      <c r="J376" s="372"/>
      <c r="K376" s="372"/>
      <c r="L376" s="387">
        <f t="shared" si="51"/>
        <v>0</v>
      </c>
      <c r="M376" s="387">
        <f t="shared" si="52"/>
        <v>0</v>
      </c>
      <c r="N376" s="422">
        <f t="shared" si="53"/>
        <v>0</v>
      </c>
    </row>
    <row r="377" spans="1:14" ht="13.2" customHeight="1" x14ac:dyDescent="0.3">
      <c r="A377" s="401"/>
      <c r="B377" s="402"/>
      <c r="C377" s="373" t="s">
        <v>652</v>
      </c>
      <c r="D377" s="373" t="s">
        <v>664</v>
      </c>
      <c r="E377" s="374" t="s">
        <v>235</v>
      </c>
      <c r="F377" s="571"/>
      <c r="G377" s="571"/>
      <c r="H377" s="571"/>
      <c r="I377" s="375">
        <f t="shared" si="50"/>
        <v>0</v>
      </c>
      <c r="J377" s="375"/>
      <c r="K377" s="372"/>
      <c r="L377" s="399">
        <f t="shared" si="51"/>
        <v>0</v>
      </c>
      <c r="M377" s="399">
        <f t="shared" si="52"/>
        <v>0</v>
      </c>
      <c r="N377" s="400">
        <f t="shared" si="53"/>
        <v>0</v>
      </c>
    </row>
    <row r="378" spans="1:14" ht="13.2" customHeight="1" x14ac:dyDescent="0.3">
      <c r="A378" s="401"/>
      <c r="B378" s="403" t="s">
        <v>1824</v>
      </c>
      <c r="C378" s="404" t="s">
        <v>652</v>
      </c>
      <c r="D378" s="404" t="s">
        <v>655</v>
      </c>
      <c r="E378" s="405" t="s">
        <v>235</v>
      </c>
      <c r="F378" s="576"/>
      <c r="G378" s="576"/>
      <c r="H378" s="576"/>
      <c r="I378" s="406">
        <f t="shared" si="50"/>
        <v>0</v>
      </c>
      <c r="J378" s="406"/>
      <c r="K378" s="406"/>
      <c r="L378" s="469">
        <f t="shared" si="51"/>
        <v>0</v>
      </c>
      <c r="M378" s="469">
        <f t="shared" si="52"/>
        <v>0</v>
      </c>
      <c r="N378" s="470">
        <f t="shared" si="53"/>
        <v>0</v>
      </c>
    </row>
    <row r="379" spans="1:14" ht="13.2" customHeight="1" x14ac:dyDescent="0.3">
      <c r="A379" s="401"/>
      <c r="B379" s="407"/>
      <c r="C379" s="371" t="s">
        <v>652</v>
      </c>
      <c r="D379" s="371" t="s">
        <v>656</v>
      </c>
      <c r="E379" s="367" t="s">
        <v>235</v>
      </c>
      <c r="F379" s="539"/>
      <c r="G379" s="539"/>
      <c r="H379" s="539"/>
      <c r="I379" s="372">
        <f t="shared" si="50"/>
        <v>0</v>
      </c>
      <c r="J379" s="372"/>
      <c r="K379" s="372"/>
      <c r="L379" s="387">
        <f t="shared" si="51"/>
        <v>0</v>
      </c>
      <c r="M379" s="387">
        <f t="shared" si="52"/>
        <v>0</v>
      </c>
      <c r="N379" s="422">
        <f t="shared" si="53"/>
        <v>0</v>
      </c>
    </row>
    <row r="380" spans="1:14" ht="13.2" customHeight="1" x14ac:dyDescent="0.3">
      <c r="A380" s="401"/>
      <c r="B380" s="408"/>
      <c r="C380" s="390" t="s">
        <v>652</v>
      </c>
      <c r="D380" s="390" t="s">
        <v>657</v>
      </c>
      <c r="E380" s="391" t="s">
        <v>235</v>
      </c>
      <c r="F380" s="577"/>
      <c r="G380" s="577"/>
      <c r="H380" s="577"/>
      <c r="I380" s="409">
        <f t="shared" si="50"/>
        <v>0</v>
      </c>
      <c r="J380" s="409"/>
      <c r="K380" s="409"/>
      <c r="L380" s="471">
        <f t="shared" si="51"/>
        <v>0</v>
      </c>
      <c r="M380" s="471">
        <f t="shared" si="52"/>
        <v>0</v>
      </c>
      <c r="N380" s="472">
        <f t="shared" si="53"/>
        <v>0</v>
      </c>
    </row>
    <row r="381" spans="1:14" ht="13.2" customHeight="1" x14ac:dyDescent="0.3">
      <c r="A381" s="401"/>
      <c r="B381" s="403" t="s">
        <v>1825</v>
      </c>
      <c r="C381" s="404" t="s">
        <v>652</v>
      </c>
      <c r="D381" s="371" t="s">
        <v>662</v>
      </c>
      <c r="E381" s="405" t="s">
        <v>235</v>
      </c>
      <c r="F381" s="576"/>
      <c r="G381" s="576"/>
      <c r="H381" s="576"/>
      <c r="I381" s="406">
        <f t="shared" si="50"/>
        <v>0</v>
      </c>
      <c r="J381" s="406"/>
      <c r="K381" s="406"/>
      <c r="L381" s="469">
        <f t="shared" si="51"/>
        <v>0</v>
      </c>
      <c r="M381" s="469">
        <f t="shared" si="52"/>
        <v>0</v>
      </c>
      <c r="N381" s="470">
        <f t="shared" si="53"/>
        <v>0</v>
      </c>
    </row>
    <row r="382" spans="1:14" ht="13.2" customHeight="1" x14ac:dyDescent="0.3">
      <c r="A382" s="401"/>
      <c r="B382" s="407"/>
      <c r="C382" s="371" t="s">
        <v>652</v>
      </c>
      <c r="D382" s="371" t="s">
        <v>663</v>
      </c>
      <c r="E382" s="367" t="s">
        <v>235</v>
      </c>
      <c r="F382" s="539"/>
      <c r="G382" s="539"/>
      <c r="H382" s="539"/>
      <c r="I382" s="372">
        <f t="shared" si="50"/>
        <v>0</v>
      </c>
      <c r="J382" s="372"/>
      <c r="K382" s="372"/>
      <c r="L382" s="387">
        <f t="shared" si="51"/>
        <v>0</v>
      </c>
      <c r="M382" s="387">
        <f t="shared" si="52"/>
        <v>0</v>
      </c>
      <c r="N382" s="422">
        <f t="shared" si="53"/>
        <v>0</v>
      </c>
    </row>
    <row r="383" spans="1:14" ht="13.2" customHeight="1" x14ac:dyDescent="0.3">
      <c r="A383" s="401"/>
      <c r="B383" s="403" t="s">
        <v>1826</v>
      </c>
      <c r="C383" s="404" t="s">
        <v>652</v>
      </c>
      <c r="D383" s="371" t="s">
        <v>658</v>
      </c>
      <c r="E383" s="405" t="s">
        <v>235</v>
      </c>
      <c r="F383" s="576"/>
      <c r="G383" s="576"/>
      <c r="H383" s="576"/>
      <c r="I383" s="406">
        <f t="shared" si="50"/>
        <v>0</v>
      </c>
      <c r="J383" s="406"/>
      <c r="K383" s="406"/>
      <c r="L383" s="469">
        <f t="shared" si="51"/>
        <v>0</v>
      </c>
      <c r="M383" s="469">
        <f t="shared" si="52"/>
        <v>0</v>
      </c>
      <c r="N383" s="470">
        <f t="shared" si="53"/>
        <v>0</v>
      </c>
    </row>
    <row r="384" spans="1:14" ht="13.2" customHeight="1" x14ac:dyDescent="0.3">
      <c r="A384" s="401"/>
      <c r="B384" s="407"/>
      <c r="C384" s="371" t="s">
        <v>652</v>
      </c>
      <c r="D384" s="371" t="s">
        <v>659</v>
      </c>
      <c r="E384" s="367" t="s">
        <v>235</v>
      </c>
      <c r="F384" s="539"/>
      <c r="G384" s="539"/>
      <c r="H384" s="539"/>
      <c r="I384" s="372">
        <f t="shared" si="50"/>
        <v>0</v>
      </c>
      <c r="J384" s="372"/>
      <c r="K384" s="372"/>
      <c r="L384" s="387">
        <f t="shared" si="51"/>
        <v>0</v>
      </c>
      <c r="M384" s="387">
        <f t="shared" si="52"/>
        <v>0</v>
      </c>
      <c r="N384" s="422">
        <f t="shared" si="53"/>
        <v>0</v>
      </c>
    </row>
    <row r="385" spans="1:14" ht="13.2" customHeight="1" x14ac:dyDescent="0.3">
      <c r="A385" s="401"/>
      <c r="B385" s="403" t="s">
        <v>1827</v>
      </c>
      <c r="C385" s="404" t="s">
        <v>652</v>
      </c>
      <c r="D385" s="404" t="s">
        <v>630</v>
      </c>
      <c r="E385" s="405" t="s">
        <v>235</v>
      </c>
      <c r="F385" s="576"/>
      <c r="G385" s="576"/>
      <c r="H385" s="576"/>
      <c r="I385" s="406">
        <f t="shared" si="50"/>
        <v>0</v>
      </c>
      <c r="J385" s="406"/>
      <c r="K385" s="406"/>
      <c r="L385" s="469">
        <f t="shared" si="51"/>
        <v>0</v>
      </c>
      <c r="M385" s="469">
        <f t="shared" si="52"/>
        <v>0</v>
      </c>
      <c r="N385" s="470">
        <f t="shared" si="53"/>
        <v>0</v>
      </c>
    </row>
    <row r="386" spans="1:14" ht="13.2" customHeight="1" x14ac:dyDescent="0.3">
      <c r="A386" s="410"/>
      <c r="B386" s="408"/>
      <c r="C386" s="390" t="s">
        <v>652</v>
      </c>
      <c r="D386" s="390" t="s">
        <v>1569</v>
      </c>
      <c r="E386" s="391" t="s">
        <v>235</v>
      </c>
      <c r="F386" s="577"/>
      <c r="G386" s="577"/>
      <c r="H386" s="577"/>
      <c r="I386" s="409">
        <f t="shared" si="50"/>
        <v>0</v>
      </c>
      <c r="J386" s="409"/>
      <c r="K386" s="409"/>
      <c r="L386" s="471">
        <f t="shared" si="51"/>
        <v>0</v>
      </c>
      <c r="M386" s="471">
        <f t="shared" si="52"/>
        <v>0</v>
      </c>
      <c r="N386" s="472">
        <f t="shared" si="53"/>
        <v>0</v>
      </c>
    </row>
    <row r="387" spans="1:14" ht="13.2" customHeight="1" x14ac:dyDescent="0.3">
      <c r="A387" s="397">
        <v>5</v>
      </c>
      <c r="B387" s="398" t="s">
        <v>1573</v>
      </c>
      <c r="C387" s="371"/>
      <c r="D387" s="371"/>
      <c r="E387" s="367"/>
      <c r="F387" s="527"/>
      <c r="G387" s="527"/>
      <c r="H387" s="527"/>
      <c r="I387" s="372">
        <f t="shared" si="50"/>
        <v>0</v>
      </c>
      <c r="J387" s="372"/>
      <c r="K387" s="369"/>
      <c r="L387" s="387">
        <f t="shared" si="51"/>
        <v>0</v>
      </c>
      <c r="M387" s="387">
        <f t="shared" si="52"/>
        <v>0</v>
      </c>
      <c r="N387" s="422">
        <f t="shared" si="53"/>
        <v>0</v>
      </c>
    </row>
    <row r="388" spans="1:14" ht="13.2" customHeight="1" x14ac:dyDescent="0.3">
      <c r="A388" s="401"/>
      <c r="B388" s="402" t="s">
        <v>1828</v>
      </c>
      <c r="C388" s="371" t="s">
        <v>650</v>
      </c>
      <c r="D388" s="371" t="s">
        <v>651</v>
      </c>
      <c r="E388" s="367" t="s">
        <v>235</v>
      </c>
      <c r="F388" s="539"/>
      <c r="G388" s="539"/>
      <c r="H388" s="539"/>
      <c r="I388" s="372">
        <f t="shared" si="50"/>
        <v>0</v>
      </c>
      <c r="J388" s="372"/>
      <c r="K388" s="372"/>
      <c r="L388" s="387">
        <f t="shared" si="51"/>
        <v>0</v>
      </c>
      <c r="M388" s="387">
        <f t="shared" si="52"/>
        <v>0</v>
      </c>
      <c r="N388" s="422">
        <f t="shared" si="53"/>
        <v>0</v>
      </c>
    </row>
    <row r="389" spans="1:14" ht="13.2" customHeight="1" x14ac:dyDescent="0.3">
      <c r="A389" s="401"/>
      <c r="B389" s="402"/>
      <c r="C389" s="371" t="s">
        <v>652</v>
      </c>
      <c r="D389" s="371" t="s">
        <v>651</v>
      </c>
      <c r="E389" s="367" t="s">
        <v>235</v>
      </c>
      <c r="F389" s="539"/>
      <c r="G389" s="539"/>
      <c r="H389" s="539"/>
      <c r="I389" s="372">
        <f t="shared" si="50"/>
        <v>0</v>
      </c>
      <c r="J389" s="372"/>
      <c r="K389" s="372"/>
      <c r="L389" s="387">
        <f t="shared" si="51"/>
        <v>0</v>
      </c>
      <c r="M389" s="387">
        <f t="shared" si="52"/>
        <v>0</v>
      </c>
      <c r="N389" s="422">
        <f t="shared" si="53"/>
        <v>0</v>
      </c>
    </row>
    <row r="390" spans="1:14" ht="13.2" customHeight="1" x14ac:dyDescent="0.3">
      <c r="A390" s="401"/>
      <c r="B390" s="402"/>
      <c r="C390" s="371" t="s">
        <v>652</v>
      </c>
      <c r="D390" s="371" t="s">
        <v>653</v>
      </c>
      <c r="E390" s="367" t="s">
        <v>235</v>
      </c>
      <c r="F390" s="539"/>
      <c r="G390" s="539"/>
      <c r="H390" s="539"/>
      <c r="I390" s="372">
        <f t="shared" si="50"/>
        <v>0</v>
      </c>
      <c r="J390" s="372"/>
      <c r="K390" s="372"/>
      <c r="L390" s="387">
        <f t="shared" si="51"/>
        <v>0</v>
      </c>
      <c r="M390" s="387">
        <f t="shared" si="52"/>
        <v>0</v>
      </c>
      <c r="N390" s="422">
        <f t="shared" si="53"/>
        <v>0</v>
      </c>
    </row>
    <row r="391" spans="1:14" ht="13.2" customHeight="1" x14ac:dyDescent="0.3">
      <c r="A391" s="401"/>
      <c r="B391" s="402"/>
      <c r="C391" s="371" t="s">
        <v>652</v>
      </c>
      <c r="D391" s="371" t="s">
        <v>654</v>
      </c>
      <c r="E391" s="367" t="s">
        <v>235</v>
      </c>
      <c r="F391" s="539"/>
      <c r="G391" s="539"/>
      <c r="H391" s="539"/>
      <c r="I391" s="372">
        <f t="shared" si="50"/>
        <v>0</v>
      </c>
      <c r="J391" s="372"/>
      <c r="K391" s="372"/>
      <c r="L391" s="387">
        <f t="shared" si="51"/>
        <v>0</v>
      </c>
      <c r="M391" s="387">
        <f t="shared" si="52"/>
        <v>0</v>
      </c>
      <c r="N391" s="422">
        <f t="shared" si="53"/>
        <v>0</v>
      </c>
    </row>
    <row r="392" spans="1:14" ht="13.2" customHeight="1" x14ac:dyDescent="0.3">
      <c r="A392" s="401"/>
      <c r="B392" s="402"/>
      <c r="C392" s="371" t="s">
        <v>652</v>
      </c>
      <c r="D392" s="371" t="s">
        <v>655</v>
      </c>
      <c r="E392" s="367" t="s">
        <v>235</v>
      </c>
      <c r="F392" s="539"/>
      <c r="G392" s="539"/>
      <c r="H392" s="539"/>
      <c r="I392" s="372">
        <f t="shared" si="50"/>
        <v>0</v>
      </c>
      <c r="J392" s="372"/>
      <c r="K392" s="372"/>
      <c r="L392" s="387">
        <f t="shared" si="51"/>
        <v>0</v>
      </c>
      <c r="M392" s="387">
        <f t="shared" si="52"/>
        <v>0</v>
      </c>
      <c r="N392" s="422">
        <f t="shared" si="53"/>
        <v>0</v>
      </c>
    </row>
    <row r="393" spans="1:14" ht="13.2" customHeight="1" x14ac:dyDescent="0.3">
      <c r="A393" s="401"/>
      <c r="B393" s="402"/>
      <c r="C393" s="371" t="s">
        <v>652</v>
      </c>
      <c r="D393" s="371" t="s">
        <v>656</v>
      </c>
      <c r="E393" s="367" t="s">
        <v>235</v>
      </c>
      <c r="F393" s="539"/>
      <c r="G393" s="539"/>
      <c r="H393" s="539"/>
      <c r="I393" s="372">
        <f t="shared" si="50"/>
        <v>0</v>
      </c>
      <c r="J393" s="372"/>
      <c r="K393" s="372"/>
      <c r="L393" s="387">
        <f t="shared" si="51"/>
        <v>0</v>
      </c>
      <c r="M393" s="387">
        <f t="shared" si="52"/>
        <v>0</v>
      </c>
      <c r="N393" s="422">
        <f t="shared" si="53"/>
        <v>0</v>
      </c>
    </row>
    <row r="394" spans="1:14" ht="13.2" customHeight="1" x14ac:dyDescent="0.3">
      <c r="A394" s="401"/>
      <c r="B394" s="402"/>
      <c r="C394" s="371" t="s">
        <v>652</v>
      </c>
      <c r="D394" s="371" t="s">
        <v>657</v>
      </c>
      <c r="E394" s="367" t="s">
        <v>235</v>
      </c>
      <c r="F394" s="539"/>
      <c r="G394" s="539"/>
      <c r="H394" s="539"/>
      <c r="I394" s="372">
        <f t="shared" si="50"/>
        <v>0</v>
      </c>
      <c r="J394" s="372"/>
      <c r="K394" s="372"/>
      <c r="L394" s="387">
        <f t="shared" si="51"/>
        <v>0</v>
      </c>
      <c r="M394" s="387">
        <f t="shared" si="52"/>
        <v>0</v>
      </c>
      <c r="N394" s="422">
        <f t="shared" si="53"/>
        <v>0</v>
      </c>
    </row>
    <row r="395" spans="1:14" ht="13.2" customHeight="1" x14ac:dyDescent="0.3">
      <c r="A395" s="401"/>
      <c r="B395" s="402"/>
      <c r="C395" s="371" t="s">
        <v>652</v>
      </c>
      <c r="D395" s="371" t="s">
        <v>658</v>
      </c>
      <c r="E395" s="367" t="s">
        <v>235</v>
      </c>
      <c r="F395" s="539"/>
      <c r="G395" s="539"/>
      <c r="H395" s="539"/>
      <c r="I395" s="372">
        <f t="shared" si="50"/>
        <v>0</v>
      </c>
      <c r="J395" s="372"/>
      <c r="K395" s="372"/>
      <c r="L395" s="387">
        <f t="shared" si="51"/>
        <v>0</v>
      </c>
      <c r="M395" s="387">
        <f t="shared" si="52"/>
        <v>0</v>
      </c>
      <c r="N395" s="422">
        <f t="shared" si="53"/>
        <v>0</v>
      </c>
    </row>
    <row r="396" spans="1:14" ht="13.2" customHeight="1" x14ac:dyDescent="0.3">
      <c r="A396" s="401"/>
      <c r="B396" s="402"/>
      <c r="C396" s="371" t="s">
        <v>652</v>
      </c>
      <c r="D396" s="371" t="s">
        <v>659</v>
      </c>
      <c r="E396" s="367" t="s">
        <v>235</v>
      </c>
      <c r="F396" s="539"/>
      <c r="G396" s="539"/>
      <c r="H396" s="539"/>
      <c r="I396" s="372">
        <f t="shared" si="50"/>
        <v>0</v>
      </c>
      <c r="J396" s="372"/>
      <c r="K396" s="372"/>
      <c r="L396" s="387">
        <f t="shared" si="51"/>
        <v>0</v>
      </c>
      <c r="M396" s="387">
        <f t="shared" si="52"/>
        <v>0</v>
      </c>
      <c r="N396" s="422">
        <f t="shared" si="53"/>
        <v>0</v>
      </c>
    </row>
    <row r="397" spans="1:14" ht="13.2" customHeight="1" x14ac:dyDescent="0.3">
      <c r="A397" s="401"/>
      <c r="B397" s="402"/>
      <c r="C397" s="371" t="s">
        <v>652</v>
      </c>
      <c r="D397" s="371" t="s">
        <v>660</v>
      </c>
      <c r="E397" s="367" t="s">
        <v>235</v>
      </c>
      <c r="F397" s="539"/>
      <c r="G397" s="539"/>
      <c r="H397" s="539"/>
      <c r="I397" s="372">
        <f t="shared" si="50"/>
        <v>0</v>
      </c>
      <c r="J397" s="372"/>
      <c r="K397" s="372"/>
      <c r="L397" s="387">
        <f t="shared" si="51"/>
        <v>0</v>
      </c>
      <c r="M397" s="387">
        <f t="shared" si="52"/>
        <v>0</v>
      </c>
      <c r="N397" s="422">
        <f t="shared" si="53"/>
        <v>0</v>
      </c>
    </row>
    <row r="398" spans="1:14" ht="13.2" customHeight="1" x14ac:dyDescent="0.3">
      <c r="A398" s="401"/>
      <c r="B398" s="402"/>
      <c r="C398" s="371" t="s">
        <v>652</v>
      </c>
      <c r="D398" s="371" t="s">
        <v>661</v>
      </c>
      <c r="E398" s="367" t="s">
        <v>235</v>
      </c>
      <c r="F398" s="539"/>
      <c r="G398" s="539"/>
      <c r="H398" s="539"/>
      <c r="I398" s="372">
        <f t="shared" si="50"/>
        <v>0</v>
      </c>
      <c r="J398" s="372"/>
      <c r="K398" s="372"/>
      <c r="L398" s="387">
        <f t="shared" si="51"/>
        <v>0</v>
      </c>
      <c r="M398" s="387">
        <f t="shared" si="52"/>
        <v>0</v>
      </c>
      <c r="N398" s="422">
        <f t="shared" si="53"/>
        <v>0</v>
      </c>
    </row>
    <row r="399" spans="1:14" ht="13.2" customHeight="1" x14ac:dyDescent="0.3">
      <c r="A399" s="401"/>
      <c r="B399" s="402"/>
      <c r="C399" s="371" t="s">
        <v>652</v>
      </c>
      <c r="D399" s="371" t="s">
        <v>662</v>
      </c>
      <c r="E399" s="367" t="s">
        <v>235</v>
      </c>
      <c r="F399" s="539"/>
      <c r="G399" s="539"/>
      <c r="H399" s="539"/>
      <c r="I399" s="372">
        <f t="shared" si="50"/>
        <v>0</v>
      </c>
      <c r="J399" s="372"/>
      <c r="K399" s="372"/>
      <c r="L399" s="387">
        <f t="shared" si="51"/>
        <v>0</v>
      </c>
      <c r="M399" s="387">
        <f t="shared" si="52"/>
        <v>0</v>
      </c>
      <c r="N399" s="422">
        <f t="shared" si="53"/>
        <v>0</v>
      </c>
    </row>
    <row r="400" spans="1:14" ht="13.2" customHeight="1" x14ac:dyDescent="0.3">
      <c r="A400" s="401"/>
      <c r="B400" s="402"/>
      <c r="C400" s="371" t="s">
        <v>652</v>
      </c>
      <c r="D400" s="371" t="s">
        <v>663</v>
      </c>
      <c r="E400" s="367" t="s">
        <v>235</v>
      </c>
      <c r="F400" s="539"/>
      <c r="G400" s="539"/>
      <c r="H400" s="539"/>
      <c r="I400" s="372">
        <f t="shared" si="50"/>
        <v>0</v>
      </c>
      <c r="J400" s="372"/>
      <c r="K400" s="372"/>
      <c r="L400" s="387">
        <f t="shared" si="51"/>
        <v>0</v>
      </c>
      <c r="M400" s="387">
        <f t="shared" si="52"/>
        <v>0</v>
      </c>
      <c r="N400" s="422">
        <f t="shared" si="53"/>
        <v>0</v>
      </c>
    </row>
    <row r="401" spans="1:14" ht="13.2" customHeight="1" x14ac:dyDescent="0.3">
      <c r="A401" s="401"/>
      <c r="B401" s="402"/>
      <c r="C401" s="373" t="s">
        <v>652</v>
      </c>
      <c r="D401" s="373" t="s">
        <v>664</v>
      </c>
      <c r="E401" s="374" t="s">
        <v>235</v>
      </c>
      <c r="F401" s="571"/>
      <c r="G401" s="571"/>
      <c r="H401" s="571"/>
      <c r="I401" s="375">
        <f t="shared" si="50"/>
        <v>0</v>
      </c>
      <c r="J401" s="375"/>
      <c r="K401" s="372"/>
      <c r="L401" s="399">
        <f t="shared" si="51"/>
        <v>0</v>
      </c>
      <c r="M401" s="399">
        <f t="shared" si="52"/>
        <v>0</v>
      </c>
      <c r="N401" s="400">
        <f t="shared" si="53"/>
        <v>0</v>
      </c>
    </row>
    <row r="402" spans="1:14" ht="13.2" customHeight="1" x14ac:dyDescent="0.3">
      <c r="A402" s="401"/>
      <c r="B402" s="403" t="s">
        <v>1824</v>
      </c>
      <c r="C402" s="404" t="s">
        <v>652</v>
      </c>
      <c r="D402" s="404" t="s">
        <v>655</v>
      </c>
      <c r="E402" s="405" t="s">
        <v>235</v>
      </c>
      <c r="F402" s="576"/>
      <c r="G402" s="576"/>
      <c r="H402" s="576"/>
      <c r="I402" s="406">
        <f t="shared" si="50"/>
        <v>0</v>
      </c>
      <c r="J402" s="406"/>
      <c r="K402" s="406"/>
      <c r="L402" s="469">
        <f t="shared" si="51"/>
        <v>0</v>
      </c>
      <c r="M402" s="469">
        <f t="shared" si="52"/>
        <v>0</v>
      </c>
      <c r="N402" s="470">
        <f t="shared" si="53"/>
        <v>0</v>
      </c>
    </row>
    <row r="403" spans="1:14" ht="13.2" customHeight="1" x14ac:dyDescent="0.3">
      <c r="A403" s="401"/>
      <c r="B403" s="407"/>
      <c r="C403" s="371" t="s">
        <v>652</v>
      </c>
      <c r="D403" s="371" t="s">
        <v>656</v>
      </c>
      <c r="E403" s="367" t="s">
        <v>235</v>
      </c>
      <c r="F403" s="539"/>
      <c r="G403" s="539"/>
      <c r="H403" s="539"/>
      <c r="I403" s="372">
        <f t="shared" si="50"/>
        <v>0</v>
      </c>
      <c r="J403" s="372"/>
      <c r="K403" s="372"/>
      <c r="L403" s="387">
        <f t="shared" si="51"/>
        <v>0</v>
      </c>
      <c r="M403" s="387">
        <f t="shared" si="52"/>
        <v>0</v>
      </c>
      <c r="N403" s="422">
        <f t="shared" si="53"/>
        <v>0</v>
      </c>
    </row>
    <row r="404" spans="1:14" ht="13.2" customHeight="1" x14ac:dyDescent="0.3">
      <c r="A404" s="401"/>
      <c r="B404" s="408"/>
      <c r="C404" s="390" t="s">
        <v>652</v>
      </c>
      <c r="D404" s="390" t="s">
        <v>657</v>
      </c>
      <c r="E404" s="391" t="s">
        <v>235</v>
      </c>
      <c r="F404" s="577"/>
      <c r="G404" s="577"/>
      <c r="H404" s="577"/>
      <c r="I404" s="409">
        <f t="shared" ref="I404:I435" si="54">SUM(F404:H404)</f>
        <v>0</v>
      </c>
      <c r="J404" s="409"/>
      <c r="K404" s="409"/>
      <c r="L404" s="471">
        <f t="shared" ref="L404:L435" si="55">J404*I404</f>
        <v>0</v>
      </c>
      <c r="M404" s="471">
        <f t="shared" ref="M404:M435" si="56">K404*I404</f>
        <v>0</v>
      </c>
      <c r="N404" s="472">
        <f t="shared" ref="N404:N435" si="57">SUM(L404:M404)</f>
        <v>0</v>
      </c>
    </row>
    <row r="405" spans="1:14" ht="13.2" customHeight="1" x14ac:dyDescent="0.3">
      <c r="A405" s="401"/>
      <c r="B405" s="403" t="s">
        <v>1825</v>
      </c>
      <c r="C405" s="404" t="s">
        <v>652</v>
      </c>
      <c r="D405" s="371" t="s">
        <v>662</v>
      </c>
      <c r="E405" s="405" t="s">
        <v>235</v>
      </c>
      <c r="F405" s="576"/>
      <c r="G405" s="576"/>
      <c r="H405" s="576"/>
      <c r="I405" s="406">
        <f t="shared" si="54"/>
        <v>0</v>
      </c>
      <c r="J405" s="406"/>
      <c r="K405" s="406"/>
      <c r="L405" s="469">
        <f t="shared" si="55"/>
        <v>0</v>
      </c>
      <c r="M405" s="469">
        <f t="shared" si="56"/>
        <v>0</v>
      </c>
      <c r="N405" s="470">
        <f t="shared" si="57"/>
        <v>0</v>
      </c>
    </row>
    <row r="406" spans="1:14" ht="13.2" customHeight="1" x14ac:dyDescent="0.3">
      <c r="A406" s="401"/>
      <c r="B406" s="407"/>
      <c r="C406" s="371" t="s">
        <v>652</v>
      </c>
      <c r="D406" s="371" t="s">
        <v>663</v>
      </c>
      <c r="E406" s="367" t="s">
        <v>235</v>
      </c>
      <c r="F406" s="539"/>
      <c r="G406" s="539"/>
      <c r="H406" s="539"/>
      <c r="I406" s="372">
        <f t="shared" si="54"/>
        <v>0</v>
      </c>
      <c r="J406" s="372"/>
      <c r="K406" s="409"/>
      <c r="L406" s="387">
        <f t="shared" si="55"/>
        <v>0</v>
      </c>
      <c r="M406" s="387">
        <f t="shared" si="56"/>
        <v>0</v>
      </c>
      <c r="N406" s="422">
        <f t="shared" si="57"/>
        <v>0</v>
      </c>
    </row>
    <row r="407" spans="1:14" ht="13.2" customHeight="1" x14ac:dyDescent="0.3">
      <c r="A407" s="401"/>
      <c r="B407" s="403" t="s">
        <v>1826</v>
      </c>
      <c r="C407" s="404" t="s">
        <v>652</v>
      </c>
      <c r="D407" s="371" t="s">
        <v>658</v>
      </c>
      <c r="E407" s="405" t="s">
        <v>235</v>
      </c>
      <c r="F407" s="576"/>
      <c r="G407" s="576"/>
      <c r="H407" s="576"/>
      <c r="I407" s="406">
        <f t="shared" si="54"/>
        <v>0</v>
      </c>
      <c r="J407" s="406"/>
      <c r="K407" s="406"/>
      <c r="L407" s="469">
        <f t="shared" si="55"/>
        <v>0</v>
      </c>
      <c r="M407" s="469">
        <f t="shared" si="56"/>
        <v>0</v>
      </c>
      <c r="N407" s="470">
        <f t="shared" si="57"/>
        <v>0</v>
      </c>
    </row>
    <row r="408" spans="1:14" ht="13.2" customHeight="1" x14ac:dyDescent="0.3">
      <c r="A408" s="401"/>
      <c r="B408" s="407"/>
      <c r="C408" s="371" t="s">
        <v>652</v>
      </c>
      <c r="D408" s="371" t="s">
        <v>659</v>
      </c>
      <c r="E408" s="367" t="s">
        <v>235</v>
      </c>
      <c r="F408" s="539"/>
      <c r="G408" s="539"/>
      <c r="H408" s="539"/>
      <c r="I408" s="372">
        <f t="shared" si="54"/>
        <v>0</v>
      </c>
      <c r="J408" s="372"/>
      <c r="K408" s="409"/>
      <c r="L408" s="387">
        <f t="shared" si="55"/>
        <v>0</v>
      </c>
      <c r="M408" s="387">
        <f t="shared" si="56"/>
        <v>0</v>
      </c>
      <c r="N408" s="422">
        <f t="shared" si="57"/>
        <v>0</v>
      </c>
    </row>
    <row r="409" spans="1:14" ht="13.2" customHeight="1" x14ac:dyDescent="0.3">
      <c r="A409" s="401"/>
      <c r="B409" s="403" t="s">
        <v>1827</v>
      </c>
      <c r="C409" s="404" t="s">
        <v>652</v>
      </c>
      <c r="D409" s="404" t="s">
        <v>630</v>
      </c>
      <c r="E409" s="405" t="s">
        <v>235</v>
      </c>
      <c r="F409" s="576"/>
      <c r="G409" s="576"/>
      <c r="H409" s="576"/>
      <c r="I409" s="406">
        <f t="shared" si="54"/>
        <v>0</v>
      </c>
      <c r="J409" s="406"/>
      <c r="K409" s="369"/>
      <c r="L409" s="469">
        <f t="shared" si="55"/>
        <v>0</v>
      </c>
      <c r="M409" s="469">
        <f t="shared" si="56"/>
        <v>0</v>
      </c>
      <c r="N409" s="470">
        <f t="shared" si="57"/>
        <v>0</v>
      </c>
    </row>
    <row r="410" spans="1:14" ht="13.2" customHeight="1" x14ac:dyDescent="0.3">
      <c r="A410" s="410"/>
      <c r="B410" s="408"/>
      <c r="C410" s="390" t="s">
        <v>652</v>
      </c>
      <c r="D410" s="390" t="s">
        <v>1569</v>
      </c>
      <c r="E410" s="391" t="s">
        <v>235</v>
      </c>
      <c r="F410" s="577"/>
      <c r="G410" s="577"/>
      <c r="H410" s="577"/>
      <c r="I410" s="409">
        <f t="shared" si="54"/>
        <v>0</v>
      </c>
      <c r="J410" s="409"/>
      <c r="K410" s="409"/>
      <c r="L410" s="471">
        <f t="shared" si="55"/>
        <v>0</v>
      </c>
      <c r="M410" s="471">
        <f t="shared" si="56"/>
        <v>0</v>
      </c>
      <c r="N410" s="472">
        <f t="shared" si="57"/>
        <v>0</v>
      </c>
    </row>
    <row r="411" spans="1:14" ht="13.2" customHeight="1" x14ac:dyDescent="0.3">
      <c r="A411" s="397">
        <v>4</v>
      </c>
      <c r="B411" s="398" t="s">
        <v>1572</v>
      </c>
      <c r="C411" s="371"/>
      <c r="D411" s="371"/>
      <c r="E411" s="367"/>
      <c r="F411" s="527"/>
      <c r="G411" s="527"/>
      <c r="H411" s="527"/>
      <c r="I411" s="372">
        <f t="shared" si="54"/>
        <v>0</v>
      </c>
      <c r="J411" s="372"/>
      <c r="K411" s="372"/>
      <c r="L411" s="387">
        <f t="shared" si="55"/>
        <v>0</v>
      </c>
      <c r="M411" s="387">
        <f t="shared" si="56"/>
        <v>0</v>
      </c>
      <c r="N411" s="422">
        <f t="shared" si="57"/>
        <v>0</v>
      </c>
    </row>
    <row r="412" spans="1:14" ht="13.2" customHeight="1" x14ac:dyDescent="0.3">
      <c r="A412" s="401"/>
      <c r="B412" s="402" t="s">
        <v>1828</v>
      </c>
      <c r="C412" s="371" t="s">
        <v>650</v>
      </c>
      <c r="D412" s="371" t="s">
        <v>651</v>
      </c>
      <c r="E412" s="367" t="s">
        <v>235</v>
      </c>
      <c r="F412" s="539"/>
      <c r="G412" s="539"/>
      <c r="H412" s="539"/>
      <c r="I412" s="372">
        <f t="shared" si="54"/>
        <v>0</v>
      </c>
      <c r="J412" s="372"/>
      <c r="K412" s="372"/>
      <c r="L412" s="387">
        <f t="shared" si="55"/>
        <v>0</v>
      </c>
      <c r="M412" s="387">
        <f t="shared" si="56"/>
        <v>0</v>
      </c>
      <c r="N412" s="422">
        <f t="shared" si="57"/>
        <v>0</v>
      </c>
    </row>
    <row r="413" spans="1:14" ht="13.2" customHeight="1" x14ac:dyDescent="0.3">
      <c r="A413" s="401"/>
      <c r="B413" s="402"/>
      <c r="C413" s="371" t="s">
        <v>652</v>
      </c>
      <c r="D413" s="371" t="s">
        <v>651</v>
      </c>
      <c r="E413" s="367" t="s">
        <v>235</v>
      </c>
      <c r="F413" s="539"/>
      <c r="G413" s="539"/>
      <c r="H413" s="539"/>
      <c r="I413" s="372">
        <f t="shared" si="54"/>
        <v>0</v>
      </c>
      <c r="J413" s="372"/>
      <c r="K413" s="372"/>
      <c r="L413" s="387">
        <f t="shared" si="55"/>
        <v>0</v>
      </c>
      <c r="M413" s="387">
        <f t="shared" si="56"/>
        <v>0</v>
      </c>
      <c r="N413" s="422">
        <f t="shared" si="57"/>
        <v>0</v>
      </c>
    </row>
    <row r="414" spans="1:14" ht="13.2" customHeight="1" x14ac:dyDescent="0.3">
      <c r="A414" s="401"/>
      <c r="B414" s="402"/>
      <c r="C414" s="371" t="s">
        <v>652</v>
      </c>
      <c r="D414" s="371" t="s">
        <v>653</v>
      </c>
      <c r="E414" s="367" t="s">
        <v>235</v>
      </c>
      <c r="F414" s="539"/>
      <c r="G414" s="539"/>
      <c r="H414" s="539"/>
      <c r="I414" s="372">
        <f t="shared" si="54"/>
        <v>0</v>
      </c>
      <c r="J414" s="372"/>
      <c r="K414" s="372"/>
      <c r="L414" s="387">
        <f t="shared" si="55"/>
        <v>0</v>
      </c>
      <c r="M414" s="387">
        <f t="shared" si="56"/>
        <v>0</v>
      </c>
      <c r="N414" s="422">
        <f t="shared" si="57"/>
        <v>0</v>
      </c>
    </row>
    <row r="415" spans="1:14" ht="13.2" customHeight="1" x14ac:dyDescent="0.3">
      <c r="A415" s="401"/>
      <c r="B415" s="402"/>
      <c r="C415" s="371" t="s">
        <v>652</v>
      </c>
      <c r="D415" s="371" t="s">
        <v>654</v>
      </c>
      <c r="E415" s="367" t="s">
        <v>235</v>
      </c>
      <c r="F415" s="539"/>
      <c r="G415" s="539"/>
      <c r="H415" s="539"/>
      <c r="I415" s="372">
        <f t="shared" si="54"/>
        <v>0</v>
      </c>
      <c r="J415" s="372"/>
      <c r="K415" s="372"/>
      <c r="L415" s="387">
        <f t="shared" si="55"/>
        <v>0</v>
      </c>
      <c r="M415" s="387">
        <f t="shared" si="56"/>
        <v>0</v>
      </c>
      <c r="N415" s="422">
        <f t="shared" si="57"/>
        <v>0</v>
      </c>
    </row>
    <row r="416" spans="1:14" ht="13.2" customHeight="1" x14ac:dyDescent="0.3">
      <c r="A416" s="401"/>
      <c r="B416" s="402"/>
      <c r="C416" s="371" t="s">
        <v>652</v>
      </c>
      <c r="D416" s="371" t="s">
        <v>655</v>
      </c>
      <c r="E416" s="367" t="s">
        <v>235</v>
      </c>
      <c r="F416" s="539"/>
      <c r="G416" s="539"/>
      <c r="H416" s="539"/>
      <c r="I416" s="372">
        <f t="shared" si="54"/>
        <v>0</v>
      </c>
      <c r="J416" s="372"/>
      <c r="K416" s="372"/>
      <c r="L416" s="387">
        <f t="shared" si="55"/>
        <v>0</v>
      </c>
      <c r="M416" s="387">
        <f t="shared" si="56"/>
        <v>0</v>
      </c>
      <c r="N416" s="422">
        <f t="shared" si="57"/>
        <v>0</v>
      </c>
    </row>
    <row r="417" spans="1:14" ht="13.2" customHeight="1" x14ac:dyDescent="0.3">
      <c r="A417" s="401"/>
      <c r="B417" s="402"/>
      <c r="C417" s="371" t="s">
        <v>652</v>
      </c>
      <c r="D417" s="371" t="s">
        <v>656</v>
      </c>
      <c r="E417" s="367" t="s">
        <v>235</v>
      </c>
      <c r="F417" s="539"/>
      <c r="G417" s="539"/>
      <c r="H417" s="539"/>
      <c r="I417" s="372">
        <f t="shared" si="54"/>
        <v>0</v>
      </c>
      <c r="J417" s="372"/>
      <c r="K417" s="372"/>
      <c r="L417" s="387">
        <f t="shared" si="55"/>
        <v>0</v>
      </c>
      <c r="M417" s="387">
        <f t="shared" si="56"/>
        <v>0</v>
      </c>
      <c r="N417" s="422">
        <f t="shared" si="57"/>
        <v>0</v>
      </c>
    </row>
    <row r="418" spans="1:14" ht="13.2" customHeight="1" x14ac:dyDescent="0.3">
      <c r="A418" s="401"/>
      <c r="B418" s="402"/>
      <c r="C418" s="371" t="s">
        <v>652</v>
      </c>
      <c r="D418" s="371" t="s">
        <v>657</v>
      </c>
      <c r="E418" s="367" t="s">
        <v>235</v>
      </c>
      <c r="F418" s="539"/>
      <c r="G418" s="539"/>
      <c r="H418" s="539"/>
      <c r="I418" s="372">
        <f t="shared" si="54"/>
        <v>0</v>
      </c>
      <c r="J418" s="372"/>
      <c r="K418" s="372"/>
      <c r="L418" s="387">
        <f t="shared" si="55"/>
        <v>0</v>
      </c>
      <c r="M418" s="387">
        <f t="shared" si="56"/>
        <v>0</v>
      </c>
      <c r="N418" s="422">
        <f t="shared" si="57"/>
        <v>0</v>
      </c>
    </row>
    <row r="419" spans="1:14" ht="13.2" customHeight="1" x14ac:dyDescent="0.3">
      <c r="A419" s="401"/>
      <c r="B419" s="402"/>
      <c r="C419" s="371" t="s">
        <v>652</v>
      </c>
      <c r="D419" s="371" t="s">
        <v>658</v>
      </c>
      <c r="E419" s="367" t="s">
        <v>235</v>
      </c>
      <c r="F419" s="539"/>
      <c r="G419" s="539"/>
      <c r="H419" s="539"/>
      <c r="I419" s="372">
        <f t="shared" si="54"/>
        <v>0</v>
      </c>
      <c r="J419" s="372"/>
      <c r="K419" s="372"/>
      <c r="L419" s="387">
        <f t="shared" si="55"/>
        <v>0</v>
      </c>
      <c r="M419" s="387">
        <f t="shared" si="56"/>
        <v>0</v>
      </c>
      <c r="N419" s="422">
        <f t="shared" si="57"/>
        <v>0</v>
      </c>
    </row>
    <row r="420" spans="1:14" ht="13.2" customHeight="1" x14ac:dyDescent="0.3">
      <c r="A420" s="401"/>
      <c r="B420" s="402"/>
      <c r="C420" s="371" t="s">
        <v>652</v>
      </c>
      <c r="D420" s="371" t="s">
        <v>659</v>
      </c>
      <c r="E420" s="367" t="s">
        <v>235</v>
      </c>
      <c r="F420" s="539"/>
      <c r="G420" s="539"/>
      <c r="H420" s="539"/>
      <c r="I420" s="372">
        <f t="shared" si="54"/>
        <v>0</v>
      </c>
      <c r="J420" s="372"/>
      <c r="K420" s="372"/>
      <c r="L420" s="387">
        <f t="shared" si="55"/>
        <v>0</v>
      </c>
      <c r="M420" s="387">
        <f t="shared" si="56"/>
        <v>0</v>
      </c>
      <c r="N420" s="422">
        <f t="shared" si="57"/>
        <v>0</v>
      </c>
    </row>
    <row r="421" spans="1:14" ht="13.2" customHeight="1" x14ac:dyDescent="0.3">
      <c r="A421" s="401"/>
      <c r="B421" s="402"/>
      <c r="C421" s="371" t="s">
        <v>652</v>
      </c>
      <c r="D421" s="371" t="s">
        <v>660</v>
      </c>
      <c r="E421" s="367" t="s">
        <v>235</v>
      </c>
      <c r="F421" s="539"/>
      <c r="G421" s="539"/>
      <c r="H421" s="539"/>
      <c r="I421" s="372">
        <f t="shared" si="54"/>
        <v>0</v>
      </c>
      <c r="J421" s="372"/>
      <c r="K421" s="372"/>
      <c r="L421" s="387">
        <f t="shared" si="55"/>
        <v>0</v>
      </c>
      <c r="M421" s="387">
        <f t="shared" si="56"/>
        <v>0</v>
      </c>
      <c r="N421" s="422">
        <f t="shared" si="57"/>
        <v>0</v>
      </c>
    </row>
    <row r="422" spans="1:14" ht="13.2" customHeight="1" x14ac:dyDescent="0.3">
      <c r="A422" s="401"/>
      <c r="B422" s="402"/>
      <c r="C422" s="371" t="s">
        <v>652</v>
      </c>
      <c r="D422" s="371" t="s">
        <v>661</v>
      </c>
      <c r="E422" s="367" t="s">
        <v>235</v>
      </c>
      <c r="F422" s="539"/>
      <c r="G422" s="539"/>
      <c r="H422" s="539"/>
      <c r="I422" s="372">
        <f t="shared" si="54"/>
        <v>0</v>
      </c>
      <c r="J422" s="372"/>
      <c r="K422" s="372"/>
      <c r="L422" s="387">
        <f t="shared" si="55"/>
        <v>0</v>
      </c>
      <c r="M422" s="387">
        <f t="shared" si="56"/>
        <v>0</v>
      </c>
      <c r="N422" s="422">
        <f t="shared" si="57"/>
        <v>0</v>
      </c>
    </row>
    <row r="423" spans="1:14" ht="13.2" customHeight="1" x14ac:dyDescent="0.3">
      <c r="A423" s="401"/>
      <c r="B423" s="402"/>
      <c r="C423" s="371" t="s">
        <v>652</v>
      </c>
      <c r="D423" s="371" t="s">
        <v>662</v>
      </c>
      <c r="E423" s="367" t="s">
        <v>235</v>
      </c>
      <c r="F423" s="539"/>
      <c r="G423" s="539"/>
      <c r="H423" s="539"/>
      <c r="I423" s="372">
        <f t="shared" si="54"/>
        <v>0</v>
      </c>
      <c r="J423" s="372"/>
      <c r="K423" s="372"/>
      <c r="L423" s="387">
        <f t="shared" si="55"/>
        <v>0</v>
      </c>
      <c r="M423" s="387">
        <f t="shared" si="56"/>
        <v>0</v>
      </c>
      <c r="N423" s="422">
        <f t="shared" si="57"/>
        <v>0</v>
      </c>
    </row>
    <row r="424" spans="1:14" ht="13.2" customHeight="1" x14ac:dyDescent="0.3">
      <c r="A424" s="401"/>
      <c r="B424" s="402"/>
      <c r="C424" s="371" t="s">
        <v>652</v>
      </c>
      <c r="D424" s="371" t="s">
        <v>663</v>
      </c>
      <c r="E424" s="367" t="s">
        <v>235</v>
      </c>
      <c r="F424" s="539"/>
      <c r="G424" s="539"/>
      <c r="H424" s="539"/>
      <c r="I424" s="372">
        <f t="shared" si="54"/>
        <v>0</v>
      </c>
      <c r="J424" s="372"/>
      <c r="K424" s="372"/>
      <c r="L424" s="387">
        <f t="shared" si="55"/>
        <v>0</v>
      </c>
      <c r="M424" s="387">
        <f t="shared" si="56"/>
        <v>0</v>
      </c>
      <c r="N424" s="422">
        <f t="shared" si="57"/>
        <v>0</v>
      </c>
    </row>
    <row r="425" spans="1:14" ht="13.2" customHeight="1" x14ac:dyDescent="0.3">
      <c r="A425" s="401"/>
      <c r="B425" s="402"/>
      <c r="C425" s="373" t="s">
        <v>652</v>
      </c>
      <c r="D425" s="373" t="s">
        <v>664</v>
      </c>
      <c r="E425" s="374" t="s">
        <v>235</v>
      </c>
      <c r="F425" s="571"/>
      <c r="G425" s="571"/>
      <c r="H425" s="571"/>
      <c r="I425" s="375">
        <f t="shared" si="54"/>
        <v>0</v>
      </c>
      <c r="J425" s="375"/>
      <c r="K425" s="372"/>
      <c r="L425" s="399">
        <f t="shared" si="55"/>
        <v>0</v>
      </c>
      <c r="M425" s="399">
        <f t="shared" si="56"/>
        <v>0</v>
      </c>
      <c r="N425" s="400">
        <f t="shared" si="57"/>
        <v>0</v>
      </c>
    </row>
    <row r="426" spans="1:14" ht="13.2" customHeight="1" x14ac:dyDescent="0.3">
      <c r="A426" s="401"/>
      <c r="B426" s="403" t="s">
        <v>1824</v>
      </c>
      <c r="C426" s="404" t="s">
        <v>652</v>
      </c>
      <c r="D426" s="404" t="s">
        <v>655</v>
      </c>
      <c r="E426" s="405" t="s">
        <v>235</v>
      </c>
      <c r="F426" s="576"/>
      <c r="G426" s="576"/>
      <c r="H426" s="576"/>
      <c r="I426" s="406">
        <f t="shared" si="54"/>
        <v>0</v>
      </c>
      <c r="J426" s="406"/>
      <c r="K426" s="406"/>
      <c r="L426" s="469">
        <f t="shared" si="55"/>
        <v>0</v>
      </c>
      <c r="M426" s="469">
        <f t="shared" si="56"/>
        <v>0</v>
      </c>
      <c r="N426" s="470">
        <f t="shared" si="57"/>
        <v>0</v>
      </c>
    </row>
    <row r="427" spans="1:14" ht="13.2" customHeight="1" x14ac:dyDescent="0.3">
      <c r="A427" s="401"/>
      <c r="B427" s="407"/>
      <c r="C427" s="371" t="s">
        <v>652</v>
      </c>
      <c r="D427" s="371" t="s">
        <v>656</v>
      </c>
      <c r="E427" s="367" t="s">
        <v>235</v>
      </c>
      <c r="F427" s="539"/>
      <c r="G427" s="539"/>
      <c r="H427" s="539"/>
      <c r="I427" s="372">
        <f t="shared" si="54"/>
        <v>0</v>
      </c>
      <c r="J427" s="372"/>
      <c r="K427" s="372"/>
      <c r="L427" s="387">
        <f t="shared" si="55"/>
        <v>0</v>
      </c>
      <c r="M427" s="387">
        <f t="shared" si="56"/>
        <v>0</v>
      </c>
      <c r="N427" s="422">
        <f t="shared" si="57"/>
        <v>0</v>
      </c>
    </row>
    <row r="428" spans="1:14" ht="13.2" customHeight="1" x14ac:dyDescent="0.3">
      <c r="A428" s="401"/>
      <c r="B428" s="408"/>
      <c r="C428" s="390" t="s">
        <v>652</v>
      </c>
      <c r="D428" s="390" t="s">
        <v>657</v>
      </c>
      <c r="E428" s="391" t="s">
        <v>235</v>
      </c>
      <c r="F428" s="577"/>
      <c r="G428" s="577"/>
      <c r="H428" s="577"/>
      <c r="I428" s="409">
        <f t="shared" si="54"/>
        <v>0</v>
      </c>
      <c r="J428" s="409"/>
      <c r="K428" s="409"/>
      <c r="L428" s="471">
        <f t="shared" si="55"/>
        <v>0</v>
      </c>
      <c r="M428" s="471">
        <f t="shared" si="56"/>
        <v>0</v>
      </c>
      <c r="N428" s="472">
        <f t="shared" si="57"/>
        <v>0</v>
      </c>
    </row>
    <row r="429" spans="1:14" ht="13.2" customHeight="1" x14ac:dyDescent="0.3">
      <c r="A429" s="401"/>
      <c r="B429" s="403" t="s">
        <v>1825</v>
      </c>
      <c r="C429" s="404" t="s">
        <v>652</v>
      </c>
      <c r="D429" s="371" t="s">
        <v>662</v>
      </c>
      <c r="E429" s="405" t="s">
        <v>235</v>
      </c>
      <c r="F429" s="576"/>
      <c r="G429" s="576"/>
      <c r="H429" s="576"/>
      <c r="I429" s="406">
        <f t="shared" si="54"/>
        <v>0</v>
      </c>
      <c r="J429" s="406"/>
      <c r="K429" s="406"/>
      <c r="L429" s="469">
        <f t="shared" si="55"/>
        <v>0</v>
      </c>
      <c r="M429" s="469">
        <f t="shared" si="56"/>
        <v>0</v>
      </c>
      <c r="N429" s="470">
        <f t="shared" si="57"/>
        <v>0</v>
      </c>
    </row>
    <row r="430" spans="1:14" ht="13.2" customHeight="1" x14ac:dyDescent="0.3">
      <c r="A430" s="401"/>
      <c r="B430" s="407"/>
      <c r="C430" s="371" t="s">
        <v>652</v>
      </c>
      <c r="D430" s="371" t="s">
        <v>663</v>
      </c>
      <c r="E430" s="367" t="s">
        <v>235</v>
      </c>
      <c r="F430" s="539"/>
      <c r="G430" s="539"/>
      <c r="H430" s="539"/>
      <c r="I430" s="372">
        <f t="shared" si="54"/>
        <v>0</v>
      </c>
      <c r="J430" s="372"/>
      <c r="K430" s="409"/>
      <c r="L430" s="387">
        <f t="shared" si="55"/>
        <v>0</v>
      </c>
      <c r="M430" s="387">
        <f t="shared" si="56"/>
        <v>0</v>
      </c>
      <c r="N430" s="422">
        <f t="shared" si="57"/>
        <v>0</v>
      </c>
    </row>
    <row r="431" spans="1:14" ht="13.2" customHeight="1" x14ac:dyDescent="0.3">
      <c r="A431" s="401"/>
      <c r="B431" s="403" t="s">
        <v>1826</v>
      </c>
      <c r="C431" s="404" t="s">
        <v>652</v>
      </c>
      <c r="D431" s="371" t="s">
        <v>658</v>
      </c>
      <c r="E431" s="405" t="s">
        <v>235</v>
      </c>
      <c r="F431" s="576"/>
      <c r="G431" s="576"/>
      <c r="H431" s="576"/>
      <c r="I431" s="406">
        <f t="shared" si="54"/>
        <v>0</v>
      </c>
      <c r="J431" s="406"/>
      <c r="K431" s="406"/>
      <c r="L431" s="469">
        <f t="shared" si="55"/>
        <v>0</v>
      </c>
      <c r="M431" s="469">
        <f t="shared" si="56"/>
        <v>0</v>
      </c>
      <c r="N431" s="470">
        <f t="shared" si="57"/>
        <v>0</v>
      </c>
    </row>
    <row r="432" spans="1:14" ht="13.2" customHeight="1" x14ac:dyDescent="0.3">
      <c r="A432" s="401"/>
      <c r="B432" s="407"/>
      <c r="C432" s="371" t="s">
        <v>652</v>
      </c>
      <c r="D432" s="371" t="s">
        <v>659</v>
      </c>
      <c r="E432" s="367" t="s">
        <v>235</v>
      </c>
      <c r="F432" s="539"/>
      <c r="G432" s="539"/>
      <c r="H432" s="539"/>
      <c r="I432" s="372">
        <f t="shared" si="54"/>
        <v>0</v>
      </c>
      <c r="J432" s="372"/>
      <c r="K432" s="409"/>
      <c r="L432" s="387">
        <f t="shared" si="55"/>
        <v>0</v>
      </c>
      <c r="M432" s="387">
        <f t="shared" si="56"/>
        <v>0</v>
      </c>
      <c r="N432" s="422">
        <f t="shared" si="57"/>
        <v>0</v>
      </c>
    </row>
    <row r="433" spans="1:14" ht="13.2" customHeight="1" x14ac:dyDescent="0.3">
      <c r="A433" s="401"/>
      <c r="B433" s="403" t="s">
        <v>1827</v>
      </c>
      <c r="C433" s="404" t="s">
        <v>652</v>
      </c>
      <c r="D433" s="404" t="s">
        <v>630</v>
      </c>
      <c r="E433" s="405" t="s">
        <v>235</v>
      </c>
      <c r="F433" s="576"/>
      <c r="G433" s="576"/>
      <c r="H433" s="576"/>
      <c r="I433" s="406">
        <f t="shared" si="54"/>
        <v>0</v>
      </c>
      <c r="J433" s="406"/>
      <c r="K433" s="369"/>
      <c r="L433" s="469">
        <f t="shared" si="55"/>
        <v>0</v>
      </c>
      <c r="M433" s="469">
        <f t="shared" si="56"/>
        <v>0</v>
      </c>
      <c r="N433" s="470">
        <f t="shared" si="57"/>
        <v>0</v>
      </c>
    </row>
    <row r="434" spans="1:14" ht="13.2" customHeight="1" x14ac:dyDescent="0.3">
      <c r="A434" s="410"/>
      <c r="B434" s="408"/>
      <c r="C434" s="390" t="s">
        <v>652</v>
      </c>
      <c r="D434" s="390" t="s">
        <v>1569</v>
      </c>
      <c r="E434" s="391" t="s">
        <v>235</v>
      </c>
      <c r="F434" s="577"/>
      <c r="G434" s="577"/>
      <c r="H434" s="577"/>
      <c r="I434" s="409">
        <f t="shared" si="54"/>
        <v>0</v>
      </c>
      <c r="J434" s="409"/>
      <c r="K434" s="409"/>
      <c r="L434" s="471">
        <f t="shared" si="55"/>
        <v>0</v>
      </c>
      <c r="M434" s="471">
        <f t="shared" si="56"/>
        <v>0</v>
      </c>
      <c r="N434" s="472">
        <f t="shared" si="57"/>
        <v>0</v>
      </c>
    </row>
    <row r="435" spans="1:14" ht="13.2" customHeight="1" x14ac:dyDescent="0.3">
      <c r="A435" s="397">
        <v>3</v>
      </c>
      <c r="B435" s="398" t="s">
        <v>1571</v>
      </c>
      <c r="C435" s="371"/>
      <c r="D435" s="371"/>
      <c r="E435" s="367"/>
      <c r="F435" s="527"/>
      <c r="G435" s="527"/>
      <c r="H435" s="527"/>
      <c r="I435" s="372">
        <f t="shared" si="54"/>
        <v>0</v>
      </c>
      <c r="J435" s="372"/>
      <c r="K435" s="372"/>
      <c r="L435" s="387">
        <f t="shared" si="55"/>
        <v>0</v>
      </c>
      <c r="M435" s="387">
        <f t="shared" si="56"/>
        <v>0</v>
      </c>
      <c r="N435" s="422">
        <f t="shared" si="57"/>
        <v>0</v>
      </c>
    </row>
    <row r="436" spans="1:14" ht="13.2" customHeight="1" x14ac:dyDescent="0.3">
      <c r="A436" s="401"/>
      <c r="B436" s="402" t="s">
        <v>1828</v>
      </c>
      <c r="C436" s="371" t="s">
        <v>650</v>
      </c>
      <c r="D436" s="371" t="s">
        <v>651</v>
      </c>
      <c r="E436" s="367" t="s">
        <v>235</v>
      </c>
      <c r="F436" s="539"/>
      <c r="G436" s="539"/>
      <c r="H436" s="539"/>
      <c r="I436" s="372">
        <f t="shared" ref="I436:I458" si="58">SUM(F436:H436)</f>
        <v>0</v>
      </c>
      <c r="J436" s="372"/>
      <c r="K436" s="372"/>
      <c r="L436" s="387">
        <f t="shared" ref="L436:L458" si="59">J436*I436</f>
        <v>0</v>
      </c>
      <c r="M436" s="387">
        <f t="shared" ref="M436:M458" si="60">K436*I436</f>
        <v>0</v>
      </c>
      <c r="N436" s="422">
        <f t="shared" ref="N436:N458" si="61">SUM(L436:M436)</f>
        <v>0</v>
      </c>
    </row>
    <row r="437" spans="1:14" ht="13.2" customHeight="1" x14ac:dyDescent="0.3">
      <c r="A437" s="401"/>
      <c r="B437" s="402"/>
      <c r="C437" s="371" t="s">
        <v>652</v>
      </c>
      <c r="D437" s="371" t="s">
        <v>651</v>
      </c>
      <c r="E437" s="367" t="s">
        <v>235</v>
      </c>
      <c r="F437" s="539"/>
      <c r="G437" s="539"/>
      <c r="H437" s="539"/>
      <c r="I437" s="372">
        <f t="shared" si="58"/>
        <v>0</v>
      </c>
      <c r="J437" s="372"/>
      <c r="K437" s="372"/>
      <c r="L437" s="387">
        <f t="shared" si="59"/>
        <v>0</v>
      </c>
      <c r="M437" s="387">
        <f t="shared" si="60"/>
        <v>0</v>
      </c>
      <c r="N437" s="422">
        <f t="shared" si="61"/>
        <v>0</v>
      </c>
    </row>
    <row r="438" spans="1:14" ht="13.2" customHeight="1" x14ac:dyDescent="0.3">
      <c r="A438" s="401"/>
      <c r="B438" s="402"/>
      <c r="C438" s="371" t="s">
        <v>652</v>
      </c>
      <c r="D438" s="371" t="s">
        <v>653</v>
      </c>
      <c r="E438" s="367" t="s">
        <v>235</v>
      </c>
      <c r="F438" s="539"/>
      <c r="G438" s="539"/>
      <c r="H438" s="539"/>
      <c r="I438" s="372">
        <f t="shared" si="58"/>
        <v>0</v>
      </c>
      <c r="J438" s="372"/>
      <c r="K438" s="372"/>
      <c r="L438" s="387">
        <f t="shared" si="59"/>
        <v>0</v>
      </c>
      <c r="M438" s="387">
        <f t="shared" si="60"/>
        <v>0</v>
      </c>
      <c r="N438" s="422">
        <f t="shared" si="61"/>
        <v>0</v>
      </c>
    </row>
    <row r="439" spans="1:14" ht="13.2" customHeight="1" x14ac:dyDescent="0.3">
      <c r="A439" s="401"/>
      <c r="B439" s="402"/>
      <c r="C439" s="371" t="s">
        <v>652</v>
      </c>
      <c r="D439" s="371" t="s">
        <v>654</v>
      </c>
      <c r="E439" s="367" t="s">
        <v>235</v>
      </c>
      <c r="F439" s="539"/>
      <c r="G439" s="539"/>
      <c r="H439" s="539"/>
      <c r="I439" s="372">
        <f t="shared" si="58"/>
        <v>0</v>
      </c>
      <c r="J439" s="372"/>
      <c r="K439" s="372"/>
      <c r="L439" s="387">
        <f t="shared" si="59"/>
        <v>0</v>
      </c>
      <c r="M439" s="387">
        <f t="shared" si="60"/>
        <v>0</v>
      </c>
      <c r="N439" s="422">
        <f t="shared" si="61"/>
        <v>0</v>
      </c>
    </row>
    <row r="440" spans="1:14" ht="13.2" customHeight="1" x14ac:dyDescent="0.3">
      <c r="A440" s="401"/>
      <c r="B440" s="402"/>
      <c r="C440" s="371" t="s">
        <v>652</v>
      </c>
      <c r="D440" s="371" t="s">
        <v>655</v>
      </c>
      <c r="E440" s="367" t="s">
        <v>235</v>
      </c>
      <c r="F440" s="539"/>
      <c r="G440" s="539"/>
      <c r="H440" s="539"/>
      <c r="I440" s="372">
        <f t="shared" si="58"/>
        <v>0</v>
      </c>
      <c r="J440" s="372"/>
      <c r="K440" s="372"/>
      <c r="L440" s="387">
        <f t="shared" si="59"/>
        <v>0</v>
      </c>
      <c r="M440" s="387">
        <f t="shared" si="60"/>
        <v>0</v>
      </c>
      <c r="N440" s="422">
        <f t="shared" si="61"/>
        <v>0</v>
      </c>
    </row>
    <row r="441" spans="1:14" ht="13.2" customHeight="1" x14ac:dyDescent="0.3">
      <c r="A441" s="401"/>
      <c r="B441" s="402"/>
      <c r="C441" s="371" t="s">
        <v>652</v>
      </c>
      <c r="D441" s="371" t="s">
        <v>656</v>
      </c>
      <c r="E441" s="367" t="s">
        <v>235</v>
      </c>
      <c r="F441" s="539"/>
      <c r="G441" s="539"/>
      <c r="H441" s="539"/>
      <c r="I441" s="372">
        <f t="shared" si="58"/>
        <v>0</v>
      </c>
      <c r="J441" s="372"/>
      <c r="K441" s="372"/>
      <c r="L441" s="387">
        <f t="shared" si="59"/>
        <v>0</v>
      </c>
      <c r="M441" s="387">
        <f t="shared" si="60"/>
        <v>0</v>
      </c>
      <c r="N441" s="422">
        <f t="shared" si="61"/>
        <v>0</v>
      </c>
    </row>
    <row r="442" spans="1:14" ht="13.2" customHeight="1" x14ac:dyDescent="0.3">
      <c r="A442" s="401"/>
      <c r="B442" s="402"/>
      <c r="C442" s="371" t="s">
        <v>652</v>
      </c>
      <c r="D442" s="371" t="s">
        <v>657</v>
      </c>
      <c r="E442" s="367" t="s">
        <v>235</v>
      </c>
      <c r="F442" s="539"/>
      <c r="G442" s="539"/>
      <c r="H442" s="539"/>
      <c r="I442" s="372">
        <f t="shared" si="58"/>
        <v>0</v>
      </c>
      <c r="J442" s="372"/>
      <c r="K442" s="372"/>
      <c r="L442" s="387">
        <f t="shared" si="59"/>
        <v>0</v>
      </c>
      <c r="M442" s="387">
        <f t="shared" si="60"/>
        <v>0</v>
      </c>
      <c r="N442" s="422">
        <f t="shared" si="61"/>
        <v>0</v>
      </c>
    </row>
    <row r="443" spans="1:14" ht="12.75" customHeight="1" x14ac:dyDescent="0.3">
      <c r="A443" s="401"/>
      <c r="B443" s="402"/>
      <c r="C443" s="371" t="s">
        <v>652</v>
      </c>
      <c r="D443" s="371" t="s">
        <v>658</v>
      </c>
      <c r="E443" s="367" t="s">
        <v>235</v>
      </c>
      <c r="F443" s="539"/>
      <c r="G443" s="539"/>
      <c r="H443" s="539"/>
      <c r="I443" s="372">
        <f t="shared" si="58"/>
        <v>0</v>
      </c>
      <c r="J443" s="372"/>
      <c r="K443" s="372"/>
      <c r="L443" s="387">
        <f t="shared" si="59"/>
        <v>0</v>
      </c>
      <c r="M443" s="387">
        <f t="shared" si="60"/>
        <v>0</v>
      </c>
      <c r="N443" s="422">
        <f t="shared" si="61"/>
        <v>0</v>
      </c>
    </row>
    <row r="444" spans="1:14" ht="12.75" customHeight="1" x14ac:dyDescent="0.3">
      <c r="A444" s="401"/>
      <c r="B444" s="402"/>
      <c r="C444" s="371" t="s">
        <v>652</v>
      </c>
      <c r="D444" s="371" t="s">
        <v>659</v>
      </c>
      <c r="E444" s="367" t="s">
        <v>235</v>
      </c>
      <c r="F444" s="539"/>
      <c r="G444" s="539"/>
      <c r="H444" s="539"/>
      <c r="I444" s="372">
        <f t="shared" si="58"/>
        <v>0</v>
      </c>
      <c r="J444" s="372"/>
      <c r="K444" s="372"/>
      <c r="L444" s="387">
        <f t="shared" si="59"/>
        <v>0</v>
      </c>
      <c r="M444" s="387">
        <f t="shared" si="60"/>
        <v>0</v>
      </c>
      <c r="N444" s="422">
        <f t="shared" si="61"/>
        <v>0</v>
      </c>
    </row>
    <row r="445" spans="1:14" ht="12.75" customHeight="1" x14ac:dyDescent="0.3">
      <c r="A445" s="401"/>
      <c r="B445" s="402"/>
      <c r="C445" s="371" t="s">
        <v>652</v>
      </c>
      <c r="D445" s="371" t="s">
        <v>660</v>
      </c>
      <c r="E445" s="367" t="s">
        <v>235</v>
      </c>
      <c r="F445" s="539"/>
      <c r="G445" s="539"/>
      <c r="H445" s="539"/>
      <c r="I445" s="372">
        <f t="shared" si="58"/>
        <v>0</v>
      </c>
      <c r="J445" s="372"/>
      <c r="K445" s="372"/>
      <c r="L445" s="387">
        <f t="shared" si="59"/>
        <v>0</v>
      </c>
      <c r="M445" s="387">
        <f t="shared" si="60"/>
        <v>0</v>
      </c>
      <c r="N445" s="422">
        <f t="shared" si="61"/>
        <v>0</v>
      </c>
    </row>
    <row r="446" spans="1:14" ht="12.75" customHeight="1" x14ac:dyDescent="0.3">
      <c r="A446" s="401"/>
      <c r="B446" s="402"/>
      <c r="C446" s="371" t="s">
        <v>652</v>
      </c>
      <c r="D446" s="371" t="s">
        <v>661</v>
      </c>
      <c r="E446" s="367" t="s">
        <v>235</v>
      </c>
      <c r="F446" s="539"/>
      <c r="G446" s="539"/>
      <c r="H446" s="539"/>
      <c r="I446" s="372">
        <f t="shared" si="58"/>
        <v>0</v>
      </c>
      <c r="J446" s="372"/>
      <c r="K446" s="372"/>
      <c r="L446" s="387">
        <f t="shared" si="59"/>
        <v>0</v>
      </c>
      <c r="M446" s="387">
        <f t="shared" si="60"/>
        <v>0</v>
      </c>
      <c r="N446" s="422">
        <f t="shared" si="61"/>
        <v>0</v>
      </c>
    </row>
    <row r="447" spans="1:14" ht="12.75" customHeight="1" x14ac:dyDescent="0.3">
      <c r="A447" s="401"/>
      <c r="B447" s="402"/>
      <c r="C447" s="371" t="s">
        <v>652</v>
      </c>
      <c r="D447" s="371" t="s">
        <v>662</v>
      </c>
      <c r="E447" s="367" t="s">
        <v>235</v>
      </c>
      <c r="F447" s="539"/>
      <c r="G447" s="539"/>
      <c r="H447" s="539"/>
      <c r="I447" s="372">
        <f t="shared" si="58"/>
        <v>0</v>
      </c>
      <c r="J447" s="372"/>
      <c r="K447" s="372"/>
      <c r="L447" s="387">
        <f t="shared" si="59"/>
        <v>0</v>
      </c>
      <c r="M447" s="387">
        <f t="shared" si="60"/>
        <v>0</v>
      </c>
      <c r="N447" s="422">
        <f t="shared" si="61"/>
        <v>0</v>
      </c>
    </row>
    <row r="448" spans="1:14" ht="12.75" customHeight="1" x14ac:dyDescent="0.3">
      <c r="A448" s="401"/>
      <c r="B448" s="402"/>
      <c r="C448" s="371" t="s">
        <v>652</v>
      </c>
      <c r="D448" s="371" t="s">
        <v>663</v>
      </c>
      <c r="E448" s="367" t="s">
        <v>235</v>
      </c>
      <c r="F448" s="539"/>
      <c r="G448" s="539"/>
      <c r="H448" s="539"/>
      <c r="I448" s="372">
        <f t="shared" si="58"/>
        <v>0</v>
      </c>
      <c r="J448" s="372"/>
      <c r="K448" s="372"/>
      <c r="L448" s="387">
        <f t="shared" si="59"/>
        <v>0</v>
      </c>
      <c r="M448" s="387">
        <f t="shared" si="60"/>
        <v>0</v>
      </c>
      <c r="N448" s="422">
        <f t="shared" si="61"/>
        <v>0</v>
      </c>
    </row>
    <row r="449" spans="1:14" ht="12.75" customHeight="1" x14ac:dyDescent="0.3">
      <c r="A449" s="401"/>
      <c r="B449" s="402"/>
      <c r="C449" s="373" t="s">
        <v>652</v>
      </c>
      <c r="D449" s="373" t="s">
        <v>664</v>
      </c>
      <c r="E449" s="374" t="s">
        <v>235</v>
      </c>
      <c r="F449" s="571"/>
      <c r="G449" s="571"/>
      <c r="H449" s="571"/>
      <c r="I449" s="375">
        <f t="shared" si="58"/>
        <v>0</v>
      </c>
      <c r="J449" s="375"/>
      <c r="K449" s="372"/>
      <c r="L449" s="399">
        <f t="shared" si="59"/>
        <v>0</v>
      </c>
      <c r="M449" s="399">
        <f t="shared" si="60"/>
        <v>0</v>
      </c>
      <c r="N449" s="400">
        <f t="shared" si="61"/>
        <v>0</v>
      </c>
    </row>
    <row r="450" spans="1:14" ht="13.2" customHeight="1" x14ac:dyDescent="0.3">
      <c r="A450" s="401"/>
      <c r="B450" s="403" t="s">
        <v>1824</v>
      </c>
      <c r="C450" s="404" t="s">
        <v>652</v>
      </c>
      <c r="D450" s="404" t="s">
        <v>655</v>
      </c>
      <c r="E450" s="405" t="s">
        <v>235</v>
      </c>
      <c r="F450" s="576"/>
      <c r="G450" s="576"/>
      <c r="H450" s="576"/>
      <c r="I450" s="406">
        <f t="shared" si="58"/>
        <v>0</v>
      </c>
      <c r="J450" s="406"/>
      <c r="K450" s="406"/>
      <c r="L450" s="469">
        <f t="shared" si="59"/>
        <v>0</v>
      </c>
      <c r="M450" s="469">
        <f t="shared" si="60"/>
        <v>0</v>
      </c>
      <c r="N450" s="470">
        <f t="shared" si="61"/>
        <v>0</v>
      </c>
    </row>
    <row r="451" spans="1:14" ht="13.2" customHeight="1" x14ac:dyDescent="0.3">
      <c r="A451" s="401"/>
      <c r="B451" s="407"/>
      <c r="C451" s="371" t="s">
        <v>652</v>
      </c>
      <c r="D451" s="371" t="s">
        <v>656</v>
      </c>
      <c r="E451" s="367" t="s">
        <v>235</v>
      </c>
      <c r="F451" s="539"/>
      <c r="G451" s="539"/>
      <c r="H451" s="539"/>
      <c r="I451" s="372">
        <f t="shared" si="58"/>
        <v>0</v>
      </c>
      <c r="J451" s="372"/>
      <c r="K451" s="372"/>
      <c r="L451" s="387">
        <f t="shared" si="59"/>
        <v>0</v>
      </c>
      <c r="M451" s="387">
        <f t="shared" si="60"/>
        <v>0</v>
      </c>
      <c r="N451" s="422">
        <f t="shared" si="61"/>
        <v>0</v>
      </c>
    </row>
    <row r="452" spans="1:14" ht="13.2" customHeight="1" x14ac:dyDescent="0.3">
      <c r="A452" s="401"/>
      <c r="B452" s="408"/>
      <c r="C452" s="390" t="s">
        <v>652</v>
      </c>
      <c r="D452" s="390" t="s">
        <v>657</v>
      </c>
      <c r="E452" s="391" t="s">
        <v>235</v>
      </c>
      <c r="F452" s="577"/>
      <c r="G452" s="577"/>
      <c r="H452" s="577"/>
      <c r="I452" s="409">
        <f t="shared" si="58"/>
        <v>0</v>
      </c>
      <c r="J452" s="409"/>
      <c r="K452" s="375"/>
      <c r="L452" s="471">
        <f t="shared" si="59"/>
        <v>0</v>
      </c>
      <c r="M452" s="471">
        <f t="shared" si="60"/>
        <v>0</v>
      </c>
      <c r="N452" s="472">
        <f t="shared" si="61"/>
        <v>0</v>
      </c>
    </row>
    <row r="453" spans="1:14" ht="13.2" customHeight="1" x14ac:dyDescent="0.3">
      <c r="A453" s="401"/>
      <c r="B453" s="403" t="s">
        <v>1825</v>
      </c>
      <c r="C453" s="404" t="s">
        <v>652</v>
      </c>
      <c r="D453" s="371" t="s">
        <v>662</v>
      </c>
      <c r="E453" s="405" t="s">
        <v>235</v>
      </c>
      <c r="F453" s="576"/>
      <c r="G453" s="576"/>
      <c r="H453" s="576"/>
      <c r="I453" s="406">
        <f t="shared" si="58"/>
        <v>0</v>
      </c>
      <c r="J453" s="406"/>
      <c r="K453" s="406"/>
      <c r="L453" s="469">
        <f t="shared" si="59"/>
        <v>0</v>
      </c>
      <c r="M453" s="469">
        <f t="shared" si="60"/>
        <v>0</v>
      </c>
      <c r="N453" s="470">
        <f t="shared" si="61"/>
        <v>0</v>
      </c>
    </row>
    <row r="454" spans="1:14" ht="13.2" customHeight="1" x14ac:dyDescent="0.3">
      <c r="A454" s="401"/>
      <c r="B454" s="407"/>
      <c r="C454" s="371" t="s">
        <v>652</v>
      </c>
      <c r="D454" s="371" t="s">
        <v>663</v>
      </c>
      <c r="E454" s="367" t="s">
        <v>235</v>
      </c>
      <c r="F454" s="539"/>
      <c r="G454" s="539"/>
      <c r="H454" s="539"/>
      <c r="I454" s="372">
        <f t="shared" si="58"/>
        <v>0</v>
      </c>
      <c r="J454" s="372"/>
      <c r="K454" s="375"/>
      <c r="L454" s="387">
        <f t="shared" si="59"/>
        <v>0</v>
      </c>
      <c r="M454" s="387">
        <f t="shared" si="60"/>
        <v>0</v>
      </c>
      <c r="N454" s="422">
        <f t="shared" si="61"/>
        <v>0</v>
      </c>
    </row>
    <row r="455" spans="1:14" ht="13.2" customHeight="1" x14ac:dyDescent="0.3">
      <c r="A455" s="401"/>
      <c r="B455" s="403" t="s">
        <v>1826</v>
      </c>
      <c r="C455" s="404" t="s">
        <v>652</v>
      </c>
      <c r="D455" s="371" t="s">
        <v>658</v>
      </c>
      <c r="E455" s="405" t="s">
        <v>235</v>
      </c>
      <c r="F455" s="576"/>
      <c r="G455" s="576"/>
      <c r="H455" s="576"/>
      <c r="I455" s="406">
        <f t="shared" si="58"/>
        <v>0</v>
      </c>
      <c r="J455" s="406"/>
      <c r="K455" s="406"/>
      <c r="L455" s="469">
        <f t="shared" si="59"/>
        <v>0</v>
      </c>
      <c r="M455" s="469">
        <f t="shared" si="60"/>
        <v>0</v>
      </c>
      <c r="N455" s="470">
        <f t="shared" si="61"/>
        <v>0</v>
      </c>
    </row>
    <row r="456" spans="1:14" ht="13.2" customHeight="1" x14ac:dyDescent="0.3">
      <c r="A456" s="401"/>
      <c r="B456" s="407"/>
      <c r="C456" s="371" t="s">
        <v>652</v>
      </c>
      <c r="D456" s="371" t="s">
        <v>659</v>
      </c>
      <c r="E456" s="367" t="s">
        <v>235</v>
      </c>
      <c r="F456" s="539"/>
      <c r="G456" s="539"/>
      <c r="H456" s="539"/>
      <c r="I456" s="372">
        <f t="shared" si="58"/>
        <v>0</v>
      </c>
      <c r="J456" s="372"/>
      <c r="K456" s="372"/>
      <c r="L456" s="387">
        <f t="shared" si="59"/>
        <v>0</v>
      </c>
      <c r="M456" s="387">
        <f t="shared" si="60"/>
        <v>0</v>
      </c>
      <c r="N456" s="422">
        <f t="shared" si="61"/>
        <v>0</v>
      </c>
    </row>
    <row r="457" spans="1:14" ht="13.2" customHeight="1" x14ac:dyDescent="0.3">
      <c r="A457" s="401"/>
      <c r="B457" s="403" t="s">
        <v>1827</v>
      </c>
      <c r="C457" s="404" t="s">
        <v>652</v>
      </c>
      <c r="D457" s="404" t="s">
        <v>630</v>
      </c>
      <c r="E457" s="405" t="s">
        <v>235</v>
      </c>
      <c r="F457" s="576"/>
      <c r="G457" s="576"/>
      <c r="H457" s="576"/>
      <c r="I457" s="406">
        <f t="shared" si="58"/>
        <v>0</v>
      </c>
      <c r="J457" s="406"/>
      <c r="K457" s="406"/>
      <c r="L457" s="469">
        <f t="shared" si="59"/>
        <v>0</v>
      </c>
      <c r="M457" s="469">
        <f t="shared" si="60"/>
        <v>0</v>
      </c>
      <c r="N457" s="470">
        <f t="shared" si="61"/>
        <v>0</v>
      </c>
    </row>
    <row r="458" spans="1:14" ht="13.2" customHeight="1" x14ac:dyDescent="0.3">
      <c r="A458" s="410"/>
      <c r="B458" s="408"/>
      <c r="C458" s="390" t="s">
        <v>652</v>
      </c>
      <c r="D458" s="390" t="s">
        <v>1569</v>
      </c>
      <c r="E458" s="391" t="s">
        <v>235</v>
      </c>
      <c r="F458" s="577"/>
      <c r="G458" s="577"/>
      <c r="H458" s="577"/>
      <c r="I458" s="409">
        <f t="shared" si="58"/>
        <v>0</v>
      </c>
      <c r="J458" s="409"/>
      <c r="K458" s="409"/>
      <c r="L458" s="471">
        <f t="shared" si="59"/>
        <v>0</v>
      </c>
      <c r="M458" s="471">
        <f t="shared" si="60"/>
        <v>0</v>
      </c>
      <c r="N458" s="472">
        <f t="shared" si="61"/>
        <v>0</v>
      </c>
    </row>
    <row r="459" spans="1:14" ht="13.2" customHeight="1" x14ac:dyDescent="0.3">
      <c r="A459" s="397">
        <v>2</v>
      </c>
      <c r="B459" s="411" t="s">
        <v>1570</v>
      </c>
      <c r="C459" s="371"/>
      <c r="D459" s="371"/>
      <c r="E459" s="367"/>
      <c r="F459" s="527"/>
      <c r="G459" s="527"/>
      <c r="H459" s="527"/>
      <c r="I459" s="372">
        <f t="shared" si="29"/>
        <v>0</v>
      </c>
      <c r="J459" s="372"/>
      <c r="K459" s="372"/>
      <c r="L459" s="387">
        <f t="shared" si="30"/>
        <v>0</v>
      </c>
      <c r="M459" s="387">
        <f t="shared" si="31"/>
        <v>0</v>
      </c>
      <c r="N459" s="422">
        <f t="shared" si="32"/>
        <v>0</v>
      </c>
    </row>
    <row r="460" spans="1:14" ht="13.2" customHeight="1" x14ac:dyDescent="0.3">
      <c r="A460" s="401"/>
      <c r="B460" s="402" t="s">
        <v>1828</v>
      </c>
      <c r="C460" s="371" t="s">
        <v>650</v>
      </c>
      <c r="D460" s="371" t="s">
        <v>651</v>
      </c>
      <c r="E460" s="367" t="s">
        <v>235</v>
      </c>
      <c r="F460" s="539"/>
      <c r="G460" s="539"/>
      <c r="H460" s="539"/>
      <c r="I460" s="372">
        <f t="shared" si="29"/>
        <v>0</v>
      </c>
      <c r="J460" s="372"/>
      <c r="K460" s="372"/>
      <c r="L460" s="387">
        <f t="shared" si="30"/>
        <v>0</v>
      </c>
      <c r="M460" s="387">
        <f t="shared" si="31"/>
        <v>0</v>
      </c>
      <c r="N460" s="422">
        <f t="shared" si="32"/>
        <v>0</v>
      </c>
    </row>
    <row r="461" spans="1:14" ht="13.2" customHeight="1" x14ac:dyDescent="0.3">
      <c r="A461" s="401"/>
      <c r="B461" s="402"/>
      <c r="C461" s="371" t="s">
        <v>652</v>
      </c>
      <c r="D461" s="371" t="s">
        <v>651</v>
      </c>
      <c r="E461" s="367" t="s">
        <v>235</v>
      </c>
      <c r="F461" s="539"/>
      <c r="G461" s="539"/>
      <c r="H461" s="539"/>
      <c r="I461" s="372">
        <f t="shared" si="29"/>
        <v>0</v>
      </c>
      <c r="J461" s="372"/>
      <c r="K461" s="372"/>
      <c r="L461" s="387">
        <f t="shared" si="30"/>
        <v>0</v>
      </c>
      <c r="M461" s="387">
        <f t="shared" si="31"/>
        <v>0</v>
      </c>
      <c r="N461" s="422">
        <f t="shared" si="32"/>
        <v>0</v>
      </c>
    </row>
    <row r="462" spans="1:14" ht="13.2" customHeight="1" x14ac:dyDescent="0.3">
      <c r="A462" s="401"/>
      <c r="B462" s="402"/>
      <c r="C462" s="371" t="s">
        <v>652</v>
      </c>
      <c r="D462" s="371" t="s">
        <v>653</v>
      </c>
      <c r="E462" s="367" t="s">
        <v>235</v>
      </c>
      <c r="F462" s="539"/>
      <c r="G462" s="539"/>
      <c r="H462" s="539"/>
      <c r="I462" s="372">
        <f t="shared" si="29"/>
        <v>0</v>
      </c>
      <c r="J462" s="372"/>
      <c r="K462" s="372"/>
      <c r="L462" s="387">
        <f t="shared" si="30"/>
        <v>0</v>
      </c>
      <c r="M462" s="387">
        <f t="shared" si="31"/>
        <v>0</v>
      </c>
      <c r="N462" s="422">
        <f t="shared" si="32"/>
        <v>0</v>
      </c>
    </row>
    <row r="463" spans="1:14" ht="13.2" customHeight="1" x14ac:dyDescent="0.3">
      <c r="A463" s="401"/>
      <c r="B463" s="402"/>
      <c r="C463" s="371" t="s">
        <v>652</v>
      </c>
      <c r="D463" s="371" t="s">
        <v>654</v>
      </c>
      <c r="E463" s="367" t="s">
        <v>235</v>
      </c>
      <c r="F463" s="539"/>
      <c r="G463" s="539"/>
      <c r="H463" s="539"/>
      <c r="I463" s="372">
        <f t="shared" si="29"/>
        <v>0</v>
      </c>
      <c r="J463" s="372"/>
      <c r="K463" s="372"/>
      <c r="L463" s="387">
        <f t="shared" si="30"/>
        <v>0</v>
      </c>
      <c r="M463" s="387">
        <f t="shared" si="31"/>
        <v>0</v>
      </c>
      <c r="N463" s="422">
        <f t="shared" si="32"/>
        <v>0</v>
      </c>
    </row>
    <row r="464" spans="1:14" ht="13.2" customHeight="1" x14ac:dyDescent="0.3">
      <c r="A464" s="401"/>
      <c r="B464" s="402"/>
      <c r="C464" s="371" t="s">
        <v>652</v>
      </c>
      <c r="D464" s="371" t="s">
        <v>655</v>
      </c>
      <c r="E464" s="367" t="s">
        <v>235</v>
      </c>
      <c r="F464" s="539"/>
      <c r="G464" s="539"/>
      <c r="H464" s="539"/>
      <c r="I464" s="372">
        <f t="shared" si="29"/>
        <v>0</v>
      </c>
      <c r="J464" s="372"/>
      <c r="K464" s="372"/>
      <c r="L464" s="387">
        <f t="shared" si="30"/>
        <v>0</v>
      </c>
      <c r="M464" s="387">
        <f t="shared" si="31"/>
        <v>0</v>
      </c>
      <c r="N464" s="422">
        <f t="shared" si="32"/>
        <v>0</v>
      </c>
    </row>
    <row r="465" spans="1:14" ht="13.2" customHeight="1" x14ac:dyDescent="0.3">
      <c r="A465" s="401"/>
      <c r="B465" s="402"/>
      <c r="C465" s="371" t="s">
        <v>652</v>
      </c>
      <c r="D465" s="371" t="s">
        <v>656</v>
      </c>
      <c r="E465" s="367" t="s">
        <v>235</v>
      </c>
      <c r="F465" s="539"/>
      <c r="G465" s="539"/>
      <c r="H465" s="539"/>
      <c r="I465" s="372">
        <f t="shared" si="29"/>
        <v>0</v>
      </c>
      <c r="J465" s="372"/>
      <c r="K465" s="372"/>
      <c r="L465" s="387">
        <f t="shared" si="30"/>
        <v>0</v>
      </c>
      <c r="M465" s="387">
        <f t="shared" si="31"/>
        <v>0</v>
      </c>
      <c r="N465" s="422">
        <f t="shared" si="32"/>
        <v>0</v>
      </c>
    </row>
    <row r="466" spans="1:14" ht="13.2" customHeight="1" x14ac:dyDescent="0.3">
      <c r="A466" s="401"/>
      <c r="B466" s="402"/>
      <c r="C466" s="371" t="s">
        <v>652</v>
      </c>
      <c r="D466" s="371" t="s">
        <v>657</v>
      </c>
      <c r="E466" s="367" t="s">
        <v>235</v>
      </c>
      <c r="F466" s="539"/>
      <c r="G466" s="539"/>
      <c r="H466" s="539"/>
      <c r="I466" s="372">
        <f t="shared" si="29"/>
        <v>0</v>
      </c>
      <c r="J466" s="372"/>
      <c r="K466" s="372"/>
      <c r="L466" s="387">
        <f t="shared" si="30"/>
        <v>0</v>
      </c>
      <c r="M466" s="387">
        <f t="shared" si="31"/>
        <v>0</v>
      </c>
      <c r="N466" s="422">
        <f t="shared" si="32"/>
        <v>0</v>
      </c>
    </row>
    <row r="467" spans="1:14" ht="13.2" customHeight="1" x14ac:dyDescent="0.3">
      <c r="A467" s="401"/>
      <c r="B467" s="402"/>
      <c r="C467" s="371" t="s">
        <v>652</v>
      </c>
      <c r="D467" s="371" t="s">
        <v>658</v>
      </c>
      <c r="E467" s="367" t="s">
        <v>235</v>
      </c>
      <c r="F467" s="539"/>
      <c r="G467" s="539"/>
      <c r="H467" s="539"/>
      <c r="I467" s="372">
        <f t="shared" si="29"/>
        <v>0</v>
      </c>
      <c r="J467" s="372"/>
      <c r="K467" s="372"/>
      <c r="L467" s="387">
        <f t="shared" si="30"/>
        <v>0</v>
      </c>
      <c r="M467" s="387">
        <f t="shared" si="31"/>
        <v>0</v>
      </c>
      <c r="N467" s="422">
        <f t="shared" si="32"/>
        <v>0</v>
      </c>
    </row>
    <row r="468" spans="1:14" ht="13.2" customHeight="1" x14ac:dyDescent="0.3">
      <c r="A468" s="401"/>
      <c r="B468" s="402"/>
      <c r="C468" s="371" t="s">
        <v>652</v>
      </c>
      <c r="D468" s="371" t="s">
        <v>659</v>
      </c>
      <c r="E468" s="367" t="s">
        <v>235</v>
      </c>
      <c r="F468" s="539"/>
      <c r="G468" s="539"/>
      <c r="H468" s="539"/>
      <c r="I468" s="372">
        <f t="shared" si="29"/>
        <v>0</v>
      </c>
      <c r="J468" s="372"/>
      <c r="K468" s="372"/>
      <c r="L468" s="387">
        <f t="shared" si="30"/>
        <v>0</v>
      </c>
      <c r="M468" s="387">
        <f t="shared" si="31"/>
        <v>0</v>
      </c>
      <c r="N468" s="422">
        <f t="shared" si="32"/>
        <v>0</v>
      </c>
    </row>
    <row r="469" spans="1:14" ht="13.2" customHeight="1" x14ac:dyDescent="0.3">
      <c r="A469" s="401"/>
      <c r="B469" s="402"/>
      <c r="C469" s="371" t="s">
        <v>652</v>
      </c>
      <c r="D469" s="371" t="s">
        <v>660</v>
      </c>
      <c r="E469" s="367" t="s">
        <v>235</v>
      </c>
      <c r="F469" s="539"/>
      <c r="G469" s="539"/>
      <c r="H469" s="539"/>
      <c r="I469" s="372">
        <f t="shared" si="29"/>
        <v>0</v>
      </c>
      <c r="J469" s="372"/>
      <c r="K469" s="372"/>
      <c r="L469" s="387">
        <f t="shared" si="30"/>
        <v>0</v>
      </c>
      <c r="M469" s="387">
        <f t="shared" si="31"/>
        <v>0</v>
      </c>
      <c r="N469" s="422">
        <f t="shared" si="32"/>
        <v>0</v>
      </c>
    </row>
    <row r="470" spans="1:14" ht="13.2" customHeight="1" x14ac:dyDescent="0.3">
      <c r="A470" s="401"/>
      <c r="B470" s="402"/>
      <c r="C470" s="371" t="s">
        <v>652</v>
      </c>
      <c r="D470" s="371" t="s">
        <v>661</v>
      </c>
      <c r="E470" s="367" t="s">
        <v>235</v>
      </c>
      <c r="F470" s="539"/>
      <c r="G470" s="539"/>
      <c r="H470" s="539"/>
      <c r="I470" s="372">
        <f t="shared" si="29"/>
        <v>0</v>
      </c>
      <c r="J470" s="372"/>
      <c r="K470" s="372"/>
      <c r="L470" s="387">
        <f t="shared" si="30"/>
        <v>0</v>
      </c>
      <c r="M470" s="387">
        <f t="shared" si="31"/>
        <v>0</v>
      </c>
      <c r="N470" s="422">
        <f t="shared" si="32"/>
        <v>0</v>
      </c>
    </row>
    <row r="471" spans="1:14" ht="13.2" customHeight="1" x14ac:dyDescent="0.3">
      <c r="A471" s="401"/>
      <c r="B471" s="402"/>
      <c r="C471" s="371" t="s">
        <v>652</v>
      </c>
      <c r="D471" s="371" t="s">
        <v>662</v>
      </c>
      <c r="E471" s="367" t="s">
        <v>235</v>
      </c>
      <c r="F471" s="539"/>
      <c r="G471" s="539"/>
      <c r="H471" s="539"/>
      <c r="I471" s="372">
        <f t="shared" si="29"/>
        <v>0</v>
      </c>
      <c r="J471" s="372"/>
      <c r="K471" s="372"/>
      <c r="L471" s="387">
        <f t="shared" si="30"/>
        <v>0</v>
      </c>
      <c r="M471" s="387">
        <f t="shared" si="31"/>
        <v>0</v>
      </c>
      <c r="N471" s="422">
        <f t="shared" si="32"/>
        <v>0</v>
      </c>
    </row>
    <row r="472" spans="1:14" ht="13.2" customHeight="1" x14ac:dyDescent="0.3">
      <c r="A472" s="401"/>
      <c r="B472" s="402"/>
      <c r="C472" s="371" t="s">
        <v>652</v>
      </c>
      <c r="D472" s="371" t="s">
        <v>663</v>
      </c>
      <c r="E472" s="367" t="s">
        <v>235</v>
      </c>
      <c r="F472" s="539"/>
      <c r="G472" s="539"/>
      <c r="H472" s="539"/>
      <c r="I472" s="372">
        <f t="shared" si="29"/>
        <v>0</v>
      </c>
      <c r="J472" s="372"/>
      <c r="K472" s="372"/>
      <c r="L472" s="387">
        <f t="shared" si="30"/>
        <v>0</v>
      </c>
      <c r="M472" s="387">
        <f t="shared" si="31"/>
        <v>0</v>
      </c>
      <c r="N472" s="422">
        <f t="shared" si="32"/>
        <v>0</v>
      </c>
    </row>
    <row r="473" spans="1:14" ht="13.2" customHeight="1" x14ac:dyDescent="0.3">
      <c r="A473" s="401"/>
      <c r="B473" s="402"/>
      <c r="C473" s="373" t="s">
        <v>652</v>
      </c>
      <c r="D473" s="373" t="s">
        <v>664</v>
      </c>
      <c r="E473" s="374" t="s">
        <v>235</v>
      </c>
      <c r="F473" s="571"/>
      <c r="G473" s="571"/>
      <c r="H473" s="571"/>
      <c r="I473" s="375">
        <f t="shared" si="29"/>
        <v>0</v>
      </c>
      <c r="J473" s="375"/>
      <c r="K473" s="372"/>
      <c r="L473" s="399">
        <f t="shared" si="30"/>
        <v>0</v>
      </c>
      <c r="M473" s="399">
        <f t="shared" si="31"/>
        <v>0</v>
      </c>
      <c r="N473" s="400">
        <f t="shared" si="32"/>
        <v>0</v>
      </c>
    </row>
    <row r="474" spans="1:14" ht="13.2" customHeight="1" x14ac:dyDescent="0.3">
      <c r="A474" s="401"/>
      <c r="B474" s="403" t="s">
        <v>1824</v>
      </c>
      <c r="C474" s="404" t="s">
        <v>652</v>
      </c>
      <c r="D474" s="404" t="s">
        <v>655</v>
      </c>
      <c r="E474" s="405" t="s">
        <v>235</v>
      </c>
      <c r="F474" s="576"/>
      <c r="G474" s="576"/>
      <c r="H474" s="576"/>
      <c r="I474" s="406">
        <f t="shared" si="29"/>
        <v>0</v>
      </c>
      <c r="J474" s="406"/>
      <c r="K474" s="406"/>
      <c r="L474" s="469">
        <f t="shared" si="30"/>
        <v>0</v>
      </c>
      <c r="M474" s="469">
        <f t="shared" si="31"/>
        <v>0</v>
      </c>
      <c r="N474" s="470">
        <f t="shared" si="32"/>
        <v>0</v>
      </c>
    </row>
    <row r="475" spans="1:14" ht="13.2" customHeight="1" x14ac:dyDescent="0.3">
      <c r="A475" s="401"/>
      <c r="B475" s="407"/>
      <c r="C475" s="371" t="s">
        <v>652</v>
      </c>
      <c r="D475" s="371" t="s">
        <v>656</v>
      </c>
      <c r="E475" s="367" t="s">
        <v>235</v>
      </c>
      <c r="F475" s="539"/>
      <c r="G475" s="539"/>
      <c r="H475" s="539"/>
      <c r="I475" s="372">
        <f t="shared" si="29"/>
        <v>0</v>
      </c>
      <c r="J475" s="372"/>
      <c r="K475" s="406"/>
      <c r="L475" s="387">
        <f t="shared" si="30"/>
        <v>0</v>
      </c>
      <c r="M475" s="387">
        <f t="shared" si="31"/>
        <v>0</v>
      </c>
      <c r="N475" s="422">
        <f t="shared" si="32"/>
        <v>0</v>
      </c>
    </row>
    <row r="476" spans="1:14" ht="13.2" customHeight="1" x14ac:dyDescent="0.3">
      <c r="A476" s="401"/>
      <c r="B476" s="408"/>
      <c r="C476" s="390" t="s">
        <v>652</v>
      </c>
      <c r="D476" s="390" t="s">
        <v>657</v>
      </c>
      <c r="E476" s="391" t="s">
        <v>235</v>
      </c>
      <c r="F476" s="577"/>
      <c r="G476" s="577"/>
      <c r="H476" s="577"/>
      <c r="I476" s="409">
        <f t="shared" si="29"/>
        <v>0</v>
      </c>
      <c r="J476" s="409"/>
      <c r="K476" s="406"/>
      <c r="L476" s="471">
        <f t="shared" si="30"/>
        <v>0</v>
      </c>
      <c r="M476" s="471">
        <f t="shared" si="31"/>
        <v>0</v>
      </c>
      <c r="N476" s="472">
        <f t="shared" si="32"/>
        <v>0</v>
      </c>
    </row>
    <row r="477" spans="1:14" ht="13.2" customHeight="1" x14ac:dyDescent="0.3">
      <c r="A477" s="401"/>
      <c r="B477" s="403" t="s">
        <v>1825</v>
      </c>
      <c r="C477" s="404" t="s">
        <v>652</v>
      </c>
      <c r="D477" s="371" t="s">
        <v>662</v>
      </c>
      <c r="E477" s="405" t="s">
        <v>235</v>
      </c>
      <c r="F477" s="576"/>
      <c r="G477" s="576"/>
      <c r="H477" s="576"/>
      <c r="I477" s="406">
        <f t="shared" si="29"/>
        <v>0</v>
      </c>
      <c r="J477" s="406"/>
      <c r="K477" s="406"/>
      <c r="L477" s="469">
        <f t="shared" si="30"/>
        <v>0</v>
      </c>
      <c r="M477" s="469">
        <f t="shared" si="31"/>
        <v>0</v>
      </c>
      <c r="N477" s="470">
        <f t="shared" si="32"/>
        <v>0</v>
      </c>
    </row>
    <row r="478" spans="1:14" ht="13.2" customHeight="1" x14ac:dyDescent="0.3">
      <c r="A478" s="401"/>
      <c r="B478" s="407"/>
      <c r="C478" s="371" t="s">
        <v>652</v>
      </c>
      <c r="D478" s="371" t="s">
        <v>663</v>
      </c>
      <c r="E478" s="367" t="s">
        <v>235</v>
      </c>
      <c r="F478" s="539"/>
      <c r="G478" s="539"/>
      <c r="H478" s="539"/>
      <c r="I478" s="372">
        <f t="shared" si="29"/>
        <v>0</v>
      </c>
      <c r="J478" s="372"/>
      <c r="K478" s="372"/>
      <c r="L478" s="387">
        <f t="shared" si="30"/>
        <v>0</v>
      </c>
      <c r="M478" s="387">
        <f t="shared" si="31"/>
        <v>0</v>
      </c>
      <c r="N478" s="422">
        <f t="shared" si="32"/>
        <v>0</v>
      </c>
    </row>
    <row r="479" spans="1:14" ht="13.2" customHeight="1" x14ac:dyDescent="0.3">
      <c r="A479" s="401"/>
      <c r="B479" s="403" t="s">
        <v>1826</v>
      </c>
      <c r="C479" s="404" t="s">
        <v>652</v>
      </c>
      <c r="D479" s="371" t="s">
        <v>658</v>
      </c>
      <c r="E479" s="405" t="s">
        <v>235</v>
      </c>
      <c r="F479" s="576"/>
      <c r="G479" s="576"/>
      <c r="H479" s="576"/>
      <c r="I479" s="406">
        <f t="shared" si="29"/>
        <v>0</v>
      </c>
      <c r="J479" s="406"/>
      <c r="K479" s="406"/>
      <c r="L479" s="469">
        <f t="shared" si="30"/>
        <v>0</v>
      </c>
      <c r="M479" s="469">
        <f t="shared" si="31"/>
        <v>0</v>
      </c>
      <c r="N479" s="470">
        <f t="shared" si="32"/>
        <v>0</v>
      </c>
    </row>
    <row r="480" spans="1:14" ht="13.2" customHeight="1" x14ac:dyDescent="0.3">
      <c r="A480" s="401"/>
      <c r="B480" s="407"/>
      <c r="C480" s="371" t="s">
        <v>652</v>
      </c>
      <c r="D480" s="371" t="s">
        <v>659</v>
      </c>
      <c r="E480" s="367" t="s">
        <v>235</v>
      </c>
      <c r="F480" s="539"/>
      <c r="G480" s="539"/>
      <c r="H480" s="539"/>
      <c r="I480" s="372">
        <f t="shared" si="29"/>
        <v>0</v>
      </c>
      <c r="J480" s="372"/>
      <c r="K480" s="372"/>
      <c r="L480" s="387">
        <f t="shared" si="30"/>
        <v>0</v>
      </c>
      <c r="M480" s="387">
        <f t="shared" si="31"/>
        <v>0</v>
      </c>
      <c r="N480" s="422">
        <f t="shared" si="32"/>
        <v>0</v>
      </c>
    </row>
    <row r="481" spans="1:14" ht="13.2" customHeight="1" x14ac:dyDescent="0.3">
      <c r="A481" s="401"/>
      <c r="B481" s="403" t="s">
        <v>1827</v>
      </c>
      <c r="C481" s="404" t="s">
        <v>652</v>
      </c>
      <c r="D481" s="404" t="s">
        <v>630</v>
      </c>
      <c r="E481" s="405" t="s">
        <v>235</v>
      </c>
      <c r="F481" s="576"/>
      <c r="G481" s="576"/>
      <c r="H481" s="576"/>
      <c r="I481" s="406">
        <f t="shared" si="29"/>
        <v>0</v>
      </c>
      <c r="J481" s="406"/>
      <c r="K481" s="406"/>
      <c r="L481" s="469">
        <f t="shared" si="30"/>
        <v>0</v>
      </c>
      <c r="M481" s="469">
        <f t="shared" si="31"/>
        <v>0</v>
      </c>
      <c r="N481" s="470">
        <f t="shared" si="32"/>
        <v>0</v>
      </c>
    </row>
    <row r="482" spans="1:14" ht="13.2" customHeight="1" x14ac:dyDescent="0.3">
      <c r="A482" s="410"/>
      <c r="B482" s="408"/>
      <c r="C482" s="390" t="s">
        <v>652</v>
      </c>
      <c r="D482" s="390" t="s">
        <v>1569</v>
      </c>
      <c r="E482" s="391" t="s">
        <v>235</v>
      </c>
      <c r="F482" s="577"/>
      <c r="G482" s="577"/>
      <c r="H482" s="577"/>
      <c r="I482" s="409">
        <f t="shared" si="29"/>
        <v>0</v>
      </c>
      <c r="J482" s="409"/>
      <c r="K482" s="409"/>
      <c r="L482" s="471">
        <f t="shared" si="30"/>
        <v>0</v>
      </c>
      <c r="M482" s="471">
        <f t="shared" si="31"/>
        <v>0</v>
      </c>
      <c r="N482" s="472">
        <f t="shared" si="32"/>
        <v>0</v>
      </c>
    </row>
    <row r="483" spans="1:14" ht="13.2" customHeight="1" x14ac:dyDescent="0.3">
      <c r="A483" s="397">
        <v>14</v>
      </c>
      <c r="B483" s="398" t="s">
        <v>1582</v>
      </c>
      <c r="C483" s="371"/>
      <c r="D483" s="371"/>
      <c r="E483" s="367"/>
      <c r="F483" s="527"/>
      <c r="G483" s="527"/>
      <c r="H483" s="527"/>
      <c r="I483" s="372">
        <f t="shared" ref="I483:I538" si="62">SUM(F483:H483)</f>
        <v>0</v>
      </c>
      <c r="J483" s="372"/>
      <c r="K483" s="372"/>
      <c r="L483" s="387">
        <f t="shared" ref="L483:L538" si="63">J483*I483</f>
        <v>0</v>
      </c>
      <c r="M483" s="387">
        <f t="shared" ref="M483:M538" si="64">K483*I483</f>
        <v>0</v>
      </c>
      <c r="N483" s="422">
        <f t="shared" ref="N483:N538" si="65">SUM(L483:M483)</f>
        <v>0</v>
      </c>
    </row>
    <row r="484" spans="1:14" ht="13.2" customHeight="1" x14ac:dyDescent="0.3">
      <c r="A484" s="401"/>
      <c r="B484" s="402" t="s">
        <v>1828</v>
      </c>
      <c r="C484" s="371" t="s">
        <v>650</v>
      </c>
      <c r="D484" s="371" t="s">
        <v>620</v>
      </c>
      <c r="E484" s="367" t="s">
        <v>235</v>
      </c>
      <c r="F484" s="539"/>
      <c r="G484" s="539"/>
      <c r="H484" s="539"/>
      <c r="I484" s="372">
        <f t="shared" si="62"/>
        <v>0</v>
      </c>
      <c r="J484" s="372"/>
      <c r="K484" s="372"/>
      <c r="L484" s="387">
        <f t="shared" si="63"/>
        <v>0</v>
      </c>
      <c r="M484" s="387">
        <f t="shared" si="64"/>
        <v>0</v>
      </c>
      <c r="N484" s="422">
        <f t="shared" si="65"/>
        <v>0</v>
      </c>
    </row>
    <row r="485" spans="1:14" ht="13.2" customHeight="1" x14ac:dyDescent="0.3">
      <c r="A485" s="401"/>
      <c r="B485" s="402"/>
      <c r="C485" s="371" t="s">
        <v>652</v>
      </c>
      <c r="D485" s="371" t="s">
        <v>621</v>
      </c>
      <c r="E485" s="367" t="s">
        <v>235</v>
      </c>
      <c r="F485" s="539"/>
      <c r="G485" s="539"/>
      <c r="H485" s="539"/>
      <c r="I485" s="372">
        <f t="shared" si="62"/>
        <v>0</v>
      </c>
      <c r="J485" s="372"/>
      <c r="K485" s="372"/>
      <c r="L485" s="387">
        <f t="shared" si="63"/>
        <v>0</v>
      </c>
      <c r="M485" s="387">
        <f t="shared" si="64"/>
        <v>0</v>
      </c>
      <c r="N485" s="422">
        <f t="shared" si="65"/>
        <v>0</v>
      </c>
    </row>
    <row r="486" spans="1:14" ht="13.2" customHeight="1" x14ac:dyDescent="0.3">
      <c r="A486" s="401"/>
      <c r="B486" s="402"/>
      <c r="C486" s="371" t="s">
        <v>652</v>
      </c>
      <c r="D486" s="371" t="s">
        <v>622</v>
      </c>
      <c r="E486" s="367" t="s">
        <v>235</v>
      </c>
      <c r="F486" s="539"/>
      <c r="G486" s="539"/>
      <c r="H486" s="539"/>
      <c r="I486" s="372">
        <f t="shared" si="62"/>
        <v>0</v>
      </c>
      <c r="J486" s="372"/>
      <c r="K486" s="372"/>
      <c r="L486" s="387">
        <f t="shared" si="63"/>
        <v>0</v>
      </c>
      <c r="M486" s="387">
        <f t="shared" si="64"/>
        <v>0</v>
      </c>
      <c r="N486" s="422">
        <f t="shared" si="65"/>
        <v>0</v>
      </c>
    </row>
    <row r="487" spans="1:14" ht="13.2" customHeight="1" x14ac:dyDescent="0.3">
      <c r="A487" s="401"/>
      <c r="B487" s="402"/>
      <c r="C487" s="371" t="s">
        <v>652</v>
      </c>
      <c r="D487" s="371" t="s">
        <v>623</v>
      </c>
      <c r="E487" s="367" t="s">
        <v>235</v>
      </c>
      <c r="F487" s="539"/>
      <c r="G487" s="539"/>
      <c r="H487" s="539"/>
      <c r="I487" s="372">
        <f t="shared" si="62"/>
        <v>0</v>
      </c>
      <c r="J487" s="372"/>
      <c r="K487" s="372"/>
      <c r="L487" s="387">
        <f t="shared" si="63"/>
        <v>0</v>
      </c>
      <c r="M487" s="387">
        <f t="shared" si="64"/>
        <v>0</v>
      </c>
      <c r="N487" s="422">
        <f t="shared" si="65"/>
        <v>0</v>
      </c>
    </row>
    <row r="488" spans="1:14" ht="13.2" customHeight="1" x14ac:dyDescent="0.3">
      <c r="A488" s="401"/>
      <c r="B488" s="402"/>
      <c r="C488" s="371" t="s">
        <v>652</v>
      </c>
      <c r="D488" s="371" t="s">
        <v>628</v>
      </c>
      <c r="E488" s="367" t="s">
        <v>235</v>
      </c>
      <c r="F488" s="539"/>
      <c r="G488" s="539"/>
      <c r="H488" s="539"/>
      <c r="I488" s="372">
        <f t="shared" si="62"/>
        <v>0</v>
      </c>
      <c r="J488" s="372"/>
      <c r="K488" s="372"/>
      <c r="L488" s="387">
        <f t="shared" si="63"/>
        <v>0</v>
      </c>
      <c r="M488" s="387">
        <f t="shared" si="64"/>
        <v>0</v>
      </c>
      <c r="N488" s="422">
        <f t="shared" si="65"/>
        <v>0</v>
      </c>
    </row>
    <row r="489" spans="1:14" ht="13.2" customHeight="1" x14ac:dyDescent="0.3">
      <c r="A489" s="401"/>
      <c r="B489" s="402"/>
      <c r="C489" s="371" t="s">
        <v>652</v>
      </c>
      <c r="D489" s="371" t="s">
        <v>629</v>
      </c>
      <c r="E489" s="367" t="s">
        <v>235</v>
      </c>
      <c r="F489" s="539"/>
      <c r="G489" s="539"/>
      <c r="H489" s="539"/>
      <c r="I489" s="372">
        <f t="shared" si="62"/>
        <v>0</v>
      </c>
      <c r="J489" s="372"/>
      <c r="K489" s="372"/>
      <c r="L489" s="387">
        <f t="shared" si="63"/>
        <v>0</v>
      </c>
      <c r="M489" s="387">
        <f t="shared" si="64"/>
        <v>0</v>
      </c>
      <c r="N489" s="422">
        <f t="shared" si="65"/>
        <v>0</v>
      </c>
    </row>
    <row r="490" spans="1:14" ht="13.2" customHeight="1" x14ac:dyDescent="0.3">
      <c r="A490" s="401"/>
      <c r="B490" s="402"/>
      <c r="C490" s="371" t="s">
        <v>652</v>
      </c>
      <c r="D490" s="371" t="s">
        <v>624</v>
      </c>
      <c r="E490" s="367" t="s">
        <v>235</v>
      </c>
      <c r="F490" s="539"/>
      <c r="G490" s="539"/>
      <c r="H490" s="539"/>
      <c r="I490" s="372">
        <f t="shared" si="62"/>
        <v>0</v>
      </c>
      <c r="J490" s="372"/>
      <c r="K490" s="372"/>
      <c r="L490" s="387">
        <f t="shared" si="63"/>
        <v>0</v>
      </c>
      <c r="M490" s="387">
        <f t="shared" si="64"/>
        <v>0</v>
      </c>
      <c r="N490" s="422">
        <f t="shared" si="65"/>
        <v>0</v>
      </c>
    </row>
    <row r="491" spans="1:14" ht="13.2" customHeight="1" x14ac:dyDescent="0.3">
      <c r="A491" s="401"/>
      <c r="B491" s="402"/>
      <c r="C491" s="371" t="s">
        <v>652</v>
      </c>
      <c r="D491" s="371" t="s">
        <v>625</v>
      </c>
      <c r="E491" s="367" t="s">
        <v>235</v>
      </c>
      <c r="F491" s="539"/>
      <c r="G491" s="539"/>
      <c r="H491" s="539"/>
      <c r="I491" s="372">
        <f t="shared" si="62"/>
        <v>0</v>
      </c>
      <c r="J491" s="372"/>
      <c r="K491" s="372"/>
      <c r="L491" s="387">
        <f t="shared" si="63"/>
        <v>0</v>
      </c>
      <c r="M491" s="387">
        <f t="shared" si="64"/>
        <v>0</v>
      </c>
      <c r="N491" s="422">
        <f t="shared" si="65"/>
        <v>0</v>
      </c>
    </row>
    <row r="492" spans="1:14" ht="13.2" customHeight="1" x14ac:dyDescent="0.3">
      <c r="A492" s="401"/>
      <c r="B492" s="402"/>
      <c r="C492" s="371" t="s">
        <v>652</v>
      </c>
      <c r="D492" s="371" t="s">
        <v>626</v>
      </c>
      <c r="E492" s="367" t="s">
        <v>235</v>
      </c>
      <c r="F492" s="539"/>
      <c r="G492" s="539"/>
      <c r="H492" s="539"/>
      <c r="I492" s="372">
        <f t="shared" si="62"/>
        <v>0</v>
      </c>
      <c r="J492" s="372"/>
      <c r="K492" s="372"/>
      <c r="L492" s="387">
        <f t="shared" si="63"/>
        <v>0</v>
      </c>
      <c r="M492" s="387">
        <f t="shared" si="64"/>
        <v>0</v>
      </c>
      <c r="N492" s="422">
        <f t="shared" si="65"/>
        <v>0</v>
      </c>
    </row>
    <row r="493" spans="1:14" ht="13.2" customHeight="1" x14ac:dyDescent="0.3">
      <c r="A493" s="401"/>
      <c r="B493" s="402"/>
      <c r="C493" s="373" t="s">
        <v>652</v>
      </c>
      <c r="D493" s="373" t="s">
        <v>627</v>
      </c>
      <c r="E493" s="374" t="s">
        <v>235</v>
      </c>
      <c r="F493" s="571"/>
      <c r="G493" s="571"/>
      <c r="H493" s="571"/>
      <c r="I493" s="375">
        <f t="shared" si="62"/>
        <v>0</v>
      </c>
      <c r="J493" s="375"/>
      <c r="K493" s="375"/>
      <c r="L493" s="399">
        <f t="shared" si="63"/>
        <v>0</v>
      </c>
      <c r="M493" s="399">
        <f t="shared" si="64"/>
        <v>0</v>
      </c>
      <c r="N493" s="400">
        <f t="shared" si="65"/>
        <v>0</v>
      </c>
    </row>
    <row r="494" spans="1:14" ht="13.2" customHeight="1" x14ac:dyDescent="0.3">
      <c r="A494" s="531">
        <v>13</v>
      </c>
      <c r="B494" s="532" t="s">
        <v>1581</v>
      </c>
      <c r="C494" s="404"/>
      <c r="D494" s="404"/>
      <c r="E494" s="405"/>
      <c r="F494" s="575"/>
      <c r="G494" s="575"/>
      <c r="H494" s="575"/>
      <c r="I494" s="406">
        <f t="shared" ref="I494:I526" si="66">SUM(F494:H494)</f>
        <v>0</v>
      </c>
      <c r="J494" s="406"/>
      <c r="K494" s="406"/>
      <c r="L494" s="469">
        <f t="shared" ref="L494:L526" si="67">J494*I494</f>
        <v>0</v>
      </c>
      <c r="M494" s="469">
        <f t="shared" ref="M494:M526" si="68">K494*I494</f>
        <v>0</v>
      </c>
      <c r="N494" s="470">
        <f t="shared" ref="N494:N526" si="69">SUM(L494:M494)</f>
        <v>0</v>
      </c>
    </row>
    <row r="495" spans="1:14" ht="13.2" customHeight="1" x14ac:dyDescent="0.3">
      <c r="A495" s="401"/>
      <c r="B495" s="402" t="s">
        <v>1828</v>
      </c>
      <c r="C495" s="371" t="s">
        <v>650</v>
      </c>
      <c r="D495" s="371" t="s">
        <v>620</v>
      </c>
      <c r="E495" s="367" t="s">
        <v>235</v>
      </c>
      <c r="F495" s="539"/>
      <c r="G495" s="539"/>
      <c r="H495" s="539"/>
      <c r="I495" s="372">
        <f t="shared" si="66"/>
        <v>0</v>
      </c>
      <c r="J495" s="372"/>
      <c r="K495" s="372"/>
      <c r="L495" s="387">
        <f t="shared" si="67"/>
        <v>0</v>
      </c>
      <c r="M495" s="387">
        <f t="shared" si="68"/>
        <v>0</v>
      </c>
      <c r="N495" s="422">
        <f t="shared" si="69"/>
        <v>0</v>
      </c>
    </row>
    <row r="496" spans="1:14" ht="13.2" customHeight="1" x14ac:dyDescent="0.3">
      <c r="A496" s="401"/>
      <c r="B496" s="402"/>
      <c r="C496" s="371" t="s">
        <v>652</v>
      </c>
      <c r="D496" s="371" t="s">
        <v>621</v>
      </c>
      <c r="E496" s="367" t="s">
        <v>235</v>
      </c>
      <c r="F496" s="539"/>
      <c r="G496" s="539"/>
      <c r="H496" s="539"/>
      <c r="I496" s="372">
        <f t="shared" si="66"/>
        <v>0</v>
      </c>
      <c r="J496" s="372"/>
      <c r="K496" s="372"/>
      <c r="L496" s="387">
        <f t="shared" si="67"/>
        <v>0</v>
      </c>
      <c r="M496" s="387">
        <f t="shared" si="68"/>
        <v>0</v>
      </c>
      <c r="N496" s="422">
        <f t="shared" si="69"/>
        <v>0</v>
      </c>
    </row>
    <row r="497" spans="1:14" ht="13.2" customHeight="1" x14ac:dyDescent="0.3">
      <c r="A497" s="401"/>
      <c r="B497" s="402"/>
      <c r="C497" s="371" t="s">
        <v>652</v>
      </c>
      <c r="D497" s="371" t="s">
        <v>622</v>
      </c>
      <c r="E497" s="367" t="s">
        <v>235</v>
      </c>
      <c r="F497" s="539"/>
      <c r="G497" s="539"/>
      <c r="H497" s="539"/>
      <c r="I497" s="372">
        <f t="shared" si="66"/>
        <v>0</v>
      </c>
      <c r="J497" s="372"/>
      <c r="K497" s="372"/>
      <c r="L497" s="387">
        <f t="shared" si="67"/>
        <v>0</v>
      </c>
      <c r="M497" s="387">
        <f t="shared" si="68"/>
        <v>0</v>
      </c>
      <c r="N497" s="422">
        <f t="shared" si="69"/>
        <v>0</v>
      </c>
    </row>
    <row r="498" spans="1:14" ht="13.2" customHeight="1" x14ac:dyDescent="0.3">
      <c r="A498" s="401"/>
      <c r="B498" s="402"/>
      <c r="C498" s="371" t="s">
        <v>652</v>
      </c>
      <c r="D498" s="371" t="s">
        <v>623</v>
      </c>
      <c r="E498" s="367" t="s">
        <v>235</v>
      </c>
      <c r="F498" s="539"/>
      <c r="G498" s="539"/>
      <c r="H498" s="539"/>
      <c r="I498" s="372">
        <f t="shared" si="66"/>
        <v>0</v>
      </c>
      <c r="J498" s="372"/>
      <c r="K498" s="372"/>
      <c r="L498" s="387">
        <f t="shared" si="67"/>
        <v>0</v>
      </c>
      <c r="M498" s="387">
        <f t="shared" si="68"/>
        <v>0</v>
      </c>
      <c r="N498" s="422">
        <f t="shared" si="69"/>
        <v>0</v>
      </c>
    </row>
    <row r="499" spans="1:14" ht="13.2" customHeight="1" x14ac:dyDescent="0.3">
      <c r="A499" s="401"/>
      <c r="B499" s="402"/>
      <c r="C499" s="371" t="s">
        <v>652</v>
      </c>
      <c r="D499" s="371" t="s">
        <v>628</v>
      </c>
      <c r="E499" s="367" t="s">
        <v>235</v>
      </c>
      <c r="F499" s="539"/>
      <c r="G499" s="539"/>
      <c r="H499" s="539"/>
      <c r="I499" s="372">
        <f t="shared" si="66"/>
        <v>0</v>
      </c>
      <c r="J499" s="372"/>
      <c r="K499" s="372"/>
      <c r="L499" s="387">
        <f t="shared" si="67"/>
        <v>0</v>
      </c>
      <c r="M499" s="387">
        <f t="shared" si="68"/>
        <v>0</v>
      </c>
      <c r="N499" s="422">
        <f t="shared" si="69"/>
        <v>0</v>
      </c>
    </row>
    <row r="500" spans="1:14" ht="13.2" customHeight="1" x14ac:dyDescent="0.3">
      <c r="A500" s="401"/>
      <c r="B500" s="402"/>
      <c r="C500" s="371" t="s">
        <v>652</v>
      </c>
      <c r="D500" s="371" t="s">
        <v>629</v>
      </c>
      <c r="E500" s="367" t="s">
        <v>235</v>
      </c>
      <c r="F500" s="539"/>
      <c r="G500" s="539"/>
      <c r="H500" s="539"/>
      <c r="I500" s="372">
        <f t="shared" si="66"/>
        <v>0</v>
      </c>
      <c r="J500" s="372"/>
      <c r="K500" s="372"/>
      <c r="L500" s="387">
        <f t="shared" si="67"/>
        <v>0</v>
      </c>
      <c r="M500" s="387">
        <f t="shared" si="68"/>
        <v>0</v>
      </c>
      <c r="N500" s="422">
        <f t="shared" si="69"/>
        <v>0</v>
      </c>
    </row>
    <row r="501" spans="1:14" ht="13.2" customHeight="1" x14ac:dyDescent="0.3">
      <c r="A501" s="401"/>
      <c r="B501" s="402"/>
      <c r="C501" s="371" t="s">
        <v>652</v>
      </c>
      <c r="D501" s="371" t="s">
        <v>624</v>
      </c>
      <c r="E501" s="367" t="s">
        <v>235</v>
      </c>
      <c r="F501" s="539"/>
      <c r="G501" s="539"/>
      <c r="H501" s="539"/>
      <c r="I501" s="372">
        <f t="shared" si="66"/>
        <v>0</v>
      </c>
      <c r="J501" s="372"/>
      <c r="K501" s="372"/>
      <c r="L501" s="387">
        <f t="shared" si="67"/>
        <v>0</v>
      </c>
      <c r="M501" s="387">
        <f t="shared" si="68"/>
        <v>0</v>
      </c>
      <c r="N501" s="422">
        <f t="shared" si="69"/>
        <v>0</v>
      </c>
    </row>
    <row r="502" spans="1:14" ht="13.2" customHeight="1" x14ac:dyDescent="0.3">
      <c r="A502" s="401"/>
      <c r="B502" s="402"/>
      <c r="C502" s="371" t="s">
        <v>652</v>
      </c>
      <c r="D502" s="371" t="s">
        <v>625</v>
      </c>
      <c r="E502" s="367" t="s">
        <v>235</v>
      </c>
      <c r="F502" s="539"/>
      <c r="G502" s="539"/>
      <c r="H502" s="539"/>
      <c r="I502" s="372">
        <f t="shared" si="66"/>
        <v>0</v>
      </c>
      <c r="J502" s="372"/>
      <c r="K502" s="372"/>
      <c r="L502" s="387">
        <f t="shared" si="67"/>
        <v>0</v>
      </c>
      <c r="M502" s="387">
        <f t="shared" si="68"/>
        <v>0</v>
      </c>
      <c r="N502" s="422">
        <f t="shared" si="69"/>
        <v>0</v>
      </c>
    </row>
    <row r="503" spans="1:14" ht="13.2" customHeight="1" x14ac:dyDescent="0.3">
      <c r="A503" s="401"/>
      <c r="B503" s="402"/>
      <c r="C503" s="371" t="s">
        <v>652</v>
      </c>
      <c r="D503" s="371" t="s">
        <v>626</v>
      </c>
      <c r="E503" s="367" t="s">
        <v>235</v>
      </c>
      <c r="F503" s="539"/>
      <c r="G503" s="539"/>
      <c r="H503" s="539"/>
      <c r="I503" s="372">
        <f t="shared" si="66"/>
        <v>0</v>
      </c>
      <c r="J503" s="372"/>
      <c r="K503" s="372"/>
      <c r="L503" s="387">
        <f t="shared" si="67"/>
        <v>0</v>
      </c>
      <c r="M503" s="387">
        <f t="shared" si="68"/>
        <v>0</v>
      </c>
      <c r="N503" s="422">
        <f t="shared" si="69"/>
        <v>0</v>
      </c>
    </row>
    <row r="504" spans="1:14" ht="13.2" customHeight="1" x14ac:dyDescent="0.3">
      <c r="A504" s="410"/>
      <c r="B504" s="533"/>
      <c r="C504" s="390" t="s">
        <v>652</v>
      </c>
      <c r="D504" s="390" t="s">
        <v>627</v>
      </c>
      <c r="E504" s="391" t="s">
        <v>235</v>
      </c>
      <c r="F504" s="571"/>
      <c r="G504" s="571"/>
      <c r="H504" s="571"/>
      <c r="I504" s="409">
        <f t="shared" si="66"/>
        <v>0</v>
      </c>
      <c r="J504" s="409"/>
      <c r="K504" s="409"/>
      <c r="L504" s="471">
        <f t="shared" si="67"/>
        <v>0</v>
      </c>
      <c r="M504" s="471">
        <f t="shared" si="68"/>
        <v>0</v>
      </c>
      <c r="N504" s="472">
        <f t="shared" si="69"/>
        <v>0</v>
      </c>
    </row>
    <row r="505" spans="1:14" ht="13.2" customHeight="1" x14ac:dyDescent="0.3">
      <c r="A505" s="530">
        <v>12</v>
      </c>
      <c r="B505" s="411" t="s">
        <v>1580</v>
      </c>
      <c r="C505" s="362"/>
      <c r="D505" s="362"/>
      <c r="E505" s="368"/>
      <c r="F505" s="535"/>
      <c r="G505" s="535"/>
      <c r="H505" s="535"/>
      <c r="I505" s="369">
        <f t="shared" si="66"/>
        <v>0</v>
      </c>
      <c r="J505" s="369"/>
      <c r="K505" s="369"/>
      <c r="L505" s="385">
        <f t="shared" si="67"/>
        <v>0</v>
      </c>
      <c r="M505" s="385">
        <f t="shared" si="68"/>
        <v>0</v>
      </c>
      <c r="N505" s="388">
        <f t="shared" si="69"/>
        <v>0</v>
      </c>
    </row>
    <row r="506" spans="1:14" ht="13.2" customHeight="1" x14ac:dyDescent="0.3">
      <c r="A506" s="401"/>
      <c r="B506" s="402" t="s">
        <v>649</v>
      </c>
      <c r="C506" s="371" t="s">
        <v>650</v>
      </c>
      <c r="D506" s="371" t="s">
        <v>620</v>
      </c>
      <c r="E506" s="367" t="s">
        <v>235</v>
      </c>
      <c r="F506" s="539"/>
      <c r="G506" s="539"/>
      <c r="H506" s="539"/>
      <c r="I506" s="372">
        <f t="shared" si="66"/>
        <v>0</v>
      </c>
      <c r="J506" s="372"/>
      <c r="K506" s="372"/>
      <c r="L506" s="387">
        <f t="shared" si="67"/>
        <v>0</v>
      </c>
      <c r="M506" s="387">
        <f t="shared" si="68"/>
        <v>0</v>
      </c>
      <c r="N506" s="422">
        <f t="shared" si="69"/>
        <v>0</v>
      </c>
    </row>
    <row r="507" spans="1:14" ht="13.2" customHeight="1" x14ac:dyDescent="0.3">
      <c r="A507" s="401"/>
      <c r="B507" s="402"/>
      <c r="C507" s="371" t="s">
        <v>652</v>
      </c>
      <c r="D507" s="371" t="s">
        <v>621</v>
      </c>
      <c r="E507" s="367" t="s">
        <v>235</v>
      </c>
      <c r="F507" s="539"/>
      <c r="G507" s="539"/>
      <c r="H507" s="539"/>
      <c r="I507" s="372">
        <f t="shared" si="66"/>
        <v>0</v>
      </c>
      <c r="J507" s="372"/>
      <c r="K507" s="372"/>
      <c r="L507" s="387">
        <f t="shared" si="67"/>
        <v>0</v>
      </c>
      <c r="M507" s="387">
        <f t="shared" si="68"/>
        <v>0</v>
      </c>
      <c r="N507" s="422">
        <f t="shared" si="69"/>
        <v>0</v>
      </c>
    </row>
    <row r="508" spans="1:14" ht="13.2" customHeight="1" x14ac:dyDescent="0.3">
      <c r="A508" s="401"/>
      <c r="B508" s="402"/>
      <c r="C508" s="371" t="s">
        <v>652</v>
      </c>
      <c r="D508" s="371" t="s">
        <v>622</v>
      </c>
      <c r="E508" s="367" t="s">
        <v>235</v>
      </c>
      <c r="F508" s="539"/>
      <c r="G508" s="539"/>
      <c r="H508" s="539"/>
      <c r="I508" s="372">
        <f t="shared" si="66"/>
        <v>0</v>
      </c>
      <c r="J508" s="372"/>
      <c r="K508" s="372"/>
      <c r="L508" s="387">
        <f t="shared" si="67"/>
        <v>0</v>
      </c>
      <c r="M508" s="387">
        <f t="shared" si="68"/>
        <v>0</v>
      </c>
      <c r="N508" s="422">
        <f t="shared" si="69"/>
        <v>0</v>
      </c>
    </row>
    <row r="509" spans="1:14" ht="13.2" customHeight="1" x14ac:dyDescent="0.3">
      <c r="A509" s="401"/>
      <c r="B509" s="402"/>
      <c r="C509" s="371" t="s">
        <v>652</v>
      </c>
      <c r="D509" s="371" t="s">
        <v>623</v>
      </c>
      <c r="E509" s="367" t="s">
        <v>235</v>
      </c>
      <c r="F509" s="539"/>
      <c r="G509" s="539"/>
      <c r="H509" s="539"/>
      <c r="I509" s="372">
        <f t="shared" si="66"/>
        <v>0</v>
      </c>
      <c r="J509" s="372"/>
      <c r="K509" s="372"/>
      <c r="L509" s="387">
        <f t="shared" si="67"/>
        <v>0</v>
      </c>
      <c r="M509" s="387">
        <f t="shared" si="68"/>
        <v>0</v>
      </c>
      <c r="N509" s="422">
        <f t="shared" si="69"/>
        <v>0</v>
      </c>
    </row>
    <row r="510" spans="1:14" ht="13.2" customHeight="1" x14ac:dyDescent="0.3">
      <c r="A510" s="401"/>
      <c r="B510" s="402"/>
      <c r="C510" s="371" t="s">
        <v>652</v>
      </c>
      <c r="D510" s="371" t="s">
        <v>628</v>
      </c>
      <c r="E510" s="367" t="s">
        <v>235</v>
      </c>
      <c r="F510" s="539"/>
      <c r="G510" s="539"/>
      <c r="H510" s="539"/>
      <c r="I510" s="372">
        <f t="shared" si="66"/>
        <v>0</v>
      </c>
      <c r="J510" s="372"/>
      <c r="K510" s="372"/>
      <c r="L510" s="387">
        <f t="shared" si="67"/>
        <v>0</v>
      </c>
      <c r="M510" s="387">
        <f t="shared" si="68"/>
        <v>0</v>
      </c>
      <c r="N510" s="422">
        <f t="shared" si="69"/>
        <v>0</v>
      </c>
    </row>
    <row r="511" spans="1:14" ht="13.2" customHeight="1" x14ac:dyDescent="0.3">
      <c r="A511" s="401"/>
      <c r="B511" s="402"/>
      <c r="C511" s="371" t="s">
        <v>652</v>
      </c>
      <c r="D511" s="371" t="s">
        <v>629</v>
      </c>
      <c r="E511" s="367" t="s">
        <v>235</v>
      </c>
      <c r="F511" s="539"/>
      <c r="G511" s="539"/>
      <c r="H511" s="539"/>
      <c r="I511" s="372">
        <f t="shared" si="66"/>
        <v>0</v>
      </c>
      <c r="J511" s="372"/>
      <c r="K511" s="372"/>
      <c r="L511" s="387">
        <f t="shared" si="67"/>
        <v>0</v>
      </c>
      <c r="M511" s="387">
        <f t="shared" si="68"/>
        <v>0</v>
      </c>
      <c r="N511" s="422">
        <f t="shared" si="69"/>
        <v>0</v>
      </c>
    </row>
    <row r="512" spans="1:14" ht="13.2" customHeight="1" x14ac:dyDescent="0.3">
      <c r="A512" s="401"/>
      <c r="B512" s="402"/>
      <c r="C512" s="371" t="s">
        <v>652</v>
      </c>
      <c r="D512" s="371" t="s">
        <v>624</v>
      </c>
      <c r="E512" s="367" t="s">
        <v>235</v>
      </c>
      <c r="F512" s="539"/>
      <c r="G512" s="539"/>
      <c r="H512" s="539"/>
      <c r="I512" s="372">
        <f t="shared" si="66"/>
        <v>0</v>
      </c>
      <c r="J512" s="372"/>
      <c r="K512" s="372"/>
      <c r="L512" s="387">
        <f t="shared" si="67"/>
        <v>0</v>
      </c>
      <c r="M512" s="387">
        <f t="shared" si="68"/>
        <v>0</v>
      </c>
      <c r="N512" s="422">
        <f t="shared" si="69"/>
        <v>0</v>
      </c>
    </row>
    <row r="513" spans="1:14" ht="13.2" customHeight="1" x14ac:dyDescent="0.3">
      <c r="A513" s="401"/>
      <c r="B513" s="402"/>
      <c r="C513" s="371" t="s">
        <v>652</v>
      </c>
      <c r="D513" s="371" t="s">
        <v>625</v>
      </c>
      <c r="E513" s="367" t="s">
        <v>235</v>
      </c>
      <c r="F513" s="539"/>
      <c r="G513" s="539"/>
      <c r="H513" s="539"/>
      <c r="I513" s="372">
        <f t="shared" si="66"/>
        <v>0</v>
      </c>
      <c r="J513" s="372"/>
      <c r="K513" s="372"/>
      <c r="L513" s="387">
        <f t="shared" si="67"/>
        <v>0</v>
      </c>
      <c r="M513" s="387">
        <f t="shared" si="68"/>
        <v>0</v>
      </c>
      <c r="N513" s="422">
        <f t="shared" si="69"/>
        <v>0</v>
      </c>
    </row>
    <row r="514" spans="1:14" ht="13.2" customHeight="1" x14ac:dyDescent="0.3">
      <c r="A514" s="401"/>
      <c r="B514" s="402"/>
      <c r="C514" s="371" t="s">
        <v>652</v>
      </c>
      <c r="D514" s="371" t="s">
        <v>626</v>
      </c>
      <c r="E514" s="367" t="s">
        <v>235</v>
      </c>
      <c r="F514" s="539"/>
      <c r="G514" s="539"/>
      <c r="H514" s="539"/>
      <c r="I514" s="372">
        <f t="shared" si="66"/>
        <v>0</v>
      </c>
      <c r="J514" s="372"/>
      <c r="K514" s="372"/>
      <c r="L514" s="387">
        <f t="shared" si="67"/>
        <v>0</v>
      </c>
      <c r="M514" s="387">
        <f t="shared" si="68"/>
        <v>0</v>
      </c>
      <c r="N514" s="422">
        <f t="shared" si="69"/>
        <v>0</v>
      </c>
    </row>
    <row r="515" spans="1:14" ht="13.2" customHeight="1" x14ac:dyDescent="0.3">
      <c r="A515" s="401"/>
      <c r="B515" s="402"/>
      <c r="C515" s="373" t="s">
        <v>652</v>
      </c>
      <c r="D515" s="373" t="s">
        <v>627</v>
      </c>
      <c r="E515" s="374" t="s">
        <v>235</v>
      </c>
      <c r="F515" s="571"/>
      <c r="G515" s="571"/>
      <c r="H515" s="571"/>
      <c r="I515" s="375">
        <f t="shared" si="66"/>
        <v>0</v>
      </c>
      <c r="J515" s="375"/>
      <c r="K515" s="375"/>
      <c r="L515" s="399">
        <f t="shared" si="67"/>
        <v>0</v>
      </c>
      <c r="M515" s="399">
        <f t="shared" si="68"/>
        <v>0</v>
      </c>
      <c r="N515" s="400">
        <f t="shared" si="69"/>
        <v>0</v>
      </c>
    </row>
    <row r="516" spans="1:14" ht="13.2" customHeight="1" x14ac:dyDescent="0.3">
      <c r="A516" s="531">
        <v>11</v>
      </c>
      <c r="B516" s="532" t="s">
        <v>1579</v>
      </c>
      <c r="C516" s="404"/>
      <c r="D516" s="404"/>
      <c r="E516" s="405"/>
      <c r="F516" s="575"/>
      <c r="G516" s="575"/>
      <c r="H516" s="575"/>
      <c r="I516" s="406">
        <f t="shared" si="66"/>
        <v>0</v>
      </c>
      <c r="J516" s="406"/>
      <c r="K516" s="406"/>
      <c r="L516" s="469">
        <f t="shared" si="67"/>
        <v>0</v>
      </c>
      <c r="M516" s="469">
        <f t="shared" si="68"/>
        <v>0</v>
      </c>
      <c r="N516" s="470">
        <f t="shared" si="69"/>
        <v>0</v>
      </c>
    </row>
    <row r="517" spans="1:14" ht="13.2" customHeight="1" x14ac:dyDescent="0.3">
      <c r="A517" s="401"/>
      <c r="B517" s="402" t="s">
        <v>1828</v>
      </c>
      <c r="C517" s="371" t="s">
        <v>650</v>
      </c>
      <c r="D517" s="371" t="s">
        <v>620</v>
      </c>
      <c r="E517" s="367" t="s">
        <v>235</v>
      </c>
      <c r="F517" s="539"/>
      <c r="G517" s="539"/>
      <c r="H517" s="539"/>
      <c r="I517" s="372">
        <f t="shared" si="66"/>
        <v>0</v>
      </c>
      <c r="J517" s="372"/>
      <c r="K517" s="372"/>
      <c r="L517" s="387">
        <f t="shared" si="67"/>
        <v>0</v>
      </c>
      <c r="M517" s="387">
        <f t="shared" si="68"/>
        <v>0</v>
      </c>
      <c r="N517" s="422">
        <f t="shared" si="69"/>
        <v>0</v>
      </c>
    </row>
    <row r="518" spans="1:14" ht="13.2" customHeight="1" x14ac:dyDescent="0.3">
      <c r="A518" s="401"/>
      <c r="B518" s="402"/>
      <c r="C518" s="371" t="s">
        <v>652</v>
      </c>
      <c r="D518" s="371" t="s">
        <v>621</v>
      </c>
      <c r="E518" s="367" t="s">
        <v>235</v>
      </c>
      <c r="F518" s="539"/>
      <c r="G518" s="539"/>
      <c r="H518" s="539"/>
      <c r="I518" s="372">
        <f t="shared" si="66"/>
        <v>0</v>
      </c>
      <c r="J518" s="372"/>
      <c r="K518" s="372"/>
      <c r="L518" s="387">
        <f t="shared" si="67"/>
        <v>0</v>
      </c>
      <c r="M518" s="387">
        <f t="shared" si="68"/>
        <v>0</v>
      </c>
      <c r="N518" s="422">
        <f t="shared" si="69"/>
        <v>0</v>
      </c>
    </row>
    <row r="519" spans="1:14" ht="13.2" customHeight="1" x14ac:dyDescent="0.3">
      <c r="A519" s="401"/>
      <c r="B519" s="402"/>
      <c r="C519" s="371" t="s">
        <v>652</v>
      </c>
      <c r="D519" s="371" t="s">
        <v>622</v>
      </c>
      <c r="E519" s="367" t="s">
        <v>235</v>
      </c>
      <c r="F519" s="539"/>
      <c r="G519" s="539"/>
      <c r="H519" s="539"/>
      <c r="I519" s="372">
        <f t="shared" si="66"/>
        <v>0</v>
      </c>
      <c r="J519" s="372"/>
      <c r="K519" s="372"/>
      <c r="L519" s="387">
        <f t="shared" si="67"/>
        <v>0</v>
      </c>
      <c r="M519" s="387">
        <f t="shared" si="68"/>
        <v>0</v>
      </c>
      <c r="N519" s="422">
        <f t="shared" si="69"/>
        <v>0</v>
      </c>
    </row>
    <row r="520" spans="1:14" ht="13.2" customHeight="1" x14ac:dyDescent="0.3">
      <c r="A520" s="401"/>
      <c r="B520" s="402"/>
      <c r="C520" s="371" t="s">
        <v>652</v>
      </c>
      <c r="D520" s="371" t="s">
        <v>623</v>
      </c>
      <c r="E520" s="367" t="s">
        <v>235</v>
      </c>
      <c r="F520" s="539"/>
      <c r="G520" s="539"/>
      <c r="H520" s="539"/>
      <c r="I520" s="372">
        <f t="shared" si="66"/>
        <v>0</v>
      </c>
      <c r="J520" s="372"/>
      <c r="K520" s="372"/>
      <c r="L520" s="387">
        <f t="shared" si="67"/>
        <v>0</v>
      </c>
      <c r="M520" s="387">
        <f t="shared" si="68"/>
        <v>0</v>
      </c>
      <c r="N520" s="422">
        <f t="shared" si="69"/>
        <v>0</v>
      </c>
    </row>
    <row r="521" spans="1:14" ht="13.2" customHeight="1" x14ac:dyDescent="0.3">
      <c r="A521" s="401"/>
      <c r="B521" s="402"/>
      <c r="C521" s="371" t="s">
        <v>652</v>
      </c>
      <c r="D521" s="371" t="s">
        <v>628</v>
      </c>
      <c r="E521" s="367" t="s">
        <v>235</v>
      </c>
      <c r="F521" s="539"/>
      <c r="G521" s="539"/>
      <c r="H521" s="539"/>
      <c r="I521" s="372">
        <f t="shared" si="66"/>
        <v>0</v>
      </c>
      <c r="J521" s="372"/>
      <c r="K521" s="372"/>
      <c r="L521" s="387">
        <f t="shared" si="67"/>
        <v>0</v>
      </c>
      <c r="M521" s="387">
        <f t="shared" si="68"/>
        <v>0</v>
      </c>
      <c r="N521" s="422">
        <f t="shared" si="69"/>
        <v>0</v>
      </c>
    </row>
    <row r="522" spans="1:14" ht="13.2" customHeight="1" x14ac:dyDescent="0.3">
      <c r="A522" s="401"/>
      <c r="B522" s="402"/>
      <c r="C522" s="371" t="s">
        <v>652</v>
      </c>
      <c r="D522" s="371" t="s">
        <v>629</v>
      </c>
      <c r="E522" s="367" t="s">
        <v>235</v>
      </c>
      <c r="F522" s="539"/>
      <c r="G522" s="539"/>
      <c r="H522" s="539"/>
      <c r="I522" s="372">
        <f t="shared" si="66"/>
        <v>0</v>
      </c>
      <c r="J522" s="372"/>
      <c r="K522" s="372"/>
      <c r="L522" s="387">
        <f t="shared" si="67"/>
        <v>0</v>
      </c>
      <c r="M522" s="387">
        <f t="shared" si="68"/>
        <v>0</v>
      </c>
      <c r="N522" s="422">
        <f t="shared" si="69"/>
        <v>0</v>
      </c>
    </row>
    <row r="523" spans="1:14" ht="13.2" customHeight="1" x14ac:dyDescent="0.3">
      <c r="A523" s="401"/>
      <c r="B523" s="402"/>
      <c r="C523" s="371" t="s">
        <v>652</v>
      </c>
      <c r="D523" s="371" t="s">
        <v>624</v>
      </c>
      <c r="E523" s="367" t="s">
        <v>235</v>
      </c>
      <c r="F523" s="539"/>
      <c r="G523" s="539"/>
      <c r="H523" s="539"/>
      <c r="I523" s="372">
        <f t="shared" si="66"/>
        <v>0</v>
      </c>
      <c r="J523" s="372"/>
      <c r="K523" s="372"/>
      <c r="L523" s="387">
        <f t="shared" si="67"/>
        <v>0</v>
      </c>
      <c r="M523" s="387">
        <f t="shared" si="68"/>
        <v>0</v>
      </c>
      <c r="N523" s="422">
        <f t="shared" si="69"/>
        <v>0</v>
      </c>
    </row>
    <row r="524" spans="1:14" ht="13.2" customHeight="1" x14ac:dyDescent="0.3">
      <c r="A524" s="401"/>
      <c r="B524" s="402"/>
      <c r="C524" s="371" t="s">
        <v>652</v>
      </c>
      <c r="D524" s="371" t="s">
        <v>625</v>
      </c>
      <c r="E524" s="367" t="s">
        <v>235</v>
      </c>
      <c r="F524" s="539"/>
      <c r="G524" s="539"/>
      <c r="H524" s="539"/>
      <c r="I524" s="372">
        <f t="shared" si="66"/>
        <v>0</v>
      </c>
      <c r="J524" s="372"/>
      <c r="K524" s="372"/>
      <c r="L524" s="387">
        <f t="shared" si="67"/>
        <v>0</v>
      </c>
      <c r="M524" s="387">
        <f t="shared" si="68"/>
        <v>0</v>
      </c>
      <c r="N524" s="422">
        <f t="shared" si="69"/>
        <v>0</v>
      </c>
    </row>
    <row r="525" spans="1:14" ht="13.2" customHeight="1" x14ac:dyDescent="0.3">
      <c r="A525" s="401"/>
      <c r="B525" s="402"/>
      <c r="C525" s="371" t="s">
        <v>652</v>
      </c>
      <c r="D525" s="371" t="s">
        <v>626</v>
      </c>
      <c r="E525" s="367" t="s">
        <v>235</v>
      </c>
      <c r="F525" s="539"/>
      <c r="G525" s="539"/>
      <c r="H525" s="539"/>
      <c r="I525" s="372">
        <f t="shared" si="66"/>
        <v>0</v>
      </c>
      <c r="J525" s="372"/>
      <c r="K525" s="372"/>
      <c r="L525" s="387">
        <f t="shared" si="67"/>
        <v>0</v>
      </c>
      <c r="M525" s="387">
        <f t="shared" si="68"/>
        <v>0</v>
      </c>
      <c r="N525" s="422">
        <f t="shared" si="69"/>
        <v>0</v>
      </c>
    </row>
    <row r="526" spans="1:14" ht="13.2" customHeight="1" x14ac:dyDescent="0.3">
      <c r="A526" s="410"/>
      <c r="B526" s="533"/>
      <c r="C526" s="390" t="s">
        <v>652</v>
      </c>
      <c r="D526" s="390" t="s">
        <v>627</v>
      </c>
      <c r="E526" s="391" t="s">
        <v>235</v>
      </c>
      <c r="F526" s="571"/>
      <c r="G526" s="571"/>
      <c r="H526" s="571"/>
      <c r="I526" s="409">
        <f t="shared" si="66"/>
        <v>0</v>
      </c>
      <c r="J526" s="409"/>
      <c r="K526" s="409"/>
      <c r="L526" s="471">
        <f t="shared" si="67"/>
        <v>0</v>
      </c>
      <c r="M526" s="471">
        <f t="shared" si="68"/>
        <v>0</v>
      </c>
      <c r="N526" s="472">
        <f t="shared" si="69"/>
        <v>0</v>
      </c>
    </row>
    <row r="527" spans="1:14" ht="13.2" customHeight="1" x14ac:dyDescent="0.3">
      <c r="A527" s="530">
        <v>10</v>
      </c>
      <c r="B527" s="411" t="s">
        <v>1578</v>
      </c>
      <c r="C527" s="362"/>
      <c r="D527" s="362"/>
      <c r="E527" s="368"/>
      <c r="F527" s="535"/>
      <c r="G527" s="535"/>
      <c r="H527" s="535"/>
      <c r="I527" s="369">
        <f t="shared" ref="I527:I537" si="70">SUM(F527:H527)</f>
        <v>0</v>
      </c>
      <c r="J527" s="369"/>
      <c r="K527" s="369"/>
      <c r="L527" s="385">
        <f t="shared" ref="L527:L537" si="71">J527*I527</f>
        <v>0</v>
      </c>
      <c r="M527" s="385">
        <f t="shared" ref="M527:M537" si="72">K527*I527</f>
        <v>0</v>
      </c>
      <c r="N527" s="388">
        <f t="shared" ref="N527:N537" si="73">SUM(L527:M527)</f>
        <v>0</v>
      </c>
    </row>
    <row r="528" spans="1:14" ht="13.2" customHeight="1" x14ac:dyDescent="0.3">
      <c r="A528" s="401"/>
      <c r="B528" s="402" t="s">
        <v>1828</v>
      </c>
      <c r="C528" s="371" t="s">
        <v>650</v>
      </c>
      <c r="D528" s="371" t="s">
        <v>620</v>
      </c>
      <c r="E528" s="367" t="s">
        <v>235</v>
      </c>
      <c r="F528" s="539"/>
      <c r="G528" s="539"/>
      <c r="H528" s="539"/>
      <c r="I528" s="372">
        <f t="shared" si="70"/>
        <v>0</v>
      </c>
      <c r="J528" s="372"/>
      <c r="K528" s="372"/>
      <c r="L528" s="387">
        <f t="shared" si="71"/>
        <v>0</v>
      </c>
      <c r="M528" s="387">
        <f t="shared" si="72"/>
        <v>0</v>
      </c>
      <c r="N528" s="422">
        <f t="shared" si="73"/>
        <v>0</v>
      </c>
    </row>
    <row r="529" spans="1:14" ht="13.2" customHeight="1" x14ac:dyDescent="0.3">
      <c r="A529" s="401"/>
      <c r="B529" s="402"/>
      <c r="C529" s="371" t="s">
        <v>652</v>
      </c>
      <c r="D529" s="371" t="s">
        <v>621</v>
      </c>
      <c r="E529" s="367" t="s">
        <v>235</v>
      </c>
      <c r="F529" s="539"/>
      <c r="G529" s="539"/>
      <c r="H529" s="539"/>
      <c r="I529" s="372">
        <f t="shared" si="70"/>
        <v>0</v>
      </c>
      <c r="J529" s="372"/>
      <c r="K529" s="372"/>
      <c r="L529" s="387">
        <f t="shared" si="71"/>
        <v>0</v>
      </c>
      <c r="M529" s="387">
        <f t="shared" si="72"/>
        <v>0</v>
      </c>
      <c r="N529" s="422">
        <f t="shared" si="73"/>
        <v>0</v>
      </c>
    </row>
    <row r="530" spans="1:14" ht="13.2" customHeight="1" x14ac:dyDescent="0.3">
      <c r="A530" s="401"/>
      <c r="B530" s="402"/>
      <c r="C530" s="371" t="s">
        <v>652</v>
      </c>
      <c r="D530" s="371" t="s">
        <v>622</v>
      </c>
      <c r="E530" s="367" t="s">
        <v>235</v>
      </c>
      <c r="F530" s="539"/>
      <c r="G530" s="539"/>
      <c r="H530" s="539"/>
      <c r="I530" s="372">
        <f t="shared" si="70"/>
        <v>0</v>
      </c>
      <c r="J530" s="372"/>
      <c r="K530" s="372"/>
      <c r="L530" s="387">
        <f t="shared" si="71"/>
        <v>0</v>
      </c>
      <c r="M530" s="387">
        <f t="shared" si="72"/>
        <v>0</v>
      </c>
      <c r="N530" s="422">
        <f t="shared" si="73"/>
        <v>0</v>
      </c>
    </row>
    <row r="531" spans="1:14" ht="13.2" customHeight="1" x14ac:dyDescent="0.3">
      <c r="A531" s="401"/>
      <c r="B531" s="402"/>
      <c r="C531" s="371" t="s">
        <v>652</v>
      </c>
      <c r="D531" s="371" t="s">
        <v>623</v>
      </c>
      <c r="E531" s="367" t="s">
        <v>235</v>
      </c>
      <c r="F531" s="539"/>
      <c r="G531" s="539"/>
      <c r="H531" s="539"/>
      <c r="I531" s="372">
        <f t="shared" si="70"/>
        <v>0</v>
      </c>
      <c r="J531" s="372"/>
      <c r="K531" s="372"/>
      <c r="L531" s="387">
        <f t="shared" si="71"/>
        <v>0</v>
      </c>
      <c r="M531" s="387">
        <f t="shared" si="72"/>
        <v>0</v>
      </c>
      <c r="N531" s="422">
        <f t="shared" si="73"/>
        <v>0</v>
      </c>
    </row>
    <row r="532" spans="1:14" ht="13.2" customHeight="1" x14ac:dyDescent="0.3">
      <c r="A532" s="401"/>
      <c r="B532" s="402"/>
      <c r="C532" s="371" t="s">
        <v>652</v>
      </c>
      <c r="D532" s="371" t="s">
        <v>628</v>
      </c>
      <c r="E532" s="367" t="s">
        <v>235</v>
      </c>
      <c r="F532" s="539"/>
      <c r="G532" s="539"/>
      <c r="H532" s="539"/>
      <c r="I532" s="372">
        <f t="shared" si="70"/>
        <v>0</v>
      </c>
      <c r="J532" s="372"/>
      <c r="K532" s="372"/>
      <c r="L532" s="387">
        <f t="shared" si="71"/>
        <v>0</v>
      </c>
      <c r="M532" s="387">
        <f t="shared" si="72"/>
        <v>0</v>
      </c>
      <c r="N532" s="422">
        <f t="shared" si="73"/>
        <v>0</v>
      </c>
    </row>
    <row r="533" spans="1:14" ht="13.2" customHeight="1" x14ac:dyDescent="0.3">
      <c r="A533" s="401"/>
      <c r="B533" s="402"/>
      <c r="C533" s="371" t="s">
        <v>652</v>
      </c>
      <c r="D533" s="371" t="s">
        <v>629</v>
      </c>
      <c r="E533" s="367" t="s">
        <v>235</v>
      </c>
      <c r="F533" s="539"/>
      <c r="G533" s="539"/>
      <c r="H533" s="539"/>
      <c r="I533" s="372">
        <f t="shared" si="70"/>
        <v>0</v>
      </c>
      <c r="J533" s="372"/>
      <c r="K533" s="372"/>
      <c r="L533" s="387">
        <f t="shared" si="71"/>
        <v>0</v>
      </c>
      <c r="M533" s="387">
        <f t="shared" si="72"/>
        <v>0</v>
      </c>
      <c r="N533" s="422">
        <f t="shared" si="73"/>
        <v>0</v>
      </c>
    </row>
    <row r="534" spans="1:14" ht="13.2" customHeight="1" x14ac:dyDescent="0.3">
      <c r="A534" s="401"/>
      <c r="B534" s="402"/>
      <c r="C534" s="371" t="s">
        <v>652</v>
      </c>
      <c r="D534" s="371" t="s">
        <v>624</v>
      </c>
      <c r="E534" s="367" t="s">
        <v>235</v>
      </c>
      <c r="F534" s="539"/>
      <c r="G534" s="539"/>
      <c r="H534" s="539"/>
      <c r="I534" s="372">
        <f t="shared" si="70"/>
        <v>0</v>
      </c>
      <c r="J534" s="372"/>
      <c r="K534" s="372"/>
      <c r="L534" s="387">
        <f t="shared" si="71"/>
        <v>0</v>
      </c>
      <c r="M534" s="387">
        <f t="shared" si="72"/>
        <v>0</v>
      </c>
      <c r="N534" s="422">
        <f t="shared" si="73"/>
        <v>0</v>
      </c>
    </row>
    <row r="535" spans="1:14" ht="13.2" customHeight="1" x14ac:dyDescent="0.3">
      <c r="A535" s="401"/>
      <c r="B535" s="402"/>
      <c r="C535" s="371" t="s">
        <v>652</v>
      </c>
      <c r="D535" s="371" t="s">
        <v>625</v>
      </c>
      <c r="E535" s="367" t="s">
        <v>235</v>
      </c>
      <c r="F535" s="539"/>
      <c r="G535" s="539"/>
      <c r="H535" s="539"/>
      <c r="I535" s="372">
        <f t="shared" si="70"/>
        <v>0</v>
      </c>
      <c r="J535" s="372"/>
      <c r="K535" s="372"/>
      <c r="L535" s="387">
        <f t="shared" si="71"/>
        <v>0</v>
      </c>
      <c r="M535" s="387">
        <f t="shared" si="72"/>
        <v>0</v>
      </c>
      <c r="N535" s="422">
        <f t="shared" si="73"/>
        <v>0</v>
      </c>
    </row>
    <row r="536" spans="1:14" ht="13.2" customHeight="1" x14ac:dyDescent="0.3">
      <c r="A536" s="401"/>
      <c r="B536" s="402"/>
      <c r="C536" s="371" t="s">
        <v>652</v>
      </c>
      <c r="D536" s="371" t="s">
        <v>626</v>
      </c>
      <c r="E536" s="367" t="s">
        <v>235</v>
      </c>
      <c r="F536" s="539"/>
      <c r="G536" s="539"/>
      <c r="H536" s="539"/>
      <c r="I536" s="372">
        <f t="shared" si="70"/>
        <v>0</v>
      </c>
      <c r="J536" s="372"/>
      <c r="K536" s="372"/>
      <c r="L536" s="387">
        <f t="shared" si="71"/>
        <v>0</v>
      </c>
      <c r="M536" s="387">
        <f t="shared" si="72"/>
        <v>0</v>
      </c>
      <c r="N536" s="422">
        <f t="shared" si="73"/>
        <v>0</v>
      </c>
    </row>
    <row r="537" spans="1:14" ht="13.2" customHeight="1" x14ac:dyDescent="0.3">
      <c r="A537" s="401"/>
      <c r="B537" s="402"/>
      <c r="C537" s="373" t="s">
        <v>652</v>
      </c>
      <c r="D537" s="373" t="s">
        <v>627</v>
      </c>
      <c r="E537" s="374" t="s">
        <v>235</v>
      </c>
      <c r="F537" s="571"/>
      <c r="G537" s="571"/>
      <c r="H537" s="571"/>
      <c r="I537" s="375">
        <f t="shared" si="70"/>
        <v>0</v>
      </c>
      <c r="J537" s="375"/>
      <c r="K537" s="372"/>
      <c r="L537" s="399">
        <f t="shared" si="71"/>
        <v>0</v>
      </c>
      <c r="M537" s="399">
        <f t="shared" si="72"/>
        <v>0</v>
      </c>
      <c r="N537" s="400">
        <f t="shared" si="73"/>
        <v>0</v>
      </c>
    </row>
    <row r="538" spans="1:14" ht="13.2" customHeight="1" x14ac:dyDescent="0.3">
      <c r="A538" s="412">
        <v>15</v>
      </c>
      <c r="B538" s="413" t="s">
        <v>665</v>
      </c>
      <c r="C538" s="414"/>
      <c r="D538" s="414"/>
      <c r="E538" s="415" t="s">
        <v>642</v>
      </c>
      <c r="F538" s="578"/>
      <c r="G538" s="578"/>
      <c r="H538" s="578"/>
      <c r="I538" s="416">
        <f t="shared" si="62"/>
        <v>0</v>
      </c>
      <c r="J538" s="416"/>
      <c r="K538" s="416"/>
      <c r="L538" s="377">
        <f t="shared" si="63"/>
        <v>0</v>
      </c>
      <c r="M538" s="377">
        <f t="shared" si="64"/>
        <v>0</v>
      </c>
      <c r="N538" s="464">
        <f t="shared" si="65"/>
        <v>0</v>
      </c>
    </row>
    <row r="539" spans="1:14" ht="13.2" customHeight="1" x14ac:dyDescent="0.3">
      <c r="A539" s="485"/>
      <c r="B539" s="486" t="s">
        <v>666</v>
      </c>
      <c r="C539" s="487"/>
      <c r="D539" s="487"/>
      <c r="E539" s="488"/>
      <c r="F539" s="492"/>
      <c r="G539" s="492"/>
      <c r="H539" s="492"/>
      <c r="I539" s="543"/>
      <c r="J539" s="492"/>
      <c r="K539" s="492"/>
      <c r="L539" s="490">
        <f>SUM(L268:L538)</f>
        <v>0</v>
      </c>
      <c r="M539" s="490">
        <f>SUM(M268:M538)</f>
        <v>0</v>
      </c>
      <c r="N539" s="491">
        <f>SUM(N268:N538)</f>
        <v>0</v>
      </c>
    </row>
    <row r="540" spans="1:14" ht="7.2" customHeight="1" x14ac:dyDescent="0.3">
      <c r="A540" s="392"/>
      <c r="B540" s="393"/>
      <c r="C540" s="394"/>
      <c r="D540" s="394"/>
      <c r="E540" s="395"/>
      <c r="F540" s="574"/>
      <c r="G540" s="574"/>
      <c r="H540" s="574"/>
      <c r="I540" s="417"/>
      <c r="J540" s="417"/>
      <c r="K540" s="417"/>
      <c r="L540" s="383"/>
      <c r="M540" s="383"/>
      <c r="N540" s="396"/>
    </row>
    <row r="541" spans="1:14" ht="13.95" customHeight="1" x14ac:dyDescent="0.3">
      <c r="A541" s="477" t="s">
        <v>609</v>
      </c>
      <c r="B541" s="478" t="s">
        <v>667</v>
      </c>
      <c r="C541" s="479"/>
      <c r="D541" s="480"/>
      <c r="E541" s="493"/>
      <c r="F541" s="579"/>
      <c r="G541" s="579"/>
      <c r="H541" s="579"/>
      <c r="I541" s="494"/>
      <c r="J541" s="494"/>
      <c r="K541" s="494"/>
      <c r="L541" s="481"/>
      <c r="M541" s="481"/>
      <c r="N541" s="482"/>
    </row>
    <row r="542" spans="1:14" ht="13.95" customHeight="1" x14ac:dyDescent="0.3">
      <c r="A542" s="360" t="s">
        <v>1447</v>
      </c>
      <c r="B542" s="411" t="s">
        <v>1476</v>
      </c>
      <c r="C542" s="361"/>
      <c r="D542" s="362"/>
      <c r="E542" s="367"/>
      <c r="F542" s="535"/>
      <c r="G542" s="535"/>
      <c r="H542" s="535"/>
      <c r="I542" s="369"/>
      <c r="J542" s="369"/>
      <c r="K542" s="369"/>
      <c r="L542" s="363"/>
      <c r="M542" s="363"/>
      <c r="N542" s="364"/>
    </row>
    <row r="543" spans="1:14" ht="13.2" customHeight="1" x14ac:dyDescent="0.3">
      <c r="A543" s="365">
        <v>1</v>
      </c>
      <c r="B543" s="376" t="s">
        <v>668</v>
      </c>
      <c r="C543" s="361"/>
      <c r="D543" s="362"/>
      <c r="E543" s="367" t="s">
        <v>399</v>
      </c>
      <c r="F543" s="538"/>
      <c r="G543" s="538"/>
      <c r="H543" s="535"/>
      <c r="I543" s="369">
        <f t="shared" ref="I543:I606" si="74">SUM(F543:H543)</f>
        <v>0</v>
      </c>
      <c r="J543" s="369"/>
      <c r="K543" s="369">
        <f>'RAB Pasang'!K543*40%</f>
        <v>145932</v>
      </c>
      <c r="L543" s="369">
        <f t="shared" ref="L543:L606" si="75">J543*I543</f>
        <v>0</v>
      </c>
      <c r="M543" s="369">
        <f t="shared" ref="M543:M606" si="76">K543*I543</f>
        <v>0</v>
      </c>
      <c r="N543" s="459">
        <f t="shared" ref="N543:N606" si="77">SUM(L543:M543)</f>
        <v>0</v>
      </c>
    </row>
    <row r="544" spans="1:14" ht="13.2" customHeight="1" x14ac:dyDescent="0.3">
      <c r="A544" s="365">
        <f>A543+1</f>
        <v>2</v>
      </c>
      <c r="B544" s="376" t="s">
        <v>669</v>
      </c>
      <c r="C544" s="361"/>
      <c r="D544" s="362"/>
      <c r="E544" s="367" t="s">
        <v>399</v>
      </c>
      <c r="F544" s="535"/>
      <c r="G544" s="535"/>
      <c r="H544" s="538"/>
      <c r="I544" s="369">
        <f t="shared" si="74"/>
        <v>0</v>
      </c>
      <c r="J544" s="369"/>
      <c r="K544" s="369">
        <f>'RAB Pasang'!K544*40%</f>
        <v>211652</v>
      </c>
      <c r="L544" s="369">
        <f t="shared" si="75"/>
        <v>0</v>
      </c>
      <c r="M544" s="369">
        <f t="shared" si="76"/>
        <v>0</v>
      </c>
      <c r="N544" s="459">
        <f t="shared" si="77"/>
        <v>0</v>
      </c>
    </row>
    <row r="545" spans="1:14" ht="13.2" customHeight="1" x14ac:dyDescent="0.3">
      <c r="A545" s="365">
        <f t="shared" ref="A545:A608" si="78">A544+1</f>
        <v>3</v>
      </c>
      <c r="B545" s="376" t="s">
        <v>670</v>
      </c>
      <c r="C545" s="361"/>
      <c r="D545" s="362"/>
      <c r="E545" s="367" t="s">
        <v>399</v>
      </c>
      <c r="F545" s="535"/>
      <c r="G545" s="535"/>
      <c r="H545" s="538"/>
      <c r="I545" s="369">
        <f t="shared" si="74"/>
        <v>0</v>
      </c>
      <c r="J545" s="369"/>
      <c r="K545" s="369">
        <f>'RAB Pasang'!K545*40%</f>
        <v>211652</v>
      </c>
      <c r="L545" s="369">
        <f t="shared" si="75"/>
        <v>0</v>
      </c>
      <c r="M545" s="369">
        <f t="shared" si="76"/>
        <v>0</v>
      </c>
      <c r="N545" s="459">
        <f t="shared" si="77"/>
        <v>0</v>
      </c>
    </row>
    <row r="546" spans="1:14" ht="13.2" customHeight="1" x14ac:dyDescent="0.3">
      <c r="A546" s="365">
        <f t="shared" si="78"/>
        <v>4</v>
      </c>
      <c r="B546" s="376" t="s">
        <v>671</v>
      </c>
      <c r="C546" s="361"/>
      <c r="D546" s="362"/>
      <c r="E546" s="367" t="s">
        <v>399</v>
      </c>
      <c r="F546" s="535"/>
      <c r="G546" s="535"/>
      <c r="H546" s="538"/>
      <c r="I546" s="369">
        <f t="shared" si="74"/>
        <v>0</v>
      </c>
      <c r="J546" s="369"/>
      <c r="K546" s="369">
        <f>'RAB Pasang'!K546*40%</f>
        <v>211652</v>
      </c>
      <c r="L546" s="369">
        <f t="shared" si="75"/>
        <v>0</v>
      </c>
      <c r="M546" s="369">
        <f t="shared" si="76"/>
        <v>0</v>
      </c>
      <c r="N546" s="459">
        <f t="shared" si="77"/>
        <v>0</v>
      </c>
    </row>
    <row r="547" spans="1:14" ht="13.2" customHeight="1" x14ac:dyDescent="0.3">
      <c r="A547" s="365">
        <f t="shared" si="78"/>
        <v>5</v>
      </c>
      <c r="B547" s="376" t="s">
        <v>672</v>
      </c>
      <c r="C547" s="361"/>
      <c r="D547" s="362"/>
      <c r="E547" s="367" t="s">
        <v>399</v>
      </c>
      <c r="F547" s="535"/>
      <c r="G547" s="535"/>
      <c r="H547" s="538"/>
      <c r="I547" s="369">
        <f t="shared" si="74"/>
        <v>0</v>
      </c>
      <c r="J547" s="369"/>
      <c r="K547" s="369">
        <f>'RAB Pasang'!K547*40%</f>
        <v>211652</v>
      </c>
      <c r="L547" s="369">
        <f t="shared" si="75"/>
        <v>0</v>
      </c>
      <c r="M547" s="369">
        <f t="shared" si="76"/>
        <v>0</v>
      </c>
      <c r="N547" s="459">
        <f t="shared" si="77"/>
        <v>0</v>
      </c>
    </row>
    <row r="548" spans="1:14" ht="13.2" customHeight="1" x14ac:dyDescent="0.3">
      <c r="A548" s="365">
        <f t="shared" si="78"/>
        <v>6</v>
      </c>
      <c r="B548" s="376" t="s">
        <v>888</v>
      </c>
      <c r="C548" s="361"/>
      <c r="D548" s="362"/>
      <c r="E548" s="367" t="s">
        <v>399</v>
      </c>
      <c r="F548" s="538"/>
      <c r="G548" s="538"/>
      <c r="H548" s="535"/>
      <c r="I548" s="369">
        <f t="shared" si="74"/>
        <v>0</v>
      </c>
      <c r="J548" s="369"/>
      <c r="K548" s="369">
        <f>'RAB Pasang'!K548*40%</f>
        <v>116744</v>
      </c>
      <c r="L548" s="369">
        <f t="shared" si="75"/>
        <v>0</v>
      </c>
      <c r="M548" s="369">
        <f t="shared" si="76"/>
        <v>0</v>
      </c>
      <c r="N548" s="459">
        <f t="shared" si="77"/>
        <v>0</v>
      </c>
    </row>
    <row r="549" spans="1:14" ht="13.2" customHeight="1" x14ac:dyDescent="0.3">
      <c r="A549" s="365">
        <f t="shared" si="78"/>
        <v>7</v>
      </c>
      <c r="B549" s="376" t="s">
        <v>673</v>
      </c>
      <c r="C549" s="371"/>
      <c r="D549" s="371"/>
      <c r="E549" s="367" t="s">
        <v>399</v>
      </c>
      <c r="F549" s="539"/>
      <c r="G549" s="539"/>
      <c r="H549" s="527"/>
      <c r="I549" s="372">
        <f t="shared" si="74"/>
        <v>0</v>
      </c>
      <c r="J549" s="372"/>
      <c r="K549" s="372">
        <f>'RAB Pasang'!K549*40%</f>
        <v>145932</v>
      </c>
      <c r="L549" s="369">
        <f t="shared" si="75"/>
        <v>0</v>
      </c>
      <c r="M549" s="369">
        <f t="shared" si="76"/>
        <v>0</v>
      </c>
      <c r="N549" s="459">
        <f t="shared" si="77"/>
        <v>0</v>
      </c>
    </row>
    <row r="550" spans="1:14" ht="13.2" customHeight="1" x14ac:dyDescent="0.3">
      <c r="A550" s="365">
        <f t="shared" si="78"/>
        <v>8</v>
      </c>
      <c r="B550" s="376" t="s">
        <v>674</v>
      </c>
      <c r="C550" s="371"/>
      <c r="D550" s="371"/>
      <c r="E550" s="367" t="s">
        <v>399</v>
      </c>
      <c r="F550" s="539"/>
      <c r="G550" s="539"/>
      <c r="H550" s="527"/>
      <c r="I550" s="372">
        <f t="shared" si="74"/>
        <v>0</v>
      </c>
      <c r="J550" s="372"/>
      <c r="K550" s="372">
        <f>'RAB Pasang'!K550*40%</f>
        <v>145932</v>
      </c>
      <c r="L550" s="369">
        <f t="shared" si="75"/>
        <v>0</v>
      </c>
      <c r="M550" s="369">
        <f t="shared" si="76"/>
        <v>0</v>
      </c>
      <c r="N550" s="459">
        <f t="shared" si="77"/>
        <v>0</v>
      </c>
    </row>
    <row r="551" spans="1:14" ht="13.2" customHeight="1" x14ac:dyDescent="0.3">
      <c r="A551" s="365">
        <f t="shared" si="78"/>
        <v>9</v>
      </c>
      <c r="B551" s="376" t="s">
        <v>675</v>
      </c>
      <c r="C551" s="371"/>
      <c r="D551" s="371"/>
      <c r="E551" s="367" t="s">
        <v>399</v>
      </c>
      <c r="F551" s="539"/>
      <c r="G551" s="539"/>
      <c r="H551" s="527"/>
      <c r="I551" s="372">
        <f t="shared" si="74"/>
        <v>0</v>
      </c>
      <c r="J551" s="372"/>
      <c r="K551" s="372">
        <f>'RAB Pasang'!K551*40%</f>
        <v>161716</v>
      </c>
      <c r="L551" s="369">
        <f t="shared" si="75"/>
        <v>0</v>
      </c>
      <c r="M551" s="369">
        <f t="shared" si="76"/>
        <v>0</v>
      </c>
      <c r="N551" s="459">
        <f t="shared" si="77"/>
        <v>0</v>
      </c>
    </row>
    <row r="552" spans="1:14" ht="13.2" customHeight="1" x14ac:dyDescent="0.3">
      <c r="A552" s="365">
        <f t="shared" si="78"/>
        <v>10</v>
      </c>
      <c r="B552" s="376" t="s">
        <v>676</v>
      </c>
      <c r="C552" s="371"/>
      <c r="D552" s="371"/>
      <c r="E552" s="367" t="s">
        <v>399</v>
      </c>
      <c r="F552" s="527"/>
      <c r="G552" s="527"/>
      <c r="H552" s="539"/>
      <c r="I552" s="372">
        <f t="shared" si="74"/>
        <v>0</v>
      </c>
      <c r="J552" s="372"/>
      <c r="K552" s="372">
        <f>'RAB Pasang'!K552*40%</f>
        <v>211652</v>
      </c>
      <c r="L552" s="369">
        <f t="shared" si="75"/>
        <v>0</v>
      </c>
      <c r="M552" s="369">
        <f t="shared" si="76"/>
        <v>0</v>
      </c>
      <c r="N552" s="459">
        <f t="shared" si="77"/>
        <v>0</v>
      </c>
    </row>
    <row r="553" spans="1:14" ht="13.2" customHeight="1" x14ac:dyDescent="0.3">
      <c r="A553" s="365">
        <f t="shared" si="78"/>
        <v>11</v>
      </c>
      <c r="B553" s="376" t="s">
        <v>677</v>
      </c>
      <c r="C553" s="361"/>
      <c r="D553" s="362"/>
      <c r="E553" s="367" t="s">
        <v>399</v>
      </c>
      <c r="F553" s="535"/>
      <c r="G553" s="535"/>
      <c r="H553" s="538"/>
      <c r="I553" s="369">
        <f t="shared" si="74"/>
        <v>0</v>
      </c>
      <c r="J553" s="369"/>
      <c r="K553" s="369">
        <f>'RAB Pasang'!K553*40%</f>
        <v>211652</v>
      </c>
      <c r="L553" s="369">
        <f t="shared" si="75"/>
        <v>0</v>
      </c>
      <c r="M553" s="369">
        <f t="shared" si="76"/>
        <v>0</v>
      </c>
      <c r="N553" s="459">
        <f t="shared" si="77"/>
        <v>0</v>
      </c>
    </row>
    <row r="554" spans="1:14" ht="13.2" customHeight="1" x14ac:dyDescent="0.3">
      <c r="A554" s="365">
        <f t="shared" si="78"/>
        <v>12</v>
      </c>
      <c r="B554" s="376" t="s">
        <v>678</v>
      </c>
      <c r="C554" s="361"/>
      <c r="D554" s="362"/>
      <c r="E554" s="367" t="s">
        <v>399</v>
      </c>
      <c r="F554" s="535"/>
      <c r="G554" s="535"/>
      <c r="H554" s="538"/>
      <c r="I554" s="369">
        <f t="shared" si="74"/>
        <v>0</v>
      </c>
      <c r="J554" s="369"/>
      <c r="K554" s="369">
        <f>'RAB Pasang'!K554*40%</f>
        <v>211652</v>
      </c>
      <c r="L554" s="369">
        <f t="shared" si="75"/>
        <v>0</v>
      </c>
      <c r="M554" s="369">
        <f t="shared" si="76"/>
        <v>0</v>
      </c>
      <c r="N554" s="459">
        <f t="shared" si="77"/>
        <v>0</v>
      </c>
    </row>
    <row r="555" spans="1:14" ht="13.2" customHeight="1" x14ac:dyDescent="0.3">
      <c r="A555" s="365">
        <f t="shared" si="78"/>
        <v>13</v>
      </c>
      <c r="B555" s="376" t="s">
        <v>679</v>
      </c>
      <c r="C555" s="361"/>
      <c r="D555" s="362"/>
      <c r="E555" s="367" t="s">
        <v>399</v>
      </c>
      <c r="F555" s="535"/>
      <c r="G555" s="535"/>
      <c r="H555" s="538"/>
      <c r="I555" s="369">
        <f t="shared" si="74"/>
        <v>0</v>
      </c>
      <c r="J555" s="369"/>
      <c r="K555" s="369">
        <f>'RAB Pasang'!K555*40%</f>
        <v>211652</v>
      </c>
      <c r="L555" s="369">
        <f t="shared" si="75"/>
        <v>0</v>
      </c>
      <c r="M555" s="369">
        <f t="shared" si="76"/>
        <v>0</v>
      </c>
      <c r="N555" s="459">
        <f t="shared" si="77"/>
        <v>0</v>
      </c>
    </row>
    <row r="556" spans="1:14" ht="13.2" customHeight="1" x14ac:dyDescent="0.3">
      <c r="A556" s="365">
        <f t="shared" si="78"/>
        <v>14</v>
      </c>
      <c r="B556" s="376" t="s">
        <v>680</v>
      </c>
      <c r="C556" s="361"/>
      <c r="D556" s="362"/>
      <c r="E556" s="367" t="s">
        <v>399</v>
      </c>
      <c r="F556" s="527"/>
      <c r="G556" s="527"/>
      <c r="H556" s="538"/>
      <c r="I556" s="372">
        <f t="shared" si="74"/>
        <v>0</v>
      </c>
      <c r="J556" s="372"/>
      <c r="K556" s="372">
        <f>'RAB Pasang'!K556*40%</f>
        <v>289284</v>
      </c>
      <c r="L556" s="369">
        <f t="shared" si="75"/>
        <v>0</v>
      </c>
      <c r="M556" s="369">
        <f t="shared" si="76"/>
        <v>0</v>
      </c>
      <c r="N556" s="459">
        <f t="shared" si="77"/>
        <v>0</v>
      </c>
    </row>
    <row r="557" spans="1:14" ht="13.2" customHeight="1" x14ac:dyDescent="0.3">
      <c r="A557" s="365">
        <f t="shared" si="78"/>
        <v>15</v>
      </c>
      <c r="B557" s="376" t="s">
        <v>681</v>
      </c>
      <c r="C557" s="361"/>
      <c r="D557" s="362"/>
      <c r="E557" s="367" t="s">
        <v>399</v>
      </c>
      <c r="F557" s="527"/>
      <c r="G557" s="527"/>
      <c r="H557" s="538"/>
      <c r="I557" s="372">
        <f t="shared" si="74"/>
        <v>0</v>
      </c>
      <c r="J557" s="372"/>
      <c r="K557" s="372">
        <f>'RAB Pasang'!K557*40%</f>
        <v>289284</v>
      </c>
      <c r="L557" s="369">
        <f t="shared" si="75"/>
        <v>0</v>
      </c>
      <c r="M557" s="369">
        <f t="shared" si="76"/>
        <v>0</v>
      </c>
      <c r="N557" s="459">
        <f t="shared" si="77"/>
        <v>0</v>
      </c>
    </row>
    <row r="558" spans="1:14" ht="13.2" customHeight="1" x14ac:dyDescent="0.3">
      <c r="A558" s="365">
        <f t="shared" si="78"/>
        <v>16</v>
      </c>
      <c r="B558" s="376" t="s">
        <v>682</v>
      </c>
      <c r="C558" s="361"/>
      <c r="D558" s="362"/>
      <c r="E558" s="367" t="s">
        <v>399</v>
      </c>
      <c r="F558" s="527"/>
      <c r="G558" s="527"/>
      <c r="H558" s="538"/>
      <c r="I558" s="372">
        <f t="shared" si="74"/>
        <v>0</v>
      </c>
      <c r="J558" s="372"/>
      <c r="K558" s="372">
        <f>'RAB Pasang'!K558*40%</f>
        <v>289284</v>
      </c>
      <c r="L558" s="369">
        <f t="shared" si="75"/>
        <v>0</v>
      </c>
      <c r="M558" s="369">
        <f t="shared" si="76"/>
        <v>0</v>
      </c>
      <c r="N558" s="459">
        <f t="shared" si="77"/>
        <v>0</v>
      </c>
    </row>
    <row r="559" spans="1:14" ht="13.2" customHeight="1" x14ac:dyDescent="0.3">
      <c r="A559" s="365">
        <f t="shared" si="78"/>
        <v>17</v>
      </c>
      <c r="B559" s="376" t="s">
        <v>683</v>
      </c>
      <c r="C559" s="361"/>
      <c r="D559" s="362"/>
      <c r="E559" s="367" t="s">
        <v>399</v>
      </c>
      <c r="F559" s="527"/>
      <c r="G559" s="527"/>
      <c r="H559" s="538"/>
      <c r="I559" s="372">
        <f t="shared" si="74"/>
        <v>0</v>
      </c>
      <c r="J559" s="372"/>
      <c r="K559" s="372">
        <f>'RAB Pasang'!K559*40%</f>
        <v>289284</v>
      </c>
      <c r="L559" s="369">
        <f t="shared" si="75"/>
        <v>0</v>
      </c>
      <c r="M559" s="369">
        <f t="shared" si="76"/>
        <v>0</v>
      </c>
      <c r="N559" s="459">
        <f t="shared" si="77"/>
        <v>0</v>
      </c>
    </row>
    <row r="560" spans="1:14" ht="13.2" customHeight="1" x14ac:dyDescent="0.3">
      <c r="A560" s="365">
        <f t="shared" si="78"/>
        <v>18</v>
      </c>
      <c r="B560" s="376" t="s">
        <v>684</v>
      </c>
      <c r="C560" s="361"/>
      <c r="D560" s="362"/>
      <c r="E560" s="367" t="s">
        <v>399</v>
      </c>
      <c r="F560" s="538"/>
      <c r="G560" s="538"/>
      <c r="H560" s="527"/>
      <c r="I560" s="372">
        <f t="shared" si="74"/>
        <v>0</v>
      </c>
      <c r="J560" s="372"/>
      <c r="K560" s="372">
        <f>'RAB Pasang'!K560*40%</f>
        <v>231428</v>
      </c>
      <c r="L560" s="369">
        <f t="shared" si="75"/>
        <v>0</v>
      </c>
      <c r="M560" s="369">
        <f t="shared" si="76"/>
        <v>0</v>
      </c>
      <c r="N560" s="459">
        <f t="shared" si="77"/>
        <v>0</v>
      </c>
    </row>
    <row r="561" spans="1:14" ht="13.2" customHeight="1" x14ac:dyDescent="0.3">
      <c r="A561" s="365">
        <f t="shared" si="78"/>
        <v>19</v>
      </c>
      <c r="B561" s="376" t="s">
        <v>685</v>
      </c>
      <c r="C561" s="361"/>
      <c r="D561" s="362"/>
      <c r="E561" s="367" t="s">
        <v>399</v>
      </c>
      <c r="F561" s="535"/>
      <c r="G561" s="535"/>
      <c r="H561" s="538"/>
      <c r="I561" s="369">
        <f t="shared" si="74"/>
        <v>0</v>
      </c>
      <c r="J561" s="369"/>
      <c r="K561" s="369">
        <f>'RAB Pasang'!K561*40%</f>
        <v>289284</v>
      </c>
      <c r="L561" s="369">
        <f t="shared" si="75"/>
        <v>0</v>
      </c>
      <c r="M561" s="369">
        <f t="shared" si="76"/>
        <v>0</v>
      </c>
      <c r="N561" s="459">
        <f t="shared" si="77"/>
        <v>0</v>
      </c>
    </row>
    <row r="562" spans="1:14" ht="13.2" customHeight="1" x14ac:dyDescent="0.3">
      <c r="A562" s="365">
        <f t="shared" si="78"/>
        <v>20</v>
      </c>
      <c r="B562" s="376" t="s">
        <v>686</v>
      </c>
      <c r="C562" s="361"/>
      <c r="D562" s="362"/>
      <c r="E562" s="367" t="s">
        <v>399</v>
      </c>
      <c r="F562" s="535"/>
      <c r="G562" s="535"/>
      <c r="H562" s="538"/>
      <c r="I562" s="369">
        <f t="shared" si="74"/>
        <v>0</v>
      </c>
      <c r="J562" s="369"/>
      <c r="K562" s="369">
        <f>'RAB Pasang'!K562*40%</f>
        <v>289284</v>
      </c>
      <c r="L562" s="369">
        <f t="shared" si="75"/>
        <v>0</v>
      </c>
      <c r="M562" s="369">
        <f t="shared" si="76"/>
        <v>0</v>
      </c>
      <c r="N562" s="459">
        <f t="shared" si="77"/>
        <v>0</v>
      </c>
    </row>
    <row r="563" spans="1:14" ht="13.2" customHeight="1" x14ac:dyDescent="0.3">
      <c r="A563" s="365">
        <f t="shared" si="78"/>
        <v>21</v>
      </c>
      <c r="B563" s="376" t="s">
        <v>687</v>
      </c>
      <c r="C563" s="361"/>
      <c r="D563" s="362"/>
      <c r="E563" s="367" t="s">
        <v>399</v>
      </c>
      <c r="F563" s="535"/>
      <c r="G563" s="535"/>
      <c r="H563" s="538"/>
      <c r="I563" s="369">
        <f t="shared" si="74"/>
        <v>0</v>
      </c>
      <c r="J563" s="369"/>
      <c r="K563" s="369">
        <f>'RAB Pasang'!K563*40%</f>
        <v>289284</v>
      </c>
      <c r="L563" s="369">
        <f t="shared" si="75"/>
        <v>0</v>
      </c>
      <c r="M563" s="369">
        <f t="shared" si="76"/>
        <v>0</v>
      </c>
      <c r="N563" s="459">
        <f t="shared" si="77"/>
        <v>0</v>
      </c>
    </row>
    <row r="564" spans="1:14" ht="13.2" customHeight="1" x14ac:dyDescent="0.3">
      <c r="A564" s="365">
        <f t="shared" si="78"/>
        <v>22</v>
      </c>
      <c r="B564" s="376" t="s">
        <v>688</v>
      </c>
      <c r="C564" s="371"/>
      <c r="D564" s="371"/>
      <c r="E564" s="367" t="s">
        <v>399</v>
      </c>
      <c r="F564" s="527"/>
      <c r="G564" s="527"/>
      <c r="H564" s="538"/>
      <c r="I564" s="372">
        <f t="shared" si="74"/>
        <v>0</v>
      </c>
      <c r="J564" s="372"/>
      <c r="K564" s="372">
        <f>'RAB Pasang'!K564*40%</f>
        <v>289284</v>
      </c>
      <c r="L564" s="369">
        <f t="shared" si="75"/>
        <v>0</v>
      </c>
      <c r="M564" s="369">
        <f t="shared" si="76"/>
        <v>0</v>
      </c>
      <c r="N564" s="459">
        <f t="shared" si="77"/>
        <v>0</v>
      </c>
    </row>
    <row r="565" spans="1:14" ht="13.2" customHeight="1" x14ac:dyDescent="0.3">
      <c r="A565" s="365">
        <f t="shared" si="78"/>
        <v>23</v>
      </c>
      <c r="B565" s="376" t="s">
        <v>689</v>
      </c>
      <c r="C565" s="371"/>
      <c r="D565" s="371"/>
      <c r="E565" s="367" t="s">
        <v>399</v>
      </c>
      <c r="F565" s="538"/>
      <c r="G565" s="538"/>
      <c r="H565" s="527"/>
      <c r="I565" s="372">
        <f t="shared" si="74"/>
        <v>0</v>
      </c>
      <c r="J565" s="372"/>
      <c r="K565" s="372">
        <f>'RAB Pasang'!K565*40%</f>
        <v>257140</v>
      </c>
      <c r="L565" s="369">
        <f t="shared" si="75"/>
        <v>0</v>
      </c>
      <c r="M565" s="369">
        <f t="shared" si="76"/>
        <v>0</v>
      </c>
      <c r="N565" s="459">
        <f t="shared" si="77"/>
        <v>0</v>
      </c>
    </row>
    <row r="566" spans="1:14" ht="13.2" customHeight="1" x14ac:dyDescent="0.3">
      <c r="A566" s="365">
        <f t="shared" si="78"/>
        <v>24</v>
      </c>
      <c r="B566" s="376" t="s">
        <v>690</v>
      </c>
      <c r="C566" s="371"/>
      <c r="D566" s="371"/>
      <c r="E566" s="367" t="s">
        <v>399</v>
      </c>
      <c r="F566" s="538"/>
      <c r="G566" s="538"/>
      <c r="H566" s="527"/>
      <c r="I566" s="372">
        <f t="shared" si="74"/>
        <v>0</v>
      </c>
      <c r="J566" s="372"/>
      <c r="K566" s="372">
        <f>'RAB Pasang'!K566*40%</f>
        <v>231428</v>
      </c>
      <c r="L566" s="369">
        <f t="shared" si="75"/>
        <v>0</v>
      </c>
      <c r="M566" s="369">
        <f t="shared" si="76"/>
        <v>0</v>
      </c>
      <c r="N566" s="459">
        <f t="shared" si="77"/>
        <v>0</v>
      </c>
    </row>
    <row r="567" spans="1:14" ht="13.2" customHeight="1" x14ac:dyDescent="0.3">
      <c r="A567" s="365">
        <f t="shared" si="78"/>
        <v>25</v>
      </c>
      <c r="B567" s="376" t="s">
        <v>691</v>
      </c>
      <c r="C567" s="371"/>
      <c r="D567" s="371"/>
      <c r="E567" s="367" t="s">
        <v>399</v>
      </c>
      <c r="F567" s="538"/>
      <c r="G567" s="538"/>
      <c r="H567" s="527"/>
      <c r="I567" s="372">
        <f t="shared" si="74"/>
        <v>0</v>
      </c>
      <c r="J567" s="372"/>
      <c r="K567" s="372">
        <f>'RAB Pasang'!K567*40%</f>
        <v>231428</v>
      </c>
      <c r="L567" s="369">
        <f t="shared" si="75"/>
        <v>0</v>
      </c>
      <c r="M567" s="369">
        <f t="shared" si="76"/>
        <v>0</v>
      </c>
      <c r="N567" s="459">
        <f t="shared" si="77"/>
        <v>0</v>
      </c>
    </row>
    <row r="568" spans="1:14" ht="13.2" customHeight="1" x14ac:dyDescent="0.3">
      <c r="A568" s="365">
        <f t="shared" si="78"/>
        <v>26</v>
      </c>
      <c r="B568" s="376" t="s">
        <v>766</v>
      </c>
      <c r="C568" s="371"/>
      <c r="D568" s="371"/>
      <c r="E568" s="367" t="s">
        <v>399</v>
      </c>
      <c r="F568" s="538"/>
      <c r="G568" s="538"/>
      <c r="H568" s="527"/>
      <c r="I568" s="372">
        <f t="shared" si="74"/>
        <v>0</v>
      </c>
      <c r="J568" s="372"/>
      <c r="K568" s="372">
        <f>'RAB Pasang'!K568*40%</f>
        <v>193544</v>
      </c>
      <c r="L568" s="369">
        <f t="shared" si="75"/>
        <v>0</v>
      </c>
      <c r="M568" s="369">
        <f t="shared" si="76"/>
        <v>0</v>
      </c>
      <c r="N568" s="459">
        <f t="shared" si="77"/>
        <v>0</v>
      </c>
    </row>
    <row r="569" spans="1:14" ht="13.2" customHeight="1" x14ac:dyDescent="0.3">
      <c r="A569" s="365">
        <f t="shared" si="78"/>
        <v>27</v>
      </c>
      <c r="B569" s="376" t="s">
        <v>692</v>
      </c>
      <c r="C569" s="361"/>
      <c r="D569" s="362"/>
      <c r="E569" s="367" t="s">
        <v>399</v>
      </c>
      <c r="F569" s="527"/>
      <c r="G569" s="527"/>
      <c r="H569" s="538"/>
      <c r="I569" s="372">
        <f t="shared" si="74"/>
        <v>0</v>
      </c>
      <c r="J569" s="372"/>
      <c r="K569" s="372">
        <f>'RAB Pasang'!K569*40%</f>
        <v>289284</v>
      </c>
      <c r="L569" s="369">
        <f t="shared" si="75"/>
        <v>0</v>
      </c>
      <c r="M569" s="369">
        <f t="shared" si="76"/>
        <v>0</v>
      </c>
      <c r="N569" s="459">
        <f t="shared" si="77"/>
        <v>0</v>
      </c>
    </row>
    <row r="570" spans="1:14" ht="13.2" customHeight="1" x14ac:dyDescent="0.3">
      <c r="A570" s="365">
        <f t="shared" si="78"/>
        <v>28</v>
      </c>
      <c r="B570" s="376" t="s">
        <v>693</v>
      </c>
      <c r="C570" s="361"/>
      <c r="D570" s="362"/>
      <c r="E570" s="367" t="s">
        <v>399</v>
      </c>
      <c r="F570" s="527"/>
      <c r="G570" s="527"/>
      <c r="H570" s="538"/>
      <c r="I570" s="372">
        <f t="shared" si="74"/>
        <v>0</v>
      </c>
      <c r="J570" s="372"/>
      <c r="K570" s="372">
        <f>'RAB Pasang'!K570*40%</f>
        <v>289284</v>
      </c>
      <c r="L570" s="369">
        <f t="shared" si="75"/>
        <v>0</v>
      </c>
      <c r="M570" s="369">
        <f t="shared" si="76"/>
        <v>0</v>
      </c>
      <c r="N570" s="459">
        <f t="shared" si="77"/>
        <v>0</v>
      </c>
    </row>
    <row r="571" spans="1:14" ht="13.2" customHeight="1" x14ac:dyDescent="0.3">
      <c r="A571" s="365">
        <f t="shared" si="78"/>
        <v>29</v>
      </c>
      <c r="B571" s="376" t="s">
        <v>694</v>
      </c>
      <c r="C571" s="361"/>
      <c r="D571" s="362"/>
      <c r="E571" s="367" t="s">
        <v>399</v>
      </c>
      <c r="F571" s="527"/>
      <c r="G571" s="527"/>
      <c r="H571" s="538"/>
      <c r="I571" s="372">
        <f t="shared" si="74"/>
        <v>0</v>
      </c>
      <c r="J571" s="372"/>
      <c r="K571" s="372">
        <f>'RAB Pasang'!K571*40%</f>
        <v>289284</v>
      </c>
      <c r="L571" s="369">
        <f t="shared" si="75"/>
        <v>0</v>
      </c>
      <c r="M571" s="369">
        <f t="shared" si="76"/>
        <v>0</v>
      </c>
      <c r="N571" s="459">
        <f t="shared" si="77"/>
        <v>0</v>
      </c>
    </row>
    <row r="572" spans="1:14" ht="13.2" customHeight="1" x14ac:dyDescent="0.3">
      <c r="A572" s="365">
        <f t="shared" si="78"/>
        <v>30</v>
      </c>
      <c r="B572" s="376" t="s">
        <v>695</v>
      </c>
      <c r="C572" s="361"/>
      <c r="D572" s="362"/>
      <c r="E572" s="367" t="s">
        <v>399</v>
      </c>
      <c r="F572" s="527"/>
      <c r="G572" s="527"/>
      <c r="H572" s="538"/>
      <c r="I572" s="372">
        <f t="shared" si="74"/>
        <v>0</v>
      </c>
      <c r="J572" s="372"/>
      <c r="K572" s="372">
        <f>'RAB Pasang'!K572*40%</f>
        <v>289284</v>
      </c>
      <c r="L572" s="369">
        <f t="shared" si="75"/>
        <v>0</v>
      </c>
      <c r="M572" s="369">
        <f t="shared" si="76"/>
        <v>0</v>
      </c>
      <c r="N572" s="459">
        <f t="shared" si="77"/>
        <v>0</v>
      </c>
    </row>
    <row r="573" spans="1:14" ht="13.2" customHeight="1" x14ac:dyDescent="0.3">
      <c r="A573" s="365">
        <f t="shared" si="78"/>
        <v>31</v>
      </c>
      <c r="B573" s="376" t="s">
        <v>696</v>
      </c>
      <c r="C573" s="361"/>
      <c r="D573" s="362"/>
      <c r="E573" s="367" t="s">
        <v>399</v>
      </c>
      <c r="F573" s="538"/>
      <c r="G573" s="538"/>
      <c r="H573" s="527"/>
      <c r="I573" s="372">
        <f t="shared" si="74"/>
        <v>0</v>
      </c>
      <c r="J573" s="372"/>
      <c r="K573" s="372">
        <f>'RAB Pasang'!K573*40%</f>
        <v>231428</v>
      </c>
      <c r="L573" s="369">
        <f t="shared" si="75"/>
        <v>0</v>
      </c>
      <c r="M573" s="369">
        <f t="shared" si="76"/>
        <v>0</v>
      </c>
      <c r="N573" s="459">
        <f t="shared" si="77"/>
        <v>0</v>
      </c>
    </row>
    <row r="574" spans="1:14" ht="13.2" customHeight="1" x14ac:dyDescent="0.3">
      <c r="A574" s="365">
        <f t="shared" si="78"/>
        <v>32</v>
      </c>
      <c r="B574" s="376" t="s">
        <v>697</v>
      </c>
      <c r="C574" s="361"/>
      <c r="D574" s="362"/>
      <c r="E574" s="367" t="s">
        <v>399</v>
      </c>
      <c r="F574" s="535"/>
      <c r="G574" s="535"/>
      <c r="H574" s="538"/>
      <c r="I574" s="369">
        <f t="shared" si="74"/>
        <v>0</v>
      </c>
      <c r="J574" s="369"/>
      <c r="K574" s="369">
        <f>'RAB Pasang'!K574*40%</f>
        <v>289284</v>
      </c>
      <c r="L574" s="369">
        <f t="shared" si="75"/>
        <v>0</v>
      </c>
      <c r="M574" s="369">
        <f t="shared" si="76"/>
        <v>0</v>
      </c>
      <c r="N574" s="459">
        <f t="shared" si="77"/>
        <v>0</v>
      </c>
    </row>
    <row r="575" spans="1:14" ht="13.2" customHeight="1" x14ac:dyDescent="0.3">
      <c r="A575" s="365">
        <f t="shared" si="78"/>
        <v>33</v>
      </c>
      <c r="B575" s="376" t="s">
        <v>698</v>
      </c>
      <c r="C575" s="361"/>
      <c r="D575" s="362"/>
      <c r="E575" s="367" t="s">
        <v>399</v>
      </c>
      <c r="F575" s="535"/>
      <c r="G575" s="535"/>
      <c r="H575" s="538"/>
      <c r="I575" s="369">
        <f t="shared" si="74"/>
        <v>0</v>
      </c>
      <c r="J575" s="369"/>
      <c r="K575" s="369">
        <f>'RAB Pasang'!K575*40%</f>
        <v>289284</v>
      </c>
      <c r="L575" s="369">
        <f t="shared" si="75"/>
        <v>0</v>
      </c>
      <c r="M575" s="369">
        <f t="shared" si="76"/>
        <v>0</v>
      </c>
      <c r="N575" s="459">
        <f t="shared" si="77"/>
        <v>0</v>
      </c>
    </row>
    <row r="576" spans="1:14" ht="13.2" customHeight="1" x14ac:dyDescent="0.3">
      <c r="A576" s="365">
        <f t="shared" si="78"/>
        <v>34</v>
      </c>
      <c r="B576" s="376" t="s">
        <v>699</v>
      </c>
      <c r="C576" s="361"/>
      <c r="D576" s="362"/>
      <c r="E576" s="367" t="s">
        <v>399</v>
      </c>
      <c r="F576" s="535"/>
      <c r="G576" s="535"/>
      <c r="H576" s="538"/>
      <c r="I576" s="369">
        <f t="shared" si="74"/>
        <v>0</v>
      </c>
      <c r="J576" s="369"/>
      <c r="K576" s="369">
        <f>'RAB Pasang'!K576*40%</f>
        <v>289284</v>
      </c>
      <c r="L576" s="369">
        <f t="shared" si="75"/>
        <v>0</v>
      </c>
      <c r="M576" s="369">
        <f t="shared" si="76"/>
        <v>0</v>
      </c>
      <c r="N576" s="459">
        <f t="shared" si="77"/>
        <v>0</v>
      </c>
    </row>
    <row r="577" spans="1:14" ht="13.2" customHeight="1" x14ac:dyDescent="0.3">
      <c r="A577" s="365">
        <f t="shared" si="78"/>
        <v>35</v>
      </c>
      <c r="B577" s="376" t="s">
        <v>700</v>
      </c>
      <c r="C577" s="371"/>
      <c r="D577" s="371"/>
      <c r="E577" s="367" t="s">
        <v>399</v>
      </c>
      <c r="F577" s="527"/>
      <c r="G577" s="527"/>
      <c r="H577" s="538"/>
      <c r="I577" s="372">
        <f t="shared" si="74"/>
        <v>0</v>
      </c>
      <c r="J577" s="372"/>
      <c r="K577" s="372">
        <f>'RAB Pasang'!K577*40%</f>
        <v>289284</v>
      </c>
      <c r="L577" s="369">
        <f t="shared" si="75"/>
        <v>0</v>
      </c>
      <c r="M577" s="369">
        <f t="shared" si="76"/>
        <v>0</v>
      </c>
      <c r="N577" s="459">
        <f t="shared" si="77"/>
        <v>0</v>
      </c>
    </row>
    <row r="578" spans="1:14" ht="13.2" customHeight="1" x14ac:dyDescent="0.3">
      <c r="A578" s="365">
        <f t="shared" si="78"/>
        <v>36</v>
      </c>
      <c r="B578" s="376" t="s">
        <v>1604</v>
      </c>
      <c r="C578" s="371"/>
      <c r="D578" s="371"/>
      <c r="E578" s="367" t="s">
        <v>399</v>
      </c>
      <c r="F578" s="538"/>
      <c r="G578" s="538"/>
      <c r="H578" s="527"/>
      <c r="I578" s="372">
        <f t="shared" si="74"/>
        <v>0</v>
      </c>
      <c r="J578" s="372"/>
      <c r="K578" s="372">
        <f>'RAB Pasang'!K578*40%</f>
        <v>257140</v>
      </c>
      <c r="L578" s="369">
        <f t="shared" si="75"/>
        <v>0</v>
      </c>
      <c r="M578" s="369">
        <f t="shared" si="76"/>
        <v>0</v>
      </c>
      <c r="N578" s="459">
        <f t="shared" si="77"/>
        <v>0</v>
      </c>
    </row>
    <row r="579" spans="1:14" ht="13.2" customHeight="1" x14ac:dyDescent="0.3">
      <c r="A579" s="365">
        <f t="shared" si="78"/>
        <v>37</v>
      </c>
      <c r="B579" s="376" t="s">
        <v>1605</v>
      </c>
      <c r="C579" s="371"/>
      <c r="D579" s="371"/>
      <c r="E579" s="367" t="s">
        <v>399</v>
      </c>
      <c r="F579" s="538"/>
      <c r="G579" s="538"/>
      <c r="H579" s="527"/>
      <c r="I579" s="372">
        <f t="shared" si="74"/>
        <v>0</v>
      </c>
      <c r="J579" s="372"/>
      <c r="K579" s="372">
        <f>'RAB Pasang'!K579*40%</f>
        <v>231428</v>
      </c>
      <c r="L579" s="369">
        <f t="shared" si="75"/>
        <v>0</v>
      </c>
      <c r="M579" s="369">
        <f t="shared" si="76"/>
        <v>0</v>
      </c>
      <c r="N579" s="459">
        <f t="shared" si="77"/>
        <v>0</v>
      </c>
    </row>
    <row r="580" spans="1:14" ht="13.2" customHeight="1" x14ac:dyDescent="0.3">
      <c r="A580" s="365">
        <f t="shared" si="78"/>
        <v>38</v>
      </c>
      <c r="B580" s="376" t="s">
        <v>1606</v>
      </c>
      <c r="C580" s="371"/>
      <c r="D580" s="371"/>
      <c r="E580" s="367" t="s">
        <v>399</v>
      </c>
      <c r="F580" s="538"/>
      <c r="G580" s="538"/>
      <c r="H580" s="527"/>
      <c r="I580" s="372">
        <f t="shared" si="74"/>
        <v>0</v>
      </c>
      <c r="J580" s="372"/>
      <c r="K580" s="372">
        <f>'RAB Pasang'!K580*40%</f>
        <v>231428</v>
      </c>
      <c r="L580" s="369">
        <f t="shared" si="75"/>
        <v>0</v>
      </c>
      <c r="M580" s="369">
        <f t="shared" si="76"/>
        <v>0</v>
      </c>
      <c r="N580" s="459">
        <f t="shared" si="77"/>
        <v>0</v>
      </c>
    </row>
    <row r="581" spans="1:14" ht="13.2" customHeight="1" x14ac:dyDescent="0.3">
      <c r="A581" s="365">
        <f t="shared" si="78"/>
        <v>39</v>
      </c>
      <c r="B581" s="376" t="s">
        <v>1607</v>
      </c>
      <c r="C581" s="371"/>
      <c r="D581" s="371"/>
      <c r="E581" s="367" t="s">
        <v>399</v>
      </c>
      <c r="F581" s="538"/>
      <c r="G581" s="538"/>
      <c r="H581" s="527"/>
      <c r="I581" s="372">
        <f t="shared" si="74"/>
        <v>0</v>
      </c>
      <c r="J581" s="372"/>
      <c r="K581" s="372">
        <f>'RAB Pasang'!K581*40%</f>
        <v>193544</v>
      </c>
      <c r="L581" s="369">
        <f t="shared" si="75"/>
        <v>0</v>
      </c>
      <c r="M581" s="369">
        <f t="shared" si="76"/>
        <v>0</v>
      </c>
      <c r="N581" s="459">
        <f t="shared" si="77"/>
        <v>0</v>
      </c>
    </row>
    <row r="582" spans="1:14" ht="13.2" customHeight="1" x14ac:dyDescent="0.3">
      <c r="A582" s="365">
        <f t="shared" si="78"/>
        <v>40</v>
      </c>
      <c r="B582" s="376" t="s">
        <v>701</v>
      </c>
      <c r="C582" s="361"/>
      <c r="D582" s="362"/>
      <c r="E582" s="367" t="s">
        <v>399</v>
      </c>
      <c r="F582" s="527"/>
      <c r="G582" s="527"/>
      <c r="H582" s="538"/>
      <c r="I582" s="372">
        <f t="shared" si="74"/>
        <v>0</v>
      </c>
      <c r="J582" s="372"/>
      <c r="K582" s="372">
        <f>'RAB Pasang'!K582*40%</f>
        <v>462852</v>
      </c>
      <c r="L582" s="369">
        <f t="shared" si="75"/>
        <v>0</v>
      </c>
      <c r="M582" s="369">
        <f t="shared" si="76"/>
        <v>0</v>
      </c>
      <c r="N582" s="459">
        <f t="shared" si="77"/>
        <v>0</v>
      </c>
    </row>
    <row r="583" spans="1:14" ht="13.2" customHeight="1" x14ac:dyDescent="0.3">
      <c r="A583" s="365">
        <f t="shared" si="78"/>
        <v>41</v>
      </c>
      <c r="B583" s="376" t="s">
        <v>778</v>
      </c>
      <c r="C583" s="361"/>
      <c r="D583" s="362"/>
      <c r="E583" s="367" t="s">
        <v>399</v>
      </c>
      <c r="F583" s="527"/>
      <c r="G583" s="527"/>
      <c r="H583" s="538"/>
      <c r="I583" s="372">
        <f t="shared" si="74"/>
        <v>0</v>
      </c>
      <c r="J583" s="372"/>
      <c r="K583" s="372">
        <f>'RAB Pasang'!K583*40%</f>
        <v>462852</v>
      </c>
      <c r="L583" s="369">
        <f t="shared" si="75"/>
        <v>0</v>
      </c>
      <c r="M583" s="369">
        <f t="shared" si="76"/>
        <v>0</v>
      </c>
      <c r="N583" s="459">
        <f t="shared" si="77"/>
        <v>0</v>
      </c>
    </row>
    <row r="584" spans="1:14" ht="13.2" customHeight="1" x14ac:dyDescent="0.3">
      <c r="A584" s="365">
        <f t="shared" si="78"/>
        <v>42</v>
      </c>
      <c r="B584" s="376" t="s">
        <v>779</v>
      </c>
      <c r="C584" s="361"/>
      <c r="D584" s="362"/>
      <c r="E584" s="367" t="s">
        <v>399</v>
      </c>
      <c r="F584" s="527"/>
      <c r="G584" s="527"/>
      <c r="H584" s="538"/>
      <c r="I584" s="372">
        <f t="shared" si="74"/>
        <v>0</v>
      </c>
      <c r="J584" s="372"/>
      <c r="K584" s="372">
        <f>'RAB Pasang'!K584*40%</f>
        <v>462852</v>
      </c>
      <c r="L584" s="369">
        <f t="shared" si="75"/>
        <v>0</v>
      </c>
      <c r="M584" s="369">
        <f t="shared" si="76"/>
        <v>0</v>
      </c>
      <c r="N584" s="459">
        <f t="shared" si="77"/>
        <v>0</v>
      </c>
    </row>
    <row r="585" spans="1:14" ht="13.2" customHeight="1" x14ac:dyDescent="0.3">
      <c r="A585" s="365">
        <f t="shared" si="78"/>
        <v>43</v>
      </c>
      <c r="B585" s="376" t="s">
        <v>887</v>
      </c>
      <c r="C585" s="361"/>
      <c r="D585" s="362"/>
      <c r="E585" s="367" t="s">
        <v>399</v>
      </c>
      <c r="F585" s="527"/>
      <c r="G585" s="527"/>
      <c r="H585" s="538"/>
      <c r="I585" s="372">
        <f t="shared" si="74"/>
        <v>0</v>
      </c>
      <c r="J585" s="372"/>
      <c r="K585" s="372">
        <f>'RAB Pasang'!K585*40%</f>
        <v>462852</v>
      </c>
      <c r="L585" s="369">
        <f t="shared" si="75"/>
        <v>0</v>
      </c>
      <c r="M585" s="369">
        <f t="shared" si="76"/>
        <v>0</v>
      </c>
      <c r="N585" s="459">
        <f t="shared" si="77"/>
        <v>0</v>
      </c>
    </row>
    <row r="586" spans="1:14" ht="13.2" customHeight="1" x14ac:dyDescent="0.3">
      <c r="A586" s="365">
        <f t="shared" si="78"/>
        <v>44</v>
      </c>
      <c r="B586" s="376" t="s">
        <v>2323</v>
      </c>
      <c r="C586" s="361"/>
      <c r="D586" s="362"/>
      <c r="E586" s="367" t="s">
        <v>399</v>
      </c>
      <c r="F586" s="538"/>
      <c r="G586" s="538"/>
      <c r="H586" s="527"/>
      <c r="I586" s="372">
        <f t="shared" si="74"/>
        <v>0</v>
      </c>
      <c r="J586" s="372"/>
      <c r="K586" s="372">
        <f>'RAB Pasang'!K586*40%</f>
        <v>385712</v>
      </c>
      <c r="L586" s="369">
        <f t="shared" si="75"/>
        <v>0</v>
      </c>
      <c r="M586" s="369">
        <f t="shared" si="76"/>
        <v>0</v>
      </c>
      <c r="N586" s="459">
        <f t="shared" si="77"/>
        <v>0</v>
      </c>
    </row>
    <row r="587" spans="1:14" ht="13.2" customHeight="1" x14ac:dyDescent="0.3">
      <c r="A587" s="365">
        <f t="shared" si="78"/>
        <v>45</v>
      </c>
      <c r="B587" s="376" t="s">
        <v>702</v>
      </c>
      <c r="C587" s="361"/>
      <c r="D587" s="362"/>
      <c r="E587" s="367" t="s">
        <v>399</v>
      </c>
      <c r="F587" s="535"/>
      <c r="G587" s="535"/>
      <c r="H587" s="538"/>
      <c r="I587" s="369">
        <f t="shared" si="74"/>
        <v>0</v>
      </c>
      <c r="J587" s="369"/>
      <c r="K587" s="369">
        <f>'RAB Pasang'!K587*40%</f>
        <v>462852</v>
      </c>
      <c r="L587" s="369">
        <f t="shared" si="75"/>
        <v>0</v>
      </c>
      <c r="M587" s="369">
        <f t="shared" si="76"/>
        <v>0</v>
      </c>
      <c r="N587" s="459">
        <f t="shared" si="77"/>
        <v>0</v>
      </c>
    </row>
    <row r="588" spans="1:14" ht="13.2" customHeight="1" x14ac:dyDescent="0.3">
      <c r="A588" s="365">
        <f t="shared" si="78"/>
        <v>46</v>
      </c>
      <c r="B588" s="376" t="s">
        <v>703</v>
      </c>
      <c r="C588" s="361"/>
      <c r="D588" s="362"/>
      <c r="E588" s="367" t="s">
        <v>399</v>
      </c>
      <c r="F588" s="535"/>
      <c r="G588" s="535"/>
      <c r="H588" s="538"/>
      <c r="I588" s="369">
        <f t="shared" si="74"/>
        <v>0</v>
      </c>
      <c r="J588" s="369"/>
      <c r="K588" s="369">
        <f>'RAB Pasang'!K588*40%</f>
        <v>462852</v>
      </c>
      <c r="L588" s="369">
        <f t="shared" si="75"/>
        <v>0</v>
      </c>
      <c r="M588" s="369">
        <f t="shared" si="76"/>
        <v>0</v>
      </c>
      <c r="N588" s="459">
        <f t="shared" si="77"/>
        <v>0</v>
      </c>
    </row>
    <row r="589" spans="1:14" ht="13.2" customHeight="1" x14ac:dyDescent="0.3">
      <c r="A589" s="365">
        <f t="shared" si="78"/>
        <v>47</v>
      </c>
      <c r="B589" s="376" t="s">
        <v>704</v>
      </c>
      <c r="C589" s="361"/>
      <c r="D589" s="362"/>
      <c r="E589" s="367" t="s">
        <v>399</v>
      </c>
      <c r="F589" s="535"/>
      <c r="G589" s="535"/>
      <c r="H589" s="538"/>
      <c r="I589" s="369">
        <f t="shared" si="74"/>
        <v>0</v>
      </c>
      <c r="J589" s="369"/>
      <c r="K589" s="369">
        <f>'RAB Pasang'!K589*40%</f>
        <v>462852</v>
      </c>
      <c r="L589" s="369">
        <f t="shared" si="75"/>
        <v>0</v>
      </c>
      <c r="M589" s="369">
        <f t="shared" si="76"/>
        <v>0</v>
      </c>
      <c r="N589" s="459">
        <f t="shared" si="77"/>
        <v>0</v>
      </c>
    </row>
    <row r="590" spans="1:14" ht="13.2" customHeight="1" x14ac:dyDescent="0.3">
      <c r="A590" s="365">
        <f t="shared" si="78"/>
        <v>48</v>
      </c>
      <c r="B590" s="376" t="s">
        <v>705</v>
      </c>
      <c r="C590" s="371"/>
      <c r="D590" s="371"/>
      <c r="E590" s="367" t="s">
        <v>399</v>
      </c>
      <c r="F590" s="527"/>
      <c r="G590" s="527"/>
      <c r="H590" s="538"/>
      <c r="I590" s="372">
        <f t="shared" si="74"/>
        <v>0</v>
      </c>
      <c r="J590" s="372"/>
      <c r="K590" s="372">
        <f>'RAB Pasang'!K590*40%</f>
        <v>462852</v>
      </c>
      <c r="L590" s="369">
        <f t="shared" si="75"/>
        <v>0</v>
      </c>
      <c r="M590" s="369">
        <f t="shared" si="76"/>
        <v>0</v>
      </c>
      <c r="N590" s="459">
        <f t="shared" si="77"/>
        <v>0</v>
      </c>
    </row>
    <row r="591" spans="1:14" ht="13.2" customHeight="1" x14ac:dyDescent="0.3">
      <c r="A591" s="365">
        <f t="shared" si="78"/>
        <v>49</v>
      </c>
      <c r="B591" s="376" t="s">
        <v>2324</v>
      </c>
      <c r="C591" s="371"/>
      <c r="D591" s="371"/>
      <c r="E591" s="367" t="s">
        <v>399</v>
      </c>
      <c r="F591" s="538"/>
      <c r="G591" s="538"/>
      <c r="H591" s="527"/>
      <c r="I591" s="372">
        <f t="shared" si="74"/>
        <v>0</v>
      </c>
      <c r="J591" s="372"/>
      <c r="K591" s="372">
        <f>'RAB Pasang'!K591*40%</f>
        <v>321712</v>
      </c>
      <c r="L591" s="369">
        <f t="shared" si="75"/>
        <v>0</v>
      </c>
      <c r="M591" s="369">
        <f t="shared" si="76"/>
        <v>0</v>
      </c>
      <c r="N591" s="459">
        <f t="shared" si="77"/>
        <v>0</v>
      </c>
    </row>
    <row r="592" spans="1:14" ht="13.2" customHeight="1" x14ac:dyDescent="0.3">
      <c r="A592" s="365">
        <f t="shared" si="78"/>
        <v>50</v>
      </c>
      <c r="B592" s="376" t="s">
        <v>706</v>
      </c>
      <c r="C592" s="371"/>
      <c r="D592" s="371"/>
      <c r="E592" s="367" t="s">
        <v>399</v>
      </c>
      <c r="F592" s="538"/>
      <c r="G592" s="538"/>
      <c r="H592" s="527"/>
      <c r="I592" s="372">
        <f t="shared" si="74"/>
        <v>0</v>
      </c>
      <c r="J592" s="372"/>
      <c r="K592" s="372">
        <f>'RAB Pasang'!K592*40%</f>
        <v>385712</v>
      </c>
      <c r="L592" s="369">
        <f t="shared" si="75"/>
        <v>0</v>
      </c>
      <c r="M592" s="369">
        <f t="shared" si="76"/>
        <v>0</v>
      </c>
      <c r="N592" s="459">
        <f t="shared" si="77"/>
        <v>0</v>
      </c>
    </row>
    <row r="593" spans="1:14" ht="13.2" customHeight="1" x14ac:dyDescent="0.3">
      <c r="A593" s="365">
        <f t="shared" si="78"/>
        <v>51</v>
      </c>
      <c r="B593" s="376" t="s">
        <v>707</v>
      </c>
      <c r="C593" s="371"/>
      <c r="D593" s="371"/>
      <c r="E593" s="367" t="s">
        <v>399</v>
      </c>
      <c r="F593" s="538"/>
      <c r="G593" s="538"/>
      <c r="H593" s="527"/>
      <c r="I593" s="372">
        <f t="shared" si="74"/>
        <v>0</v>
      </c>
      <c r="J593" s="372"/>
      <c r="K593" s="372">
        <f>'RAB Pasang'!K593*40%</f>
        <v>385712</v>
      </c>
      <c r="L593" s="369">
        <f t="shared" si="75"/>
        <v>0</v>
      </c>
      <c r="M593" s="369">
        <f t="shared" si="76"/>
        <v>0</v>
      </c>
      <c r="N593" s="459">
        <f t="shared" si="77"/>
        <v>0</v>
      </c>
    </row>
    <row r="594" spans="1:14" ht="13.2" customHeight="1" x14ac:dyDescent="0.3">
      <c r="A594" s="365">
        <f t="shared" si="78"/>
        <v>52</v>
      </c>
      <c r="B594" s="376" t="s">
        <v>782</v>
      </c>
      <c r="C594" s="373"/>
      <c r="D594" s="373"/>
      <c r="E594" s="374" t="s">
        <v>399</v>
      </c>
      <c r="F594" s="538"/>
      <c r="G594" s="538"/>
      <c r="H594" s="528"/>
      <c r="I594" s="375">
        <f t="shared" si="74"/>
        <v>0</v>
      </c>
      <c r="J594" s="375"/>
      <c r="K594" s="375">
        <f>'RAB Pasang'!K594*40%</f>
        <v>322572</v>
      </c>
      <c r="L594" s="369">
        <f t="shared" si="75"/>
        <v>0</v>
      </c>
      <c r="M594" s="369">
        <f t="shared" si="76"/>
        <v>0</v>
      </c>
      <c r="N594" s="459">
        <f t="shared" si="77"/>
        <v>0</v>
      </c>
    </row>
    <row r="595" spans="1:14" ht="13.2" customHeight="1" x14ac:dyDescent="0.3">
      <c r="A595" s="365">
        <f t="shared" si="78"/>
        <v>53</v>
      </c>
      <c r="B595" s="370" t="s">
        <v>1051</v>
      </c>
      <c r="C595" s="371"/>
      <c r="D595" s="371"/>
      <c r="E595" s="367" t="s">
        <v>399</v>
      </c>
      <c r="F595" s="527"/>
      <c r="G595" s="527"/>
      <c r="H595" s="538"/>
      <c r="I595" s="372">
        <f t="shared" si="74"/>
        <v>0</v>
      </c>
      <c r="J595" s="372"/>
      <c r="K595" s="372">
        <f>'RAB Pasang'!K595*40%</f>
        <v>101080</v>
      </c>
      <c r="L595" s="369">
        <f t="shared" si="75"/>
        <v>0</v>
      </c>
      <c r="M595" s="369">
        <f t="shared" si="76"/>
        <v>0</v>
      </c>
      <c r="N595" s="459">
        <f t="shared" si="77"/>
        <v>0</v>
      </c>
    </row>
    <row r="596" spans="1:14" ht="13.2" customHeight="1" x14ac:dyDescent="0.3">
      <c r="A596" s="365">
        <f t="shared" si="78"/>
        <v>54</v>
      </c>
      <c r="B596" s="370" t="s">
        <v>1052</v>
      </c>
      <c r="C596" s="371"/>
      <c r="D596" s="371"/>
      <c r="E596" s="367" t="s">
        <v>399</v>
      </c>
      <c r="F596" s="527"/>
      <c r="G596" s="527"/>
      <c r="H596" s="538"/>
      <c r="I596" s="372">
        <f t="shared" si="74"/>
        <v>0</v>
      </c>
      <c r="J596" s="372"/>
      <c r="K596" s="372">
        <f>'RAB Pasang'!K596*40%</f>
        <v>101080</v>
      </c>
      <c r="L596" s="369">
        <f t="shared" si="75"/>
        <v>0</v>
      </c>
      <c r="M596" s="369">
        <f t="shared" si="76"/>
        <v>0</v>
      </c>
      <c r="N596" s="459">
        <f t="shared" si="77"/>
        <v>0</v>
      </c>
    </row>
    <row r="597" spans="1:14" ht="13.2" customHeight="1" x14ac:dyDescent="0.3">
      <c r="A597" s="365">
        <f t="shared" si="78"/>
        <v>55</v>
      </c>
      <c r="B597" s="370" t="s">
        <v>1053</v>
      </c>
      <c r="C597" s="371"/>
      <c r="D597" s="371"/>
      <c r="E597" s="367" t="s">
        <v>399</v>
      </c>
      <c r="F597" s="527"/>
      <c r="G597" s="527"/>
      <c r="H597" s="538"/>
      <c r="I597" s="372">
        <f t="shared" si="74"/>
        <v>0</v>
      </c>
      <c r="J597" s="372"/>
      <c r="K597" s="372">
        <f>'RAB Pasang'!K597*40%</f>
        <v>101080</v>
      </c>
      <c r="L597" s="369">
        <f t="shared" si="75"/>
        <v>0</v>
      </c>
      <c r="M597" s="369">
        <f t="shared" si="76"/>
        <v>0</v>
      </c>
      <c r="N597" s="459">
        <f t="shared" si="77"/>
        <v>0</v>
      </c>
    </row>
    <row r="598" spans="1:14" ht="13.2" customHeight="1" x14ac:dyDescent="0.3">
      <c r="A598" s="365">
        <f t="shared" si="78"/>
        <v>56</v>
      </c>
      <c r="B598" s="370" t="s">
        <v>1054</v>
      </c>
      <c r="C598" s="371"/>
      <c r="D598" s="371"/>
      <c r="E598" s="367" t="s">
        <v>399</v>
      </c>
      <c r="F598" s="527"/>
      <c r="G598" s="527"/>
      <c r="H598" s="538"/>
      <c r="I598" s="372">
        <f t="shared" si="74"/>
        <v>0</v>
      </c>
      <c r="J598" s="372"/>
      <c r="K598" s="372">
        <f>'RAB Pasang'!K598*40%</f>
        <v>101080</v>
      </c>
      <c r="L598" s="369">
        <f t="shared" si="75"/>
        <v>0</v>
      </c>
      <c r="M598" s="369">
        <f t="shared" si="76"/>
        <v>0</v>
      </c>
      <c r="N598" s="459">
        <f t="shared" si="77"/>
        <v>0</v>
      </c>
    </row>
    <row r="599" spans="1:14" ht="13.2" customHeight="1" x14ac:dyDescent="0.3">
      <c r="A599" s="365">
        <f t="shared" si="78"/>
        <v>57</v>
      </c>
      <c r="B599" s="370" t="s">
        <v>1055</v>
      </c>
      <c r="C599" s="371"/>
      <c r="D599" s="371"/>
      <c r="E599" s="367" t="s">
        <v>399</v>
      </c>
      <c r="F599" s="527"/>
      <c r="G599" s="527"/>
      <c r="H599" s="538"/>
      <c r="I599" s="372">
        <f t="shared" si="74"/>
        <v>0</v>
      </c>
      <c r="J599" s="372"/>
      <c r="K599" s="372">
        <f>'RAB Pasang'!K599*40%</f>
        <v>101080</v>
      </c>
      <c r="L599" s="369">
        <f t="shared" si="75"/>
        <v>0</v>
      </c>
      <c r="M599" s="369">
        <f t="shared" si="76"/>
        <v>0</v>
      </c>
      <c r="N599" s="459">
        <f t="shared" si="77"/>
        <v>0</v>
      </c>
    </row>
    <row r="600" spans="1:14" ht="13.2" customHeight="1" x14ac:dyDescent="0.3">
      <c r="A600" s="365">
        <f t="shared" si="78"/>
        <v>58</v>
      </c>
      <c r="B600" s="370" t="s">
        <v>1061</v>
      </c>
      <c r="C600" s="371"/>
      <c r="D600" s="371"/>
      <c r="E600" s="367" t="s">
        <v>399</v>
      </c>
      <c r="F600" s="527"/>
      <c r="G600" s="527"/>
      <c r="H600" s="538"/>
      <c r="I600" s="372">
        <f t="shared" si="74"/>
        <v>0</v>
      </c>
      <c r="J600" s="372"/>
      <c r="K600" s="372">
        <f>'RAB Pasang'!K600*40%</f>
        <v>101080</v>
      </c>
      <c r="L600" s="369">
        <f t="shared" si="75"/>
        <v>0</v>
      </c>
      <c r="M600" s="369">
        <f t="shared" si="76"/>
        <v>0</v>
      </c>
      <c r="N600" s="459">
        <f t="shared" si="77"/>
        <v>0</v>
      </c>
    </row>
    <row r="601" spans="1:14" ht="13.2" customHeight="1" x14ac:dyDescent="0.3">
      <c r="A601" s="365">
        <f t="shared" si="78"/>
        <v>59</v>
      </c>
      <c r="B601" s="370" t="s">
        <v>1062</v>
      </c>
      <c r="C601" s="371"/>
      <c r="D601" s="371"/>
      <c r="E601" s="367" t="s">
        <v>399</v>
      </c>
      <c r="F601" s="527"/>
      <c r="G601" s="527"/>
      <c r="H601" s="538"/>
      <c r="I601" s="372">
        <f t="shared" si="74"/>
        <v>0</v>
      </c>
      <c r="J601" s="372"/>
      <c r="K601" s="372">
        <f>'RAB Pasang'!K601*40%</f>
        <v>101080</v>
      </c>
      <c r="L601" s="369">
        <f t="shared" si="75"/>
        <v>0</v>
      </c>
      <c r="M601" s="369">
        <f t="shared" si="76"/>
        <v>0</v>
      </c>
      <c r="N601" s="459">
        <f t="shared" si="77"/>
        <v>0</v>
      </c>
    </row>
    <row r="602" spans="1:14" ht="13.2" customHeight="1" x14ac:dyDescent="0.3">
      <c r="A602" s="365">
        <f t="shared" si="78"/>
        <v>60</v>
      </c>
      <c r="B602" s="370" t="s">
        <v>1063</v>
      </c>
      <c r="C602" s="371"/>
      <c r="D602" s="371"/>
      <c r="E602" s="367" t="s">
        <v>399</v>
      </c>
      <c r="F602" s="527"/>
      <c r="G602" s="527"/>
      <c r="H602" s="538"/>
      <c r="I602" s="372">
        <f t="shared" si="74"/>
        <v>0</v>
      </c>
      <c r="J602" s="372"/>
      <c r="K602" s="372">
        <f>'RAB Pasang'!K602*40%</f>
        <v>101080</v>
      </c>
      <c r="L602" s="369">
        <f t="shared" si="75"/>
        <v>0</v>
      </c>
      <c r="M602" s="369">
        <f t="shared" si="76"/>
        <v>0</v>
      </c>
      <c r="N602" s="459">
        <f t="shared" si="77"/>
        <v>0</v>
      </c>
    </row>
    <row r="603" spans="1:14" ht="13.2" customHeight="1" x14ac:dyDescent="0.3">
      <c r="A603" s="365">
        <f t="shared" si="78"/>
        <v>61</v>
      </c>
      <c r="B603" s="370" t="s">
        <v>1064</v>
      </c>
      <c r="C603" s="371"/>
      <c r="D603" s="371"/>
      <c r="E603" s="367" t="s">
        <v>399</v>
      </c>
      <c r="F603" s="527"/>
      <c r="G603" s="527"/>
      <c r="H603" s="538"/>
      <c r="I603" s="372">
        <f t="shared" si="74"/>
        <v>0</v>
      </c>
      <c r="J603" s="372"/>
      <c r="K603" s="372">
        <f>'RAB Pasang'!K603*40%</f>
        <v>101080</v>
      </c>
      <c r="L603" s="369">
        <f t="shared" si="75"/>
        <v>0</v>
      </c>
      <c r="M603" s="369">
        <f t="shared" si="76"/>
        <v>0</v>
      </c>
      <c r="N603" s="459">
        <f t="shared" si="77"/>
        <v>0</v>
      </c>
    </row>
    <row r="604" spans="1:14" ht="13.2" customHeight="1" x14ac:dyDescent="0.3">
      <c r="A604" s="365">
        <f t="shared" si="78"/>
        <v>62</v>
      </c>
      <c r="B604" s="370" t="s">
        <v>1065</v>
      </c>
      <c r="C604" s="371"/>
      <c r="D604" s="371"/>
      <c r="E604" s="367" t="s">
        <v>399</v>
      </c>
      <c r="F604" s="527"/>
      <c r="G604" s="527"/>
      <c r="H604" s="538"/>
      <c r="I604" s="372">
        <f t="shared" si="74"/>
        <v>0</v>
      </c>
      <c r="J604" s="372"/>
      <c r="K604" s="372">
        <f>'RAB Pasang'!K604*40%</f>
        <v>101080</v>
      </c>
      <c r="L604" s="369">
        <f t="shared" si="75"/>
        <v>0</v>
      </c>
      <c r="M604" s="369">
        <f t="shared" si="76"/>
        <v>0</v>
      </c>
      <c r="N604" s="459">
        <f t="shared" si="77"/>
        <v>0</v>
      </c>
    </row>
    <row r="605" spans="1:14" ht="13.2" customHeight="1" x14ac:dyDescent="0.3">
      <c r="A605" s="365">
        <f t="shared" si="78"/>
        <v>63</v>
      </c>
      <c r="B605" s="370" t="s">
        <v>1674</v>
      </c>
      <c r="C605" s="371"/>
      <c r="D605" s="371"/>
      <c r="E605" s="367" t="s">
        <v>399</v>
      </c>
      <c r="F605" s="527"/>
      <c r="G605" s="527"/>
      <c r="H605" s="538"/>
      <c r="I605" s="372">
        <f t="shared" si="74"/>
        <v>0</v>
      </c>
      <c r="J605" s="372"/>
      <c r="K605" s="372">
        <f>'RAB Pasang'!K605*40%</f>
        <v>97288</v>
      </c>
      <c r="L605" s="369">
        <f t="shared" si="75"/>
        <v>0</v>
      </c>
      <c r="M605" s="369">
        <f t="shared" si="76"/>
        <v>0</v>
      </c>
      <c r="N605" s="459">
        <f t="shared" si="77"/>
        <v>0</v>
      </c>
    </row>
    <row r="606" spans="1:14" ht="13.2" customHeight="1" x14ac:dyDescent="0.3">
      <c r="A606" s="365">
        <f t="shared" si="78"/>
        <v>64</v>
      </c>
      <c r="B606" s="370" t="s">
        <v>1675</v>
      </c>
      <c r="C606" s="371"/>
      <c r="D606" s="371"/>
      <c r="E606" s="367" t="s">
        <v>399</v>
      </c>
      <c r="F606" s="527"/>
      <c r="G606" s="527"/>
      <c r="H606" s="538"/>
      <c r="I606" s="372">
        <f t="shared" si="74"/>
        <v>0</v>
      </c>
      <c r="J606" s="372"/>
      <c r="K606" s="372">
        <f>'RAB Pasang'!K606*40%</f>
        <v>97288</v>
      </c>
      <c r="L606" s="369">
        <f t="shared" si="75"/>
        <v>0</v>
      </c>
      <c r="M606" s="369">
        <f t="shared" si="76"/>
        <v>0</v>
      </c>
      <c r="N606" s="459">
        <f t="shared" si="77"/>
        <v>0</v>
      </c>
    </row>
    <row r="607" spans="1:14" ht="13.2" customHeight="1" x14ac:dyDescent="0.3">
      <c r="A607" s="365">
        <f t="shared" si="78"/>
        <v>65</v>
      </c>
      <c r="B607" s="370" t="s">
        <v>1679</v>
      </c>
      <c r="C607" s="371"/>
      <c r="D607" s="371"/>
      <c r="E607" s="367" t="s">
        <v>399</v>
      </c>
      <c r="F607" s="527"/>
      <c r="G607" s="527"/>
      <c r="H607" s="538"/>
      <c r="I607" s="372">
        <f t="shared" ref="I607:I621" si="79">SUM(F607:H607)</f>
        <v>0</v>
      </c>
      <c r="J607" s="372"/>
      <c r="K607" s="372">
        <f>'RAB Pasang'!K607*40%</f>
        <v>97288</v>
      </c>
      <c r="L607" s="369">
        <f t="shared" ref="L607:L621" si="80">J607*I607</f>
        <v>0</v>
      </c>
      <c r="M607" s="369">
        <f t="shared" ref="M607:M621" si="81">K607*I607</f>
        <v>0</v>
      </c>
      <c r="N607" s="459">
        <f t="shared" ref="N607:N621" si="82">SUM(L607:M607)</f>
        <v>0</v>
      </c>
    </row>
    <row r="608" spans="1:14" ht="13.2" customHeight="1" x14ac:dyDescent="0.3">
      <c r="A608" s="365">
        <f t="shared" si="78"/>
        <v>66</v>
      </c>
      <c r="B608" s="370" t="s">
        <v>1680</v>
      </c>
      <c r="C608" s="371"/>
      <c r="D608" s="371"/>
      <c r="E608" s="367" t="s">
        <v>399</v>
      </c>
      <c r="F608" s="527"/>
      <c r="G608" s="527"/>
      <c r="H608" s="538"/>
      <c r="I608" s="372">
        <f t="shared" si="79"/>
        <v>0</v>
      </c>
      <c r="J608" s="372"/>
      <c r="K608" s="372">
        <f>'RAB Pasang'!K608*40%</f>
        <v>97288</v>
      </c>
      <c r="L608" s="369">
        <f t="shared" si="80"/>
        <v>0</v>
      </c>
      <c r="M608" s="369">
        <f t="shared" si="81"/>
        <v>0</v>
      </c>
      <c r="N608" s="459">
        <f t="shared" si="82"/>
        <v>0</v>
      </c>
    </row>
    <row r="609" spans="1:14" ht="13.2" customHeight="1" x14ac:dyDescent="0.3">
      <c r="A609" s="365">
        <f t="shared" ref="A609:A621" si="83">A608+1</f>
        <v>67</v>
      </c>
      <c r="B609" s="370" t="s">
        <v>1681</v>
      </c>
      <c r="C609" s="371"/>
      <c r="D609" s="371"/>
      <c r="E609" s="367" t="s">
        <v>399</v>
      </c>
      <c r="F609" s="527"/>
      <c r="G609" s="527"/>
      <c r="H609" s="538"/>
      <c r="I609" s="372">
        <f t="shared" si="79"/>
        <v>0</v>
      </c>
      <c r="J609" s="372"/>
      <c r="K609" s="372">
        <f>'RAB Pasang'!K609*40%</f>
        <v>97288</v>
      </c>
      <c r="L609" s="369">
        <f t="shared" si="80"/>
        <v>0</v>
      </c>
      <c r="M609" s="369">
        <f t="shared" si="81"/>
        <v>0</v>
      </c>
      <c r="N609" s="459">
        <f t="shared" si="82"/>
        <v>0</v>
      </c>
    </row>
    <row r="610" spans="1:14" ht="13.2" customHeight="1" x14ac:dyDescent="0.3">
      <c r="A610" s="365">
        <f t="shared" si="83"/>
        <v>68</v>
      </c>
      <c r="B610" s="370" t="s">
        <v>1982</v>
      </c>
      <c r="C610" s="371"/>
      <c r="D610" s="371"/>
      <c r="E610" s="367" t="s">
        <v>399</v>
      </c>
      <c r="F610" s="527"/>
      <c r="G610" s="527"/>
      <c r="H610" s="539"/>
      <c r="I610" s="372">
        <f t="shared" si="79"/>
        <v>0</v>
      </c>
      <c r="J610" s="372"/>
      <c r="K610" s="372">
        <f>'RAB Pasang'!K610*40%</f>
        <v>12320</v>
      </c>
      <c r="L610" s="369">
        <f t="shared" si="80"/>
        <v>0</v>
      </c>
      <c r="M610" s="369">
        <f t="shared" si="81"/>
        <v>0</v>
      </c>
      <c r="N610" s="459">
        <f t="shared" si="82"/>
        <v>0</v>
      </c>
    </row>
    <row r="611" spans="1:14" ht="13.2" customHeight="1" x14ac:dyDescent="0.3">
      <c r="A611" s="365">
        <f t="shared" si="83"/>
        <v>69</v>
      </c>
      <c r="B611" s="370" t="s">
        <v>1455</v>
      </c>
      <c r="C611" s="371"/>
      <c r="D611" s="371"/>
      <c r="E611" s="367" t="s">
        <v>399</v>
      </c>
      <c r="F611" s="527"/>
      <c r="G611" s="527"/>
      <c r="H611" s="539"/>
      <c r="I611" s="372">
        <f t="shared" si="79"/>
        <v>0</v>
      </c>
      <c r="J611" s="372"/>
      <c r="K611" s="372">
        <f>'RAB Pasang'!K611*40%</f>
        <v>12320</v>
      </c>
      <c r="L611" s="369">
        <f t="shared" si="80"/>
        <v>0</v>
      </c>
      <c r="M611" s="369">
        <f t="shared" si="81"/>
        <v>0</v>
      </c>
      <c r="N611" s="459">
        <f t="shared" si="82"/>
        <v>0</v>
      </c>
    </row>
    <row r="612" spans="1:14" ht="13.2" customHeight="1" x14ac:dyDescent="0.3">
      <c r="A612" s="365">
        <f t="shared" si="83"/>
        <v>70</v>
      </c>
      <c r="B612" s="370" t="s">
        <v>1456</v>
      </c>
      <c r="C612" s="371"/>
      <c r="D612" s="371"/>
      <c r="E612" s="367" t="s">
        <v>399</v>
      </c>
      <c r="F612" s="527"/>
      <c r="G612" s="527"/>
      <c r="H612" s="539"/>
      <c r="I612" s="372">
        <f t="shared" si="79"/>
        <v>0</v>
      </c>
      <c r="J612" s="372"/>
      <c r="K612" s="372">
        <f>'RAB Pasang'!K612*40%</f>
        <v>12320</v>
      </c>
      <c r="L612" s="369">
        <f t="shared" si="80"/>
        <v>0</v>
      </c>
      <c r="M612" s="369">
        <f t="shared" si="81"/>
        <v>0</v>
      </c>
      <c r="N612" s="459">
        <f t="shared" si="82"/>
        <v>0</v>
      </c>
    </row>
    <row r="613" spans="1:14" ht="13.2" customHeight="1" x14ac:dyDescent="0.3">
      <c r="A613" s="365">
        <f t="shared" si="83"/>
        <v>71</v>
      </c>
      <c r="B613" s="370" t="s">
        <v>1457</v>
      </c>
      <c r="C613" s="371"/>
      <c r="D613" s="371"/>
      <c r="E613" s="367" t="s">
        <v>399</v>
      </c>
      <c r="F613" s="527"/>
      <c r="G613" s="527"/>
      <c r="H613" s="539"/>
      <c r="I613" s="372">
        <f t="shared" si="79"/>
        <v>0</v>
      </c>
      <c r="J613" s="372"/>
      <c r="K613" s="372">
        <f>'RAB Pasang'!K613*40%</f>
        <v>12320</v>
      </c>
      <c r="L613" s="369">
        <f t="shared" si="80"/>
        <v>0</v>
      </c>
      <c r="M613" s="369">
        <f t="shared" si="81"/>
        <v>0</v>
      </c>
      <c r="N613" s="459">
        <f t="shared" si="82"/>
        <v>0</v>
      </c>
    </row>
    <row r="614" spans="1:14" ht="13.2" customHeight="1" x14ac:dyDescent="0.3">
      <c r="A614" s="365">
        <f t="shared" si="83"/>
        <v>72</v>
      </c>
      <c r="B614" s="370" t="s">
        <v>1458</v>
      </c>
      <c r="C614" s="371"/>
      <c r="D614" s="371"/>
      <c r="E614" s="367" t="s">
        <v>399</v>
      </c>
      <c r="F614" s="527"/>
      <c r="G614" s="527"/>
      <c r="H614" s="539"/>
      <c r="I614" s="372">
        <f t="shared" si="79"/>
        <v>0</v>
      </c>
      <c r="J614" s="372"/>
      <c r="K614" s="372">
        <f>'RAB Pasang'!K614*40%</f>
        <v>12320</v>
      </c>
      <c r="L614" s="369">
        <f t="shared" si="80"/>
        <v>0</v>
      </c>
      <c r="M614" s="369">
        <f t="shared" si="81"/>
        <v>0</v>
      </c>
      <c r="N614" s="459">
        <f t="shared" si="82"/>
        <v>0</v>
      </c>
    </row>
    <row r="615" spans="1:14" ht="13.2" customHeight="1" x14ac:dyDescent="0.3">
      <c r="A615" s="365">
        <f t="shared" si="83"/>
        <v>73</v>
      </c>
      <c r="B615" s="370" t="s">
        <v>1617</v>
      </c>
      <c r="C615" s="371"/>
      <c r="D615" s="371"/>
      <c r="E615" s="367" t="s">
        <v>399</v>
      </c>
      <c r="F615" s="527"/>
      <c r="G615" s="527"/>
      <c r="H615" s="539"/>
      <c r="I615" s="372">
        <f t="shared" si="79"/>
        <v>0</v>
      </c>
      <c r="J615" s="372"/>
      <c r="K615" s="372">
        <f>'RAB Pasang'!K615*40%</f>
        <v>12320</v>
      </c>
      <c r="L615" s="369">
        <f t="shared" si="80"/>
        <v>0</v>
      </c>
      <c r="M615" s="369">
        <f t="shared" si="81"/>
        <v>0</v>
      </c>
      <c r="N615" s="459">
        <f t="shared" si="82"/>
        <v>0</v>
      </c>
    </row>
    <row r="616" spans="1:14" ht="13.2" customHeight="1" x14ac:dyDescent="0.3">
      <c r="A616" s="365">
        <f t="shared" si="83"/>
        <v>74</v>
      </c>
      <c r="B616" s="370" t="s">
        <v>1619</v>
      </c>
      <c r="C616" s="371"/>
      <c r="D616" s="371"/>
      <c r="E616" s="367" t="s">
        <v>399</v>
      </c>
      <c r="F616" s="527"/>
      <c r="G616" s="527"/>
      <c r="H616" s="539"/>
      <c r="I616" s="372">
        <f t="shared" si="79"/>
        <v>0</v>
      </c>
      <c r="J616" s="372"/>
      <c r="K616" s="372">
        <f>'RAB Pasang'!K616*40%</f>
        <v>12320</v>
      </c>
      <c r="L616" s="369">
        <f t="shared" si="80"/>
        <v>0</v>
      </c>
      <c r="M616" s="369">
        <f t="shared" si="81"/>
        <v>0</v>
      </c>
      <c r="N616" s="459">
        <f t="shared" si="82"/>
        <v>0</v>
      </c>
    </row>
    <row r="617" spans="1:14" ht="13.2" customHeight="1" x14ac:dyDescent="0.3">
      <c r="A617" s="365">
        <f t="shared" si="83"/>
        <v>75</v>
      </c>
      <c r="B617" s="370" t="s">
        <v>1621</v>
      </c>
      <c r="C617" s="371"/>
      <c r="D617" s="371"/>
      <c r="E617" s="367" t="s">
        <v>399</v>
      </c>
      <c r="F617" s="527"/>
      <c r="G617" s="527"/>
      <c r="H617" s="539"/>
      <c r="I617" s="372">
        <f t="shared" si="79"/>
        <v>0</v>
      </c>
      <c r="J617" s="372"/>
      <c r="K617" s="372">
        <f>'RAB Pasang'!K617*40%</f>
        <v>12320</v>
      </c>
      <c r="L617" s="369">
        <f t="shared" si="80"/>
        <v>0</v>
      </c>
      <c r="M617" s="369">
        <f t="shared" si="81"/>
        <v>0</v>
      </c>
      <c r="N617" s="459">
        <f t="shared" si="82"/>
        <v>0</v>
      </c>
    </row>
    <row r="618" spans="1:14" ht="13.2" customHeight="1" x14ac:dyDescent="0.3">
      <c r="A618" s="365">
        <f t="shared" si="83"/>
        <v>76</v>
      </c>
      <c r="B618" s="370" t="s">
        <v>1626</v>
      </c>
      <c r="C618" s="371"/>
      <c r="D618" s="371"/>
      <c r="E618" s="367" t="s">
        <v>399</v>
      </c>
      <c r="F618" s="527"/>
      <c r="G618" s="527"/>
      <c r="H618" s="539"/>
      <c r="I618" s="372">
        <f t="shared" si="79"/>
        <v>0</v>
      </c>
      <c r="J618" s="372"/>
      <c r="K618" s="372">
        <f>'RAB Pasang'!K618*40%</f>
        <v>12320</v>
      </c>
      <c r="L618" s="369">
        <f t="shared" si="80"/>
        <v>0</v>
      </c>
      <c r="M618" s="369">
        <f t="shared" si="81"/>
        <v>0</v>
      </c>
      <c r="N618" s="459">
        <f t="shared" si="82"/>
        <v>0</v>
      </c>
    </row>
    <row r="619" spans="1:14" ht="13.2" customHeight="1" x14ac:dyDescent="0.3">
      <c r="A619" s="365">
        <f t="shared" si="83"/>
        <v>77</v>
      </c>
      <c r="B619" s="370" t="s">
        <v>1624</v>
      </c>
      <c r="C619" s="371"/>
      <c r="D619" s="371"/>
      <c r="E619" s="367" t="s">
        <v>399</v>
      </c>
      <c r="F619" s="527"/>
      <c r="G619" s="527"/>
      <c r="H619" s="539"/>
      <c r="I619" s="372">
        <f t="shared" si="79"/>
        <v>0</v>
      </c>
      <c r="J619" s="372"/>
      <c r="K619" s="372">
        <f>'RAB Pasang'!K619*40%</f>
        <v>12320</v>
      </c>
      <c r="L619" s="369">
        <f t="shared" si="80"/>
        <v>0</v>
      </c>
      <c r="M619" s="369">
        <f t="shared" si="81"/>
        <v>0</v>
      </c>
      <c r="N619" s="459">
        <f t="shared" si="82"/>
        <v>0</v>
      </c>
    </row>
    <row r="620" spans="1:14" ht="13.2" customHeight="1" x14ac:dyDescent="0.3">
      <c r="A620" s="418">
        <f t="shared" si="83"/>
        <v>78</v>
      </c>
      <c r="B620" s="370" t="s">
        <v>1210</v>
      </c>
      <c r="C620" s="371"/>
      <c r="D620" s="371"/>
      <c r="E620" s="367" t="s">
        <v>399</v>
      </c>
      <c r="F620" s="527"/>
      <c r="G620" s="527"/>
      <c r="H620" s="539"/>
      <c r="I620" s="375">
        <f t="shared" si="79"/>
        <v>0</v>
      </c>
      <c r="J620" s="372"/>
      <c r="K620" s="372">
        <f>'RAB Pasang'!K620*40%</f>
        <v>49288</v>
      </c>
      <c r="L620" s="369">
        <f t="shared" si="80"/>
        <v>0</v>
      </c>
      <c r="M620" s="369">
        <f t="shared" si="81"/>
        <v>0</v>
      </c>
      <c r="N620" s="459">
        <f t="shared" si="82"/>
        <v>0</v>
      </c>
    </row>
    <row r="621" spans="1:14" ht="13.2" customHeight="1" x14ac:dyDescent="0.3">
      <c r="A621" s="418">
        <f t="shared" si="83"/>
        <v>79</v>
      </c>
      <c r="B621" s="370" t="s">
        <v>1211</v>
      </c>
      <c r="C621" s="371"/>
      <c r="D621" s="371"/>
      <c r="E621" s="367" t="s">
        <v>399</v>
      </c>
      <c r="F621" s="527"/>
      <c r="G621" s="527"/>
      <c r="H621" s="539"/>
      <c r="I621" s="375">
        <f t="shared" si="79"/>
        <v>0</v>
      </c>
      <c r="J621" s="372"/>
      <c r="K621" s="372">
        <f>'RAB Pasang'!K621*40%</f>
        <v>81500</v>
      </c>
      <c r="L621" s="369">
        <f t="shared" si="80"/>
        <v>0</v>
      </c>
      <c r="M621" s="369">
        <f t="shared" si="81"/>
        <v>0</v>
      </c>
      <c r="N621" s="459">
        <f t="shared" si="82"/>
        <v>0</v>
      </c>
    </row>
    <row r="622" spans="1:14" ht="15" customHeight="1" x14ac:dyDescent="0.3">
      <c r="A622" s="498"/>
      <c r="B622" s="497" t="s">
        <v>1716</v>
      </c>
      <c r="C622" s="487"/>
      <c r="D622" s="487"/>
      <c r="E622" s="488"/>
      <c r="F622" s="492"/>
      <c r="G622" s="492"/>
      <c r="H622" s="492"/>
      <c r="I622" s="543"/>
      <c r="J622" s="492"/>
      <c r="K622" s="492"/>
      <c r="L622" s="490">
        <f t="shared" ref="L622:N622" si="84">SUM(L543:L621)</f>
        <v>0</v>
      </c>
      <c r="M622" s="490">
        <f t="shared" si="84"/>
        <v>0</v>
      </c>
      <c r="N622" s="491">
        <f t="shared" si="84"/>
        <v>0</v>
      </c>
    </row>
    <row r="623" spans="1:14" ht="9" customHeight="1" x14ac:dyDescent="0.3">
      <c r="A623" s="419"/>
      <c r="B623" s="379"/>
      <c r="C623" s="380"/>
      <c r="D623" s="380"/>
      <c r="E623" s="395"/>
      <c r="F623" s="574"/>
      <c r="G623" s="574"/>
      <c r="H623" s="574"/>
      <c r="I623" s="417"/>
      <c r="J623" s="417"/>
      <c r="K623" s="417"/>
      <c r="L623" s="383"/>
      <c r="M623" s="383"/>
      <c r="N623" s="396"/>
    </row>
    <row r="624" spans="1:14" ht="15" customHeight="1" x14ac:dyDescent="0.3">
      <c r="A624" s="495" t="s">
        <v>1448</v>
      </c>
      <c r="B624" s="478" t="s">
        <v>1441</v>
      </c>
      <c r="C624" s="480"/>
      <c r="D624" s="480"/>
      <c r="E624" s="493"/>
      <c r="F624" s="579"/>
      <c r="G624" s="579"/>
      <c r="H624" s="579"/>
      <c r="I624" s="494"/>
      <c r="J624" s="494"/>
      <c r="K624" s="494"/>
      <c r="L624" s="484"/>
      <c r="M624" s="484"/>
      <c r="N624" s="496"/>
    </row>
    <row r="625" spans="1:14" ht="13.2" customHeight="1" x14ac:dyDescent="0.3">
      <c r="A625" s="365">
        <v>1</v>
      </c>
      <c r="B625" s="370" t="s">
        <v>788</v>
      </c>
      <c r="C625" s="371"/>
      <c r="D625" s="371"/>
      <c r="E625" s="367" t="s">
        <v>399</v>
      </c>
      <c r="F625" s="527"/>
      <c r="G625" s="527"/>
      <c r="H625" s="539"/>
      <c r="I625" s="372">
        <f t="shared" ref="I625:I654" si="85">SUM(F625:H625)</f>
        <v>0</v>
      </c>
      <c r="J625" s="372"/>
      <c r="K625" s="372">
        <f>'RAB Pasang'!K625*40%</f>
        <v>101080</v>
      </c>
      <c r="L625" s="387">
        <f t="shared" ref="L625:L654" si="86">J625*I625</f>
        <v>0</v>
      </c>
      <c r="M625" s="387">
        <f t="shared" ref="M625:M654" si="87">K625*I625</f>
        <v>0</v>
      </c>
      <c r="N625" s="422">
        <f t="shared" ref="N625:N654" si="88">SUM(L625:M625)</f>
        <v>0</v>
      </c>
    </row>
    <row r="626" spans="1:14" ht="13.2" customHeight="1" x14ac:dyDescent="0.3">
      <c r="A626" s="365">
        <f t="shared" ref="A626:A654" si="89">A625+1</f>
        <v>2</v>
      </c>
      <c r="B626" s="370" t="s">
        <v>790</v>
      </c>
      <c r="C626" s="371"/>
      <c r="D626" s="371"/>
      <c r="E626" s="367" t="s">
        <v>399</v>
      </c>
      <c r="F626" s="527"/>
      <c r="G626" s="527"/>
      <c r="H626" s="539"/>
      <c r="I626" s="372">
        <f t="shared" si="85"/>
        <v>0</v>
      </c>
      <c r="J626" s="372"/>
      <c r="K626" s="372">
        <f>'RAB Pasang'!K626*40%</f>
        <v>101080</v>
      </c>
      <c r="L626" s="387">
        <f t="shared" si="86"/>
        <v>0</v>
      </c>
      <c r="M626" s="387">
        <f t="shared" si="87"/>
        <v>0</v>
      </c>
      <c r="N626" s="422">
        <f t="shared" si="88"/>
        <v>0</v>
      </c>
    </row>
    <row r="627" spans="1:14" ht="13.2" customHeight="1" x14ac:dyDescent="0.3">
      <c r="A627" s="365">
        <f t="shared" si="89"/>
        <v>3</v>
      </c>
      <c r="B627" s="370" t="s">
        <v>794</v>
      </c>
      <c r="C627" s="371"/>
      <c r="D627" s="371"/>
      <c r="E627" s="367" t="s">
        <v>399</v>
      </c>
      <c r="F627" s="527"/>
      <c r="G627" s="527"/>
      <c r="H627" s="539"/>
      <c r="I627" s="372">
        <f t="shared" si="85"/>
        <v>0</v>
      </c>
      <c r="J627" s="372"/>
      <c r="K627" s="372">
        <f>'RAB Pasang'!K627*40%</f>
        <v>101080</v>
      </c>
      <c r="L627" s="387">
        <f t="shared" si="86"/>
        <v>0</v>
      </c>
      <c r="M627" s="387">
        <f t="shared" si="87"/>
        <v>0</v>
      </c>
      <c r="N627" s="422">
        <f t="shared" si="88"/>
        <v>0</v>
      </c>
    </row>
    <row r="628" spans="1:14" ht="13.2" customHeight="1" x14ac:dyDescent="0.3">
      <c r="A628" s="365">
        <f t="shared" si="89"/>
        <v>4</v>
      </c>
      <c r="B628" s="370" t="s">
        <v>798</v>
      </c>
      <c r="C628" s="371"/>
      <c r="D628" s="371"/>
      <c r="E628" s="367" t="s">
        <v>399</v>
      </c>
      <c r="F628" s="527"/>
      <c r="G628" s="527"/>
      <c r="H628" s="539"/>
      <c r="I628" s="372">
        <f t="shared" si="85"/>
        <v>0</v>
      </c>
      <c r="J628" s="372"/>
      <c r="K628" s="372">
        <f>'RAB Pasang'!K628*40%</f>
        <v>101080</v>
      </c>
      <c r="L628" s="387">
        <f t="shared" si="86"/>
        <v>0</v>
      </c>
      <c r="M628" s="387">
        <f t="shared" si="87"/>
        <v>0</v>
      </c>
      <c r="N628" s="422">
        <f t="shared" si="88"/>
        <v>0</v>
      </c>
    </row>
    <row r="629" spans="1:14" ht="13.2" customHeight="1" x14ac:dyDescent="0.3">
      <c r="A629" s="365">
        <f t="shared" si="89"/>
        <v>5</v>
      </c>
      <c r="B629" s="370" t="s">
        <v>799</v>
      </c>
      <c r="C629" s="371"/>
      <c r="D629" s="371"/>
      <c r="E629" s="367" t="s">
        <v>399</v>
      </c>
      <c r="F629" s="527"/>
      <c r="G629" s="527"/>
      <c r="H629" s="539"/>
      <c r="I629" s="372">
        <f t="shared" si="85"/>
        <v>0</v>
      </c>
      <c r="J629" s="372"/>
      <c r="K629" s="372">
        <f>'RAB Pasang'!K629*40%</f>
        <v>101080</v>
      </c>
      <c r="L629" s="387">
        <f t="shared" si="86"/>
        <v>0</v>
      </c>
      <c r="M629" s="387">
        <f t="shared" si="87"/>
        <v>0</v>
      </c>
      <c r="N629" s="422">
        <f t="shared" si="88"/>
        <v>0</v>
      </c>
    </row>
    <row r="630" spans="1:14" ht="13.2" customHeight="1" x14ac:dyDescent="0.3">
      <c r="A630" s="365">
        <f t="shared" si="89"/>
        <v>6</v>
      </c>
      <c r="B630" s="370" t="s">
        <v>828</v>
      </c>
      <c r="C630" s="371"/>
      <c r="D630" s="371"/>
      <c r="E630" s="367" t="s">
        <v>399</v>
      </c>
      <c r="F630" s="527"/>
      <c r="G630" s="527"/>
      <c r="H630" s="539"/>
      <c r="I630" s="372">
        <f t="shared" si="85"/>
        <v>0</v>
      </c>
      <c r="J630" s="372"/>
      <c r="K630" s="372">
        <f>'RAB Pasang'!K630*40%</f>
        <v>101080</v>
      </c>
      <c r="L630" s="387">
        <f t="shared" si="86"/>
        <v>0</v>
      </c>
      <c r="M630" s="387">
        <f t="shared" si="87"/>
        <v>0</v>
      </c>
      <c r="N630" s="422">
        <f t="shared" si="88"/>
        <v>0</v>
      </c>
    </row>
    <row r="631" spans="1:14" ht="13.2" customHeight="1" x14ac:dyDescent="0.3">
      <c r="A631" s="365">
        <f t="shared" si="89"/>
        <v>7</v>
      </c>
      <c r="B631" s="370" t="s">
        <v>829</v>
      </c>
      <c r="C631" s="371"/>
      <c r="D631" s="371"/>
      <c r="E631" s="367" t="s">
        <v>399</v>
      </c>
      <c r="F631" s="527"/>
      <c r="G631" s="527"/>
      <c r="H631" s="539"/>
      <c r="I631" s="372">
        <f t="shared" si="85"/>
        <v>0</v>
      </c>
      <c r="J631" s="372"/>
      <c r="K631" s="372">
        <f>'RAB Pasang'!K631*40%</f>
        <v>101080</v>
      </c>
      <c r="L631" s="387">
        <f t="shared" si="86"/>
        <v>0</v>
      </c>
      <c r="M631" s="387">
        <f t="shared" si="87"/>
        <v>0</v>
      </c>
      <c r="N631" s="422">
        <f t="shared" si="88"/>
        <v>0</v>
      </c>
    </row>
    <row r="632" spans="1:14" ht="13.2" customHeight="1" x14ac:dyDescent="0.3">
      <c r="A632" s="365">
        <f t="shared" si="89"/>
        <v>8</v>
      </c>
      <c r="B632" s="370" t="s">
        <v>830</v>
      </c>
      <c r="C632" s="371"/>
      <c r="D632" s="371"/>
      <c r="E632" s="367" t="s">
        <v>399</v>
      </c>
      <c r="F632" s="527"/>
      <c r="G632" s="527"/>
      <c r="H632" s="539"/>
      <c r="I632" s="372">
        <f t="shared" si="85"/>
        <v>0</v>
      </c>
      <c r="J632" s="372"/>
      <c r="K632" s="372">
        <f>'RAB Pasang'!K632*40%</f>
        <v>101080</v>
      </c>
      <c r="L632" s="387">
        <f t="shared" si="86"/>
        <v>0</v>
      </c>
      <c r="M632" s="387">
        <f t="shared" si="87"/>
        <v>0</v>
      </c>
      <c r="N632" s="422">
        <f t="shared" si="88"/>
        <v>0</v>
      </c>
    </row>
    <row r="633" spans="1:14" ht="13.2" customHeight="1" x14ac:dyDescent="0.3">
      <c r="A633" s="365">
        <f t="shared" si="89"/>
        <v>9</v>
      </c>
      <c r="B633" s="370" t="s">
        <v>831</v>
      </c>
      <c r="C633" s="371"/>
      <c r="D633" s="371"/>
      <c r="E633" s="367" t="s">
        <v>399</v>
      </c>
      <c r="F633" s="527"/>
      <c r="G633" s="527"/>
      <c r="H633" s="539"/>
      <c r="I633" s="372">
        <f t="shared" si="85"/>
        <v>0</v>
      </c>
      <c r="J633" s="372"/>
      <c r="K633" s="372">
        <f>'RAB Pasang'!K633*40%</f>
        <v>101080</v>
      </c>
      <c r="L633" s="387">
        <f t="shared" si="86"/>
        <v>0</v>
      </c>
      <c r="M633" s="387">
        <f t="shared" si="87"/>
        <v>0</v>
      </c>
      <c r="N633" s="422">
        <f t="shared" si="88"/>
        <v>0</v>
      </c>
    </row>
    <row r="634" spans="1:14" ht="13.2" customHeight="1" x14ac:dyDescent="0.3">
      <c r="A634" s="365">
        <f t="shared" si="89"/>
        <v>10</v>
      </c>
      <c r="B634" s="370" t="s">
        <v>832</v>
      </c>
      <c r="C634" s="371"/>
      <c r="D634" s="371"/>
      <c r="E634" s="367" t="s">
        <v>399</v>
      </c>
      <c r="F634" s="527"/>
      <c r="G634" s="527"/>
      <c r="H634" s="539"/>
      <c r="I634" s="372">
        <f t="shared" si="85"/>
        <v>0</v>
      </c>
      <c r="J634" s="372"/>
      <c r="K634" s="372">
        <f>'RAB Pasang'!K634*40%</f>
        <v>101080</v>
      </c>
      <c r="L634" s="387">
        <f t="shared" si="86"/>
        <v>0</v>
      </c>
      <c r="M634" s="387">
        <f t="shared" si="87"/>
        <v>0</v>
      </c>
      <c r="N634" s="422">
        <f t="shared" si="88"/>
        <v>0</v>
      </c>
    </row>
    <row r="635" spans="1:14" ht="13.2" customHeight="1" x14ac:dyDescent="0.3">
      <c r="A635" s="365">
        <f t="shared" si="89"/>
        <v>11</v>
      </c>
      <c r="B635" s="370" t="s">
        <v>803</v>
      </c>
      <c r="C635" s="371"/>
      <c r="D635" s="371"/>
      <c r="E635" s="367" t="s">
        <v>399</v>
      </c>
      <c r="F635" s="527"/>
      <c r="G635" s="539"/>
      <c r="H635" s="539"/>
      <c r="I635" s="372">
        <f t="shared" si="85"/>
        <v>0</v>
      </c>
      <c r="J635" s="372"/>
      <c r="K635" s="372">
        <f>'RAB Pasang'!K635*40%</f>
        <v>145932</v>
      </c>
      <c r="L635" s="387">
        <f t="shared" si="86"/>
        <v>0</v>
      </c>
      <c r="M635" s="387">
        <f t="shared" si="87"/>
        <v>0</v>
      </c>
      <c r="N635" s="422">
        <f t="shared" si="88"/>
        <v>0</v>
      </c>
    </row>
    <row r="636" spans="1:14" ht="13.2" customHeight="1" x14ac:dyDescent="0.3">
      <c r="A636" s="365">
        <f t="shared" si="89"/>
        <v>12</v>
      </c>
      <c r="B636" s="370" t="s">
        <v>815</v>
      </c>
      <c r="C636" s="371"/>
      <c r="D636" s="371"/>
      <c r="E636" s="367" t="s">
        <v>399</v>
      </c>
      <c r="F636" s="527"/>
      <c r="G636" s="539"/>
      <c r="H636" s="539"/>
      <c r="I636" s="372">
        <f t="shared" si="85"/>
        <v>0</v>
      </c>
      <c r="J636" s="372"/>
      <c r="K636" s="372">
        <f>'RAB Pasang'!K636*40%</f>
        <v>145932</v>
      </c>
      <c r="L636" s="387">
        <f t="shared" si="86"/>
        <v>0</v>
      </c>
      <c r="M636" s="387">
        <f t="shared" si="87"/>
        <v>0</v>
      </c>
      <c r="N636" s="422">
        <f t="shared" si="88"/>
        <v>0</v>
      </c>
    </row>
    <row r="637" spans="1:14" ht="13.2" customHeight="1" x14ac:dyDescent="0.3">
      <c r="A637" s="365">
        <f t="shared" si="89"/>
        <v>13</v>
      </c>
      <c r="B637" s="370" t="s">
        <v>816</v>
      </c>
      <c r="C637" s="371"/>
      <c r="D637" s="371"/>
      <c r="E637" s="367" t="s">
        <v>399</v>
      </c>
      <c r="F637" s="527"/>
      <c r="G637" s="539"/>
      <c r="H637" s="539"/>
      <c r="I637" s="372">
        <f t="shared" si="85"/>
        <v>0</v>
      </c>
      <c r="J637" s="372"/>
      <c r="K637" s="372">
        <f>'RAB Pasang'!K637*40%</f>
        <v>145932</v>
      </c>
      <c r="L637" s="387">
        <f t="shared" si="86"/>
        <v>0</v>
      </c>
      <c r="M637" s="387">
        <f t="shared" si="87"/>
        <v>0</v>
      </c>
      <c r="N637" s="422">
        <f t="shared" si="88"/>
        <v>0</v>
      </c>
    </row>
    <row r="638" spans="1:14" ht="13.2" customHeight="1" x14ac:dyDescent="0.3">
      <c r="A638" s="365">
        <f t="shared" si="89"/>
        <v>14</v>
      </c>
      <c r="B638" s="370" t="s">
        <v>817</v>
      </c>
      <c r="C638" s="371"/>
      <c r="D638" s="371"/>
      <c r="E638" s="367" t="s">
        <v>399</v>
      </c>
      <c r="F638" s="527"/>
      <c r="G638" s="539"/>
      <c r="H638" s="539"/>
      <c r="I638" s="372">
        <f t="shared" si="85"/>
        <v>0</v>
      </c>
      <c r="J638" s="372"/>
      <c r="K638" s="372">
        <f>'RAB Pasang'!K638*40%</f>
        <v>145932</v>
      </c>
      <c r="L638" s="387">
        <f t="shared" si="86"/>
        <v>0</v>
      </c>
      <c r="M638" s="387">
        <f t="shared" si="87"/>
        <v>0</v>
      </c>
      <c r="N638" s="422">
        <f t="shared" si="88"/>
        <v>0</v>
      </c>
    </row>
    <row r="639" spans="1:14" ht="13.2" customHeight="1" x14ac:dyDescent="0.3">
      <c r="A639" s="365">
        <f t="shared" si="89"/>
        <v>15</v>
      </c>
      <c r="B639" s="370" t="s">
        <v>818</v>
      </c>
      <c r="C639" s="371"/>
      <c r="D639" s="371"/>
      <c r="E639" s="367" t="s">
        <v>399</v>
      </c>
      <c r="F639" s="527"/>
      <c r="G639" s="539"/>
      <c r="H639" s="539"/>
      <c r="I639" s="372">
        <f t="shared" si="85"/>
        <v>0</v>
      </c>
      <c r="J639" s="372"/>
      <c r="K639" s="372">
        <f>'RAB Pasang'!K639*40%</f>
        <v>145932</v>
      </c>
      <c r="L639" s="387">
        <f t="shared" si="86"/>
        <v>0</v>
      </c>
      <c r="M639" s="387">
        <f t="shared" si="87"/>
        <v>0</v>
      </c>
      <c r="N639" s="422">
        <f t="shared" si="88"/>
        <v>0</v>
      </c>
    </row>
    <row r="640" spans="1:14" ht="13.2" customHeight="1" x14ac:dyDescent="0.3">
      <c r="A640" s="365">
        <f t="shared" si="89"/>
        <v>16</v>
      </c>
      <c r="B640" s="370" t="s">
        <v>819</v>
      </c>
      <c r="C640" s="371"/>
      <c r="D640" s="371"/>
      <c r="E640" s="367" t="s">
        <v>399</v>
      </c>
      <c r="F640" s="527"/>
      <c r="G640" s="527"/>
      <c r="H640" s="539"/>
      <c r="I640" s="372">
        <f t="shared" si="85"/>
        <v>0</v>
      </c>
      <c r="J640" s="372"/>
      <c r="K640" s="372">
        <f>'RAB Pasang'!K640*40%</f>
        <v>145932</v>
      </c>
      <c r="L640" s="387">
        <f t="shared" si="86"/>
        <v>0</v>
      </c>
      <c r="M640" s="387">
        <f t="shared" si="87"/>
        <v>0</v>
      </c>
      <c r="N640" s="422">
        <f t="shared" si="88"/>
        <v>0</v>
      </c>
    </row>
    <row r="641" spans="1:14" ht="13.2" customHeight="1" x14ac:dyDescent="0.3">
      <c r="A641" s="365">
        <f t="shared" si="89"/>
        <v>17</v>
      </c>
      <c r="B641" s="370" t="s">
        <v>824</v>
      </c>
      <c r="C641" s="371"/>
      <c r="D641" s="371"/>
      <c r="E641" s="367" t="s">
        <v>399</v>
      </c>
      <c r="F641" s="527"/>
      <c r="G641" s="527"/>
      <c r="H641" s="539"/>
      <c r="I641" s="372">
        <f t="shared" si="85"/>
        <v>0</v>
      </c>
      <c r="J641" s="372"/>
      <c r="K641" s="372">
        <f>'RAB Pasang'!K641*40%</f>
        <v>145932</v>
      </c>
      <c r="L641" s="387">
        <f t="shared" si="86"/>
        <v>0</v>
      </c>
      <c r="M641" s="387">
        <f t="shared" si="87"/>
        <v>0</v>
      </c>
      <c r="N641" s="422">
        <f t="shared" si="88"/>
        <v>0</v>
      </c>
    </row>
    <row r="642" spans="1:14" ht="13.2" customHeight="1" x14ac:dyDescent="0.3">
      <c r="A642" s="365">
        <f t="shared" si="89"/>
        <v>18</v>
      </c>
      <c r="B642" s="370" t="s">
        <v>825</v>
      </c>
      <c r="C642" s="371"/>
      <c r="D642" s="371"/>
      <c r="E642" s="367" t="s">
        <v>399</v>
      </c>
      <c r="F642" s="527"/>
      <c r="G642" s="527"/>
      <c r="H642" s="539"/>
      <c r="I642" s="372">
        <f t="shared" si="85"/>
        <v>0</v>
      </c>
      <c r="J642" s="372"/>
      <c r="K642" s="372">
        <f>'RAB Pasang'!K642*40%</f>
        <v>145932</v>
      </c>
      <c r="L642" s="387">
        <f t="shared" si="86"/>
        <v>0</v>
      </c>
      <c r="M642" s="387">
        <f t="shared" si="87"/>
        <v>0</v>
      </c>
      <c r="N642" s="422">
        <f t="shared" si="88"/>
        <v>0</v>
      </c>
    </row>
    <row r="643" spans="1:14" ht="13.2" customHeight="1" x14ac:dyDescent="0.3">
      <c r="A643" s="365">
        <f t="shared" si="89"/>
        <v>19</v>
      </c>
      <c r="B643" s="370" t="s">
        <v>826</v>
      </c>
      <c r="C643" s="371"/>
      <c r="D643" s="371"/>
      <c r="E643" s="367" t="s">
        <v>399</v>
      </c>
      <c r="F643" s="527"/>
      <c r="G643" s="527"/>
      <c r="H643" s="539"/>
      <c r="I643" s="372">
        <f t="shared" si="85"/>
        <v>0</v>
      </c>
      <c r="J643" s="372"/>
      <c r="K643" s="372">
        <f>'RAB Pasang'!K643*40%</f>
        <v>145932</v>
      </c>
      <c r="L643" s="387">
        <f t="shared" si="86"/>
        <v>0</v>
      </c>
      <c r="M643" s="387">
        <f t="shared" si="87"/>
        <v>0</v>
      </c>
      <c r="N643" s="422">
        <f t="shared" si="88"/>
        <v>0</v>
      </c>
    </row>
    <row r="644" spans="1:14" ht="13.2" customHeight="1" x14ac:dyDescent="0.3">
      <c r="A644" s="365">
        <f t="shared" si="89"/>
        <v>20</v>
      </c>
      <c r="B644" s="370" t="s">
        <v>827</v>
      </c>
      <c r="C644" s="371"/>
      <c r="D644" s="371"/>
      <c r="E644" s="367" t="s">
        <v>399</v>
      </c>
      <c r="F644" s="527"/>
      <c r="G644" s="527"/>
      <c r="H644" s="539"/>
      <c r="I644" s="372">
        <f t="shared" si="85"/>
        <v>0</v>
      </c>
      <c r="J644" s="372"/>
      <c r="K644" s="372">
        <f>'RAB Pasang'!K644*40%</f>
        <v>145932</v>
      </c>
      <c r="L644" s="387">
        <f t="shared" si="86"/>
        <v>0</v>
      </c>
      <c r="M644" s="387">
        <f t="shared" si="87"/>
        <v>0</v>
      </c>
      <c r="N644" s="422">
        <f t="shared" si="88"/>
        <v>0</v>
      </c>
    </row>
    <row r="645" spans="1:14" ht="13.2" customHeight="1" x14ac:dyDescent="0.3">
      <c r="A645" s="365">
        <f t="shared" si="89"/>
        <v>21</v>
      </c>
      <c r="B645" s="370" t="s">
        <v>1036</v>
      </c>
      <c r="C645" s="371"/>
      <c r="D645" s="371"/>
      <c r="E645" s="367" t="s">
        <v>399</v>
      </c>
      <c r="F645" s="527"/>
      <c r="G645" s="527"/>
      <c r="H645" s="539"/>
      <c r="I645" s="372">
        <f t="shared" si="85"/>
        <v>0</v>
      </c>
      <c r="J645" s="372"/>
      <c r="K645" s="372">
        <f>'RAB Pasang'!K645*40%</f>
        <v>238388</v>
      </c>
      <c r="L645" s="387">
        <f t="shared" si="86"/>
        <v>0</v>
      </c>
      <c r="M645" s="387">
        <f t="shared" si="87"/>
        <v>0</v>
      </c>
      <c r="N645" s="422">
        <f t="shared" si="88"/>
        <v>0</v>
      </c>
    </row>
    <row r="646" spans="1:14" ht="13.2" customHeight="1" x14ac:dyDescent="0.3">
      <c r="A646" s="365">
        <f t="shared" si="89"/>
        <v>22</v>
      </c>
      <c r="B646" s="370" t="s">
        <v>1037</v>
      </c>
      <c r="C646" s="371"/>
      <c r="D646" s="371"/>
      <c r="E646" s="367" t="s">
        <v>399</v>
      </c>
      <c r="F646" s="527"/>
      <c r="G646" s="527"/>
      <c r="H646" s="539"/>
      <c r="I646" s="372">
        <f t="shared" si="85"/>
        <v>0</v>
      </c>
      <c r="J646" s="372"/>
      <c r="K646" s="372">
        <f>'RAB Pasang'!K646*40%</f>
        <v>238388</v>
      </c>
      <c r="L646" s="387">
        <f t="shared" si="86"/>
        <v>0</v>
      </c>
      <c r="M646" s="387">
        <f t="shared" si="87"/>
        <v>0</v>
      </c>
      <c r="N646" s="422">
        <f t="shared" si="88"/>
        <v>0</v>
      </c>
    </row>
    <row r="647" spans="1:14" ht="13.2" customHeight="1" x14ac:dyDescent="0.3">
      <c r="A647" s="365">
        <f t="shared" si="89"/>
        <v>23</v>
      </c>
      <c r="B647" s="370" t="s">
        <v>1045</v>
      </c>
      <c r="C647" s="371"/>
      <c r="D647" s="371"/>
      <c r="E647" s="367" t="s">
        <v>399</v>
      </c>
      <c r="F647" s="527"/>
      <c r="G647" s="527"/>
      <c r="H647" s="539"/>
      <c r="I647" s="372">
        <f t="shared" si="85"/>
        <v>0</v>
      </c>
      <c r="J647" s="372"/>
      <c r="K647" s="372">
        <f>'RAB Pasang'!K647*40%</f>
        <v>238388</v>
      </c>
      <c r="L647" s="387">
        <f t="shared" si="86"/>
        <v>0</v>
      </c>
      <c r="M647" s="387">
        <f t="shared" si="87"/>
        <v>0</v>
      </c>
      <c r="N647" s="422">
        <f t="shared" si="88"/>
        <v>0</v>
      </c>
    </row>
    <row r="648" spans="1:14" ht="13.2" customHeight="1" x14ac:dyDescent="0.3">
      <c r="A648" s="365">
        <f t="shared" si="89"/>
        <v>24</v>
      </c>
      <c r="B648" s="370" t="s">
        <v>1038</v>
      </c>
      <c r="C648" s="371"/>
      <c r="D648" s="371"/>
      <c r="E648" s="367" t="s">
        <v>399</v>
      </c>
      <c r="F648" s="527"/>
      <c r="G648" s="527"/>
      <c r="H648" s="539"/>
      <c r="I648" s="372">
        <f t="shared" si="85"/>
        <v>0</v>
      </c>
      <c r="J648" s="372"/>
      <c r="K648" s="372">
        <f>'RAB Pasang'!K648*40%</f>
        <v>238388</v>
      </c>
      <c r="L648" s="387">
        <f t="shared" si="86"/>
        <v>0</v>
      </c>
      <c r="M648" s="387">
        <f t="shared" si="87"/>
        <v>0</v>
      </c>
      <c r="N648" s="422">
        <f t="shared" si="88"/>
        <v>0</v>
      </c>
    </row>
    <row r="649" spans="1:14" ht="13.2" customHeight="1" x14ac:dyDescent="0.3">
      <c r="A649" s="365">
        <f t="shared" si="89"/>
        <v>25</v>
      </c>
      <c r="B649" s="370" t="s">
        <v>1039</v>
      </c>
      <c r="C649" s="371"/>
      <c r="D649" s="371"/>
      <c r="E649" s="367" t="s">
        <v>399</v>
      </c>
      <c r="F649" s="527"/>
      <c r="G649" s="527"/>
      <c r="H649" s="539"/>
      <c r="I649" s="372">
        <f t="shared" si="85"/>
        <v>0</v>
      </c>
      <c r="J649" s="372"/>
      <c r="K649" s="372">
        <f>'RAB Pasang'!K649*40%</f>
        <v>238388</v>
      </c>
      <c r="L649" s="387">
        <f t="shared" si="86"/>
        <v>0</v>
      </c>
      <c r="M649" s="387">
        <f t="shared" si="87"/>
        <v>0</v>
      </c>
      <c r="N649" s="422">
        <f t="shared" si="88"/>
        <v>0</v>
      </c>
    </row>
    <row r="650" spans="1:14" ht="13.2" customHeight="1" x14ac:dyDescent="0.3">
      <c r="A650" s="365">
        <f t="shared" si="89"/>
        <v>26</v>
      </c>
      <c r="B650" s="370" t="s">
        <v>1040</v>
      </c>
      <c r="C650" s="371"/>
      <c r="D650" s="371"/>
      <c r="E650" s="367" t="s">
        <v>399</v>
      </c>
      <c r="F650" s="527"/>
      <c r="G650" s="527"/>
      <c r="H650" s="539"/>
      <c r="I650" s="372">
        <f t="shared" si="85"/>
        <v>0</v>
      </c>
      <c r="J650" s="372"/>
      <c r="K650" s="372">
        <f>'RAB Pasang'!K650*40%</f>
        <v>204332</v>
      </c>
      <c r="L650" s="387">
        <f t="shared" si="86"/>
        <v>0</v>
      </c>
      <c r="M650" s="387">
        <f t="shared" si="87"/>
        <v>0</v>
      </c>
      <c r="N650" s="422">
        <f t="shared" si="88"/>
        <v>0</v>
      </c>
    </row>
    <row r="651" spans="1:14" ht="13.2" customHeight="1" x14ac:dyDescent="0.3">
      <c r="A651" s="365">
        <f t="shared" si="89"/>
        <v>27</v>
      </c>
      <c r="B651" s="370" t="s">
        <v>1041</v>
      </c>
      <c r="C651" s="371"/>
      <c r="D651" s="371"/>
      <c r="E651" s="367" t="s">
        <v>399</v>
      </c>
      <c r="F651" s="527"/>
      <c r="G651" s="527"/>
      <c r="H651" s="539"/>
      <c r="I651" s="372">
        <f t="shared" si="85"/>
        <v>0</v>
      </c>
      <c r="J651" s="372"/>
      <c r="K651" s="372">
        <f>'RAB Pasang'!K651*40%</f>
        <v>204332</v>
      </c>
      <c r="L651" s="387">
        <f t="shared" si="86"/>
        <v>0</v>
      </c>
      <c r="M651" s="387">
        <f t="shared" si="87"/>
        <v>0</v>
      </c>
      <c r="N651" s="422">
        <f t="shared" si="88"/>
        <v>0</v>
      </c>
    </row>
    <row r="652" spans="1:14" ht="13.2" customHeight="1" x14ac:dyDescent="0.3">
      <c r="A652" s="365">
        <f t="shared" si="89"/>
        <v>28</v>
      </c>
      <c r="B652" s="370" t="s">
        <v>1042</v>
      </c>
      <c r="C652" s="371"/>
      <c r="D652" s="371"/>
      <c r="E652" s="367" t="s">
        <v>399</v>
      </c>
      <c r="F652" s="527"/>
      <c r="G652" s="527"/>
      <c r="H652" s="539"/>
      <c r="I652" s="372">
        <f t="shared" si="85"/>
        <v>0</v>
      </c>
      <c r="J652" s="372"/>
      <c r="K652" s="372">
        <f>'RAB Pasang'!K652*40%</f>
        <v>204332</v>
      </c>
      <c r="L652" s="387">
        <f t="shared" si="86"/>
        <v>0</v>
      </c>
      <c r="M652" s="387">
        <f t="shared" si="87"/>
        <v>0</v>
      </c>
      <c r="N652" s="422">
        <f t="shared" si="88"/>
        <v>0</v>
      </c>
    </row>
    <row r="653" spans="1:14" ht="13.2" customHeight="1" x14ac:dyDescent="0.3">
      <c r="A653" s="365">
        <f t="shared" si="89"/>
        <v>29</v>
      </c>
      <c r="B653" s="370" t="s">
        <v>1043</v>
      </c>
      <c r="C653" s="371"/>
      <c r="D653" s="371"/>
      <c r="E653" s="367" t="s">
        <v>399</v>
      </c>
      <c r="F653" s="527"/>
      <c r="G653" s="527"/>
      <c r="H653" s="539"/>
      <c r="I653" s="372">
        <f t="shared" si="85"/>
        <v>0</v>
      </c>
      <c r="J653" s="372"/>
      <c r="K653" s="372">
        <f>'RAB Pasang'!K653*40%</f>
        <v>204332</v>
      </c>
      <c r="L653" s="387">
        <f t="shared" si="86"/>
        <v>0</v>
      </c>
      <c r="M653" s="387">
        <f t="shared" si="87"/>
        <v>0</v>
      </c>
      <c r="N653" s="422">
        <f t="shared" si="88"/>
        <v>0</v>
      </c>
    </row>
    <row r="654" spans="1:14" ht="13.2" customHeight="1" x14ac:dyDescent="0.3">
      <c r="A654" s="365">
        <f t="shared" si="89"/>
        <v>30</v>
      </c>
      <c r="B654" s="370" t="s">
        <v>1044</v>
      </c>
      <c r="C654" s="371"/>
      <c r="D654" s="371"/>
      <c r="E654" s="367" t="s">
        <v>399</v>
      </c>
      <c r="F654" s="527"/>
      <c r="G654" s="527"/>
      <c r="H654" s="539"/>
      <c r="I654" s="372">
        <f t="shared" si="85"/>
        <v>0</v>
      </c>
      <c r="J654" s="372"/>
      <c r="K654" s="372">
        <f>'RAB Pasang'!K654*40%</f>
        <v>204332</v>
      </c>
      <c r="L654" s="387">
        <f t="shared" si="86"/>
        <v>0</v>
      </c>
      <c r="M654" s="387">
        <f t="shared" si="87"/>
        <v>0</v>
      </c>
      <c r="N654" s="422">
        <f t="shared" si="88"/>
        <v>0</v>
      </c>
    </row>
    <row r="655" spans="1:14" ht="14.4" customHeight="1" x14ac:dyDescent="0.3">
      <c r="A655" s="485"/>
      <c r="B655" s="497" t="s">
        <v>1715</v>
      </c>
      <c r="C655" s="487"/>
      <c r="D655" s="487"/>
      <c r="E655" s="488"/>
      <c r="F655" s="492"/>
      <c r="G655" s="492"/>
      <c r="H655" s="492"/>
      <c r="I655" s="543"/>
      <c r="J655" s="492"/>
      <c r="K655" s="492"/>
      <c r="L655" s="490">
        <f t="shared" ref="L655:N655" si="90">SUM(L625:L654)</f>
        <v>0</v>
      </c>
      <c r="M655" s="490">
        <f t="shared" si="90"/>
        <v>0</v>
      </c>
      <c r="N655" s="491">
        <f t="shared" si="90"/>
        <v>0</v>
      </c>
    </row>
    <row r="657" spans="1:14" ht="15" customHeight="1" x14ac:dyDescent="0.3">
      <c r="A657" s="495" t="s">
        <v>618</v>
      </c>
      <c r="B657" s="478" t="s">
        <v>1449</v>
      </c>
      <c r="C657" s="480"/>
      <c r="D657" s="480"/>
      <c r="E657" s="493"/>
      <c r="F657" s="579"/>
      <c r="G657" s="579"/>
      <c r="H657" s="579"/>
      <c r="I657" s="494"/>
      <c r="J657" s="494"/>
      <c r="K657" s="494"/>
      <c r="L657" s="484"/>
      <c r="M657" s="484"/>
      <c r="N657" s="496"/>
    </row>
    <row r="658" spans="1:14" ht="13.2" customHeight="1" x14ac:dyDescent="0.3">
      <c r="A658" s="365">
        <v>1</v>
      </c>
      <c r="B658" s="370" t="s">
        <v>1236</v>
      </c>
      <c r="C658" s="371"/>
      <c r="D658" s="371"/>
      <c r="E658" s="367" t="s">
        <v>399</v>
      </c>
      <c r="F658" s="527"/>
      <c r="G658" s="539"/>
      <c r="H658" s="539"/>
      <c r="I658" s="372">
        <f t="shared" ref="I658:I721" si="91">SUM(F658:H658)</f>
        <v>0</v>
      </c>
      <c r="J658" s="372"/>
      <c r="K658" s="372">
        <f>'RAB Pasang'!K658*40%</f>
        <v>71260</v>
      </c>
      <c r="L658" s="387">
        <f t="shared" ref="L658:L721" si="92">J658*I658</f>
        <v>0</v>
      </c>
      <c r="M658" s="387">
        <f t="shared" ref="M658:M721" si="93">K658*I658</f>
        <v>0</v>
      </c>
      <c r="N658" s="422">
        <f t="shared" ref="N658:N721" si="94">SUM(L658:M658)</f>
        <v>0</v>
      </c>
    </row>
    <row r="659" spans="1:14" ht="13.2" customHeight="1" x14ac:dyDescent="0.3">
      <c r="A659" s="365">
        <f>A658+1</f>
        <v>2</v>
      </c>
      <c r="B659" s="370" t="s">
        <v>1243</v>
      </c>
      <c r="C659" s="371"/>
      <c r="D659" s="371"/>
      <c r="E659" s="367" t="s">
        <v>399</v>
      </c>
      <c r="F659" s="527"/>
      <c r="G659" s="539"/>
      <c r="H659" s="539"/>
      <c r="I659" s="372">
        <f t="shared" si="91"/>
        <v>0</v>
      </c>
      <c r="J659" s="372"/>
      <c r="K659" s="372">
        <f>'RAB Pasang'!K659*40%</f>
        <v>71260</v>
      </c>
      <c r="L659" s="387">
        <f t="shared" si="92"/>
        <v>0</v>
      </c>
      <c r="M659" s="387">
        <f t="shared" si="93"/>
        <v>0</v>
      </c>
      <c r="N659" s="422">
        <f t="shared" si="94"/>
        <v>0</v>
      </c>
    </row>
    <row r="660" spans="1:14" ht="13.2" customHeight="1" x14ac:dyDescent="0.3">
      <c r="A660" s="365">
        <f t="shared" ref="A660:A723" si="95">A659+1</f>
        <v>3</v>
      </c>
      <c r="B660" s="370" t="s">
        <v>1244</v>
      </c>
      <c r="C660" s="371"/>
      <c r="D660" s="371"/>
      <c r="E660" s="367" t="s">
        <v>399</v>
      </c>
      <c r="F660" s="527"/>
      <c r="G660" s="539"/>
      <c r="H660" s="539"/>
      <c r="I660" s="372">
        <f t="shared" si="91"/>
        <v>0</v>
      </c>
      <c r="J660" s="372"/>
      <c r="K660" s="372">
        <f>'RAB Pasang'!K660*40%</f>
        <v>71260</v>
      </c>
      <c r="L660" s="387">
        <f t="shared" si="92"/>
        <v>0</v>
      </c>
      <c r="M660" s="387">
        <f t="shared" si="93"/>
        <v>0</v>
      </c>
      <c r="N660" s="422">
        <f t="shared" si="94"/>
        <v>0</v>
      </c>
    </row>
    <row r="661" spans="1:14" ht="13.2" customHeight="1" x14ac:dyDescent="0.3">
      <c r="A661" s="365">
        <f t="shared" si="95"/>
        <v>4</v>
      </c>
      <c r="B661" s="370" t="s">
        <v>1245</v>
      </c>
      <c r="C661" s="371"/>
      <c r="D661" s="371"/>
      <c r="E661" s="367" t="s">
        <v>399</v>
      </c>
      <c r="F661" s="527"/>
      <c r="G661" s="539"/>
      <c r="H661" s="539"/>
      <c r="I661" s="372">
        <f t="shared" si="91"/>
        <v>0</v>
      </c>
      <c r="J661" s="372"/>
      <c r="K661" s="372">
        <f>'RAB Pasang'!K661*40%</f>
        <v>71260</v>
      </c>
      <c r="L661" s="387">
        <f t="shared" si="92"/>
        <v>0</v>
      </c>
      <c r="M661" s="387">
        <f t="shared" si="93"/>
        <v>0</v>
      </c>
      <c r="N661" s="422">
        <f t="shared" si="94"/>
        <v>0</v>
      </c>
    </row>
    <row r="662" spans="1:14" ht="13.2" customHeight="1" x14ac:dyDescent="0.3">
      <c r="A662" s="365">
        <f t="shared" si="95"/>
        <v>5</v>
      </c>
      <c r="B662" s="370" t="s">
        <v>1246</v>
      </c>
      <c r="C662" s="371"/>
      <c r="D662" s="371"/>
      <c r="E662" s="367" t="s">
        <v>399</v>
      </c>
      <c r="F662" s="527"/>
      <c r="G662" s="539"/>
      <c r="H662" s="539"/>
      <c r="I662" s="372">
        <f t="shared" si="91"/>
        <v>0</v>
      </c>
      <c r="J662" s="372"/>
      <c r="K662" s="372">
        <f>'RAB Pasang'!K662*40%</f>
        <v>71260</v>
      </c>
      <c r="L662" s="387">
        <f t="shared" si="92"/>
        <v>0</v>
      </c>
      <c r="M662" s="387">
        <f t="shared" si="93"/>
        <v>0</v>
      </c>
      <c r="N662" s="422">
        <f t="shared" si="94"/>
        <v>0</v>
      </c>
    </row>
    <row r="663" spans="1:14" ht="13.2" customHeight="1" x14ac:dyDescent="0.3">
      <c r="A663" s="365">
        <f t="shared" si="95"/>
        <v>6</v>
      </c>
      <c r="B663" s="370" t="s">
        <v>2297</v>
      </c>
      <c r="C663" s="371"/>
      <c r="D663" s="371"/>
      <c r="E663" s="367" t="s">
        <v>399</v>
      </c>
      <c r="F663" s="527"/>
      <c r="G663" s="539"/>
      <c r="H663" s="539"/>
      <c r="I663" s="372">
        <f t="shared" si="91"/>
        <v>0</v>
      </c>
      <c r="J663" s="372"/>
      <c r="K663" s="372">
        <f>'RAB Pasang'!K663*40%</f>
        <v>89072</v>
      </c>
      <c r="L663" s="387">
        <f t="shared" si="92"/>
        <v>0</v>
      </c>
      <c r="M663" s="387">
        <f t="shared" si="93"/>
        <v>0</v>
      </c>
      <c r="N663" s="422">
        <f t="shared" si="94"/>
        <v>0</v>
      </c>
    </row>
    <row r="664" spans="1:14" ht="13.2" customHeight="1" x14ac:dyDescent="0.3">
      <c r="A664" s="365">
        <f t="shared" si="95"/>
        <v>7</v>
      </c>
      <c r="B664" s="370" t="s">
        <v>2298</v>
      </c>
      <c r="C664" s="371"/>
      <c r="D664" s="371"/>
      <c r="E664" s="367" t="s">
        <v>399</v>
      </c>
      <c r="F664" s="527"/>
      <c r="G664" s="539"/>
      <c r="H664" s="539"/>
      <c r="I664" s="372">
        <f t="shared" si="91"/>
        <v>0</v>
      </c>
      <c r="J664" s="372"/>
      <c r="K664" s="372">
        <f>'RAB Pasang'!K664*40%</f>
        <v>89072</v>
      </c>
      <c r="L664" s="387">
        <f t="shared" si="92"/>
        <v>0</v>
      </c>
      <c r="M664" s="387">
        <f t="shared" si="93"/>
        <v>0</v>
      </c>
      <c r="N664" s="422">
        <f t="shared" si="94"/>
        <v>0</v>
      </c>
    </row>
    <row r="665" spans="1:14" ht="13.2" customHeight="1" x14ac:dyDescent="0.3">
      <c r="A665" s="365">
        <f t="shared" si="95"/>
        <v>8</v>
      </c>
      <c r="B665" s="370" t="s">
        <v>2036</v>
      </c>
      <c r="C665" s="371"/>
      <c r="D665" s="371"/>
      <c r="E665" s="367" t="s">
        <v>399</v>
      </c>
      <c r="F665" s="527"/>
      <c r="G665" s="539"/>
      <c r="H665" s="539"/>
      <c r="I665" s="372">
        <f t="shared" si="91"/>
        <v>0</v>
      </c>
      <c r="J665" s="372"/>
      <c r="K665" s="372">
        <f>'RAB Pasang'!K665*40%</f>
        <v>89072</v>
      </c>
      <c r="L665" s="387">
        <f t="shared" si="92"/>
        <v>0</v>
      </c>
      <c r="M665" s="387">
        <f t="shared" si="93"/>
        <v>0</v>
      </c>
      <c r="N665" s="422">
        <f t="shared" si="94"/>
        <v>0</v>
      </c>
    </row>
    <row r="666" spans="1:14" ht="13.2" customHeight="1" x14ac:dyDescent="0.3">
      <c r="A666" s="365">
        <f t="shared" si="95"/>
        <v>9</v>
      </c>
      <c r="B666" s="370" t="s">
        <v>2037</v>
      </c>
      <c r="C666" s="371"/>
      <c r="D666" s="371"/>
      <c r="E666" s="367" t="s">
        <v>399</v>
      </c>
      <c r="F666" s="527"/>
      <c r="G666" s="539"/>
      <c r="H666" s="539"/>
      <c r="I666" s="372">
        <f t="shared" si="91"/>
        <v>0</v>
      </c>
      <c r="J666" s="372"/>
      <c r="K666" s="372">
        <f>'RAB Pasang'!K666*40%</f>
        <v>89072</v>
      </c>
      <c r="L666" s="387">
        <f t="shared" si="92"/>
        <v>0</v>
      </c>
      <c r="M666" s="387">
        <f t="shared" si="93"/>
        <v>0</v>
      </c>
      <c r="N666" s="422">
        <f t="shared" si="94"/>
        <v>0</v>
      </c>
    </row>
    <row r="667" spans="1:14" ht="13.2" customHeight="1" x14ac:dyDescent="0.3">
      <c r="A667" s="365">
        <f t="shared" si="95"/>
        <v>10</v>
      </c>
      <c r="B667" s="370" t="s">
        <v>2038</v>
      </c>
      <c r="C667" s="371"/>
      <c r="D667" s="371"/>
      <c r="E667" s="367" t="s">
        <v>399</v>
      </c>
      <c r="F667" s="527"/>
      <c r="G667" s="539"/>
      <c r="H667" s="539"/>
      <c r="I667" s="372">
        <f t="shared" si="91"/>
        <v>0</v>
      </c>
      <c r="J667" s="372"/>
      <c r="K667" s="372">
        <f>'RAB Pasang'!K667*40%</f>
        <v>89072</v>
      </c>
      <c r="L667" s="387">
        <f t="shared" si="92"/>
        <v>0</v>
      </c>
      <c r="M667" s="387">
        <f t="shared" si="93"/>
        <v>0</v>
      </c>
      <c r="N667" s="422">
        <f t="shared" si="94"/>
        <v>0</v>
      </c>
    </row>
    <row r="668" spans="1:14" ht="13.2" customHeight="1" x14ac:dyDescent="0.3">
      <c r="A668" s="365">
        <f t="shared" si="95"/>
        <v>11</v>
      </c>
      <c r="B668" s="370" t="s">
        <v>2039</v>
      </c>
      <c r="C668" s="371"/>
      <c r="D668" s="371"/>
      <c r="E668" s="367" t="s">
        <v>399</v>
      </c>
      <c r="F668" s="527"/>
      <c r="G668" s="539"/>
      <c r="H668" s="539"/>
      <c r="I668" s="372">
        <f t="shared" si="91"/>
        <v>0</v>
      </c>
      <c r="J668" s="372"/>
      <c r="K668" s="372">
        <f>'RAB Pasang'!K668*40%</f>
        <v>89072</v>
      </c>
      <c r="L668" s="387">
        <f t="shared" si="92"/>
        <v>0</v>
      </c>
      <c r="M668" s="387">
        <f t="shared" si="93"/>
        <v>0</v>
      </c>
      <c r="N668" s="422">
        <f t="shared" si="94"/>
        <v>0</v>
      </c>
    </row>
    <row r="669" spans="1:14" ht="13.2" customHeight="1" x14ac:dyDescent="0.3">
      <c r="A669" s="365">
        <f t="shared" si="95"/>
        <v>12</v>
      </c>
      <c r="B669" s="370" t="s">
        <v>2040</v>
      </c>
      <c r="C669" s="371"/>
      <c r="D669" s="371"/>
      <c r="E669" s="367" t="s">
        <v>399</v>
      </c>
      <c r="F669" s="527"/>
      <c r="G669" s="539"/>
      <c r="H669" s="539"/>
      <c r="I669" s="372">
        <f t="shared" si="91"/>
        <v>0</v>
      </c>
      <c r="J669" s="372"/>
      <c r="K669" s="372">
        <f>'RAB Pasang'!K669*40%</f>
        <v>89072</v>
      </c>
      <c r="L669" s="387">
        <f t="shared" si="92"/>
        <v>0</v>
      </c>
      <c r="M669" s="387">
        <f t="shared" si="93"/>
        <v>0</v>
      </c>
      <c r="N669" s="422">
        <f t="shared" si="94"/>
        <v>0</v>
      </c>
    </row>
    <row r="670" spans="1:14" ht="13.2" customHeight="1" x14ac:dyDescent="0.3">
      <c r="A670" s="365">
        <f t="shared" si="95"/>
        <v>13</v>
      </c>
      <c r="B670" s="370" t="s">
        <v>2041</v>
      </c>
      <c r="C670" s="371"/>
      <c r="D670" s="371"/>
      <c r="E670" s="367" t="s">
        <v>399</v>
      </c>
      <c r="F670" s="527"/>
      <c r="G670" s="539"/>
      <c r="H670" s="539"/>
      <c r="I670" s="372">
        <f t="shared" si="91"/>
        <v>0</v>
      </c>
      <c r="J670" s="372"/>
      <c r="K670" s="372">
        <f>'RAB Pasang'!K670*40%</f>
        <v>89072</v>
      </c>
      <c r="L670" s="387">
        <f t="shared" si="92"/>
        <v>0</v>
      </c>
      <c r="M670" s="387">
        <f t="shared" si="93"/>
        <v>0</v>
      </c>
      <c r="N670" s="422">
        <f t="shared" si="94"/>
        <v>0</v>
      </c>
    </row>
    <row r="671" spans="1:14" ht="13.2" customHeight="1" x14ac:dyDescent="0.3">
      <c r="A671" s="365">
        <f t="shared" si="95"/>
        <v>14</v>
      </c>
      <c r="B671" s="370" t="s">
        <v>2042</v>
      </c>
      <c r="C671" s="371"/>
      <c r="D671" s="371"/>
      <c r="E671" s="367" t="s">
        <v>399</v>
      </c>
      <c r="F671" s="527"/>
      <c r="G671" s="539"/>
      <c r="H671" s="539"/>
      <c r="I671" s="372">
        <f t="shared" si="91"/>
        <v>0</v>
      </c>
      <c r="J671" s="372"/>
      <c r="K671" s="372">
        <f>'RAB Pasang'!K671*40%</f>
        <v>89072</v>
      </c>
      <c r="L671" s="387">
        <f t="shared" si="92"/>
        <v>0</v>
      </c>
      <c r="M671" s="387">
        <f t="shared" si="93"/>
        <v>0</v>
      </c>
      <c r="N671" s="422">
        <f t="shared" si="94"/>
        <v>0</v>
      </c>
    </row>
    <row r="672" spans="1:14" ht="13.2" customHeight="1" x14ac:dyDescent="0.3">
      <c r="A672" s="365">
        <f t="shared" si="95"/>
        <v>15</v>
      </c>
      <c r="B672" s="370" t="s">
        <v>2043</v>
      </c>
      <c r="C672" s="371"/>
      <c r="D672" s="371"/>
      <c r="E672" s="367" t="s">
        <v>399</v>
      </c>
      <c r="F672" s="527"/>
      <c r="G672" s="539"/>
      <c r="H672" s="539"/>
      <c r="I672" s="372">
        <f t="shared" si="91"/>
        <v>0</v>
      </c>
      <c r="J672" s="372"/>
      <c r="K672" s="372">
        <f>'RAB Pasang'!K672*40%</f>
        <v>89072</v>
      </c>
      <c r="L672" s="387">
        <f t="shared" si="92"/>
        <v>0</v>
      </c>
      <c r="M672" s="387">
        <f t="shared" si="93"/>
        <v>0</v>
      </c>
      <c r="N672" s="422">
        <f t="shared" si="94"/>
        <v>0</v>
      </c>
    </row>
    <row r="673" spans="1:14" ht="13.2" customHeight="1" x14ac:dyDescent="0.3">
      <c r="A673" s="365">
        <f t="shared" si="95"/>
        <v>16</v>
      </c>
      <c r="B673" s="370" t="s">
        <v>2044</v>
      </c>
      <c r="C673" s="371"/>
      <c r="D673" s="371"/>
      <c r="E673" s="367" t="s">
        <v>399</v>
      </c>
      <c r="F673" s="527"/>
      <c r="G673" s="539"/>
      <c r="H673" s="539"/>
      <c r="I673" s="372">
        <f t="shared" si="91"/>
        <v>0</v>
      </c>
      <c r="J673" s="372"/>
      <c r="K673" s="372">
        <f>'RAB Pasang'!K673*40%</f>
        <v>89072</v>
      </c>
      <c r="L673" s="387">
        <f t="shared" si="92"/>
        <v>0</v>
      </c>
      <c r="M673" s="387">
        <f t="shared" si="93"/>
        <v>0</v>
      </c>
      <c r="N673" s="422">
        <f t="shared" si="94"/>
        <v>0</v>
      </c>
    </row>
    <row r="674" spans="1:14" ht="13.2" customHeight="1" x14ac:dyDescent="0.3">
      <c r="A674" s="365">
        <f t="shared" si="95"/>
        <v>17</v>
      </c>
      <c r="B674" s="370" t="s">
        <v>2045</v>
      </c>
      <c r="C674" s="371"/>
      <c r="D674" s="371"/>
      <c r="E674" s="367" t="s">
        <v>399</v>
      </c>
      <c r="F674" s="527"/>
      <c r="G674" s="539"/>
      <c r="H674" s="539"/>
      <c r="I674" s="372">
        <f t="shared" si="91"/>
        <v>0</v>
      </c>
      <c r="J674" s="372"/>
      <c r="K674" s="372">
        <f>'RAB Pasang'!K674*40%</f>
        <v>89072</v>
      </c>
      <c r="L674" s="387">
        <f t="shared" si="92"/>
        <v>0</v>
      </c>
      <c r="M674" s="387">
        <f t="shared" si="93"/>
        <v>0</v>
      </c>
      <c r="N674" s="422">
        <f t="shared" si="94"/>
        <v>0</v>
      </c>
    </row>
    <row r="675" spans="1:14" ht="13.2" customHeight="1" x14ac:dyDescent="0.3">
      <c r="A675" s="365">
        <f t="shared" si="95"/>
        <v>18</v>
      </c>
      <c r="B675" s="370" t="s">
        <v>2046</v>
      </c>
      <c r="C675" s="371"/>
      <c r="D675" s="371"/>
      <c r="E675" s="367" t="s">
        <v>399</v>
      </c>
      <c r="F675" s="527"/>
      <c r="G675" s="539"/>
      <c r="H675" s="539"/>
      <c r="I675" s="372">
        <f t="shared" si="91"/>
        <v>0</v>
      </c>
      <c r="J675" s="372"/>
      <c r="K675" s="372">
        <f>'RAB Pasang'!K675*40%</f>
        <v>89072</v>
      </c>
      <c r="L675" s="387">
        <f t="shared" si="92"/>
        <v>0</v>
      </c>
      <c r="M675" s="387">
        <f t="shared" si="93"/>
        <v>0</v>
      </c>
      <c r="N675" s="422">
        <f t="shared" si="94"/>
        <v>0</v>
      </c>
    </row>
    <row r="676" spans="1:14" ht="13.2" customHeight="1" x14ac:dyDescent="0.3">
      <c r="A676" s="365">
        <f t="shared" si="95"/>
        <v>19</v>
      </c>
      <c r="B676" s="370" t="s">
        <v>2047</v>
      </c>
      <c r="C676" s="371"/>
      <c r="D676" s="371"/>
      <c r="E676" s="367" t="s">
        <v>399</v>
      </c>
      <c r="F676" s="527"/>
      <c r="G676" s="539"/>
      <c r="H676" s="539"/>
      <c r="I676" s="372">
        <f t="shared" si="91"/>
        <v>0</v>
      </c>
      <c r="J676" s="372"/>
      <c r="K676" s="372">
        <f>'RAB Pasang'!K676*40%</f>
        <v>89072</v>
      </c>
      <c r="L676" s="387">
        <f t="shared" si="92"/>
        <v>0</v>
      </c>
      <c r="M676" s="387">
        <f t="shared" si="93"/>
        <v>0</v>
      </c>
      <c r="N676" s="422">
        <f t="shared" si="94"/>
        <v>0</v>
      </c>
    </row>
    <row r="677" spans="1:14" ht="13.2" customHeight="1" x14ac:dyDescent="0.3">
      <c r="A677" s="365">
        <f t="shared" si="95"/>
        <v>20</v>
      </c>
      <c r="B677" s="370" t="s">
        <v>2048</v>
      </c>
      <c r="C677" s="371"/>
      <c r="D677" s="371"/>
      <c r="E677" s="367" t="s">
        <v>399</v>
      </c>
      <c r="F677" s="527"/>
      <c r="G677" s="539"/>
      <c r="H677" s="539"/>
      <c r="I677" s="372">
        <f t="shared" si="91"/>
        <v>0</v>
      </c>
      <c r="J677" s="372"/>
      <c r="K677" s="372">
        <f>'RAB Pasang'!K677*40%</f>
        <v>89072</v>
      </c>
      <c r="L677" s="387">
        <f t="shared" si="92"/>
        <v>0</v>
      </c>
      <c r="M677" s="387">
        <f t="shared" si="93"/>
        <v>0</v>
      </c>
      <c r="N677" s="422">
        <f t="shared" si="94"/>
        <v>0</v>
      </c>
    </row>
    <row r="678" spans="1:14" ht="13.2" customHeight="1" x14ac:dyDescent="0.3">
      <c r="A678" s="365">
        <f t="shared" si="95"/>
        <v>21</v>
      </c>
      <c r="B678" s="370" t="s">
        <v>2049</v>
      </c>
      <c r="C678" s="371"/>
      <c r="D678" s="371"/>
      <c r="E678" s="367" t="s">
        <v>399</v>
      </c>
      <c r="F678" s="527"/>
      <c r="G678" s="539"/>
      <c r="H678" s="539"/>
      <c r="I678" s="372">
        <f t="shared" si="91"/>
        <v>0</v>
      </c>
      <c r="J678" s="372"/>
      <c r="K678" s="372">
        <f>'RAB Pasang'!K678*40%</f>
        <v>83832</v>
      </c>
      <c r="L678" s="387">
        <f t="shared" si="92"/>
        <v>0</v>
      </c>
      <c r="M678" s="387">
        <f t="shared" si="93"/>
        <v>0</v>
      </c>
      <c r="N678" s="422">
        <f t="shared" si="94"/>
        <v>0</v>
      </c>
    </row>
    <row r="679" spans="1:14" ht="13.2" customHeight="1" x14ac:dyDescent="0.3">
      <c r="A679" s="365">
        <f t="shared" si="95"/>
        <v>22</v>
      </c>
      <c r="B679" s="370" t="s">
        <v>2050</v>
      </c>
      <c r="C679" s="371"/>
      <c r="D679" s="371"/>
      <c r="E679" s="367" t="s">
        <v>399</v>
      </c>
      <c r="F679" s="527"/>
      <c r="G679" s="539"/>
      <c r="H679" s="539"/>
      <c r="I679" s="372">
        <f t="shared" si="91"/>
        <v>0</v>
      </c>
      <c r="J679" s="372"/>
      <c r="K679" s="372">
        <f>'RAB Pasang'!K679*40%</f>
        <v>83832</v>
      </c>
      <c r="L679" s="387">
        <f t="shared" si="92"/>
        <v>0</v>
      </c>
      <c r="M679" s="387">
        <f t="shared" si="93"/>
        <v>0</v>
      </c>
      <c r="N679" s="422">
        <f t="shared" si="94"/>
        <v>0</v>
      </c>
    </row>
    <row r="680" spans="1:14" ht="13.2" customHeight="1" x14ac:dyDescent="0.3">
      <c r="A680" s="365">
        <f t="shared" si="95"/>
        <v>23</v>
      </c>
      <c r="B680" s="370" t="s">
        <v>2051</v>
      </c>
      <c r="C680" s="371"/>
      <c r="D680" s="371"/>
      <c r="E680" s="367" t="s">
        <v>399</v>
      </c>
      <c r="F680" s="527"/>
      <c r="G680" s="539"/>
      <c r="H680" s="539"/>
      <c r="I680" s="372">
        <f t="shared" si="91"/>
        <v>0</v>
      </c>
      <c r="J680" s="372"/>
      <c r="K680" s="372">
        <f>'RAB Pasang'!K680*40%</f>
        <v>83832</v>
      </c>
      <c r="L680" s="387">
        <f t="shared" si="92"/>
        <v>0</v>
      </c>
      <c r="M680" s="387">
        <f t="shared" si="93"/>
        <v>0</v>
      </c>
      <c r="N680" s="422">
        <f t="shared" si="94"/>
        <v>0</v>
      </c>
    </row>
    <row r="681" spans="1:14" ht="13.2" customHeight="1" x14ac:dyDescent="0.3">
      <c r="A681" s="365">
        <f t="shared" si="95"/>
        <v>24</v>
      </c>
      <c r="B681" s="370" t="s">
        <v>2052</v>
      </c>
      <c r="C681" s="371"/>
      <c r="D681" s="371"/>
      <c r="E681" s="367" t="s">
        <v>399</v>
      </c>
      <c r="F681" s="527"/>
      <c r="G681" s="539"/>
      <c r="H681" s="539"/>
      <c r="I681" s="372">
        <f t="shared" si="91"/>
        <v>0</v>
      </c>
      <c r="J681" s="372"/>
      <c r="K681" s="372">
        <f>'RAB Pasang'!K681*40%</f>
        <v>83832</v>
      </c>
      <c r="L681" s="387">
        <f t="shared" si="92"/>
        <v>0</v>
      </c>
      <c r="M681" s="387">
        <f t="shared" si="93"/>
        <v>0</v>
      </c>
      <c r="N681" s="422">
        <f t="shared" si="94"/>
        <v>0</v>
      </c>
    </row>
    <row r="682" spans="1:14" ht="13.2" customHeight="1" x14ac:dyDescent="0.3">
      <c r="A682" s="365">
        <f t="shared" si="95"/>
        <v>25</v>
      </c>
      <c r="B682" s="370" t="s">
        <v>2053</v>
      </c>
      <c r="C682" s="371"/>
      <c r="D682" s="371"/>
      <c r="E682" s="367" t="s">
        <v>399</v>
      </c>
      <c r="F682" s="527"/>
      <c r="G682" s="539"/>
      <c r="H682" s="539"/>
      <c r="I682" s="372">
        <f t="shared" si="91"/>
        <v>0</v>
      </c>
      <c r="J682" s="372"/>
      <c r="K682" s="372">
        <f>'RAB Pasang'!K682*40%</f>
        <v>83832</v>
      </c>
      <c r="L682" s="387">
        <f t="shared" si="92"/>
        <v>0</v>
      </c>
      <c r="M682" s="387">
        <f t="shared" si="93"/>
        <v>0</v>
      </c>
      <c r="N682" s="422">
        <f t="shared" si="94"/>
        <v>0</v>
      </c>
    </row>
    <row r="683" spans="1:14" ht="13.2" customHeight="1" x14ac:dyDescent="0.3">
      <c r="A683" s="365">
        <f t="shared" si="95"/>
        <v>26</v>
      </c>
      <c r="B683" s="370" t="s">
        <v>2054</v>
      </c>
      <c r="C683" s="371"/>
      <c r="D683" s="371"/>
      <c r="E683" s="367" t="s">
        <v>399</v>
      </c>
      <c r="F683" s="527"/>
      <c r="G683" s="539"/>
      <c r="H683" s="539"/>
      <c r="I683" s="372">
        <f t="shared" si="91"/>
        <v>0</v>
      </c>
      <c r="J683" s="372"/>
      <c r="K683" s="372">
        <f>'RAB Pasang'!K683*40%</f>
        <v>83832</v>
      </c>
      <c r="L683" s="387">
        <f t="shared" si="92"/>
        <v>0</v>
      </c>
      <c r="M683" s="387">
        <f t="shared" si="93"/>
        <v>0</v>
      </c>
      <c r="N683" s="422">
        <f t="shared" si="94"/>
        <v>0</v>
      </c>
    </row>
    <row r="684" spans="1:14" ht="13.2" customHeight="1" x14ac:dyDescent="0.3">
      <c r="A684" s="365">
        <f t="shared" si="95"/>
        <v>27</v>
      </c>
      <c r="B684" s="370" t="s">
        <v>2055</v>
      </c>
      <c r="C684" s="371"/>
      <c r="D684" s="371"/>
      <c r="E684" s="367" t="s">
        <v>399</v>
      </c>
      <c r="F684" s="527"/>
      <c r="G684" s="539"/>
      <c r="H684" s="539"/>
      <c r="I684" s="372">
        <f t="shared" si="91"/>
        <v>0</v>
      </c>
      <c r="J684" s="372"/>
      <c r="K684" s="372">
        <f>'RAB Pasang'!K684*40%</f>
        <v>83832</v>
      </c>
      <c r="L684" s="387">
        <f t="shared" si="92"/>
        <v>0</v>
      </c>
      <c r="M684" s="387">
        <f t="shared" si="93"/>
        <v>0</v>
      </c>
      <c r="N684" s="422">
        <f t="shared" si="94"/>
        <v>0</v>
      </c>
    </row>
    <row r="685" spans="1:14" ht="13.2" customHeight="1" x14ac:dyDescent="0.3">
      <c r="A685" s="365">
        <f t="shared" si="95"/>
        <v>28</v>
      </c>
      <c r="B685" s="370" t="s">
        <v>2056</v>
      </c>
      <c r="C685" s="371"/>
      <c r="D685" s="371"/>
      <c r="E685" s="367" t="s">
        <v>399</v>
      </c>
      <c r="F685" s="527"/>
      <c r="G685" s="539"/>
      <c r="H685" s="539"/>
      <c r="I685" s="372">
        <f t="shared" si="91"/>
        <v>0</v>
      </c>
      <c r="J685" s="372"/>
      <c r="K685" s="372">
        <f>'RAB Pasang'!K685*40%</f>
        <v>83832</v>
      </c>
      <c r="L685" s="387">
        <f t="shared" si="92"/>
        <v>0</v>
      </c>
      <c r="M685" s="387">
        <f t="shared" si="93"/>
        <v>0</v>
      </c>
      <c r="N685" s="422">
        <f t="shared" si="94"/>
        <v>0</v>
      </c>
    </row>
    <row r="686" spans="1:14" ht="13.2" customHeight="1" x14ac:dyDescent="0.3">
      <c r="A686" s="365">
        <f t="shared" si="95"/>
        <v>29</v>
      </c>
      <c r="B686" s="370" t="s">
        <v>2057</v>
      </c>
      <c r="C686" s="371"/>
      <c r="D686" s="371"/>
      <c r="E686" s="367" t="s">
        <v>399</v>
      </c>
      <c r="F686" s="527"/>
      <c r="G686" s="539"/>
      <c r="H686" s="539"/>
      <c r="I686" s="372">
        <f t="shared" si="91"/>
        <v>0</v>
      </c>
      <c r="J686" s="372"/>
      <c r="K686" s="372">
        <f>'RAB Pasang'!K686*40%</f>
        <v>83832</v>
      </c>
      <c r="L686" s="387">
        <f t="shared" si="92"/>
        <v>0</v>
      </c>
      <c r="M686" s="387">
        <f t="shared" si="93"/>
        <v>0</v>
      </c>
      <c r="N686" s="422">
        <f t="shared" si="94"/>
        <v>0</v>
      </c>
    </row>
    <row r="687" spans="1:14" ht="13.2" customHeight="1" x14ac:dyDescent="0.3">
      <c r="A687" s="365">
        <f t="shared" si="95"/>
        <v>30</v>
      </c>
      <c r="B687" s="370" t="s">
        <v>2058</v>
      </c>
      <c r="C687" s="371"/>
      <c r="D687" s="371"/>
      <c r="E687" s="367" t="s">
        <v>399</v>
      </c>
      <c r="F687" s="527"/>
      <c r="G687" s="539"/>
      <c r="H687" s="539"/>
      <c r="I687" s="372">
        <f t="shared" si="91"/>
        <v>0</v>
      </c>
      <c r="J687" s="372"/>
      <c r="K687" s="372">
        <f>'RAB Pasang'!K687*40%</f>
        <v>83832</v>
      </c>
      <c r="L687" s="387">
        <f t="shared" si="92"/>
        <v>0</v>
      </c>
      <c r="M687" s="387">
        <f t="shared" si="93"/>
        <v>0</v>
      </c>
      <c r="N687" s="422">
        <f t="shared" si="94"/>
        <v>0</v>
      </c>
    </row>
    <row r="688" spans="1:14" ht="13.2" customHeight="1" x14ac:dyDescent="0.3">
      <c r="A688" s="365">
        <f t="shared" si="95"/>
        <v>31</v>
      </c>
      <c r="B688" s="370" t="s">
        <v>2059</v>
      </c>
      <c r="C688" s="371"/>
      <c r="D688" s="371"/>
      <c r="E688" s="367" t="s">
        <v>399</v>
      </c>
      <c r="F688" s="527"/>
      <c r="G688" s="539"/>
      <c r="H688" s="539"/>
      <c r="I688" s="372">
        <f t="shared" si="91"/>
        <v>0</v>
      </c>
      <c r="J688" s="372"/>
      <c r="K688" s="372">
        <f>'RAB Pasang'!K688*40%</f>
        <v>83832</v>
      </c>
      <c r="L688" s="387">
        <f t="shared" si="92"/>
        <v>0</v>
      </c>
      <c r="M688" s="387">
        <f t="shared" si="93"/>
        <v>0</v>
      </c>
      <c r="N688" s="422">
        <f t="shared" si="94"/>
        <v>0</v>
      </c>
    </row>
    <row r="689" spans="1:14" ht="13.2" customHeight="1" x14ac:dyDescent="0.3">
      <c r="A689" s="365">
        <f t="shared" si="95"/>
        <v>32</v>
      </c>
      <c r="B689" s="370" t="s">
        <v>2060</v>
      </c>
      <c r="C689" s="371"/>
      <c r="D689" s="371"/>
      <c r="E689" s="367" t="s">
        <v>399</v>
      </c>
      <c r="F689" s="527"/>
      <c r="G689" s="539"/>
      <c r="H689" s="539"/>
      <c r="I689" s="372">
        <f t="shared" si="91"/>
        <v>0</v>
      </c>
      <c r="J689" s="372"/>
      <c r="K689" s="372">
        <f>'RAB Pasang'!K689*40%</f>
        <v>83832</v>
      </c>
      <c r="L689" s="387">
        <f t="shared" si="92"/>
        <v>0</v>
      </c>
      <c r="M689" s="387">
        <f t="shared" si="93"/>
        <v>0</v>
      </c>
      <c r="N689" s="422">
        <f t="shared" si="94"/>
        <v>0</v>
      </c>
    </row>
    <row r="690" spans="1:14" ht="13.2" customHeight="1" x14ac:dyDescent="0.3">
      <c r="A690" s="365">
        <f t="shared" si="95"/>
        <v>33</v>
      </c>
      <c r="B690" s="370" t="s">
        <v>2061</v>
      </c>
      <c r="C690" s="371"/>
      <c r="D690" s="371"/>
      <c r="E690" s="367" t="s">
        <v>399</v>
      </c>
      <c r="F690" s="527"/>
      <c r="G690" s="539"/>
      <c r="H690" s="539"/>
      <c r="I690" s="372">
        <f t="shared" si="91"/>
        <v>0</v>
      </c>
      <c r="J690" s="372"/>
      <c r="K690" s="372">
        <f>'RAB Pasang'!K690*40%</f>
        <v>83832</v>
      </c>
      <c r="L690" s="387">
        <f t="shared" si="92"/>
        <v>0</v>
      </c>
      <c r="M690" s="387">
        <f t="shared" si="93"/>
        <v>0</v>
      </c>
      <c r="N690" s="422">
        <f t="shared" si="94"/>
        <v>0</v>
      </c>
    </row>
    <row r="691" spans="1:14" ht="13.2" customHeight="1" x14ac:dyDescent="0.3">
      <c r="A691" s="365">
        <f t="shared" si="95"/>
        <v>34</v>
      </c>
      <c r="B691" s="370" t="s">
        <v>2062</v>
      </c>
      <c r="C691" s="371"/>
      <c r="D691" s="371"/>
      <c r="E691" s="367" t="s">
        <v>399</v>
      </c>
      <c r="F691" s="527"/>
      <c r="G691" s="539"/>
      <c r="H691" s="539"/>
      <c r="I691" s="372">
        <f t="shared" si="91"/>
        <v>0</v>
      </c>
      <c r="J691" s="372"/>
      <c r="K691" s="372">
        <f>'RAB Pasang'!K691*40%</f>
        <v>83832</v>
      </c>
      <c r="L691" s="387">
        <f t="shared" si="92"/>
        <v>0</v>
      </c>
      <c r="M691" s="387">
        <f t="shared" si="93"/>
        <v>0</v>
      </c>
      <c r="N691" s="422">
        <f t="shared" si="94"/>
        <v>0</v>
      </c>
    </row>
    <row r="692" spans="1:14" ht="13.2" customHeight="1" x14ac:dyDescent="0.3">
      <c r="A692" s="365">
        <f t="shared" si="95"/>
        <v>35</v>
      </c>
      <c r="B692" s="370" t="s">
        <v>2063</v>
      </c>
      <c r="C692" s="371"/>
      <c r="D692" s="371"/>
      <c r="E692" s="367" t="s">
        <v>399</v>
      </c>
      <c r="F692" s="527"/>
      <c r="G692" s="539"/>
      <c r="H692" s="539"/>
      <c r="I692" s="372">
        <f t="shared" si="91"/>
        <v>0</v>
      </c>
      <c r="J692" s="372"/>
      <c r="K692" s="372">
        <f>'RAB Pasang'!K692*40%</f>
        <v>83832</v>
      </c>
      <c r="L692" s="387">
        <f t="shared" si="92"/>
        <v>0</v>
      </c>
      <c r="M692" s="387">
        <f t="shared" si="93"/>
        <v>0</v>
      </c>
      <c r="N692" s="422">
        <f t="shared" si="94"/>
        <v>0</v>
      </c>
    </row>
    <row r="693" spans="1:14" ht="13.2" customHeight="1" x14ac:dyDescent="0.3">
      <c r="A693" s="365">
        <f t="shared" si="95"/>
        <v>36</v>
      </c>
      <c r="B693" s="370" t="s">
        <v>2270</v>
      </c>
      <c r="C693" s="371"/>
      <c r="D693" s="371"/>
      <c r="E693" s="367" t="s">
        <v>399</v>
      </c>
      <c r="F693" s="527"/>
      <c r="G693" s="539"/>
      <c r="H693" s="539"/>
      <c r="I693" s="372">
        <f t="shared" si="91"/>
        <v>0</v>
      </c>
      <c r="J693" s="372"/>
      <c r="K693" s="372">
        <f>'RAB Pasang'!K693*40%</f>
        <v>71260</v>
      </c>
      <c r="L693" s="387">
        <f t="shared" si="92"/>
        <v>0</v>
      </c>
      <c r="M693" s="387">
        <f t="shared" si="93"/>
        <v>0</v>
      </c>
      <c r="N693" s="422">
        <f t="shared" si="94"/>
        <v>0</v>
      </c>
    </row>
    <row r="694" spans="1:14" ht="13.2" customHeight="1" x14ac:dyDescent="0.3">
      <c r="A694" s="365">
        <f t="shared" si="95"/>
        <v>37</v>
      </c>
      <c r="B694" s="370" t="s">
        <v>2271</v>
      </c>
      <c r="C694" s="371"/>
      <c r="D694" s="371"/>
      <c r="E694" s="367" t="s">
        <v>399</v>
      </c>
      <c r="F694" s="527"/>
      <c r="G694" s="539"/>
      <c r="H694" s="539"/>
      <c r="I694" s="372">
        <f t="shared" si="91"/>
        <v>0</v>
      </c>
      <c r="J694" s="372"/>
      <c r="K694" s="372">
        <f>'RAB Pasang'!K694*40%</f>
        <v>71260</v>
      </c>
      <c r="L694" s="387">
        <f t="shared" si="92"/>
        <v>0</v>
      </c>
      <c r="M694" s="387">
        <f t="shared" si="93"/>
        <v>0</v>
      </c>
      <c r="N694" s="422">
        <f t="shared" si="94"/>
        <v>0</v>
      </c>
    </row>
    <row r="695" spans="1:14" ht="13.2" customHeight="1" x14ac:dyDescent="0.3">
      <c r="A695" s="365">
        <f t="shared" si="95"/>
        <v>38</v>
      </c>
      <c r="B695" s="370" t="s">
        <v>2272</v>
      </c>
      <c r="C695" s="371"/>
      <c r="D695" s="371"/>
      <c r="E695" s="367" t="s">
        <v>399</v>
      </c>
      <c r="F695" s="527"/>
      <c r="G695" s="539"/>
      <c r="H695" s="539"/>
      <c r="I695" s="372">
        <f t="shared" si="91"/>
        <v>0</v>
      </c>
      <c r="J695" s="372"/>
      <c r="K695" s="372">
        <f>'RAB Pasang'!K695*40%</f>
        <v>71260</v>
      </c>
      <c r="L695" s="387">
        <f t="shared" si="92"/>
        <v>0</v>
      </c>
      <c r="M695" s="387">
        <f t="shared" si="93"/>
        <v>0</v>
      </c>
      <c r="N695" s="422">
        <f t="shared" si="94"/>
        <v>0</v>
      </c>
    </row>
    <row r="696" spans="1:14" ht="13.2" customHeight="1" x14ac:dyDescent="0.3">
      <c r="A696" s="365">
        <f t="shared" si="95"/>
        <v>39</v>
      </c>
      <c r="B696" s="370" t="s">
        <v>2273</v>
      </c>
      <c r="C696" s="371"/>
      <c r="D696" s="371"/>
      <c r="E696" s="367" t="s">
        <v>399</v>
      </c>
      <c r="F696" s="527"/>
      <c r="G696" s="539"/>
      <c r="H696" s="539"/>
      <c r="I696" s="372">
        <f t="shared" si="91"/>
        <v>0</v>
      </c>
      <c r="J696" s="372"/>
      <c r="K696" s="372">
        <f>'RAB Pasang'!K696*40%</f>
        <v>71260</v>
      </c>
      <c r="L696" s="387">
        <f t="shared" si="92"/>
        <v>0</v>
      </c>
      <c r="M696" s="387">
        <f t="shared" si="93"/>
        <v>0</v>
      </c>
      <c r="N696" s="422">
        <f t="shared" si="94"/>
        <v>0</v>
      </c>
    </row>
    <row r="697" spans="1:14" ht="13.2" customHeight="1" x14ac:dyDescent="0.3">
      <c r="A697" s="365">
        <f t="shared" si="95"/>
        <v>40</v>
      </c>
      <c r="B697" s="370" t="s">
        <v>2274</v>
      </c>
      <c r="C697" s="371"/>
      <c r="D697" s="371"/>
      <c r="E697" s="367" t="s">
        <v>399</v>
      </c>
      <c r="F697" s="527"/>
      <c r="G697" s="539"/>
      <c r="H697" s="539"/>
      <c r="I697" s="372">
        <f t="shared" si="91"/>
        <v>0</v>
      </c>
      <c r="J697" s="372"/>
      <c r="K697" s="372">
        <f>'RAB Pasang'!K697*40%</f>
        <v>71260</v>
      </c>
      <c r="L697" s="387">
        <f t="shared" si="92"/>
        <v>0</v>
      </c>
      <c r="M697" s="387">
        <f t="shared" si="93"/>
        <v>0</v>
      </c>
      <c r="N697" s="422">
        <f t="shared" si="94"/>
        <v>0</v>
      </c>
    </row>
    <row r="698" spans="1:14" ht="13.2" customHeight="1" x14ac:dyDescent="0.3">
      <c r="A698" s="365">
        <f t="shared" si="95"/>
        <v>41</v>
      </c>
      <c r="B698" s="370" t="s">
        <v>2275</v>
      </c>
      <c r="C698" s="371"/>
      <c r="D698" s="371"/>
      <c r="E698" s="367" t="s">
        <v>399</v>
      </c>
      <c r="F698" s="527"/>
      <c r="G698" s="539"/>
      <c r="H698" s="539"/>
      <c r="I698" s="372">
        <f t="shared" si="91"/>
        <v>0</v>
      </c>
      <c r="J698" s="372"/>
      <c r="K698" s="372">
        <f>'RAB Pasang'!K698*40%</f>
        <v>71260</v>
      </c>
      <c r="L698" s="387">
        <f t="shared" si="92"/>
        <v>0</v>
      </c>
      <c r="M698" s="387">
        <f t="shared" si="93"/>
        <v>0</v>
      </c>
      <c r="N698" s="422">
        <f t="shared" si="94"/>
        <v>0</v>
      </c>
    </row>
    <row r="699" spans="1:14" ht="13.2" customHeight="1" x14ac:dyDescent="0.3">
      <c r="A699" s="365">
        <f t="shared" si="95"/>
        <v>42</v>
      </c>
      <c r="B699" s="370" t="s">
        <v>2276</v>
      </c>
      <c r="C699" s="371"/>
      <c r="D699" s="371"/>
      <c r="E699" s="367" t="s">
        <v>399</v>
      </c>
      <c r="F699" s="527"/>
      <c r="G699" s="539"/>
      <c r="H699" s="539"/>
      <c r="I699" s="372">
        <f t="shared" si="91"/>
        <v>0</v>
      </c>
      <c r="J699" s="372"/>
      <c r="K699" s="372">
        <f>'RAB Pasang'!K699*40%</f>
        <v>71260</v>
      </c>
      <c r="L699" s="387">
        <f t="shared" si="92"/>
        <v>0</v>
      </c>
      <c r="M699" s="387">
        <f t="shared" si="93"/>
        <v>0</v>
      </c>
      <c r="N699" s="422">
        <f t="shared" si="94"/>
        <v>0</v>
      </c>
    </row>
    <row r="700" spans="1:14" ht="13.2" customHeight="1" x14ac:dyDescent="0.3">
      <c r="A700" s="365">
        <f t="shared" si="95"/>
        <v>43</v>
      </c>
      <c r="B700" s="370" t="s">
        <v>2277</v>
      </c>
      <c r="C700" s="371"/>
      <c r="D700" s="371"/>
      <c r="E700" s="367" t="s">
        <v>399</v>
      </c>
      <c r="F700" s="527"/>
      <c r="G700" s="539"/>
      <c r="H700" s="539"/>
      <c r="I700" s="372">
        <f t="shared" si="91"/>
        <v>0</v>
      </c>
      <c r="J700" s="372"/>
      <c r="K700" s="372">
        <f>'RAB Pasang'!K700*40%</f>
        <v>71260</v>
      </c>
      <c r="L700" s="387">
        <f t="shared" si="92"/>
        <v>0</v>
      </c>
      <c r="M700" s="387">
        <f t="shared" si="93"/>
        <v>0</v>
      </c>
      <c r="N700" s="422">
        <f t="shared" si="94"/>
        <v>0</v>
      </c>
    </row>
    <row r="701" spans="1:14" ht="13.2" customHeight="1" x14ac:dyDescent="0.3">
      <c r="A701" s="365">
        <f t="shared" si="95"/>
        <v>44</v>
      </c>
      <c r="B701" s="370" t="s">
        <v>2278</v>
      </c>
      <c r="C701" s="371"/>
      <c r="D701" s="371"/>
      <c r="E701" s="367" t="s">
        <v>399</v>
      </c>
      <c r="F701" s="527"/>
      <c r="G701" s="539"/>
      <c r="H701" s="539"/>
      <c r="I701" s="372">
        <f t="shared" si="91"/>
        <v>0</v>
      </c>
      <c r="J701" s="372"/>
      <c r="K701" s="372">
        <f>'RAB Pasang'!K701*40%</f>
        <v>71260</v>
      </c>
      <c r="L701" s="387">
        <f t="shared" si="92"/>
        <v>0</v>
      </c>
      <c r="M701" s="387">
        <f t="shared" si="93"/>
        <v>0</v>
      </c>
      <c r="N701" s="422">
        <f t="shared" si="94"/>
        <v>0</v>
      </c>
    </row>
    <row r="702" spans="1:14" ht="13.2" customHeight="1" x14ac:dyDescent="0.3">
      <c r="A702" s="365">
        <f t="shared" si="95"/>
        <v>45</v>
      </c>
      <c r="B702" s="370" t="s">
        <v>2279</v>
      </c>
      <c r="C702" s="371"/>
      <c r="D702" s="371"/>
      <c r="E702" s="367" t="s">
        <v>399</v>
      </c>
      <c r="F702" s="527"/>
      <c r="G702" s="539"/>
      <c r="H702" s="539"/>
      <c r="I702" s="372">
        <f t="shared" si="91"/>
        <v>0</v>
      </c>
      <c r="J702" s="372"/>
      <c r="K702" s="372">
        <f>'RAB Pasang'!K702*40%</f>
        <v>71260</v>
      </c>
      <c r="L702" s="387">
        <f t="shared" si="92"/>
        <v>0</v>
      </c>
      <c r="M702" s="387">
        <f t="shared" si="93"/>
        <v>0</v>
      </c>
      <c r="N702" s="422">
        <f t="shared" si="94"/>
        <v>0</v>
      </c>
    </row>
    <row r="703" spans="1:14" ht="13.2" customHeight="1" x14ac:dyDescent="0.3">
      <c r="A703" s="365">
        <f t="shared" si="95"/>
        <v>46</v>
      </c>
      <c r="B703" s="370" t="s">
        <v>2280</v>
      </c>
      <c r="C703" s="371"/>
      <c r="D703" s="371"/>
      <c r="E703" s="367" t="s">
        <v>399</v>
      </c>
      <c r="F703" s="527"/>
      <c r="G703" s="539"/>
      <c r="H703" s="539"/>
      <c r="I703" s="372">
        <f t="shared" si="91"/>
        <v>0</v>
      </c>
      <c r="J703" s="372"/>
      <c r="K703" s="372">
        <f>'RAB Pasang'!K703*40%</f>
        <v>89072</v>
      </c>
      <c r="L703" s="387">
        <f t="shared" si="92"/>
        <v>0</v>
      </c>
      <c r="M703" s="387">
        <f t="shared" si="93"/>
        <v>0</v>
      </c>
      <c r="N703" s="422">
        <f t="shared" si="94"/>
        <v>0</v>
      </c>
    </row>
    <row r="704" spans="1:14" ht="13.2" customHeight="1" x14ac:dyDescent="0.3">
      <c r="A704" s="365">
        <f t="shared" si="95"/>
        <v>47</v>
      </c>
      <c r="B704" s="370" t="s">
        <v>2281</v>
      </c>
      <c r="C704" s="371"/>
      <c r="D704" s="371"/>
      <c r="E704" s="367" t="s">
        <v>399</v>
      </c>
      <c r="F704" s="527"/>
      <c r="G704" s="539"/>
      <c r="H704" s="539"/>
      <c r="I704" s="372">
        <f t="shared" si="91"/>
        <v>0</v>
      </c>
      <c r="J704" s="372"/>
      <c r="K704" s="372">
        <f>'RAB Pasang'!K704*40%</f>
        <v>89072</v>
      </c>
      <c r="L704" s="387">
        <f t="shared" si="92"/>
        <v>0</v>
      </c>
      <c r="M704" s="387">
        <f t="shared" si="93"/>
        <v>0</v>
      </c>
      <c r="N704" s="422">
        <f t="shared" si="94"/>
        <v>0</v>
      </c>
    </row>
    <row r="705" spans="1:14" ht="13.2" customHeight="1" x14ac:dyDescent="0.3">
      <c r="A705" s="365">
        <f t="shared" si="95"/>
        <v>48</v>
      </c>
      <c r="B705" s="370" t="s">
        <v>2282</v>
      </c>
      <c r="C705" s="371"/>
      <c r="D705" s="371"/>
      <c r="E705" s="367" t="s">
        <v>399</v>
      </c>
      <c r="F705" s="527"/>
      <c r="G705" s="539"/>
      <c r="H705" s="539"/>
      <c r="I705" s="372">
        <f t="shared" si="91"/>
        <v>0</v>
      </c>
      <c r="J705" s="372"/>
      <c r="K705" s="372">
        <f>'RAB Pasang'!K705*40%</f>
        <v>89072</v>
      </c>
      <c r="L705" s="387">
        <f t="shared" si="92"/>
        <v>0</v>
      </c>
      <c r="M705" s="387">
        <f t="shared" si="93"/>
        <v>0</v>
      </c>
      <c r="N705" s="422">
        <f t="shared" si="94"/>
        <v>0</v>
      </c>
    </row>
    <row r="706" spans="1:14" ht="13.2" customHeight="1" x14ac:dyDescent="0.3">
      <c r="A706" s="365">
        <f t="shared" si="95"/>
        <v>49</v>
      </c>
      <c r="B706" s="370" t="s">
        <v>2283</v>
      </c>
      <c r="C706" s="371"/>
      <c r="D706" s="371"/>
      <c r="E706" s="367" t="s">
        <v>399</v>
      </c>
      <c r="F706" s="527"/>
      <c r="G706" s="539"/>
      <c r="H706" s="539"/>
      <c r="I706" s="372">
        <f t="shared" si="91"/>
        <v>0</v>
      </c>
      <c r="J706" s="372"/>
      <c r="K706" s="372">
        <f>'RAB Pasang'!K706*40%</f>
        <v>89072</v>
      </c>
      <c r="L706" s="387">
        <f t="shared" si="92"/>
        <v>0</v>
      </c>
      <c r="M706" s="387">
        <f t="shared" si="93"/>
        <v>0</v>
      </c>
      <c r="N706" s="422">
        <f t="shared" si="94"/>
        <v>0</v>
      </c>
    </row>
    <row r="707" spans="1:14" ht="13.2" customHeight="1" x14ac:dyDescent="0.3">
      <c r="A707" s="365">
        <f t="shared" si="95"/>
        <v>50</v>
      </c>
      <c r="B707" s="370" t="s">
        <v>2284</v>
      </c>
      <c r="C707" s="371"/>
      <c r="D707" s="371"/>
      <c r="E707" s="367" t="s">
        <v>399</v>
      </c>
      <c r="F707" s="527"/>
      <c r="G707" s="539"/>
      <c r="H707" s="539"/>
      <c r="I707" s="372">
        <f t="shared" si="91"/>
        <v>0</v>
      </c>
      <c r="J707" s="372"/>
      <c r="K707" s="372">
        <f>'RAB Pasang'!K707*40%</f>
        <v>89072</v>
      </c>
      <c r="L707" s="387">
        <f t="shared" si="92"/>
        <v>0</v>
      </c>
      <c r="M707" s="387">
        <f t="shared" si="93"/>
        <v>0</v>
      </c>
      <c r="N707" s="422">
        <f t="shared" si="94"/>
        <v>0</v>
      </c>
    </row>
    <row r="708" spans="1:14" ht="13.2" customHeight="1" x14ac:dyDescent="0.3">
      <c r="A708" s="365">
        <f t="shared" si="95"/>
        <v>51</v>
      </c>
      <c r="B708" s="370" t="s">
        <v>2285</v>
      </c>
      <c r="C708" s="371"/>
      <c r="D708" s="371"/>
      <c r="E708" s="367" t="s">
        <v>399</v>
      </c>
      <c r="F708" s="527"/>
      <c r="G708" s="539"/>
      <c r="H708" s="539"/>
      <c r="I708" s="372">
        <f t="shared" si="91"/>
        <v>0</v>
      </c>
      <c r="J708" s="372"/>
      <c r="K708" s="372">
        <f>'RAB Pasang'!K708*40%</f>
        <v>89072</v>
      </c>
      <c r="L708" s="387">
        <f t="shared" si="92"/>
        <v>0</v>
      </c>
      <c r="M708" s="387">
        <f t="shared" si="93"/>
        <v>0</v>
      </c>
      <c r="N708" s="422">
        <f t="shared" si="94"/>
        <v>0</v>
      </c>
    </row>
    <row r="709" spans="1:14" ht="13.2" customHeight="1" x14ac:dyDescent="0.3">
      <c r="A709" s="365">
        <f t="shared" si="95"/>
        <v>52</v>
      </c>
      <c r="B709" s="370" t="s">
        <v>2286</v>
      </c>
      <c r="C709" s="371"/>
      <c r="D709" s="371"/>
      <c r="E709" s="367" t="s">
        <v>399</v>
      </c>
      <c r="F709" s="527"/>
      <c r="G709" s="539"/>
      <c r="H709" s="539"/>
      <c r="I709" s="372">
        <f t="shared" si="91"/>
        <v>0</v>
      </c>
      <c r="J709" s="372"/>
      <c r="K709" s="372">
        <f>'RAB Pasang'!K709*40%</f>
        <v>89072</v>
      </c>
      <c r="L709" s="387">
        <f t="shared" si="92"/>
        <v>0</v>
      </c>
      <c r="M709" s="387">
        <f t="shared" si="93"/>
        <v>0</v>
      </c>
      <c r="N709" s="422">
        <f t="shared" si="94"/>
        <v>0</v>
      </c>
    </row>
    <row r="710" spans="1:14" ht="13.2" customHeight="1" x14ac:dyDescent="0.3">
      <c r="A710" s="365">
        <f t="shared" si="95"/>
        <v>53</v>
      </c>
      <c r="B710" s="370" t="s">
        <v>2287</v>
      </c>
      <c r="C710" s="371"/>
      <c r="D710" s="371"/>
      <c r="E710" s="367" t="s">
        <v>399</v>
      </c>
      <c r="F710" s="527"/>
      <c r="G710" s="539"/>
      <c r="H710" s="539"/>
      <c r="I710" s="372">
        <f t="shared" si="91"/>
        <v>0</v>
      </c>
      <c r="J710" s="372"/>
      <c r="K710" s="372">
        <f>'RAB Pasang'!K710*40%</f>
        <v>89072</v>
      </c>
      <c r="L710" s="387">
        <f t="shared" si="92"/>
        <v>0</v>
      </c>
      <c r="M710" s="387">
        <f t="shared" si="93"/>
        <v>0</v>
      </c>
      <c r="N710" s="422">
        <f t="shared" si="94"/>
        <v>0</v>
      </c>
    </row>
    <row r="711" spans="1:14" ht="13.2" customHeight="1" x14ac:dyDescent="0.3">
      <c r="A711" s="365">
        <f t="shared" si="95"/>
        <v>54</v>
      </c>
      <c r="B711" s="370" t="s">
        <v>2288</v>
      </c>
      <c r="C711" s="371"/>
      <c r="D711" s="371"/>
      <c r="E711" s="367" t="s">
        <v>399</v>
      </c>
      <c r="F711" s="527"/>
      <c r="G711" s="539"/>
      <c r="H711" s="539"/>
      <c r="I711" s="372">
        <f t="shared" si="91"/>
        <v>0</v>
      </c>
      <c r="J711" s="372"/>
      <c r="K711" s="372">
        <f>'RAB Pasang'!K711*40%</f>
        <v>89072</v>
      </c>
      <c r="L711" s="387">
        <f t="shared" si="92"/>
        <v>0</v>
      </c>
      <c r="M711" s="387">
        <f t="shared" si="93"/>
        <v>0</v>
      </c>
      <c r="N711" s="422">
        <f t="shared" si="94"/>
        <v>0</v>
      </c>
    </row>
    <row r="712" spans="1:14" ht="13.2" customHeight="1" x14ac:dyDescent="0.3">
      <c r="A712" s="365">
        <f t="shared" si="95"/>
        <v>55</v>
      </c>
      <c r="B712" s="370" t="s">
        <v>2289</v>
      </c>
      <c r="C712" s="371"/>
      <c r="D712" s="371"/>
      <c r="E712" s="367" t="s">
        <v>399</v>
      </c>
      <c r="F712" s="527"/>
      <c r="G712" s="539"/>
      <c r="H712" s="539"/>
      <c r="I712" s="372">
        <f t="shared" si="91"/>
        <v>0</v>
      </c>
      <c r="J712" s="372"/>
      <c r="K712" s="372">
        <f>'RAB Pasang'!K712*40%</f>
        <v>89072</v>
      </c>
      <c r="L712" s="387">
        <f t="shared" si="92"/>
        <v>0</v>
      </c>
      <c r="M712" s="387">
        <f t="shared" si="93"/>
        <v>0</v>
      </c>
      <c r="N712" s="422">
        <f t="shared" si="94"/>
        <v>0</v>
      </c>
    </row>
    <row r="713" spans="1:14" ht="13.2" customHeight="1" x14ac:dyDescent="0.3">
      <c r="A713" s="365">
        <f t="shared" si="95"/>
        <v>56</v>
      </c>
      <c r="B713" s="370" t="s">
        <v>2064</v>
      </c>
      <c r="C713" s="371"/>
      <c r="D713" s="371"/>
      <c r="E713" s="367" t="s">
        <v>399</v>
      </c>
      <c r="F713" s="527"/>
      <c r="G713" s="539"/>
      <c r="H713" s="539"/>
      <c r="I713" s="372">
        <f t="shared" si="91"/>
        <v>0</v>
      </c>
      <c r="J713" s="372"/>
      <c r="K713" s="372">
        <f>'RAB Pasang'!K713*40%</f>
        <v>129960</v>
      </c>
      <c r="L713" s="387">
        <f t="shared" si="92"/>
        <v>0</v>
      </c>
      <c r="M713" s="387">
        <f t="shared" si="93"/>
        <v>0</v>
      </c>
      <c r="N713" s="422">
        <f t="shared" si="94"/>
        <v>0</v>
      </c>
    </row>
    <row r="714" spans="1:14" ht="13.2" customHeight="1" x14ac:dyDescent="0.3">
      <c r="A714" s="365">
        <f t="shared" si="95"/>
        <v>57</v>
      </c>
      <c r="B714" s="370" t="s">
        <v>2065</v>
      </c>
      <c r="C714" s="371"/>
      <c r="D714" s="371"/>
      <c r="E714" s="367" t="s">
        <v>399</v>
      </c>
      <c r="F714" s="527"/>
      <c r="G714" s="539"/>
      <c r="H714" s="539"/>
      <c r="I714" s="372">
        <f t="shared" si="91"/>
        <v>0</v>
      </c>
      <c r="J714" s="372"/>
      <c r="K714" s="372">
        <f>'RAB Pasang'!K714*40%</f>
        <v>129960</v>
      </c>
      <c r="L714" s="387">
        <f t="shared" si="92"/>
        <v>0</v>
      </c>
      <c r="M714" s="387">
        <f t="shared" si="93"/>
        <v>0</v>
      </c>
      <c r="N714" s="422">
        <f t="shared" si="94"/>
        <v>0</v>
      </c>
    </row>
    <row r="715" spans="1:14" ht="13.2" customHeight="1" x14ac:dyDescent="0.3">
      <c r="A715" s="365">
        <f t="shared" si="95"/>
        <v>58</v>
      </c>
      <c r="B715" s="370" t="s">
        <v>2066</v>
      </c>
      <c r="C715" s="371"/>
      <c r="D715" s="371"/>
      <c r="E715" s="367" t="s">
        <v>399</v>
      </c>
      <c r="F715" s="527"/>
      <c r="G715" s="539"/>
      <c r="H715" s="539"/>
      <c r="I715" s="372">
        <f t="shared" si="91"/>
        <v>0</v>
      </c>
      <c r="J715" s="372"/>
      <c r="K715" s="372">
        <f>'RAB Pasang'!K715*40%</f>
        <v>129960</v>
      </c>
      <c r="L715" s="387">
        <f t="shared" si="92"/>
        <v>0</v>
      </c>
      <c r="M715" s="387">
        <f t="shared" si="93"/>
        <v>0</v>
      </c>
      <c r="N715" s="422">
        <f t="shared" si="94"/>
        <v>0</v>
      </c>
    </row>
    <row r="716" spans="1:14" ht="13.2" customHeight="1" x14ac:dyDescent="0.3">
      <c r="A716" s="365">
        <f t="shared" si="95"/>
        <v>59</v>
      </c>
      <c r="B716" s="370" t="s">
        <v>2067</v>
      </c>
      <c r="C716" s="371"/>
      <c r="D716" s="371"/>
      <c r="E716" s="367" t="s">
        <v>399</v>
      </c>
      <c r="F716" s="527"/>
      <c r="G716" s="539"/>
      <c r="H716" s="539"/>
      <c r="I716" s="372">
        <f t="shared" si="91"/>
        <v>0</v>
      </c>
      <c r="J716" s="372"/>
      <c r="K716" s="372">
        <f>'RAB Pasang'!K716*40%</f>
        <v>129960</v>
      </c>
      <c r="L716" s="387">
        <f t="shared" si="92"/>
        <v>0</v>
      </c>
      <c r="M716" s="387">
        <f t="shared" si="93"/>
        <v>0</v>
      </c>
      <c r="N716" s="422">
        <f t="shared" si="94"/>
        <v>0</v>
      </c>
    </row>
    <row r="717" spans="1:14" ht="13.2" customHeight="1" x14ac:dyDescent="0.3">
      <c r="A717" s="365">
        <f t="shared" si="95"/>
        <v>60</v>
      </c>
      <c r="B717" s="370" t="s">
        <v>2068</v>
      </c>
      <c r="C717" s="371"/>
      <c r="D717" s="371"/>
      <c r="E717" s="367" t="s">
        <v>399</v>
      </c>
      <c r="F717" s="527"/>
      <c r="G717" s="539"/>
      <c r="H717" s="539"/>
      <c r="I717" s="372">
        <f t="shared" si="91"/>
        <v>0</v>
      </c>
      <c r="J717" s="372"/>
      <c r="K717" s="372">
        <f>'RAB Pasang'!K717*40%</f>
        <v>129960</v>
      </c>
      <c r="L717" s="387">
        <f t="shared" si="92"/>
        <v>0</v>
      </c>
      <c r="M717" s="387">
        <f t="shared" si="93"/>
        <v>0</v>
      </c>
      <c r="N717" s="422">
        <f t="shared" si="94"/>
        <v>0</v>
      </c>
    </row>
    <row r="718" spans="1:14" ht="13.2" customHeight="1" x14ac:dyDescent="0.3">
      <c r="A718" s="365">
        <f t="shared" si="95"/>
        <v>61</v>
      </c>
      <c r="B718" s="370" t="s">
        <v>2069</v>
      </c>
      <c r="C718" s="371"/>
      <c r="D718" s="371"/>
      <c r="E718" s="367" t="s">
        <v>399</v>
      </c>
      <c r="F718" s="527"/>
      <c r="G718" s="539"/>
      <c r="H718" s="539"/>
      <c r="I718" s="372">
        <f t="shared" si="91"/>
        <v>0</v>
      </c>
      <c r="J718" s="372"/>
      <c r="K718" s="372">
        <f>'RAB Pasang'!K718*40%</f>
        <v>129960</v>
      </c>
      <c r="L718" s="387">
        <f t="shared" si="92"/>
        <v>0</v>
      </c>
      <c r="M718" s="387">
        <f t="shared" si="93"/>
        <v>0</v>
      </c>
      <c r="N718" s="422">
        <f t="shared" si="94"/>
        <v>0</v>
      </c>
    </row>
    <row r="719" spans="1:14" ht="13.2" customHeight="1" x14ac:dyDescent="0.3">
      <c r="A719" s="365">
        <f t="shared" si="95"/>
        <v>62</v>
      </c>
      <c r="B719" s="370" t="s">
        <v>2070</v>
      </c>
      <c r="C719" s="371"/>
      <c r="D719" s="371"/>
      <c r="E719" s="367" t="s">
        <v>399</v>
      </c>
      <c r="F719" s="527"/>
      <c r="G719" s="539"/>
      <c r="H719" s="539"/>
      <c r="I719" s="372">
        <f t="shared" si="91"/>
        <v>0</v>
      </c>
      <c r="J719" s="372"/>
      <c r="K719" s="372">
        <f>'RAB Pasang'!K719*40%</f>
        <v>129960</v>
      </c>
      <c r="L719" s="387">
        <f t="shared" si="92"/>
        <v>0</v>
      </c>
      <c r="M719" s="387">
        <f t="shared" si="93"/>
        <v>0</v>
      </c>
      <c r="N719" s="422">
        <f t="shared" si="94"/>
        <v>0</v>
      </c>
    </row>
    <row r="720" spans="1:14" ht="13.2" customHeight="1" x14ac:dyDescent="0.3">
      <c r="A720" s="365">
        <f t="shared" si="95"/>
        <v>63</v>
      </c>
      <c r="B720" s="370" t="s">
        <v>2071</v>
      </c>
      <c r="C720" s="371"/>
      <c r="D720" s="371"/>
      <c r="E720" s="367" t="s">
        <v>399</v>
      </c>
      <c r="F720" s="527"/>
      <c r="G720" s="539"/>
      <c r="H720" s="539"/>
      <c r="I720" s="372">
        <f t="shared" si="91"/>
        <v>0</v>
      </c>
      <c r="J720" s="372"/>
      <c r="K720" s="372">
        <f>'RAB Pasang'!K720*40%</f>
        <v>129960</v>
      </c>
      <c r="L720" s="387">
        <f t="shared" si="92"/>
        <v>0</v>
      </c>
      <c r="M720" s="387">
        <f t="shared" si="93"/>
        <v>0</v>
      </c>
      <c r="N720" s="422">
        <f t="shared" si="94"/>
        <v>0</v>
      </c>
    </row>
    <row r="721" spans="1:14" ht="13.2" customHeight="1" x14ac:dyDescent="0.3">
      <c r="A721" s="365">
        <f t="shared" si="95"/>
        <v>64</v>
      </c>
      <c r="B721" s="370" t="s">
        <v>2072</v>
      </c>
      <c r="C721" s="371"/>
      <c r="D721" s="371"/>
      <c r="E721" s="367" t="s">
        <v>399</v>
      </c>
      <c r="F721" s="527"/>
      <c r="G721" s="539"/>
      <c r="H721" s="539"/>
      <c r="I721" s="372">
        <f t="shared" si="91"/>
        <v>0</v>
      </c>
      <c r="J721" s="372"/>
      <c r="K721" s="372">
        <f>'RAB Pasang'!K721*40%</f>
        <v>129960</v>
      </c>
      <c r="L721" s="387">
        <f t="shared" si="92"/>
        <v>0</v>
      </c>
      <c r="M721" s="387">
        <f t="shared" si="93"/>
        <v>0</v>
      </c>
      <c r="N721" s="422">
        <f t="shared" si="94"/>
        <v>0</v>
      </c>
    </row>
    <row r="722" spans="1:14" ht="13.2" customHeight="1" x14ac:dyDescent="0.3">
      <c r="A722" s="365">
        <f t="shared" si="95"/>
        <v>65</v>
      </c>
      <c r="B722" s="370" t="s">
        <v>2073</v>
      </c>
      <c r="C722" s="371"/>
      <c r="D722" s="371"/>
      <c r="E722" s="367" t="s">
        <v>399</v>
      </c>
      <c r="F722" s="527"/>
      <c r="G722" s="539"/>
      <c r="H722" s="539"/>
      <c r="I722" s="372">
        <f t="shared" ref="I722:I742" si="96">SUM(F722:H722)</f>
        <v>0</v>
      </c>
      <c r="J722" s="372"/>
      <c r="K722" s="372">
        <f>'RAB Pasang'!K722*40%</f>
        <v>129960</v>
      </c>
      <c r="L722" s="387">
        <f t="shared" ref="L722:L742" si="97">J722*I722</f>
        <v>0</v>
      </c>
      <c r="M722" s="387">
        <f t="shared" ref="M722:M742" si="98">K722*I722</f>
        <v>0</v>
      </c>
      <c r="N722" s="422">
        <f t="shared" ref="N722:N742" si="99">SUM(L722:M722)</f>
        <v>0</v>
      </c>
    </row>
    <row r="723" spans="1:14" ht="13.2" customHeight="1" x14ac:dyDescent="0.3">
      <c r="A723" s="365">
        <f t="shared" si="95"/>
        <v>66</v>
      </c>
      <c r="B723" s="370" t="s">
        <v>2074</v>
      </c>
      <c r="C723" s="371"/>
      <c r="D723" s="371"/>
      <c r="E723" s="367" t="s">
        <v>399</v>
      </c>
      <c r="F723" s="527"/>
      <c r="G723" s="539"/>
      <c r="H723" s="539"/>
      <c r="I723" s="372">
        <f t="shared" si="96"/>
        <v>0</v>
      </c>
      <c r="J723" s="372"/>
      <c r="K723" s="372">
        <f>'RAB Pasang'!K723*40%</f>
        <v>129960</v>
      </c>
      <c r="L723" s="387">
        <f t="shared" si="97"/>
        <v>0</v>
      </c>
      <c r="M723" s="387">
        <f t="shared" si="98"/>
        <v>0</v>
      </c>
      <c r="N723" s="422">
        <f t="shared" si="99"/>
        <v>0</v>
      </c>
    </row>
    <row r="724" spans="1:14" ht="13.2" customHeight="1" x14ac:dyDescent="0.3">
      <c r="A724" s="365">
        <f t="shared" ref="A724:A742" si="100">A723+1</f>
        <v>67</v>
      </c>
      <c r="B724" s="370" t="s">
        <v>2075</v>
      </c>
      <c r="C724" s="371"/>
      <c r="D724" s="371"/>
      <c r="E724" s="367" t="s">
        <v>399</v>
      </c>
      <c r="F724" s="527"/>
      <c r="G724" s="539"/>
      <c r="H724" s="539"/>
      <c r="I724" s="372">
        <f t="shared" si="96"/>
        <v>0</v>
      </c>
      <c r="J724" s="372"/>
      <c r="K724" s="372">
        <f>'RAB Pasang'!K724*40%</f>
        <v>129960</v>
      </c>
      <c r="L724" s="387">
        <f t="shared" si="97"/>
        <v>0</v>
      </c>
      <c r="M724" s="387">
        <f t="shared" si="98"/>
        <v>0</v>
      </c>
      <c r="N724" s="422">
        <f t="shared" si="99"/>
        <v>0</v>
      </c>
    </row>
    <row r="725" spans="1:14" ht="13.2" customHeight="1" x14ac:dyDescent="0.3">
      <c r="A725" s="365">
        <f t="shared" si="100"/>
        <v>68</v>
      </c>
      <c r="B725" s="370" t="s">
        <v>2076</v>
      </c>
      <c r="C725" s="371"/>
      <c r="D725" s="371"/>
      <c r="E725" s="367" t="s">
        <v>399</v>
      </c>
      <c r="F725" s="527"/>
      <c r="G725" s="539"/>
      <c r="H725" s="539"/>
      <c r="I725" s="372">
        <f t="shared" si="96"/>
        <v>0</v>
      </c>
      <c r="J725" s="372"/>
      <c r="K725" s="372">
        <f>'RAB Pasang'!K725*40%</f>
        <v>129960</v>
      </c>
      <c r="L725" s="387">
        <f t="shared" si="97"/>
        <v>0</v>
      </c>
      <c r="M725" s="387">
        <f t="shared" si="98"/>
        <v>0</v>
      </c>
      <c r="N725" s="422">
        <f t="shared" si="99"/>
        <v>0</v>
      </c>
    </row>
    <row r="726" spans="1:14" ht="13.2" customHeight="1" x14ac:dyDescent="0.3">
      <c r="A726" s="365">
        <f t="shared" si="100"/>
        <v>69</v>
      </c>
      <c r="B726" s="370" t="s">
        <v>2077</v>
      </c>
      <c r="C726" s="371"/>
      <c r="D726" s="371"/>
      <c r="E726" s="367" t="s">
        <v>399</v>
      </c>
      <c r="F726" s="527"/>
      <c r="G726" s="539"/>
      <c r="H726" s="539"/>
      <c r="I726" s="372">
        <f t="shared" si="96"/>
        <v>0</v>
      </c>
      <c r="J726" s="372"/>
      <c r="K726" s="372">
        <f>'RAB Pasang'!K726*40%</f>
        <v>129960</v>
      </c>
      <c r="L726" s="387">
        <f t="shared" si="97"/>
        <v>0</v>
      </c>
      <c r="M726" s="387">
        <f t="shared" si="98"/>
        <v>0</v>
      </c>
      <c r="N726" s="422">
        <f t="shared" si="99"/>
        <v>0</v>
      </c>
    </row>
    <row r="727" spans="1:14" ht="13.2" customHeight="1" x14ac:dyDescent="0.3">
      <c r="A727" s="365">
        <f t="shared" si="100"/>
        <v>70</v>
      </c>
      <c r="B727" s="370" t="s">
        <v>2078</v>
      </c>
      <c r="C727" s="371"/>
      <c r="D727" s="371"/>
      <c r="E727" s="367" t="s">
        <v>399</v>
      </c>
      <c r="F727" s="527"/>
      <c r="G727" s="539"/>
      <c r="H727" s="539"/>
      <c r="I727" s="372">
        <f t="shared" si="96"/>
        <v>0</v>
      </c>
      <c r="J727" s="372"/>
      <c r="K727" s="372">
        <f>'RAB Pasang'!K727*40%</f>
        <v>129960</v>
      </c>
      <c r="L727" s="387">
        <f t="shared" si="97"/>
        <v>0</v>
      </c>
      <c r="M727" s="387">
        <f t="shared" si="98"/>
        <v>0</v>
      </c>
      <c r="N727" s="422">
        <f t="shared" si="99"/>
        <v>0</v>
      </c>
    </row>
    <row r="728" spans="1:14" ht="13.2" customHeight="1" x14ac:dyDescent="0.3">
      <c r="A728" s="365">
        <f t="shared" si="100"/>
        <v>71</v>
      </c>
      <c r="B728" s="370" t="s">
        <v>2079</v>
      </c>
      <c r="C728" s="371"/>
      <c r="D728" s="371"/>
      <c r="E728" s="367" t="s">
        <v>399</v>
      </c>
      <c r="F728" s="527"/>
      <c r="G728" s="539"/>
      <c r="H728" s="539"/>
      <c r="I728" s="372">
        <f t="shared" si="96"/>
        <v>0</v>
      </c>
      <c r="J728" s="372"/>
      <c r="K728" s="372">
        <f>'RAB Pasang'!K728*40%</f>
        <v>151624</v>
      </c>
      <c r="L728" s="387">
        <f t="shared" si="97"/>
        <v>0</v>
      </c>
      <c r="M728" s="387">
        <f t="shared" si="98"/>
        <v>0</v>
      </c>
      <c r="N728" s="422">
        <f t="shared" si="99"/>
        <v>0</v>
      </c>
    </row>
    <row r="729" spans="1:14" ht="13.2" customHeight="1" x14ac:dyDescent="0.3">
      <c r="A729" s="365">
        <f t="shared" si="100"/>
        <v>72</v>
      </c>
      <c r="B729" s="370" t="s">
        <v>2080</v>
      </c>
      <c r="C729" s="371"/>
      <c r="D729" s="371"/>
      <c r="E729" s="367" t="s">
        <v>399</v>
      </c>
      <c r="F729" s="527"/>
      <c r="G729" s="539"/>
      <c r="H729" s="539"/>
      <c r="I729" s="372">
        <f t="shared" si="96"/>
        <v>0</v>
      </c>
      <c r="J729" s="372"/>
      <c r="K729" s="372">
        <f>'RAB Pasang'!K729*40%</f>
        <v>151624</v>
      </c>
      <c r="L729" s="387">
        <f t="shared" si="97"/>
        <v>0</v>
      </c>
      <c r="M729" s="387">
        <f t="shared" si="98"/>
        <v>0</v>
      </c>
      <c r="N729" s="422">
        <f t="shared" si="99"/>
        <v>0</v>
      </c>
    </row>
    <row r="730" spans="1:14" ht="13.2" customHeight="1" x14ac:dyDescent="0.3">
      <c r="A730" s="365">
        <f t="shared" si="100"/>
        <v>73</v>
      </c>
      <c r="B730" s="370" t="s">
        <v>2081</v>
      </c>
      <c r="C730" s="371"/>
      <c r="D730" s="371"/>
      <c r="E730" s="367" t="s">
        <v>399</v>
      </c>
      <c r="F730" s="527"/>
      <c r="G730" s="539"/>
      <c r="H730" s="539"/>
      <c r="I730" s="372">
        <f t="shared" si="96"/>
        <v>0</v>
      </c>
      <c r="J730" s="372"/>
      <c r="K730" s="372">
        <f>'RAB Pasang'!K730*40%</f>
        <v>151624</v>
      </c>
      <c r="L730" s="387">
        <f t="shared" si="97"/>
        <v>0</v>
      </c>
      <c r="M730" s="387">
        <f t="shared" si="98"/>
        <v>0</v>
      </c>
      <c r="N730" s="422">
        <f t="shared" si="99"/>
        <v>0</v>
      </c>
    </row>
    <row r="731" spans="1:14" ht="13.2" customHeight="1" x14ac:dyDescent="0.3">
      <c r="A731" s="365">
        <f t="shared" si="100"/>
        <v>74</v>
      </c>
      <c r="B731" s="370" t="s">
        <v>2082</v>
      </c>
      <c r="C731" s="371"/>
      <c r="D731" s="371"/>
      <c r="E731" s="367" t="s">
        <v>399</v>
      </c>
      <c r="F731" s="527"/>
      <c r="G731" s="539"/>
      <c r="H731" s="539"/>
      <c r="I731" s="372">
        <f t="shared" si="96"/>
        <v>0</v>
      </c>
      <c r="J731" s="372"/>
      <c r="K731" s="372">
        <f>'RAB Pasang'!K731*40%</f>
        <v>151624</v>
      </c>
      <c r="L731" s="387">
        <f t="shared" si="97"/>
        <v>0</v>
      </c>
      <c r="M731" s="387">
        <f t="shared" si="98"/>
        <v>0</v>
      </c>
      <c r="N731" s="422">
        <f t="shared" si="99"/>
        <v>0</v>
      </c>
    </row>
    <row r="732" spans="1:14" ht="13.2" customHeight="1" x14ac:dyDescent="0.3">
      <c r="A732" s="365">
        <f t="shared" si="100"/>
        <v>75</v>
      </c>
      <c r="B732" s="370" t="s">
        <v>2083</v>
      </c>
      <c r="C732" s="371"/>
      <c r="D732" s="371"/>
      <c r="E732" s="367" t="s">
        <v>399</v>
      </c>
      <c r="F732" s="527"/>
      <c r="G732" s="539"/>
      <c r="H732" s="539"/>
      <c r="I732" s="372">
        <f t="shared" si="96"/>
        <v>0</v>
      </c>
      <c r="J732" s="372"/>
      <c r="K732" s="372">
        <f>'RAB Pasang'!K732*40%</f>
        <v>151624</v>
      </c>
      <c r="L732" s="387">
        <f t="shared" si="97"/>
        <v>0</v>
      </c>
      <c r="M732" s="387">
        <f t="shared" si="98"/>
        <v>0</v>
      </c>
      <c r="N732" s="422">
        <f t="shared" si="99"/>
        <v>0</v>
      </c>
    </row>
    <row r="733" spans="1:14" ht="13.2" customHeight="1" x14ac:dyDescent="0.3">
      <c r="A733" s="365">
        <f t="shared" si="100"/>
        <v>76</v>
      </c>
      <c r="B733" s="370" t="s">
        <v>2084</v>
      </c>
      <c r="C733" s="371"/>
      <c r="D733" s="371"/>
      <c r="E733" s="367" t="s">
        <v>399</v>
      </c>
      <c r="F733" s="527"/>
      <c r="G733" s="539"/>
      <c r="H733" s="539"/>
      <c r="I733" s="372">
        <f t="shared" si="96"/>
        <v>0</v>
      </c>
      <c r="J733" s="372"/>
      <c r="K733" s="372">
        <f>'RAB Pasang'!K733*40%</f>
        <v>151624</v>
      </c>
      <c r="L733" s="387">
        <f t="shared" si="97"/>
        <v>0</v>
      </c>
      <c r="M733" s="387">
        <f t="shared" si="98"/>
        <v>0</v>
      </c>
      <c r="N733" s="422">
        <f t="shared" si="99"/>
        <v>0</v>
      </c>
    </row>
    <row r="734" spans="1:14" ht="13.2" customHeight="1" x14ac:dyDescent="0.3">
      <c r="A734" s="365">
        <f t="shared" si="100"/>
        <v>77</v>
      </c>
      <c r="B734" s="370" t="s">
        <v>2085</v>
      </c>
      <c r="C734" s="371"/>
      <c r="D734" s="371"/>
      <c r="E734" s="367" t="s">
        <v>399</v>
      </c>
      <c r="F734" s="527"/>
      <c r="G734" s="539"/>
      <c r="H734" s="539"/>
      <c r="I734" s="372">
        <f t="shared" si="96"/>
        <v>0</v>
      </c>
      <c r="J734" s="372"/>
      <c r="K734" s="372">
        <f>'RAB Pasang'!K734*40%</f>
        <v>151624</v>
      </c>
      <c r="L734" s="387">
        <f t="shared" si="97"/>
        <v>0</v>
      </c>
      <c r="M734" s="387">
        <f t="shared" si="98"/>
        <v>0</v>
      </c>
      <c r="N734" s="422">
        <f t="shared" si="99"/>
        <v>0</v>
      </c>
    </row>
    <row r="735" spans="1:14" ht="13.2" customHeight="1" x14ac:dyDescent="0.3">
      <c r="A735" s="365">
        <f t="shared" si="100"/>
        <v>78</v>
      </c>
      <c r="B735" s="370" t="s">
        <v>2086</v>
      </c>
      <c r="C735" s="371"/>
      <c r="D735" s="371"/>
      <c r="E735" s="367" t="s">
        <v>399</v>
      </c>
      <c r="F735" s="527"/>
      <c r="G735" s="539"/>
      <c r="H735" s="539"/>
      <c r="I735" s="372">
        <f t="shared" si="96"/>
        <v>0</v>
      </c>
      <c r="J735" s="372"/>
      <c r="K735" s="372">
        <f>'RAB Pasang'!K735*40%</f>
        <v>151624</v>
      </c>
      <c r="L735" s="387">
        <f t="shared" si="97"/>
        <v>0</v>
      </c>
      <c r="M735" s="387">
        <f t="shared" si="98"/>
        <v>0</v>
      </c>
      <c r="N735" s="422">
        <f t="shared" si="99"/>
        <v>0</v>
      </c>
    </row>
    <row r="736" spans="1:14" ht="13.2" customHeight="1" x14ac:dyDescent="0.3">
      <c r="A736" s="365">
        <f t="shared" si="100"/>
        <v>79</v>
      </c>
      <c r="B736" s="370" t="s">
        <v>2087</v>
      </c>
      <c r="C736" s="371"/>
      <c r="D736" s="371"/>
      <c r="E736" s="367" t="s">
        <v>399</v>
      </c>
      <c r="F736" s="527"/>
      <c r="G736" s="539"/>
      <c r="H736" s="539"/>
      <c r="I736" s="372">
        <f t="shared" si="96"/>
        <v>0</v>
      </c>
      <c r="J736" s="372"/>
      <c r="K736" s="372">
        <f>'RAB Pasang'!K736*40%</f>
        <v>151624</v>
      </c>
      <c r="L736" s="387">
        <f t="shared" si="97"/>
        <v>0</v>
      </c>
      <c r="M736" s="387">
        <f t="shared" si="98"/>
        <v>0</v>
      </c>
      <c r="N736" s="422">
        <f t="shared" si="99"/>
        <v>0</v>
      </c>
    </row>
    <row r="737" spans="1:14" ht="13.2" customHeight="1" x14ac:dyDescent="0.3">
      <c r="A737" s="365">
        <f t="shared" si="100"/>
        <v>80</v>
      </c>
      <c r="B737" s="370" t="s">
        <v>2088</v>
      </c>
      <c r="C737" s="371"/>
      <c r="D737" s="371"/>
      <c r="E737" s="367" t="s">
        <v>399</v>
      </c>
      <c r="F737" s="527"/>
      <c r="G737" s="539"/>
      <c r="H737" s="539"/>
      <c r="I737" s="372">
        <f t="shared" si="96"/>
        <v>0</v>
      </c>
      <c r="J737" s="372"/>
      <c r="K737" s="372">
        <f>'RAB Pasang'!K737*40%</f>
        <v>151624</v>
      </c>
      <c r="L737" s="387">
        <f t="shared" si="97"/>
        <v>0</v>
      </c>
      <c r="M737" s="387">
        <f t="shared" si="98"/>
        <v>0</v>
      </c>
      <c r="N737" s="422">
        <f t="shared" si="99"/>
        <v>0</v>
      </c>
    </row>
    <row r="738" spans="1:14" ht="13.2" customHeight="1" x14ac:dyDescent="0.3">
      <c r="A738" s="365">
        <f t="shared" si="100"/>
        <v>81</v>
      </c>
      <c r="B738" s="370" t="s">
        <v>2089</v>
      </c>
      <c r="C738" s="371"/>
      <c r="D738" s="371"/>
      <c r="E738" s="367" t="s">
        <v>399</v>
      </c>
      <c r="F738" s="527"/>
      <c r="G738" s="539"/>
      <c r="H738" s="539"/>
      <c r="I738" s="372">
        <f t="shared" si="96"/>
        <v>0</v>
      </c>
      <c r="J738" s="372"/>
      <c r="K738" s="372">
        <f>'RAB Pasang'!K738*40%</f>
        <v>151624</v>
      </c>
      <c r="L738" s="387">
        <f t="shared" si="97"/>
        <v>0</v>
      </c>
      <c r="M738" s="387">
        <f t="shared" si="98"/>
        <v>0</v>
      </c>
      <c r="N738" s="422">
        <f t="shared" si="99"/>
        <v>0</v>
      </c>
    </row>
    <row r="739" spans="1:14" ht="13.2" customHeight="1" x14ac:dyDescent="0.3">
      <c r="A739" s="365">
        <f t="shared" si="100"/>
        <v>82</v>
      </c>
      <c r="B739" s="370" t="s">
        <v>2090</v>
      </c>
      <c r="C739" s="371"/>
      <c r="D739" s="371"/>
      <c r="E739" s="367" t="s">
        <v>399</v>
      </c>
      <c r="F739" s="527"/>
      <c r="G739" s="539"/>
      <c r="H739" s="539"/>
      <c r="I739" s="372">
        <f t="shared" si="96"/>
        <v>0</v>
      </c>
      <c r="J739" s="372"/>
      <c r="K739" s="372">
        <f>'RAB Pasang'!K739*40%</f>
        <v>151624</v>
      </c>
      <c r="L739" s="387">
        <f t="shared" si="97"/>
        <v>0</v>
      </c>
      <c r="M739" s="387">
        <f t="shared" si="98"/>
        <v>0</v>
      </c>
      <c r="N739" s="422">
        <f t="shared" si="99"/>
        <v>0</v>
      </c>
    </row>
    <row r="740" spans="1:14" ht="13.2" customHeight="1" x14ac:dyDescent="0.3">
      <c r="A740" s="365">
        <f t="shared" si="100"/>
        <v>83</v>
      </c>
      <c r="B740" s="370" t="s">
        <v>2091</v>
      </c>
      <c r="C740" s="371"/>
      <c r="D740" s="371"/>
      <c r="E740" s="367" t="s">
        <v>399</v>
      </c>
      <c r="F740" s="527"/>
      <c r="G740" s="539"/>
      <c r="H740" s="539"/>
      <c r="I740" s="372">
        <f t="shared" si="96"/>
        <v>0</v>
      </c>
      <c r="J740" s="372"/>
      <c r="K740" s="372">
        <f>'RAB Pasang'!K740*40%</f>
        <v>151624</v>
      </c>
      <c r="L740" s="387">
        <f t="shared" si="97"/>
        <v>0</v>
      </c>
      <c r="M740" s="387">
        <f t="shared" si="98"/>
        <v>0</v>
      </c>
      <c r="N740" s="422">
        <f t="shared" si="99"/>
        <v>0</v>
      </c>
    </row>
    <row r="741" spans="1:14" ht="13.2" customHeight="1" x14ac:dyDescent="0.3">
      <c r="A741" s="365">
        <f t="shared" si="100"/>
        <v>84</v>
      </c>
      <c r="B741" s="370" t="s">
        <v>2092</v>
      </c>
      <c r="C741" s="371"/>
      <c r="D741" s="371"/>
      <c r="E741" s="367" t="s">
        <v>399</v>
      </c>
      <c r="F741" s="527"/>
      <c r="G741" s="539"/>
      <c r="H741" s="539"/>
      <c r="I741" s="372">
        <f t="shared" si="96"/>
        <v>0</v>
      </c>
      <c r="J741" s="372"/>
      <c r="K741" s="372">
        <f>'RAB Pasang'!K741*40%</f>
        <v>151624</v>
      </c>
      <c r="L741" s="387">
        <f t="shared" si="97"/>
        <v>0</v>
      </c>
      <c r="M741" s="387">
        <f t="shared" si="98"/>
        <v>0</v>
      </c>
      <c r="N741" s="422">
        <f t="shared" si="99"/>
        <v>0</v>
      </c>
    </row>
    <row r="742" spans="1:14" ht="13.2" customHeight="1" x14ac:dyDescent="0.3">
      <c r="A742" s="365">
        <f t="shared" si="100"/>
        <v>85</v>
      </c>
      <c r="B742" s="370" t="s">
        <v>2093</v>
      </c>
      <c r="C742" s="371"/>
      <c r="D742" s="371"/>
      <c r="E742" s="367" t="s">
        <v>399</v>
      </c>
      <c r="F742" s="527"/>
      <c r="G742" s="539"/>
      <c r="H742" s="539"/>
      <c r="I742" s="372">
        <f t="shared" si="96"/>
        <v>0</v>
      </c>
      <c r="J742" s="372"/>
      <c r="K742" s="372">
        <f>'RAB Pasang'!K742*40%</f>
        <v>151624</v>
      </c>
      <c r="L742" s="387">
        <f t="shared" si="97"/>
        <v>0</v>
      </c>
      <c r="M742" s="387">
        <f t="shared" si="98"/>
        <v>0</v>
      </c>
      <c r="N742" s="422">
        <f t="shared" si="99"/>
        <v>0</v>
      </c>
    </row>
    <row r="743" spans="1:14" ht="14.4" customHeight="1" x14ac:dyDescent="0.3">
      <c r="A743" s="485"/>
      <c r="B743" s="497" t="s">
        <v>1717</v>
      </c>
      <c r="C743" s="487"/>
      <c r="D743" s="487"/>
      <c r="E743" s="488"/>
      <c r="F743" s="492"/>
      <c r="G743" s="492"/>
      <c r="H743" s="492"/>
      <c r="I743" s="543"/>
      <c r="J743" s="492"/>
      <c r="K743" s="492"/>
      <c r="L743" s="490">
        <f t="shared" ref="L743:N743" si="101">SUM(L658:L742)</f>
        <v>0</v>
      </c>
      <c r="M743" s="490">
        <f t="shared" si="101"/>
        <v>0</v>
      </c>
      <c r="N743" s="491">
        <f t="shared" si="101"/>
        <v>0</v>
      </c>
    </row>
    <row r="744" spans="1:14" ht="8.4" customHeight="1" x14ac:dyDescent="0.3">
      <c r="A744" s="420"/>
      <c r="B744" s="376"/>
      <c r="C744" s="373"/>
      <c r="D744" s="373"/>
      <c r="E744" s="374"/>
      <c r="F744" s="528"/>
      <c r="G744" s="528"/>
      <c r="H744" s="528"/>
      <c r="I744" s="375"/>
      <c r="J744" s="375"/>
      <c r="K744" s="375"/>
      <c r="L744" s="399"/>
      <c r="M744" s="399"/>
      <c r="N744" s="400"/>
    </row>
    <row r="745" spans="1:14" ht="13.95" customHeight="1" x14ac:dyDescent="0.3">
      <c r="A745" s="495" t="s">
        <v>1450</v>
      </c>
      <c r="B745" s="478" t="s">
        <v>1440</v>
      </c>
      <c r="C745" s="480"/>
      <c r="D745" s="480"/>
      <c r="E745" s="493"/>
      <c r="F745" s="579"/>
      <c r="G745" s="579"/>
      <c r="H745" s="579"/>
      <c r="I745" s="494"/>
      <c r="J745" s="494"/>
      <c r="K745" s="494"/>
      <c r="L745" s="484"/>
      <c r="M745" s="484"/>
      <c r="N745" s="496"/>
    </row>
    <row r="746" spans="1:14" ht="13.2" customHeight="1" x14ac:dyDescent="0.3">
      <c r="A746" s="365">
        <v>1</v>
      </c>
      <c r="B746" s="370" t="s">
        <v>2094</v>
      </c>
      <c r="C746" s="371"/>
      <c r="D746" s="371"/>
      <c r="E746" s="367" t="s">
        <v>399</v>
      </c>
      <c r="F746" s="527"/>
      <c r="G746" s="539"/>
      <c r="H746" s="539"/>
      <c r="I746" s="372">
        <f t="shared" ref="I746:I769" si="102">SUM(F746:H746)</f>
        <v>0</v>
      </c>
      <c r="J746" s="372"/>
      <c r="K746" s="372">
        <f>'RAB Pasang'!K746*40%</f>
        <v>129960</v>
      </c>
      <c r="L746" s="387">
        <f t="shared" ref="L746:L769" si="103">J746*I746</f>
        <v>0</v>
      </c>
      <c r="M746" s="387">
        <f t="shared" ref="M746:M769" si="104">K746*I746</f>
        <v>0</v>
      </c>
      <c r="N746" s="422">
        <f t="shared" ref="N746:N769" si="105">SUM(L746:M746)</f>
        <v>0</v>
      </c>
    </row>
    <row r="747" spans="1:14" ht="13.2" customHeight="1" x14ac:dyDescent="0.3">
      <c r="A747" s="365">
        <f t="shared" ref="A747:A769" si="106">A746+1</f>
        <v>2</v>
      </c>
      <c r="B747" s="370" t="s">
        <v>2095</v>
      </c>
      <c r="C747" s="371"/>
      <c r="D747" s="371"/>
      <c r="E747" s="367" t="s">
        <v>399</v>
      </c>
      <c r="F747" s="527"/>
      <c r="G747" s="539"/>
      <c r="H747" s="539"/>
      <c r="I747" s="372">
        <f t="shared" si="102"/>
        <v>0</v>
      </c>
      <c r="J747" s="372"/>
      <c r="K747" s="372">
        <f>'RAB Pasang'!K747*40%</f>
        <v>129960</v>
      </c>
      <c r="L747" s="387">
        <f t="shared" si="103"/>
        <v>0</v>
      </c>
      <c r="M747" s="387">
        <f t="shared" si="104"/>
        <v>0</v>
      </c>
      <c r="N747" s="422">
        <f t="shared" si="105"/>
        <v>0</v>
      </c>
    </row>
    <row r="748" spans="1:14" ht="13.2" customHeight="1" x14ac:dyDescent="0.3">
      <c r="A748" s="365">
        <f t="shared" si="106"/>
        <v>3</v>
      </c>
      <c r="B748" s="370" t="s">
        <v>2096</v>
      </c>
      <c r="C748" s="371"/>
      <c r="D748" s="371"/>
      <c r="E748" s="367" t="s">
        <v>399</v>
      </c>
      <c r="F748" s="527"/>
      <c r="G748" s="539"/>
      <c r="H748" s="539"/>
      <c r="I748" s="372">
        <f t="shared" si="102"/>
        <v>0</v>
      </c>
      <c r="J748" s="372"/>
      <c r="K748" s="372">
        <f>'RAB Pasang'!K748*40%</f>
        <v>129960</v>
      </c>
      <c r="L748" s="387">
        <f t="shared" si="103"/>
        <v>0</v>
      </c>
      <c r="M748" s="387">
        <f t="shared" si="104"/>
        <v>0</v>
      </c>
      <c r="N748" s="422">
        <f t="shared" si="105"/>
        <v>0</v>
      </c>
    </row>
    <row r="749" spans="1:14" ht="13.2" customHeight="1" x14ac:dyDescent="0.3">
      <c r="A749" s="365">
        <f t="shared" si="106"/>
        <v>4</v>
      </c>
      <c r="B749" s="370" t="s">
        <v>2097</v>
      </c>
      <c r="C749" s="371"/>
      <c r="D749" s="371"/>
      <c r="E749" s="367" t="s">
        <v>399</v>
      </c>
      <c r="F749" s="527"/>
      <c r="G749" s="539"/>
      <c r="H749" s="539"/>
      <c r="I749" s="372">
        <f t="shared" si="102"/>
        <v>0</v>
      </c>
      <c r="J749" s="372"/>
      <c r="K749" s="372">
        <f>'RAB Pasang'!K749*40%</f>
        <v>129960</v>
      </c>
      <c r="L749" s="387">
        <f t="shared" si="103"/>
        <v>0</v>
      </c>
      <c r="M749" s="387">
        <f t="shared" si="104"/>
        <v>0</v>
      </c>
      <c r="N749" s="422">
        <f t="shared" si="105"/>
        <v>0</v>
      </c>
    </row>
    <row r="750" spans="1:14" ht="13.2" customHeight="1" x14ac:dyDescent="0.3">
      <c r="A750" s="365">
        <f t="shared" si="106"/>
        <v>5</v>
      </c>
      <c r="B750" s="370" t="s">
        <v>2098</v>
      </c>
      <c r="C750" s="371"/>
      <c r="D750" s="371"/>
      <c r="E750" s="367" t="s">
        <v>399</v>
      </c>
      <c r="F750" s="527"/>
      <c r="G750" s="539"/>
      <c r="H750" s="539"/>
      <c r="I750" s="372">
        <f t="shared" si="102"/>
        <v>0</v>
      </c>
      <c r="J750" s="372"/>
      <c r="K750" s="372">
        <f>'RAB Pasang'!K750*40%</f>
        <v>129960</v>
      </c>
      <c r="L750" s="387">
        <f t="shared" si="103"/>
        <v>0</v>
      </c>
      <c r="M750" s="387">
        <f t="shared" si="104"/>
        <v>0</v>
      </c>
      <c r="N750" s="422">
        <f t="shared" si="105"/>
        <v>0</v>
      </c>
    </row>
    <row r="751" spans="1:14" ht="13.2" customHeight="1" x14ac:dyDescent="0.3">
      <c r="A751" s="365">
        <f t="shared" si="106"/>
        <v>6</v>
      </c>
      <c r="B751" s="370" t="s">
        <v>2099</v>
      </c>
      <c r="C751" s="371"/>
      <c r="D751" s="371"/>
      <c r="E751" s="367" t="s">
        <v>399</v>
      </c>
      <c r="F751" s="527"/>
      <c r="G751" s="539"/>
      <c r="H751" s="539"/>
      <c r="I751" s="372">
        <f t="shared" si="102"/>
        <v>0</v>
      </c>
      <c r="J751" s="372"/>
      <c r="K751" s="372">
        <f>'RAB Pasang'!K751*40%</f>
        <v>129960</v>
      </c>
      <c r="L751" s="387">
        <f t="shared" si="103"/>
        <v>0</v>
      </c>
      <c r="M751" s="387">
        <f t="shared" si="104"/>
        <v>0</v>
      </c>
      <c r="N751" s="422">
        <f t="shared" si="105"/>
        <v>0</v>
      </c>
    </row>
    <row r="752" spans="1:14" ht="13.2" customHeight="1" x14ac:dyDescent="0.3">
      <c r="A752" s="365">
        <f t="shared" si="106"/>
        <v>7</v>
      </c>
      <c r="B752" s="370" t="s">
        <v>2100</v>
      </c>
      <c r="C752" s="371"/>
      <c r="D752" s="371"/>
      <c r="E752" s="367" t="s">
        <v>399</v>
      </c>
      <c r="F752" s="527"/>
      <c r="G752" s="539"/>
      <c r="H752" s="539"/>
      <c r="I752" s="372">
        <f t="shared" si="102"/>
        <v>0</v>
      </c>
      <c r="J752" s="372"/>
      <c r="K752" s="372">
        <f>'RAB Pasang'!K752*40%</f>
        <v>129960</v>
      </c>
      <c r="L752" s="387">
        <f t="shared" si="103"/>
        <v>0</v>
      </c>
      <c r="M752" s="387">
        <f t="shared" si="104"/>
        <v>0</v>
      </c>
      <c r="N752" s="422">
        <f t="shared" si="105"/>
        <v>0</v>
      </c>
    </row>
    <row r="753" spans="1:14" ht="13.2" customHeight="1" x14ac:dyDescent="0.3">
      <c r="A753" s="365">
        <f t="shared" si="106"/>
        <v>8</v>
      </c>
      <c r="B753" s="370" t="s">
        <v>2101</v>
      </c>
      <c r="C753" s="371"/>
      <c r="D753" s="371"/>
      <c r="E753" s="367" t="s">
        <v>399</v>
      </c>
      <c r="F753" s="527"/>
      <c r="G753" s="539"/>
      <c r="H753" s="539"/>
      <c r="I753" s="372">
        <f t="shared" si="102"/>
        <v>0</v>
      </c>
      <c r="J753" s="372"/>
      <c r="K753" s="372">
        <f>'RAB Pasang'!K753*40%</f>
        <v>129960</v>
      </c>
      <c r="L753" s="387">
        <f t="shared" si="103"/>
        <v>0</v>
      </c>
      <c r="M753" s="387">
        <f t="shared" si="104"/>
        <v>0</v>
      </c>
      <c r="N753" s="422">
        <f t="shared" si="105"/>
        <v>0</v>
      </c>
    </row>
    <row r="754" spans="1:14" ht="13.2" customHeight="1" x14ac:dyDescent="0.3">
      <c r="A754" s="365">
        <f t="shared" si="106"/>
        <v>9</v>
      </c>
      <c r="B754" s="370" t="s">
        <v>2102</v>
      </c>
      <c r="C754" s="371"/>
      <c r="D754" s="371"/>
      <c r="E754" s="367" t="s">
        <v>399</v>
      </c>
      <c r="F754" s="527"/>
      <c r="G754" s="539"/>
      <c r="H754" s="539"/>
      <c r="I754" s="372">
        <f t="shared" si="102"/>
        <v>0</v>
      </c>
      <c r="J754" s="372"/>
      <c r="K754" s="372">
        <f>'RAB Pasang'!K754*40%</f>
        <v>129960</v>
      </c>
      <c r="L754" s="387">
        <f t="shared" si="103"/>
        <v>0</v>
      </c>
      <c r="M754" s="387">
        <f t="shared" si="104"/>
        <v>0</v>
      </c>
      <c r="N754" s="422">
        <f t="shared" si="105"/>
        <v>0</v>
      </c>
    </row>
    <row r="755" spans="1:14" ht="13.2" customHeight="1" x14ac:dyDescent="0.3">
      <c r="A755" s="365">
        <f t="shared" si="106"/>
        <v>10</v>
      </c>
      <c r="B755" s="370" t="s">
        <v>2103</v>
      </c>
      <c r="C755" s="371"/>
      <c r="D755" s="371"/>
      <c r="E755" s="367" t="s">
        <v>399</v>
      </c>
      <c r="F755" s="527"/>
      <c r="G755" s="539"/>
      <c r="H755" s="539"/>
      <c r="I755" s="372">
        <f t="shared" si="102"/>
        <v>0</v>
      </c>
      <c r="J755" s="372"/>
      <c r="K755" s="372">
        <f>'RAB Pasang'!K755*40%</f>
        <v>129960</v>
      </c>
      <c r="L755" s="387">
        <f t="shared" si="103"/>
        <v>0</v>
      </c>
      <c r="M755" s="387">
        <f t="shared" si="104"/>
        <v>0</v>
      </c>
      <c r="N755" s="422">
        <f t="shared" si="105"/>
        <v>0</v>
      </c>
    </row>
    <row r="756" spans="1:14" ht="13.2" customHeight="1" x14ac:dyDescent="0.3">
      <c r="A756" s="365">
        <f t="shared" si="106"/>
        <v>11</v>
      </c>
      <c r="B756" s="370" t="s">
        <v>2104</v>
      </c>
      <c r="C756" s="371"/>
      <c r="D756" s="371"/>
      <c r="E756" s="367" t="s">
        <v>399</v>
      </c>
      <c r="F756" s="527"/>
      <c r="G756" s="539"/>
      <c r="H756" s="539"/>
      <c r="I756" s="372">
        <f t="shared" si="102"/>
        <v>0</v>
      </c>
      <c r="J756" s="372"/>
      <c r="K756" s="372">
        <f>'RAB Pasang'!K756*40%</f>
        <v>129960</v>
      </c>
      <c r="L756" s="387">
        <f t="shared" si="103"/>
        <v>0</v>
      </c>
      <c r="M756" s="387">
        <f t="shared" si="104"/>
        <v>0</v>
      </c>
      <c r="N756" s="422">
        <f t="shared" si="105"/>
        <v>0</v>
      </c>
    </row>
    <row r="757" spans="1:14" ht="13.2" customHeight="1" x14ac:dyDescent="0.3">
      <c r="A757" s="365">
        <f t="shared" si="106"/>
        <v>12</v>
      </c>
      <c r="B757" s="370" t="s">
        <v>2105</v>
      </c>
      <c r="C757" s="371"/>
      <c r="D757" s="371"/>
      <c r="E757" s="367" t="s">
        <v>399</v>
      </c>
      <c r="F757" s="527"/>
      <c r="G757" s="539"/>
      <c r="H757" s="539"/>
      <c r="I757" s="372">
        <f t="shared" si="102"/>
        <v>0</v>
      </c>
      <c r="J757" s="372"/>
      <c r="K757" s="372">
        <f>'RAB Pasang'!K757*40%</f>
        <v>129960</v>
      </c>
      <c r="L757" s="387">
        <f t="shared" si="103"/>
        <v>0</v>
      </c>
      <c r="M757" s="387">
        <f t="shared" si="104"/>
        <v>0</v>
      </c>
      <c r="N757" s="422">
        <f t="shared" si="105"/>
        <v>0</v>
      </c>
    </row>
    <row r="758" spans="1:14" ht="13.2" customHeight="1" x14ac:dyDescent="0.3">
      <c r="A758" s="365">
        <f t="shared" si="106"/>
        <v>13</v>
      </c>
      <c r="B758" s="370" t="s">
        <v>2106</v>
      </c>
      <c r="C758" s="371"/>
      <c r="D758" s="371"/>
      <c r="E758" s="367" t="s">
        <v>399</v>
      </c>
      <c r="F758" s="527"/>
      <c r="G758" s="539"/>
      <c r="H758" s="539"/>
      <c r="I758" s="372">
        <f t="shared" si="102"/>
        <v>0</v>
      </c>
      <c r="J758" s="372"/>
      <c r="K758" s="372">
        <f>'RAB Pasang'!K758*40%</f>
        <v>129960</v>
      </c>
      <c r="L758" s="387">
        <f t="shared" si="103"/>
        <v>0</v>
      </c>
      <c r="M758" s="387">
        <f t="shared" si="104"/>
        <v>0</v>
      </c>
      <c r="N758" s="422">
        <f t="shared" si="105"/>
        <v>0</v>
      </c>
    </row>
    <row r="759" spans="1:14" ht="13.2" customHeight="1" x14ac:dyDescent="0.3">
      <c r="A759" s="365">
        <f t="shared" si="106"/>
        <v>14</v>
      </c>
      <c r="B759" s="370" t="s">
        <v>2107</v>
      </c>
      <c r="C759" s="371"/>
      <c r="D759" s="371"/>
      <c r="E759" s="367" t="s">
        <v>399</v>
      </c>
      <c r="F759" s="527"/>
      <c r="G759" s="539"/>
      <c r="H759" s="539"/>
      <c r="I759" s="372">
        <f t="shared" si="102"/>
        <v>0</v>
      </c>
      <c r="J759" s="372"/>
      <c r="K759" s="372">
        <f>'RAB Pasang'!K759*40%</f>
        <v>129960</v>
      </c>
      <c r="L759" s="387">
        <f t="shared" si="103"/>
        <v>0</v>
      </c>
      <c r="M759" s="387">
        <f t="shared" si="104"/>
        <v>0</v>
      </c>
      <c r="N759" s="422">
        <f t="shared" si="105"/>
        <v>0</v>
      </c>
    </row>
    <row r="760" spans="1:14" ht="13.2" customHeight="1" x14ac:dyDescent="0.3">
      <c r="A760" s="365">
        <f t="shared" si="106"/>
        <v>15</v>
      </c>
      <c r="B760" s="370" t="s">
        <v>2108</v>
      </c>
      <c r="C760" s="371"/>
      <c r="D760" s="371"/>
      <c r="E760" s="367" t="s">
        <v>399</v>
      </c>
      <c r="F760" s="527"/>
      <c r="G760" s="539"/>
      <c r="H760" s="539"/>
      <c r="I760" s="372">
        <f t="shared" si="102"/>
        <v>0</v>
      </c>
      <c r="J760" s="372"/>
      <c r="K760" s="372">
        <f>'RAB Pasang'!K760*40%</f>
        <v>129960</v>
      </c>
      <c r="L760" s="387">
        <f t="shared" si="103"/>
        <v>0</v>
      </c>
      <c r="M760" s="387">
        <f t="shared" si="104"/>
        <v>0</v>
      </c>
      <c r="N760" s="422">
        <f t="shared" si="105"/>
        <v>0</v>
      </c>
    </row>
    <row r="761" spans="1:14" ht="13.2" customHeight="1" x14ac:dyDescent="0.3">
      <c r="A761" s="365">
        <f t="shared" si="106"/>
        <v>16</v>
      </c>
      <c r="B761" s="370" t="s">
        <v>2269</v>
      </c>
      <c r="C761" s="371"/>
      <c r="D761" s="371"/>
      <c r="E761" s="367" t="s">
        <v>596</v>
      </c>
      <c r="F761" s="537"/>
      <c r="G761" s="536"/>
      <c r="H761" s="536"/>
      <c r="I761" s="466">
        <f t="shared" si="102"/>
        <v>0</v>
      </c>
      <c r="J761" s="372"/>
      <c r="K761" s="372">
        <f>'RAB Pasang'!K761*40%</f>
        <v>178848</v>
      </c>
      <c r="L761" s="387">
        <f t="shared" si="103"/>
        <v>0</v>
      </c>
      <c r="M761" s="387">
        <f t="shared" si="104"/>
        <v>0</v>
      </c>
      <c r="N761" s="422">
        <f t="shared" si="105"/>
        <v>0</v>
      </c>
    </row>
    <row r="762" spans="1:14" ht="13.2" customHeight="1" x14ac:dyDescent="0.3">
      <c r="A762" s="365">
        <f t="shared" si="106"/>
        <v>17</v>
      </c>
      <c r="B762" s="370" t="s">
        <v>1663</v>
      </c>
      <c r="C762" s="371"/>
      <c r="D762" s="371"/>
      <c r="E762" s="367" t="s">
        <v>596</v>
      </c>
      <c r="F762" s="537"/>
      <c r="G762" s="536"/>
      <c r="H762" s="536"/>
      <c r="I762" s="466">
        <f t="shared" si="102"/>
        <v>0</v>
      </c>
      <c r="J762" s="372"/>
      <c r="K762" s="372">
        <f>'RAB Pasang'!K762*40%</f>
        <v>298084</v>
      </c>
      <c r="L762" s="387">
        <f t="shared" si="103"/>
        <v>0</v>
      </c>
      <c r="M762" s="387">
        <f t="shared" si="104"/>
        <v>0</v>
      </c>
      <c r="N762" s="422">
        <f t="shared" si="105"/>
        <v>0</v>
      </c>
    </row>
    <row r="763" spans="1:14" ht="13.2" customHeight="1" x14ac:dyDescent="0.3">
      <c r="A763" s="365">
        <f t="shared" si="106"/>
        <v>18</v>
      </c>
      <c r="B763" s="370" t="s">
        <v>1664</v>
      </c>
      <c r="C763" s="371"/>
      <c r="D763" s="371"/>
      <c r="E763" s="367" t="s">
        <v>596</v>
      </c>
      <c r="F763" s="537"/>
      <c r="G763" s="536"/>
      <c r="H763" s="536"/>
      <c r="I763" s="466">
        <f t="shared" si="102"/>
        <v>0</v>
      </c>
      <c r="J763" s="372"/>
      <c r="K763" s="372">
        <f>'RAB Pasang'!K763*40%</f>
        <v>340176</v>
      </c>
      <c r="L763" s="387">
        <f t="shared" si="103"/>
        <v>0</v>
      </c>
      <c r="M763" s="387">
        <f t="shared" si="104"/>
        <v>0</v>
      </c>
      <c r="N763" s="422">
        <f t="shared" si="105"/>
        <v>0</v>
      </c>
    </row>
    <row r="764" spans="1:14" ht="13.2" customHeight="1" x14ac:dyDescent="0.3">
      <c r="A764" s="365">
        <f t="shared" si="106"/>
        <v>19</v>
      </c>
      <c r="B764" s="370" t="s">
        <v>1665</v>
      </c>
      <c r="C764" s="371"/>
      <c r="D764" s="371"/>
      <c r="E764" s="367" t="s">
        <v>596</v>
      </c>
      <c r="F764" s="537"/>
      <c r="G764" s="536"/>
      <c r="H764" s="536"/>
      <c r="I764" s="466">
        <f t="shared" si="102"/>
        <v>0</v>
      </c>
      <c r="J764" s="372"/>
      <c r="K764" s="372">
        <f>'RAB Pasang'!K764*40%</f>
        <v>279452</v>
      </c>
      <c r="L764" s="387">
        <f t="shared" si="103"/>
        <v>0</v>
      </c>
      <c r="M764" s="387">
        <f t="shared" si="104"/>
        <v>0</v>
      </c>
      <c r="N764" s="422">
        <f t="shared" si="105"/>
        <v>0</v>
      </c>
    </row>
    <row r="765" spans="1:14" ht="13.2" customHeight="1" x14ac:dyDescent="0.3">
      <c r="A765" s="365">
        <f t="shared" si="106"/>
        <v>20</v>
      </c>
      <c r="B765" s="370" t="s">
        <v>1666</v>
      </c>
      <c r="C765" s="371"/>
      <c r="D765" s="371"/>
      <c r="E765" s="367" t="s">
        <v>596</v>
      </c>
      <c r="F765" s="537"/>
      <c r="G765" s="536"/>
      <c r="H765" s="536"/>
      <c r="I765" s="466">
        <f t="shared" si="102"/>
        <v>0</v>
      </c>
      <c r="J765" s="372"/>
      <c r="K765" s="372">
        <f>'RAB Pasang'!K765*40%</f>
        <v>314008</v>
      </c>
      <c r="L765" s="387">
        <f t="shared" si="103"/>
        <v>0</v>
      </c>
      <c r="M765" s="387">
        <f t="shared" si="104"/>
        <v>0</v>
      </c>
      <c r="N765" s="422">
        <f t="shared" si="105"/>
        <v>0</v>
      </c>
    </row>
    <row r="766" spans="1:14" ht="13.2" customHeight="1" x14ac:dyDescent="0.3">
      <c r="A766" s="365">
        <f>A765+1</f>
        <v>21</v>
      </c>
      <c r="B766" s="370" t="s">
        <v>1667</v>
      </c>
      <c r="C766" s="371"/>
      <c r="D766" s="371"/>
      <c r="E766" s="367" t="s">
        <v>399</v>
      </c>
      <c r="F766" s="527"/>
      <c r="G766" s="539"/>
      <c r="H766" s="539"/>
      <c r="I766" s="372">
        <f t="shared" si="102"/>
        <v>0</v>
      </c>
      <c r="J766" s="372"/>
      <c r="K766" s="372">
        <f>'RAB Pasang'!K766*40%</f>
        <v>8152</v>
      </c>
      <c r="L766" s="387">
        <f t="shared" si="103"/>
        <v>0</v>
      </c>
      <c r="M766" s="387">
        <f t="shared" si="104"/>
        <v>0</v>
      </c>
      <c r="N766" s="422">
        <f t="shared" si="105"/>
        <v>0</v>
      </c>
    </row>
    <row r="767" spans="1:14" ht="13.2" customHeight="1" x14ac:dyDescent="0.3">
      <c r="A767" s="365">
        <f t="shared" si="106"/>
        <v>22</v>
      </c>
      <c r="B767" s="370" t="s">
        <v>1670</v>
      </c>
      <c r="C767" s="371"/>
      <c r="D767" s="371"/>
      <c r="E767" s="367" t="s">
        <v>399</v>
      </c>
      <c r="F767" s="527"/>
      <c r="G767" s="539"/>
      <c r="H767" s="539"/>
      <c r="I767" s="372">
        <f t="shared" si="102"/>
        <v>0</v>
      </c>
      <c r="J767" s="372"/>
      <c r="K767" s="372">
        <f>'RAB Pasang'!K767*40%</f>
        <v>7884</v>
      </c>
      <c r="L767" s="387">
        <f t="shared" si="103"/>
        <v>0</v>
      </c>
      <c r="M767" s="387">
        <f t="shared" si="104"/>
        <v>0</v>
      </c>
      <c r="N767" s="422">
        <f t="shared" si="105"/>
        <v>0</v>
      </c>
    </row>
    <row r="768" spans="1:14" ht="13.2" customHeight="1" x14ac:dyDescent="0.3">
      <c r="A768" s="365">
        <f t="shared" si="106"/>
        <v>23</v>
      </c>
      <c r="B768" s="370" t="s">
        <v>1671</v>
      </c>
      <c r="C768" s="371"/>
      <c r="D768" s="371"/>
      <c r="E768" s="367" t="s">
        <v>399</v>
      </c>
      <c r="F768" s="527"/>
      <c r="G768" s="539"/>
      <c r="H768" s="539"/>
      <c r="I768" s="372">
        <f t="shared" si="102"/>
        <v>0</v>
      </c>
      <c r="J768" s="372"/>
      <c r="K768" s="372">
        <f>'RAB Pasang'!K768*40%</f>
        <v>7884</v>
      </c>
      <c r="L768" s="387">
        <f t="shared" si="103"/>
        <v>0</v>
      </c>
      <c r="M768" s="387">
        <f t="shared" si="104"/>
        <v>0</v>
      </c>
      <c r="N768" s="422">
        <f t="shared" si="105"/>
        <v>0</v>
      </c>
    </row>
    <row r="769" spans="1:14" ht="13.2" customHeight="1" x14ac:dyDescent="0.3">
      <c r="A769" s="365">
        <f t="shared" si="106"/>
        <v>24</v>
      </c>
      <c r="B769" s="370" t="s">
        <v>1689</v>
      </c>
      <c r="C769" s="371"/>
      <c r="D769" s="371"/>
      <c r="E769" s="367" t="s">
        <v>264</v>
      </c>
      <c r="F769" s="527"/>
      <c r="G769" s="539"/>
      <c r="H769" s="539"/>
      <c r="I769" s="372">
        <f t="shared" si="102"/>
        <v>0</v>
      </c>
      <c r="J769" s="372"/>
      <c r="K769" s="372">
        <f>'RAB Pasang'!K769*40%</f>
        <v>43468</v>
      </c>
      <c r="L769" s="387">
        <f t="shared" si="103"/>
        <v>0</v>
      </c>
      <c r="M769" s="387">
        <f t="shared" si="104"/>
        <v>0</v>
      </c>
      <c r="N769" s="422">
        <f t="shared" si="105"/>
        <v>0</v>
      </c>
    </row>
    <row r="770" spans="1:14" ht="15.6" customHeight="1" x14ac:dyDescent="0.3">
      <c r="A770" s="485"/>
      <c r="B770" s="497" t="s">
        <v>1718</v>
      </c>
      <c r="C770" s="487"/>
      <c r="D770" s="487"/>
      <c r="E770" s="488"/>
      <c r="F770" s="492"/>
      <c r="G770" s="492"/>
      <c r="H770" s="492"/>
      <c r="I770" s="543"/>
      <c r="J770" s="492"/>
      <c r="K770" s="492"/>
      <c r="L770" s="490">
        <f>SUM(L746:L769)</f>
        <v>0</v>
      </c>
      <c r="M770" s="490">
        <f t="shared" ref="M770:N770" si="107">SUM(M746:M769)</f>
        <v>0</v>
      </c>
      <c r="N770" s="491">
        <f t="shared" si="107"/>
        <v>0</v>
      </c>
    </row>
    <row r="771" spans="1:14" ht="8.4" customHeight="1" x14ac:dyDescent="0.3">
      <c r="A771" s="420"/>
      <c r="B771" s="376"/>
      <c r="C771" s="373"/>
      <c r="D771" s="373"/>
      <c r="E771" s="421"/>
      <c r="F771" s="528"/>
      <c r="G771" s="528"/>
      <c r="H771" s="528"/>
      <c r="I771" s="375"/>
      <c r="J771" s="375"/>
      <c r="K771" s="375"/>
      <c r="L771" s="399"/>
      <c r="M771" s="399"/>
      <c r="N771" s="400"/>
    </row>
    <row r="772" spans="1:14" ht="13.95" customHeight="1" x14ac:dyDescent="0.3">
      <c r="A772" s="495" t="s">
        <v>1451</v>
      </c>
      <c r="B772" s="478" t="s">
        <v>1443</v>
      </c>
      <c r="C772" s="480"/>
      <c r="D772" s="480"/>
      <c r="E772" s="493"/>
      <c r="F772" s="579"/>
      <c r="G772" s="579"/>
      <c r="H772" s="579"/>
      <c r="I772" s="494"/>
      <c r="J772" s="494"/>
      <c r="K772" s="494"/>
      <c r="L772" s="484"/>
      <c r="M772" s="484"/>
      <c r="N772" s="496"/>
    </row>
    <row r="773" spans="1:14" ht="13.2" customHeight="1" x14ac:dyDescent="0.3">
      <c r="A773" s="365">
        <v>1</v>
      </c>
      <c r="B773" s="370" t="s">
        <v>1983</v>
      </c>
      <c r="C773" s="371"/>
      <c r="D773" s="371"/>
      <c r="E773" s="367" t="s">
        <v>399</v>
      </c>
      <c r="F773" s="527"/>
      <c r="G773" s="527"/>
      <c r="H773" s="539"/>
      <c r="I773" s="372">
        <f t="shared" ref="I773:I836" si="108">SUM(F773:H773)</f>
        <v>0</v>
      </c>
      <c r="J773" s="372"/>
      <c r="K773" s="372">
        <f>'RAB Pasang'!K773*40%</f>
        <v>101080</v>
      </c>
      <c r="L773" s="387">
        <f t="shared" ref="L773:L836" si="109">J773*I773</f>
        <v>0</v>
      </c>
      <c r="M773" s="387">
        <f t="shared" ref="M773:M836" si="110">K773*I773</f>
        <v>0</v>
      </c>
      <c r="N773" s="422">
        <f t="shared" ref="N773:N836" si="111">SUM(L773:M773)</f>
        <v>0</v>
      </c>
    </row>
    <row r="774" spans="1:14" ht="13.2" customHeight="1" x14ac:dyDescent="0.3">
      <c r="A774" s="365">
        <f t="shared" ref="A774:A837" si="112">A773+1</f>
        <v>2</v>
      </c>
      <c r="B774" s="370" t="s">
        <v>1984</v>
      </c>
      <c r="C774" s="371"/>
      <c r="D774" s="371"/>
      <c r="E774" s="367" t="s">
        <v>399</v>
      </c>
      <c r="F774" s="527"/>
      <c r="G774" s="527"/>
      <c r="H774" s="539"/>
      <c r="I774" s="372">
        <f t="shared" si="108"/>
        <v>0</v>
      </c>
      <c r="J774" s="372"/>
      <c r="K774" s="372">
        <f>'RAB Pasang'!K774*40%</f>
        <v>101080</v>
      </c>
      <c r="L774" s="387">
        <f t="shared" si="109"/>
        <v>0</v>
      </c>
      <c r="M774" s="387">
        <f t="shared" si="110"/>
        <v>0</v>
      </c>
      <c r="N774" s="422">
        <f t="shared" si="111"/>
        <v>0</v>
      </c>
    </row>
    <row r="775" spans="1:14" ht="13.2" customHeight="1" x14ac:dyDescent="0.3">
      <c r="A775" s="365">
        <f t="shared" si="112"/>
        <v>3</v>
      </c>
      <c r="B775" s="370" t="s">
        <v>1985</v>
      </c>
      <c r="C775" s="371"/>
      <c r="D775" s="371"/>
      <c r="E775" s="367" t="s">
        <v>399</v>
      </c>
      <c r="F775" s="527"/>
      <c r="G775" s="527"/>
      <c r="H775" s="539"/>
      <c r="I775" s="372">
        <f t="shared" si="108"/>
        <v>0</v>
      </c>
      <c r="J775" s="372"/>
      <c r="K775" s="372">
        <f>'RAB Pasang'!K775*40%</f>
        <v>101080</v>
      </c>
      <c r="L775" s="387">
        <f t="shared" si="109"/>
        <v>0</v>
      </c>
      <c r="M775" s="387">
        <f t="shared" si="110"/>
        <v>0</v>
      </c>
      <c r="N775" s="422">
        <f t="shared" si="111"/>
        <v>0</v>
      </c>
    </row>
    <row r="776" spans="1:14" ht="13.2" customHeight="1" x14ac:dyDescent="0.3">
      <c r="A776" s="365">
        <f t="shared" si="112"/>
        <v>4</v>
      </c>
      <c r="B776" s="370" t="s">
        <v>1986</v>
      </c>
      <c r="C776" s="371"/>
      <c r="D776" s="371"/>
      <c r="E776" s="367" t="s">
        <v>399</v>
      </c>
      <c r="F776" s="527"/>
      <c r="G776" s="527"/>
      <c r="H776" s="539"/>
      <c r="I776" s="372">
        <f t="shared" si="108"/>
        <v>0</v>
      </c>
      <c r="J776" s="372"/>
      <c r="K776" s="372">
        <f>'RAB Pasang'!K776*40%</f>
        <v>101080</v>
      </c>
      <c r="L776" s="387">
        <f t="shared" si="109"/>
        <v>0</v>
      </c>
      <c r="M776" s="387">
        <f t="shared" si="110"/>
        <v>0</v>
      </c>
      <c r="N776" s="422">
        <f t="shared" si="111"/>
        <v>0</v>
      </c>
    </row>
    <row r="777" spans="1:14" ht="13.2" customHeight="1" x14ac:dyDescent="0.3">
      <c r="A777" s="365">
        <f t="shared" si="112"/>
        <v>5</v>
      </c>
      <c r="B777" s="370" t="s">
        <v>1987</v>
      </c>
      <c r="C777" s="371"/>
      <c r="D777" s="371"/>
      <c r="E777" s="367" t="s">
        <v>399</v>
      </c>
      <c r="F777" s="527"/>
      <c r="G777" s="527"/>
      <c r="H777" s="539"/>
      <c r="I777" s="372">
        <f t="shared" si="108"/>
        <v>0</v>
      </c>
      <c r="J777" s="372"/>
      <c r="K777" s="372">
        <f>'RAB Pasang'!K777*40%</f>
        <v>101080</v>
      </c>
      <c r="L777" s="387">
        <f t="shared" si="109"/>
        <v>0</v>
      </c>
      <c r="M777" s="387">
        <f t="shared" si="110"/>
        <v>0</v>
      </c>
      <c r="N777" s="422">
        <f t="shared" si="111"/>
        <v>0</v>
      </c>
    </row>
    <row r="778" spans="1:14" ht="13.2" customHeight="1" x14ac:dyDescent="0.3">
      <c r="A778" s="365">
        <f t="shared" si="112"/>
        <v>6</v>
      </c>
      <c r="B778" s="370" t="s">
        <v>1046</v>
      </c>
      <c r="C778" s="371"/>
      <c r="D778" s="371"/>
      <c r="E778" s="367" t="s">
        <v>399</v>
      </c>
      <c r="F778" s="539"/>
      <c r="G778" s="527"/>
      <c r="H778" s="539"/>
      <c r="I778" s="372">
        <f t="shared" si="108"/>
        <v>0</v>
      </c>
      <c r="J778" s="372"/>
      <c r="K778" s="372">
        <f>'RAB Pasang'!K778*40%</f>
        <v>151624</v>
      </c>
      <c r="L778" s="387">
        <f t="shared" si="109"/>
        <v>0</v>
      </c>
      <c r="M778" s="387">
        <f t="shared" si="110"/>
        <v>0</v>
      </c>
      <c r="N778" s="422">
        <f t="shared" si="111"/>
        <v>0</v>
      </c>
    </row>
    <row r="779" spans="1:14" ht="13.2" customHeight="1" x14ac:dyDescent="0.3">
      <c r="A779" s="365">
        <f t="shared" si="112"/>
        <v>7</v>
      </c>
      <c r="B779" s="370" t="s">
        <v>1047</v>
      </c>
      <c r="C779" s="371"/>
      <c r="D779" s="371"/>
      <c r="E779" s="367" t="s">
        <v>399</v>
      </c>
      <c r="F779" s="539"/>
      <c r="G779" s="527"/>
      <c r="H779" s="539"/>
      <c r="I779" s="372">
        <f t="shared" si="108"/>
        <v>0</v>
      </c>
      <c r="J779" s="372"/>
      <c r="K779" s="372">
        <f>'RAB Pasang'!K779*40%</f>
        <v>151624</v>
      </c>
      <c r="L779" s="387">
        <f t="shared" si="109"/>
        <v>0</v>
      </c>
      <c r="M779" s="387">
        <f t="shared" si="110"/>
        <v>0</v>
      </c>
      <c r="N779" s="422">
        <f t="shared" si="111"/>
        <v>0</v>
      </c>
    </row>
    <row r="780" spans="1:14" ht="13.2" customHeight="1" x14ac:dyDescent="0.3">
      <c r="A780" s="365">
        <f t="shared" si="112"/>
        <v>8</v>
      </c>
      <c r="B780" s="370" t="s">
        <v>1048</v>
      </c>
      <c r="C780" s="371"/>
      <c r="D780" s="371"/>
      <c r="E780" s="367" t="s">
        <v>399</v>
      </c>
      <c r="F780" s="539"/>
      <c r="G780" s="527"/>
      <c r="H780" s="539"/>
      <c r="I780" s="372">
        <f t="shared" si="108"/>
        <v>0</v>
      </c>
      <c r="J780" s="372"/>
      <c r="K780" s="372">
        <f>'RAB Pasang'!K780*40%</f>
        <v>151624</v>
      </c>
      <c r="L780" s="387">
        <f t="shared" si="109"/>
        <v>0</v>
      </c>
      <c r="M780" s="387">
        <f t="shared" si="110"/>
        <v>0</v>
      </c>
      <c r="N780" s="422">
        <f t="shared" si="111"/>
        <v>0</v>
      </c>
    </row>
    <row r="781" spans="1:14" ht="13.2" customHeight="1" x14ac:dyDescent="0.3">
      <c r="A781" s="365">
        <f t="shared" si="112"/>
        <v>9</v>
      </c>
      <c r="B781" s="370" t="s">
        <v>1049</v>
      </c>
      <c r="C781" s="371"/>
      <c r="D781" s="371"/>
      <c r="E781" s="367" t="s">
        <v>399</v>
      </c>
      <c r="F781" s="539"/>
      <c r="G781" s="527"/>
      <c r="H781" s="539"/>
      <c r="I781" s="372">
        <f t="shared" si="108"/>
        <v>0</v>
      </c>
      <c r="J781" s="372"/>
      <c r="K781" s="372">
        <f>'RAB Pasang'!K781*40%</f>
        <v>151624</v>
      </c>
      <c r="L781" s="387">
        <f t="shared" si="109"/>
        <v>0</v>
      </c>
      <c r="M781" s="387">
        <f t="shared" si="110"/>
        <v>0</v>
      </c>
      <c r="N781" s="422">
        <f t="shared" si="111"/>
        <v>0</v>
      </c>
    </row>
    <row r="782" spans="1:14" ht="13.2" customHeight="1" x14ac:dyDescent="0.3">
      <c r="A782" s="365">
        <f t="shared" si="112"/>
        <v>10</v>
      </c>
      <c r="B782" s="370" t="s">
        <v>1050</v>
      </c>
      <c r="C782" s="371"/>
      <c r="D782" s="371"/>
      <c r="E782" s="367" t="s">
        <v>399</v>
      </c>
      <c r="F782" s="539"/>
      <c r="G782" s="527"/>
      <c r="H782" s="539"/>
      <c r="I782" s="372">
        <f t="shared" si="108"/>
        <v>0</v>
      </c>
      <c r="J782" s="372"/>
      <c r="K782" s="372">
        <f>'RAB Pasang'!K782*40%</f>
        <v>151624</v>
      </c>
      <c r="L782" s="387">
        <f t="shared" si="109"/>
        <v>0</v>
      </c>
      <c r="M782" s="387">
        <f t="shared" si="110"/>
        <v>0</v>
      </c>
      <c r="N782" s="422">
        <f t="shared" si="111"/>
        <v>0</v>
      </c>
    </row>
    <row r="783" spans="1:14" ht="13.2" customHeight="1" x14ac:dyDescent="0.3">
      <c r="A783" s="365">
        <f t="shared" si="112"/>
        <v>11</v>
      </c>
      <c r="B783" s="370" t="s">
        <v>1988</v>
      </c>
      <c r="C783" s="371"/>
      <c r="D783" s="371"/>
      <c r="E783" s="367" t="s">
        <v>399</v>
      </c>
      <c r="F783" s="527"/>
      <c r="G783" s="527"/>
      <c r="H783" s="539"/>
      <c r="I783" s="372">
        <f t="shared" si="108"/>
        <v>0</v>
      </c>
      <c r="J783" s="372"/>
      <c r="K783" s="372">
        <f>'RAB Pasang'!K783*40%</f>
        <v>101080</v>
      </c>
      <c r="L783" s="387">
        <f t="shared" si="109"/>
        <v>0</v>
      </c>
      <c r="M783" s="387">
        <f t="shared" si="110"/>
        <v>0</v>
      </c>
      <c r="N783" s="422">
        <f t="shared" si="111"/>
        <v>0</v>
      </c>
    </row>
    <row r="784" spans="1:14" ht="13.2" customHeight="1" x14ac:dyDescent="0.3">
      <c r="A784" s="365">
        <f t="shared" si="112"/>
        <v>12</v>
      </c>
      <c r="B784" s="370" t="s">
        <v>1989</v>
      </c>
      <c r="C784" s="371"/>
      <c r="D784" s="371"/>
      <c r="E784" s="367" t="s">
        <v>399</v>
      </c>
      <c r="F784" s="527"/>
      <c r="G784" s="527"/>
      <c r="H784" s="539"/>
      <c r="I784" s="372">
        <f t="shared" si="108"/>
        <v>0</v>
      </c>
      <c r="J784" s="372"/>
      <c r="K784" s="372">
        <f>'RAB Pasang'!K784*40%</f>
        <v>101080</v>
      </c>
      <c r="L784" s="387">
        <f t="shared" si="109"/>
        <v>0</v>
      </c>
      <c r="M784" s="387">
        <f t="shared" si="110"/>
        <v>0</v>
      </c>
      <c r="N784" s="422">
        <f t="shared" si="111"/>
        <v>0</v>
      </c>
    </row>
    <row r="785" spans="1:14" ht="13.2" customHeight="1" x14ac:dyDescent="0.3">
      <c r="A785" s="365">
        <f t="shared" si="112"/>
        <v>13</v>
      </c>
      <c r="B785" s="370" t="s">
        <v>1990</v>
      </c>
      <c r="C785" s="371"/>
      <c r="D785" s="371"/>
      <c r="E785" s="367" t="s">
        <v>399</v>
      </c>
      <c r="F785" s="527"/>
      <c r="G785" s="527"/>
      <c r="H785" s="539"/>
      <c r="I785" s="372">
        <f t="shared" si="108"/>
        <v>0</v>
      </c>
      <c r="J785" s="372"/>
      <c r="K785" s="372">
        <f>'RAB Pasang'!K785*40%</f>
        <v>101080</v>
      </c>
      <c r="L785" s="387">
        <f t="shared" si="109"/>
        <v>0</v>
      </c>
      <c r="M785" s="387">
        <f t="shared" si="110"/>
        <v>0</v>
      </c>
      <c r="N785" s="422">
        <f t="shared" si="111"/>
        <v>0</v>
      </c>
    </row>
    <row r="786" spans="1:14" ht="13.2" customHeight="1" x14ac:dyDescent="0.3">
      <c r="A786" s="365">
        <f t="shared" si="112"/>
        <v>14</v>
      </c>
      <c r="B786" s="370" t="s">
        <v>1991</v>
      </c>
      <c r="C786" s="371"/>
      <c r="D786" s="371"/>
      <c r="E786" s="367" t="s">
        <v>399</v>
      </c>
      <c r="F786" s="527"/>
      <c r="G786" s="527"/>
      <c r="H786" s="539"/>
      <c r="I786" s="372">
        <f t="shared" si="108"/>
        <v>0</v>
      </c>
      <c r="J786" s="372"/>
      <c r="K786" s="372">
        <f>'RAB Pasang'!K786*40%</f>
        <v>101080</v>
      </c>
      <c r="L786" s="387">
        <f t="shared" si="109"/>
        <v>0</v>
      </c>
      <c r="M786" s="387">
        <f t="shared" si="110"/>
        <v>0</v>
      </c>
      <c r="N786" s="422">
        <f t="shared" si="111"/>
        <v>0</v>
      </c>
    </row>
    <row r="787" spans="1:14" ht="13.2" customHeight="1" x14ac:dyDescent="0.3">
      <c r="A787" s="365">
        <f t="shared" si="112"/>
        <v>15</v>
      </c>
      <c r="B787" s="370" t="s">
        <v>1992</v>
      </c>
      <c r="C787" s="371"/>
      <c r="D787" s="371"/>
      <c r="E787" s="367" t="s">
        <v>399</v>
      </c>
      <c r="F787" s="527"/>
      <c r="G787" s="527"/>
      <c r="H787" s="539"/>
      <c r="I787" s="372">
        <f t="shared" si="108"/>
        <v>0</v>
      </c>
      <c r="J787" s="372"/>
      <c r="K787" s="372">
        <f>'RAB Pasang'!K787*40%</f>
        <v>101080</v>
      </c>
      <c r="L787" s="387">
        <f t="shared" si="109"/>
        <v>0</v>
      </c>
      <c r="M787" s="387">
        <f t="shared" si="110"/>
        <v>0</v>
      </c>
      <c r="N787" s="422">
        <f t="shared" si="111"/>
        <v>0</v>
      </c>
    </row>
    <row r="788" spans="1:14" ht="13.2" customHeight="1" x14ac:dyDescent="0.3">
      <c r="A788" s="365">
        <f t="shared" si="112"/>
        <v>16</v>
      </c>
      <c r="B788" s="370" t="s">
        <v>1056</v>
      </c>
      <c r="C788" s="371"/>
      <c r="D788" s="371"/>
      <c r="E788" s="367" t="s">
        <v>399</v>
      </c>
      <c r="F788" s="539"/>
      <c r="G788" s="527"/>
      <c r="H788" s="539"/>
      <c r="I788" s="372">
        <f t="shared" si="108"/>
        <v>0</v>
      </c>
      <c r="J788" s="372"/>
      <c r="K788" s="372">
        <f>'RAB Pasang'!K788*40%</f>
        <v>151624</v>
      </c>
      <c r="L788" s="387">
        <f t="shared" si="109"/>
        <v>0</v>
      </c>
      <c r="M788" s="387">
        <f t="shared" si="110"/>
        <v>0</v>
      </c>
      <c r="N788" s="422">
        <f t="shared" si="111"/>
        <v>0</v>
      </c>
    </row>
    <row r="789" spans="1:14" ht="13.2" customHeight="1" x14ac:dyDescent="0.3">
      <c r="A789" s="365">
        <f t="shared" si="112"/>
        <v>17</v>
      </c>
      <c r="B789" s="370" t="s">
        <v>1057</v>
      </c>
      <c r="C789" s="371"/>
      <c r="D789" s="371"/>
      <c r="E789" s="367" t="s">
        <v>399</v>
      </c>
      <c r="F789" s="539"/>
      <c r="G789" s="527"/>
      <c r="H789" s="539"/>
      <c r="I789" s="372">
        <f t="shared" si="108"/>
        <v>0</v>
      </c>
      <c r="J789" s="372"/>
      <c r="K789" s="372">
        <f>'RAB Pasang'!K789*40%</f>
        <v>151624</v>
      </c>
      <c r="L789" s="387">
        <f t="shared" si="109"/>
        <v>0</v>
      </c>
      <c r="M789" s="387">
        <f t="shared" si="110"/>
        <v>0</v>
      </c>
      <c r="N789" s="422">
        <f t="shared" si="111"/>
        <v>0</v>
      </c>
    </row>
    <row r="790" spans="1:14" ht="13.2" customHeight="1" x14ac:dyDescent="0.3">
      <c r="A790" s="365">
        <f t="shared" si="112"/>
        <v>18</v>
      </c>
      <c r="B790" s="370" t="s">
        <v>1058</v>
      </c>
      <c r="C790" s="371"/>
      <c r="D790" s="371"/>
      <c r="E790" s="367" t="s">
        <v>399</v>
      </c>
      <c r="F790" s="539"/>
      <c r="G790" s="527"/>
      <c r="H790" s="539"/>
      <c r="I790" s="372">
        <f t="shared" si="108"/>
        <v>0</v>
      </c>
      <c r="J790" s="372"/>
      <c r="K790" s="372">
        <f>'RAB Pasang'!K790*40%</f>
        <v>151624</v>
      </c>
      <c r="L790" s="387">
        <f t="shared" si="109"/>
        <v>0</v>
      </c>
      <c r="M790" s="387">
        <f t="shared" si="110"/>
        <v>0</v>
      </c>
      <c r="N790" s="422">
        <f t="shared" si="111"/>
        <v>0</v>
      </c>
    </row>
    <row r="791" spans="1:14" ht="13.2" customHeight="1" x14ac:dyDescent="0.3">
      <c r="A791" s="365">
        <f t="shared" si="112"/>
        <v>19</v>
      </c>
      <c r="B791" s="370" t="s">
        <v>1059</v>
      </c>
      <c r="C791" s="371"/>
      <c r="D791" s="371"/>
      <c r="E791" s="367" t="s">
        <v>399</v>
      </c>
      <c r="F791" s="539"/>
      <c r="G791" s="527"/>
      <c r="H791" s="539"/>
      <c r="I791" s="372">
        <f t="shared" si="108"/>
        <v>0</v>
      </c>
      <c r="J791" s="372"/>
      <c r="K791" s="372">
        <f>'RAB Pasang'!K791*40%</f>
        <v>151624</v>
      </c>
      <c r="L791" s="387">
        <f t="shared" si="109"/>
        <v>0</v>
      </c>
      <c r="M791" s="387">
        <f t="shared" si="110"/>
        <v>0</v>
      </c>
      <c r="N791" s="422">
        <f t="shared" si="111"/>
        <v>0</v>
      </c>
    </row>
    <row r="792" spans="1:14" ht="13.2" customHeight="1" x14ac:dyDescent="0.3">
      <c r="A792" s="365">
        <f t="shared" si="112"/>
        <v>20</v>
      </c>
      <c r="B792" s="370" t="s">
        <v>1060</v>
      </c>
      <c r="C792" s="371"/>
      <c r="D792" s="371"/>
      <c r="E792" s="367" t="s">
        <v>399</v>
      </c>
      <c r="F792" s="539"/>
      <c r="G792" s="527"/>
      <c r="H792" s="539"/>
      <c r="I792" s="372">
        <f t="shared" si="108"/>
        <v>0</v>
      </c>
      <c r="J792" s="372"/>
      <c r="K792" s="372">
        <f>'RAB Pasang'!K792*40%</f>
        <v>151624</v>
      </c>
      <c r="L792" s="387">
        <f t="shared" si="109"/>
        <v>0</v>
      </c>
      <c r="M792" s="387">
        <f t="shared" si="110"/>
        <v>0</v>
      </c>
      <c r="N792" s="422">
        <f t="shared" si="111"/>
        <v>0</v>
      </c>
    </row>
    <row r="793" spans="1:14" ht="13.2" customHeight="1" x14ac:dyDescent="0.3">
      <c r="A793" s="365">
        <f t="shared" si="112"/>
        <v>21</v>
      </c>
      <c r="B793" s="370" t="s">
        <v>2005</v>
      </c>
      <c r="C793" s="371"/>
      <c r="D793" s="371"/>
      <c r="E793" s="367" t="s">
        <v>399</v>
      </c>
      <c r="F793" s="539"/>
      <c r="G793" s="527"/>
      <c r="H793" s="539"/>
      <c r="I793" s="372">
        <f t="shared" si="108"/>
        <v>0</v>
      </c>
      <c r="J793" s="372"/>
      <c r="K793" s="372">
        <f>'RAB Pasang'!K793*40%</f>
        <v>303244</v>
      </c>
      <c r="L793" s="387">
        <f t="shared" si="109"/>
        <v>0</v>
      </c>
      <c r="M793" s="387">
        <f t="shared" si="110"/>
        <v>0</v>
      </c>
      <c r="N793" s="422">
        <f t="shared" si="111"/>
        <v>0</v>
      </c>
    </row>
    <row r="794" spans="1:14" ht="13.2" customHeight="1" x14ac:dyDescent="0.3">
      <c r="A794" s="365">
        <f t="shared" si="112"/>
        <v>22</v>
      </c>
      <c r="B794" s="370" t="s">
        <v>1998</v>
      </c>
      <c r="C794" s="371"/>
      <c r="D794" s="371"/>
      <c r="E794" s="367" t="s">
        <v>399</v>
      </c>
      <c r="F794" s="539"/>
      <c r="G794" s="527"/>
      <c r="H794" s="539"/>
      <c r="I794" s="372">
        <f t="shared" si="108"/>
        <v>0</v>
      </c>
      <c r="J794" s="372"/>
      <c r="K794" s="372">
        <f>'RAB Pasang'!K794*40%</f>
        <v>303244</v>
      </c>
      <c r="L794" s="387">
        <f t="shared" si="109"/>
        <v>0</v>
      </c>
      <c r="M794" s="387">
        <f t="shared" si="110"/>
        <v>0</v>
      </c>
      <c r="N794" s="422">
        <f t="shared" si="111"/>
        <v>0</v>
      </c>
    </row>
    <row r="795" spans="1:14" ht="13.2" customHeight="1" x14ac:dyDescent="0.3">
      <c r="A795" s="365">
        <f t="shared" si="112"/>
        <v>23</v>
      </c>
      <c r="B795" s="370" t="s">
        <v>1999</v>
      </c>
      <c r="C795" s="371"/>
      <c r="D795" s="371"/>
      <c r="E795" s="367" t="s">
        <v>399</v>
      </c>
      <c r="F795" s="539"/>
      <c r="G795" s="527"/>
      <c r="H795" s="539"/>
      <c r="I795" s="372">
        <f t="shared" si="108"/>
        <v>0</v>
      </c>
      <c r="J795" s="372"/>
      <c r="K795" s="372">
        <f>'RAB Pasang'!K795*40%</f>
        <v>303244</v>
      </c>
      <c r="L795" s="387">
        <f t="shared" si="109"/>
        <v>0</v>
      </c>
      <c r="M795" s="387">
        <f t="shared" si="110"/>
        <v>0</v>
      </c>
      <c r="N795" s="422">
        <f t="shared" si="111"/>
        <v>0</v>
      </c>
    </row>
    <row r="796" spans="1:14" ht="13.2" customHeight="1" x14ac:dyDescent="0.3">
      <c r="A796" s="365">
        <f t="shared" si="112"/>
        <v>24</v>
      </c>
      <c r="B796" s="370" t="s">
        <v>2000</v>
      </c>
      <c r="C796" s="371"/>
      <c r="D796" s="371"/>
      <c r="E796" s="367" t="s">
        <v>399</v>
      </c>
      <c r="F796" s="539"/>
      <c r="G796" s="527"/>
      <c r="H796" s="539"/>
      <c r="I796" s="372">
        <f t="shared" si="108"/>
        <v>0</v>
      </c>
      <c r="J796" s="372"/>
      <c r="K796" s="372">
        <f>'RAB Pasang'!K796*40%</f>
        <v>303244</v>
      </c>
      <c r="L796" s="387">
        <f t="shared" si="109"/>
        <v>0</v>
      </c>
      <c r="M796" s="387">
        <f t="shared" si="110"/>
        <v>0</v>
      </c>
      <c r="N796" s="422">
        <f t="shared" si="111"/>
        <v>0</v>
      </c>
    </row>
    <row r="797" spans="1:14" ht="13.2" customHeight="1" x14ac:dyDescent="0.3">
      <c r="A797" s="365">
        <f t="shared" si="112"/>
        <v>25</v>
      </c>
      <c r="B797" s="370" t="s">
        <v>2001</v>
      </c>
      <c r="C797" s="371"/>
      <c r="D797" s="371"/>
      <c r="E797" s="367" t="s">
        <v>399</v>
      </c>
      <c r="F797" s="539"/>
      <c r="G797" s="527"/>
      <c r="H797" s="539"/>
      <c r="I797" s="372">
        <f t="shared" si="108"/>
        <v>0</v>
      </c>
      <c r="J797" s="372"/>
      <c r="K797" s="372">
        <f>'RAB Pasang'!K797*40%</f>
        <v>303244</v>
      </c>
      <c r="L797" s="387">
        <f t="shared" si="109"/>
        <v>0</v>
      </c>
      <c r="M797" s="387">
        <f t="shared" si="110"/>
        <v>0</v>
      </c>
      <c r="N797" s="422">
        <f t="shared" si="111"/>
        <v>0</v>
      </c>
    </row>
    <row r="798" spans="1:14" ht="13.2" customHeight="1" x14ac:dyDescent="0.3">
      <c r="A798" s="365">
        <f t="shared" si="112"/>
        <v>26</v>
      </c>
      <c r="B798" s="370" t="s">
        <v>2002</v>
      </c>
      <c r="C798" s="371"/>
      <c r="D798" s="371"/>
      <c r="E798" s="367" t="s">
        <v>399</v>
      </c>
      <c r="F798" s="539"/>
      <c r="G798" s="527"/>
      <c r="H798" s="539"/>
      <c r="I798" s="372">
        <f t="shared" si="108"/>
        <v>0</v>
      </c>
      <c r="J798" s="372"/>
      <c r="K798" s="372">
        <f>'RAB Pasang'!K798*40%</f>
        <v>303244</v>
      </c>
      <c r="L798" s="387">
        <f t="shared" si="109"/>
        <v>0</v>
      </c>
      <c r="M798" s="387">
        <f t="shared" si="110"/>
        <v>0</v>
      </c>
      <c r="N798" s="422">
        <f t="shared" si="111"/>
        <v>0</v>
      </c>
    </row>
    <row r="799" spans="1:14" ht="13.2" customHeight="1" x14ac:dyDescent="0.3">
      <c r="A799" s="365">
        <f t="shared" si="112"/>
        <v>27</v>
      </c>
      <c r="B799" s="370" t="s">
        <v>2003</v>
      </c>
      <c r="C799" s="371"/>
      <c r="D799" s="371"/>
      <c r="E799" s="367" t="s">
        <v>399</v>
      </c>
      <c r="F799" s="539"/>
      <c r="G799" s="527"/>
      <c r="H799" s="539"/>
      <c r="I799" s="372">
        <f t="shared" si="108"/>
        <v>0</v>
      </c>
      <c r="J799" s="372"/>
      <c r="K799" s="372">
        <f>'RAB Pasang'!K799*40%</f>
        <v>303244</v>
      </c>
      <c r="L799" s="387">
        <f t="shared" si="109"/>
        <v>0</v>
      </c>
      <c r="M799" s="387">
        <f t="shared" si="110"/>
        <v>0</v>
      </c>
      <c r="N799" s="422">
        <f t="shared" si="111"/>
        <v>0</v>
      </c>
    </row>
    <row r="800" spans="1:14" ht="13.2" customHeight="1" x14ac:dyDescent="0.3">
      <c r="A800" s="365">
        <f t="shared" si="112"/>
        <v>28</v>
      </c>
      <c r="B800" s="370" t="s">
        <v>2004</v>
      </c>
      <c r="C800" s="371"/>
      <c r="D800" s="371"/>
      <c r="E800" s="367" t="s">
        <v>399</v>
      </c>
      <c r="F800" s="539"/>
      <c r="G800" s="527"/>
      <c r="H800" s="539"/>
      <c r="I800" s="372">
        <f t="shared" si="108"/>
        <v>0</v>
      </c>
      <c r="J800" s="372"/>
      <c r="K800" s="372">
        <f>'RAB Pasang'!K800*40%</f>
        <v>303244</v>
      </c>
      <c r="L800" s="387">
        <f t="shared" si="109"/>
        <v>0</v>
      </c>
      <c r="M800" s="387">
        <f t="shared" si="110"/>
        <v>0</v>
      </c>
      <c r="N800" s="422">
        <f t="shared" si="111"/>
        <v>0</v>
      </c>
    </row>
    <row r="801" spans="1:14" ht="13.2" customHeight="1" x14ac:dyDescent="0.3">
      <c r="A801" s="365">
        <f t="shared" si="112"/>
        <v>29</v>
      </c>
      <c r="B801" s="370" t="s">
        <v>1099</v>
      </c>
      <c r="C801" s="371"/>
      <c r="D801" s="371"/>
      <c r="E801" s="367" t="s">
        <v>399</v>
      </c>
      <c r="F801" s="539"/>
      <c r="G801" s="527"/>
      <c r="H801" s="539"/>
      <c r="I801" s="372">
        <f t="shared" si="108"/>
        <v>0</v>
      </c>
      <c r="J801" s="372"/>
      <c r="K801" s="372">
        <f>'RAB Pasang'!K801*40%</f>
        <v>303244</v>
      </c>
      <c r="L801" s="387">
        <f t="shared" si="109"/>
        <v>0</v>
      </c>
      <c r="M801" s="387">
        <f t="shared" si="110"/>
        <v>0</v>
      </c>
      <c r="N801" s="422">
        <f t="shared" si="111"/>
        <v>0</v>
      </c>
    </row>
    <row r="802" spans="1:14" ht="13.2" customHeight="1" x14ac:dyDescent="0.3">
      <c r="A802" s="365">
        <f t="shared" si="112"/>
        <v>30</v>
      </c>
      <c r="B802" s="370" t="s">
        <v>1113</v>
      </c>
      <c r="C802" s="371"/>
      <c r="D802" s="371"/>
      <c r="E802" s="367" t="s">
        <v>399</v>
      </c>
      <c r="F802" s="539"/>
      <c r="G802" s="527"/>
      <c r="H802" s="539"/>
      <c r="I802" s="372">
        <f t="shared" si="108"/>
        <v>0</v>
      </c>
      <c r="J802" s="372"/>
      <c r="K802" s="372">
        <f>'RAB Pasang'!K802*40%</f>
        <v>303244</v>
      </c>
      <c r="L802" s="387">
        <f t="shared" si="109"/>
        <v>0</v>
      </c>
      <c r="M802" s="387">
        <f t="shared" si="110"/>
        <v>0</v>
      </c>
      <c r="N802" s="422">
        <f t="shared" si="111"/>
        <v>0</v>
      </c>
    </row>
    <row r="803" spans="1:14" ht="13.2" customHeight="1" x14ac:dyDescent="0.3">
      <c r="A803" s="365">
        <f t="shared" si="112"/>
        <v>31</v>
      </c>
      <c r="B803" s="370" t="s">
        <v>1114</v>
      </c>
      <c r="C803" s="371"/>
      <c r="D803" s="371"/>
      <c r="E803" s="367" t="s">
        <v>399</v>
      </c>
      <c r="F803" s="539"/>
      <c r="G803" s="527"/>
      <c r="H803" s="539"/>
      <c r="I803" s="372">
        <f t="shared" si="108"/>
        <v>0</v>
      </c>
      <c r="J803" s="372"/>
      <c r="K803" s="372">
        <f>'RAB Pasang'!K803*40%</f>
        <v>303244</v>
      </c>
      <c r="L803" s="387">
        <f t="shared" si="109"/>
        <v>0</v>
      </c>
      <c r="M803" s="387">
        <f t="shared" si="110"/>
        <v>0</v>
      </c>
      <c r="N803" s="422">
        <f t="shared" si="111"/>
        <v>0</v>
      </c>
    </row>
    <row r="804" spans="1:14" ht="13.2" customHeight="1" x14ac:dyDescent="0.3">
      <c r="A804" s="365">
        <f t="shared" si="112"/>
        <v>32</v>
      </c>
      <c r="B804" s="370" t="s">
        <v>1115</v>
      </c>
      <c r="C804" s="371"/>
      <c r="D804" s="371"/>
      <c r="E804" s="367" t="s">
        <v>399</v>
      </c>
      <c r="F804" s="539"/>
      <c r="G804" s="527"/>
      <c r="H804" s="539"/>
      <c r="I804" s="372">
        <f t="shared" si="108"/>
        <v>0</v>
      </c>
      <c r="J804" s="372"/>
      <c r="K804" s="372">
        <f>'RAB Pasang'!K804*40%</f>
        <v>303244</v>
      </c>
      <c r="L804" s="387">
        <f t="shared" si="109"/>
        <v>0</v>
      </c>
      <c r="M804" s="387">
        <f t="shared" si="110"/>
        <v>0</v>
      </c>
      <c r="N804" s="422">
        <f t="shared" si="111"/>
        <v>0</v>
      </c>
    </row>
    <row r="805" spans="1:14" ht="13.2" customHeight="1" x14ac:dyDescent="0.3">
      <c r="A805" s="365">
        <f t="shared" si="112"/>
        <v>33</v>
      </c>
      <c r="B805" s="370" t="s">
        <v>1116</v>
      </c>
      <c r="C805" s="371"/>
      <c r="D805" s="371"/>
      <c r="E805" s="367" t="s">
        <v>399</v>
      </c>
      <c r="F805" s="539"/>
      <c r="G805" s="527"/>
      <c r="H805" s="539"/>
      <c r="I805" s="372">
        <f t="shared" si="108"/>
        <v>0</v>
      </c>
      <c r="J805" s="372"/>
      <c r="K805" s="372">
        <f>'RAB Pasang'!K805*40%</f>
        <v>303244</v>
      </c>
      <c r="L805" s="387">
        <f t="shared" si="109"/>
        <v>0</v>
      </c>
      <c r="M805" s="387">
        <f t="shared" si="110"/>
        <v>0</v>
      </c>
      <c r="N805" s="422">
        <f t="shared" si="111"/>
        <v>0</v>
      </c>
    </row>
    <row r="806" spans="1:14" ht="13.2" customHeight="1" x14ac:dyDescent="0.3">
      <c r="A806" s="365">
        <f t="shared" si="112"/>
        <v>34</v>
      </c>
      <c r="B806" s="370" t="s">
        <v>1117</v>
      </c>
      <c r="C806" s="371"/>
      <c r="D806" s="371"/>
      <c r="E806" s="367" t="s">
        <v>399</v>
      </c>
      <c r="F806" s="539"/>
      <c r="G806" s="527"/>
      <c r="H806" s="539"/>
      <c r="I806" s="372">
        <f t="shared" si="108"/>
        <v>0</v>
      </c>
      <c r="J806" s="372"/>
      <c r="K806" s="372">
        <f>'RAB Pasang'!K806*40%</f>
        <v>303244</v>
      </c>
      <c r="L806" s="387">
        <f t="shared" si="109"/>
        <v>0</v>
      </c>
      <c r="M806" s="387">
        <f t="shared" si="110"/>
        <v>0</v>
      </c>
      <c r="N806" s="422">
        <f t="shared" si="111"/>
        <v>0</v>
      </c>
    </row>
    <row r="807" spans="1:14" ht="13.2" customHeight="1" x14ac:dyDescent="0.3">
      <c r="A807" s="365">
        <f t="shared" si="112"/>
        <v>35</v>
      </c>
      <c r="B807" s="370" t="s">
        <v>1118</v>
      </c>
      <c r="C807" s="371"/>
      <c r="D807" s="371"/>
      <c r="E807" s="367" t="s">
        <v>399</v>
      </c>
      <c r="F807" s="539"/>
      <c r="G807" s="527"/>
      <c r="H807" s="539"/>
      <c r="I807" s="372">
        <f t="shared" si="108"/>
        <v>0</v>
      </c>
      <c r="J807" s="372"/>
      <c r="K807" s="372">
        <f>'RAB Pasang'!K807*40%</f>
        <v>303244</v>
      </c>
      <c r="L807" s="387">
        <f t="shared" si="109"/>
        <v>0</v>
      </c>
      <c r="M807" s="387">
        <f t="shared" si="110"/>
        <v>0</v>
      </c>
      <c r="N807" s="422">
        <f t="shared" si="111"/>
        <v>0</v>
      </c>
    </row>
    <row r="808" spans="1:14" ht="13.2" customHeight="1" x14ac:dyDescent="0.3">
      <c r="A808" s="365">
        <f t="shared" si="112"/>
        <v>36</v>
      </c>
      <c r="B808" s="370" t="s">
        <v>1119</v>
      </c>
      <c r="C808" s="371"/>
      <c r="D808" s="371"/>
      <c r="E808" s="367" t="s">
        <v>399</v>
      </c>
      <c r="F808" s="539"/>
      <c r="G808" s="527"/>
      <c r="H808" s="539"/>
      <c r="I808" s="372">
        <f t="shared" si="108"/>
        <v>0</v>
      </c>
      <c r="J808" s="372"/>
      <c r="K808" s="372">
        <f>'RAB Pasang'!K808*40%</f>
        <v>303244</v>
      </c>
      <c r="L808" s="387">
        <f t="shared" si="109"/>
        <v>0</v>
      </c>
      <c r="M808" s="387">
        <f t="shared" si="110"/>
        <v>0</v>
      </c>
      <c r="N808" s="422">
        <f t="shared" si="111"/>
        <v>0</v>
      </c>
    </row>
    <row r="809" spans="1:14" ht="13.2" customHeight="1" x14ac:dyDescent="0.3">
      <c r="A809" s="365">
        <f t="shared" si="112"/>
        <v>37</v>
      </c>
      <c r="B809" s="370" t="s">
        <v>1127</v>
      </c>
      <c r="C809" s="371"/>
      <c r="D809" s="371"/>
      <c r="E809" s="367" t="s">
        <v>399</v>
      </c>
      <c r="F809" s="539"/>
      <c r="G809" s="527"/>
      <c r="H809" s="539"/>
      <c r="I809" s="372">
        <f t="shared" si="108"/>
        <v>0</v>
      </c>
      <c r="J809" s="372"/>
      <c r="K809" s="372">
        <f>'RAB Pasang'!K809*40%</f>
        <v>560964</v>
      </c>
      <c r="L809" s="387">
        <f t="shared" si="109"/>
        <v>0</v>
      </c>
      <c r="M809" s="387">
        <f t="shared" si="110"/>
        <v>0</v>
      </c>
      <c r="N809" s="422">
        <f t="shared" si="111"/>
        <v>0</v>
      </c>
    </row>
    <row r="810" spans="1:14" ht="13.2" customHeight="1" x14ac:dyDescent="0.3">
      <c r="A810" s="365">
        <f t="shared" si="112"/>
        <v>38</v>
      </c>
      <c r="B810" s="370" t="s">
        <v>1128</v>
      </c>
      <c r="C810" s="371"/>
      <c r="D810" s="371"/>
      <c r="E810" s="367" t="s">
        <v>399</v>
      </c>
      <c r="F810" s="539"/>
      <c r="G810" s="527"/>
      <c r="H810" s="539"/>
      <c r="I810" s="372">
        <f t="shared" si="108"/>
        <v>0</v>
      </c>
      <c r="J810" s="372"/>
      <c r="K810" s="372">
        <f>'RAB Pasang'!K810*40%</f>
        <v>560964</v>
      </c>
      <c r="L810" s="387">
        <f t="shared" si="109"/>
        <v>0</v>
      </c>
      <c r="M810" s="387">
        <f t="shared" si="110"/>
        <v>0</v>
      </c>
      <c r="N810" s="422">
        <f t="shared" si="111"/>
        <v>0</v>
      </c>
    </row>
    <row r="811" spans="1:14" ht="13.2" customHeight="1" x14ac:dyDescent="0.3">
      <c r="A811" s="365">
        <f t="shared" si="112"/>
        <v>39</v>
      </c>
      <c r="B811" s="370" t="s">
        <v>1129</v>
      </c>
      <c r="C811" s="371"/>
      <c r="D811" s="371"/>
      <c r="E811" s="367" t="s">
        <v>399</v>
      </c>
      <c r="F811" s="539"/>
      <c r="G811" s="527"/>
      <c r="H811" s="539"/>
      <c r="I811" s="372">
        <f t="shared" si="108"/>
        <v>0</v>
      </c>
      <c r="J811" s="372"/>
      <c r="K811" s="372">
        <f>'RAB Pasang'!K811*40%</f>
        <v>560964</v>
      </c>
      <c r="L811" s="387">
        <f t="shared" si="109"/>
        <v>0</v>
      </c>
      <c r="M811" s="387">
        <f t="shared" si="110"/>
        <v>0</v>
      </c>
      <c r="N811" s="422">
        <f t="shared" si="111"/>
        <v>0</v>
      </c>
    </row>
    <row r="812" spans="1:14" ht="13.2" customHeight="1" x14ac:dyDescent="0.3">
      <c r="A812" s="365">
        <f t="shared" si="112"/>
        <v>40</v>
      </c>
      <c r="B812" s="370" t="s">
        <v>1130</v>
      </c>
      <c r="C812" s="371"/>
      <c r="D812" s="371"/>
      <c r="E812" s="367" t="s">
        <v>399</v>
      </c>
      <c r="F812" s="539"/>
      <c r="G812" s="527"/>
      <c r="H812" s="539"/>
      <c r="I812" s="372">
        <f t="shared" si="108"/>
        <v>0</v>
      </c>
      <c r="J812" s="372"/>
      <c r="K812" s="372">
        <f>'RAB Pasang'!K812*40%</f>
        <v>560964</v>
      </c>
      <c r="L812" s="387">
        <f t="shared" si="109"/>
        <v>0</v>
      </c>
      <c r="M812" s="387">
        <f t="shared" si="110"/>
        <v>0</v>
      </c>
      <c r="N812" s="422">
        <f t="shared" si="111"/>
        <v>0</v>
      </c>
    </row>
    <row r="813" spans="1:14" ht="13.2" customHeight="1" x14ac:dyDescent="0.3">
      <c r="A813" s="365">
        <f t="shared" si="112"/>
        <v>41</v>
      </c>
      <c r="B813" s="370" t="s">
        <v>1131</v>
      </c>
      <c r="C813" s="371"/>
      <c r="D813" s="371"/>
      <c r="E813" s="367" t="s">
        <v>399</v>
      </c>
      <c r="F813" s="539"/>
      <c r="G813" s="527"/>
      <c r="H813" s="539"/>
      <c r="I813" s="372">
        <f t="shared" si="108"/>
        <v>0</v>
      </c>
      <c r="J813" s="372"/>
      <c r="K813" s="372">
        <f>'RAB Pasang'!K813*40%</f>
        <v>560964</v>
      </c>
      <c r="L813" s="387">
        <f t="shared" si="109"/>
        <v>0</v>
      </c>
      <c r="M813" s="387">
        <f t="shared" si="110"/>
        <v>0</v>
      </c>
      <c r="N813" s="422">
        <f t="shared" si="111"/>
        <v>0</v>
      </c>
    </row>
    <row r="814" spans="1:14" ht="13.2" customHeight="1" x14ac:dyDescent="0.3">
      <c r="A814" s="365">
        <f t="shared" si="112"/>
        <v>42</v>
      </c>
      <c r="B814" s="370" t="s">
        <v>1132</v>
      </c>
      <c r="C814" s="371"/>
      <c r="D814" s="371"/>
      <c r="E814" s="367" t="s">
        <v>399</v>
      </c>
      <c r="F814" s="539"/>
      <c r="G814" s="527"/>
      <c r="H814" s="539"/>
      <c r="I814" s="372">
        <f t="shared" si="108"/>
        <v>0</v>
      </c>
      <c r="J814" s="372"/>
      <c r="K814" s="372">
        <f>'RAB Pasang'!K814*40%</f>
        <v>560964</v>
      </c>
      <c r="L814" s="387">
        <f t="shared" si="109"/>
        <v>0</v>
      </c>
      <c r="M814" s="387">
        <f t="shared" si="110"/>
        <v>0</v>
      </c>
      <c r="N814" s="422">
        <f t="shared" si="111"/>
        <v>0</v>
      </c>
    </row>
    <row r="815" spans="1:14" ht="13.2" customHeight="1" x14ac:dyDescent="0.3">
      <c r="A815" s="365">
        <f t="shared" si="112"/>
        <v>43</v>
      </c>
      <c r="B815" s="370" t="s">
        <v>1133</v>
      </c>
      <c r="C815" s="371"/>
      <c r="D815" s="371"/>
      <c r="E815" s="367" t="s">
        <v>399</v>
      </c>
      <c r="F815" s="539"/>
      <c r="G815" s="527"/>
      <c r="H815" s="539"/>
      <c r="I815" s="372">
        <f t="shared" si="108"/>
        <v>0</v>
      </c>
      <c r="J815" s="372"/>
      <c r="K815" s="372">
        <f>'RAB Pasang'!K815*40%</f>
        <v>560964</v>
      </c>
      <c r="L815" s="387">
        <f t="shared" si="109"/>
        <v>0</v>
      </c>
      <c r="M815" s="387">
        <f t="shared" si="110"/>
        <v>0</v>
      </c>
      <c r="N815" s="422">
        <f t="shared" si="111"/>
        <v>0</v>
      </c>
    </row>
    <row r="816" spans="1:14" ht="13.2" customHeight="1" x14ac:dyDescent="0.3">
      <c r="A816" s="365">
        <f t="shared" si="112"/>
        <v>44</v>
      </c>
      <c r="B816" s="370" t="s">
        <v>1134</v>
      </c>
      <c r="C816" s="371"/>
      <c r="D816" s="371"/>
      <c r="E816" s="367" t="s">
        <v>399</v>
      </c>
      <c r="F816" s="539"/>
      <c r="G816" s="527"/>
      <c r="H816" s="539"/>
      <c r="I816" s="372">
        <f t="shared" si="108"/>
        <v>0</v>
      </c>
      <c r="J816" s="372"/>
      <c r="K816" s="372">
        <f>'RAB Pasang'!K816*40%</f>
        <v>560964</v>
      </c>
      <c r="L816" s="387">
        <f t="shared" si="109"/>
        <v>0</v>
      </c>
      <c r="M816" s="387">
        <f t="shared" si="110"/>
        <v>0</v>
      </c>
      <c r="N816" s="422">
        <f t="shared" si="111"/>
        <v>0</v>
      </c>
    </row>
    <row r="817" spans="1:14" ht="13.2" customHeight="1" x14ac:dyDescent="0.3">
      <c r="A817" s="365">
        <f t="shared" si="112"/>
        <v>45</v>
      </c>
      <c r="B817" s="370" t="s">
        <v>911</v>
      </c>
      <c r="C817" s="371"/>
      <c r="D817" s="371"/>
      <c r="E817" s="367" t="s">
        <v>399</v>
      </c>
      <c r="F817" s="539"/>
      <c r="G817" s="527"/>
      <c r="H817" s="539"/>
      <c r="I817" s="372">
        <f t="shared" si="108"/>
        <v>0</v>
      </c>
      <c r="J817" s="372"/>
      <c r="K817" s="372">
        <f>'RAB Pasang'!K817*40%</f>
        <v>109528</v>
      </c>
      <c r="L817" s="387">
        <f t="shared" si="109"/>
        <v>0</v>
      </c>
      <c r="M817" s="387">
        <f t="shared" si="110"/>
        <v>0</v>
      </c>
      <c r="N817" s="422">
        <f t="shared" si="111"/>
        <v>0</v>
      </c>
    </row>
    <row r="818" spans="1:14" ht="13.2" customHeight="1" x14ac:dyDescent="0.3">
      <c r="A818" s="365">
        <f t="shared" si="112"/>
        <v>46</v>
      </c>
      <c r="B818" s="370" t="s">
        <v>912</v>
      </c>
      <c r="C818" s="371"/>
      <c r="D818" s="371"/>
      <c r="E818" s="367" t="s">
        <v>399</v>
      </c>
      <c r="F818" s="539"/>
      <c r="G818" s="527"/>
      <c r="H818" s="539"/>
      <c r="I818" s="372">
        <f t="shared" si="108"/>
        <v>0</v>
      </c>
      <c r="J818" s="372"/>
      <c r="K818" s="372">
        <f>'RAB Pasang'!K818*40%</f>
        <v>109528</v>
      </c>
      <c r="L818" s="387">
        <f t="shared" si="109"/>
        <v>0</v>
      </c>
      <c r="M818" s="387">
        <f t="shared" si="110"/>
        <v>0</v>
      </c>
      <c r="N818" s="422">
        <f t="shared" si="111"/>
        <v>0</v>
      </c>
    </row>
    <row r="819" spans="1:14" ht="13.2" customHeight="1" x14ac:dyDescent="0.3">
      <c r="A819" s="365">
        <f t="shared" si="112"/>
        <v>47</v>
      </c>
      <c r="B819" s="370" t="s">
        <v>913</v>
      </c>
      <c r="C819" s="371"/>
      <c r="D819" s="371"/>
      <c r="E819" s="367" t="s">
        <v>399</v>
      </c>
      <c r="F819" s="539"/>
      <c r="G819" s="527"/>
      <c r="H819" s="539"/>
      <c r="I819" s="372">
        <f t="shared" si="108"/>
        <v>0</v>
      </c>
      <c r="J819" s="372"/>
      <c r="K819" s="372">
        <f>'RAB Pasang'!K819*40%</f>
        <v>109528</v>
      </c>
      <c r="L819" s="387">
        <f t="shared" si="109"/>
        <v>0</v>
      </c>
      <c r="M819" s="387">
        <f t="shared" si="110"/>
        <v>0</v>
      </c>
      <c r="N819" s="422">
        <f t="shared" si="111"/>
        <v>0</v>
      </c>
    </row>
    <row r="820" spans="1:14" ht="13.2" customHeight="1" x14ac:dyDescent="0.3">
      <c r="A820" s="365">
        <f t="shared" si="112"/>
        <v>48</v>
      </c>
      <c r="B820" s="370" t="s">
        <v>914</v>
      </c>
      <c r="C820" s="371"/>
      <c r="D820" s="371"/>
      <c r="E820" s="367" t="s">
        <v>399</v>
      </c>
      <c r="F820" s="539"/>
      <c r="G820" s="527"/>
      <c r="H820" s="539"/>
      <c r="I820" s="372">
        <f t="shared" si="108"/>
        <v>0</v>
      </c>
      <c r="J820" s="372"/>
      <c r="K820" s="372">
        <f>'RAB Pasang'!K820*40%</f>
        <v>109528</v>
      </c>
      <c r="L820" s="387">
        <f t="shared" si="109"/>
        <v>0</v>
      </c>
      <c r="M820" s="387">
        <f t="shared" si="110"/>
        <v>0</v>
      </c>
      <c r="N820" s="422">
        <f t="shared" si="111"/>
        <v>0</v>
      </c>
    </row>
    <row r="821" spans="1:14" ht="13.2" customHeight="1" x14ac:dyDescent="0.3">
      <c r="A821" s="365">
        <f t="shared" si="112"/>
        <v>49</v>
      </c>
      <c r="B821" s="370" t="s">
        <v>915</v>
      </c>
      <c r="C821" s="371"/>
      <c r="D821" s="371"/>
      <c r="E821" s="367" t="s">
        <v>399</v>
      </c>
      <c r="F821" s="539"/>
      <c r="G821" s="527"/>
      <c r="H821" s="539"/>
      <c r="I821" s="372">
        <f t="shared" si="108"/>
        <v>0</v>
      </c>
      <c r="J821" s="372"/>
      <c r="K821" s="372">
        <f>'RAB Pasang'!K821*40%</f>
        <v>109528</v>
      </c>
      <c r="L821" s="387">
        <f t="shared" si="109"/>
        <v>0</v>
      </c>
      <c r="M821" s="387">
        <f t="shared" si="110"/>
        <v>0</v>
      </c>
      <c r="N821" s="422">
        <f t="shared" si="111"/>
        <v>0</v>
      </c>
    </row>
    <row r="822" spans="1:14" ht="13.2" customHeight="1" x14ac:dyDescent="0.3">
      <c r="A822" s="365">
        <f t="shared" si="112"/>
        <v>50</v>
      </c>
      <c r="B822" s="370" t="s">
        <v>918</v>
      </c>
      <c r="C822" s="371"/>
      <c r="D822" s="371"/>
      <c r="E822" s="367" t="s">
        <v>399</v>
      </c>
      <c r="F822" s="539"/>
      <c r="G822" s="527"/>
      <c r="H822" s="539"/>
      <c r="I822" s="372">
        <f t="shared" si="108"/>
        <v>0</v>
      </c>
      <c r="J822" s="372"/>
      <c r="K822" s="372">
        <f>'RAB Pasang'!K822*40%</f>
        <v>109528</v>
      </c>
      <c r="L822" s="387">
        <f t="shared" si="109"/>
        <v>0</v>
      </c>
      <c r="M822" s="387">
        <f t="shared" si="110"/>
        <v>0</v>
      </c>
      <c r="N822" s="422">
        <f t="shared" si="111"/>
        <v>0</v>
      </c>
    </row>
    <row r="823" spans="1:14" ht="13.2" customHeight="1" x14ac:dyDescent="0.3">
      <c r="A823" s="365">
        <f t="shared" si="112"/>
        <v>51</v>
      </c>
      <c r="B823" s="370" t="s">
        <v>919</v>
      </c>
      <c r="C823" s="371"/>
      <c r="D823" s="371"/>
      <c r="E823" s="367" t="s">
        <v>399</v>
      </c>
      <c r="F823" s="539"/>
      <c r="G823" s="527"/>
      <c r="H823" s="539"/>
      <c r="I823" s="372">
        <f t="shared" si="108"/>
        <v>0</v>
      </c>
      <c r="J823" s="372"/>
      <c r="K823" s="372">
        <f>'RAB Pasang'!K823*40%</f>
        <v>109528</v>
      </c>
      <c r="L823" s="387">
        <f t="shared" si="109"/>
        <v>0</v>
      </c>
      <c r="M823" s="387">
        <f t="shared" si="110"/>
        <v>0</v>
      </c>
      <c r="N823" s="422">
        <f t="shared" si="111"/>
        <v>0</v>
      </c>
    </row>
    <row r="824" spans="1:14" ht="13.2" customHeight="1" x14ac:dyDescent="0.3">
      <c r="A824" s="365">
        <f t="shared" si="112"/>
        <v>52</v>
      </c>
      <c r="B824" s="370" t="s">
        <v>920</v>
      </c>
      <c r="C824" s="371"/>
      <c r="D824" s="371"/>
      <c r="E824" s="367" t="s">
        <v>399</v>
      </c>
      <c r="F824" s="539"/>
      <c r="G824" s="527"/>
      <c r="H824" s="539"/>
      <c r="I824" s="372">
        <f t="shared" si="108"/>
        <v>0</v>
      </c>
      <c r="J824" s="372"/>
      <c r="K824" s="372">
        <f>'RAB Pasang'!K824*40%</f>
        <v>109528</v>
      </c>
      <c r="L824" s="387">
        <f t="shared" si="109"/>
        <v>0</v>
      </c>
      <c r="M824" s="387">
        <f t="shared" si="110"/>
        <v>0</v>
      </c>
      <c r="N824" s="422">
        <f t="shared" si="111"/>
        <v>0</v>
      </c>
    </row>
    <row r="825" spans="1:14" ht="13.2" customHeight="1" x14ac:dyDescent="0.3">
      <c r="A825" s="365">
        <f t="shared" si="112"/>
        <v>53</v>
      </c>
      <c r="B825" s="370" t="s">
        <v>921</v>
      </c>
      <c r="C825" s="371"/>
      <c r="D825" s="371"/>
      <c r="E825" s="367" t="s">
        <v>399</v>
      </c>
      <c r="F825" s="539"/>
      <c r="G825" s="527"/>
      <c r="H825" s="539"/>
      <c r="I825" s="372">
        <f t="shared" si="108"/>
        <v>0</v>
      </c>
      <c r="J825" s="372"/>
      <c r="K825" s="372">
        <f>'RAB Pasang'!K825*40%</f>
        <v>151624</v>
      </c>
      <c r="L825" s="387">
        <f t="shared" si="109"/>
        <v>0</v>
      </c>
      <c r="M825" s="387">
        <f t="shared" si="110"/>
        <v>0</v>
      </c>
      <c r="N825" s="422">
        <f t="shared" si="111"/>
        <v>0</v>
      </c>
    </row>
    <row r="826" spans="1:14" ht="13.2" customHeight="1" x14ac:dyDescent="0.3">
      <c r="A826" s="365">
        <f t="shared" si="112"/>
        <v>54</v>
      </c>
      <c r="B826" s="370" t="s">
        <v>922</v>
      </c>
      <c r="C826" s="371"/>
      <c r="D826" s="371"/>
      <c r="E826" s="367" t="s">
        <v>399</v>
      </c>
      <c r="F826" s="539"/>
      <c r="G826" s="527"/>
      <c r="H826" s="539"/>
      <c r="I826" s="372">
        <f t="shared" si="108"/>
        <v>0</v>
      </c>
      <c r="J826" s="372"/>
      <c r="K826" s="372">
        <f>'RAB Pasang'!K826*40%</f>
        <v>151624</v>
      </c>
      <c r="L826" s="387">
        <f t="shared" si="109"/>
        <v>0</v>
      </c>
      <c r="M826" s="387">
        <f t="shared" si="110"/>
        <v>0</v>
      </c>
      <c r="N826" s="422">
        <f t="shared" si="111"/>
        <v>0</v>
      </c>
    </row>
    <row r="827" spans="1:14" ht="13.2" customHeight="1" x14ac:dyDescent="0.3">
      <c r="A827" s="365">
        <f t="shared" si="112"/>
        <v>55</v>
      </c>
      <c r="B827" s="370" t="s">
        <v>923</v>
      </c>
      <c r="C827" s="371"/>
      <c r="D827" s="371"/>
      <c r="E827" s="367" t="s">
        <v>399</v>
      </c>
      <c r="F827" s="539"/>
      <c r="G827" s="527"/>
      <c r="H827" s="539"/>
      <c r="I827" s="372">
        <f t="shared" si="108"/>
        <v>0</v>
      </c>
      <c r="J827" s="372"/>
      <c r="K827" s="372">
        <f>'RAB Pasang'!K827*40%</f>
        <v>151624</v>
      </c>
      <c r="L827" s="387">
        <f t="shared" si="109"/>
        <v>0</v>
      </c>
      <c r="M827" s="387">
        <f t="shared" si="110"/>
        <v>0</v>
      </c>
      <c r="N827" s="422">
        <f t="shared" si="111"/>
        <v>0</v>
      </c>
    </row>
    <row r="828" spans="1:14" ht="13.2" customHeight="1" x14ac:dyDescent="0.3">
      <c r="A828" s="365">
        <f t="shared" si="112"/>
        <v>56</v>
      </c>
      <c r="B828" s="370" t="s">
        <v>924</v>
      </c>
      <c r="C828" s="371"/>
      <c r="D828" s="371"/>
      <c r="E828" s="367" t="s">
        <v>399</v>
      </c>
      <c r="F828" s="539"/>
      <c r="G828" s="527"/>
      <c r="H828" s="539"/>
      <c r="I828" s="372">
        <f t="shared" si="108"/>
        <v>0</v>
      </c>
      <c r="J828" s="372"/>
      <c r="K828" s="372">
        <f>'RAB Pasang'!K828*40%</f>
        <v>151624</v>
      </c>
      <c r="L828" s="387">
        <f t="shared" si="109"/>
        <v>0</v>
      </c>
      <c r="M828" s="387">
        <f t="shared" si="110"/>
        <v>0</v>
      </c>
      <c r="N828" s="422">
        <f t="shared" si="111"/>
        <v>0</v>
      </c>
    </row>
    <row r="829" spans="1:14" ht="13.2" customHeight="1" x14ac:dyDescent="0.3">
      <c r="A829" s="365">
        <f t="shared" si="112"/>
        <v>57</v>
      </c>
      <c r="B829" s="370" t="s">
        <v>925</v>
      </c>
      <c r="C829" s="371"/>
      <c r="D829" s="371"/>
      <c r="E829" s="367" t="s">
        <v>399</v>
      </c>
      <c r="F829" s="539"/>
      <c r="G829" s="527"/>
      <c r="H829" s="539"/>
      <c r="I829" s="372">
        <f t="shared" si="108"/>
        <v>0</v>
      </c>
      <c r="J829" s="372"/>
      <c r="K829" s="372">
        <f>'RAB Pasang'!K829*40%</f>
        <v>151624</v>
      </c>
      <c r="L829" s="387">
        <f t="shared" si="109"/>
        <v>0</v>
      </c>
      <c r="M829" s="387">
        <f t="shared" si="110"/>
        <v>0</v>
      </c>
      <c r="N829" s="422">
        <f t="shared" si="111"/>
        <v>0</v>
      </c>
    </row>
    <row r="830" spans="1:14" ht="13.2" customHeight="1" x14ac:dyDescent="0.3">
      <c r="A830" s="365">
        <f t="shared" si="112"/>
        <v>58</v>
      </c>
      <c r="B830" s="370" t="s">
        <v>926</v>
      </c>
      <c r="C830" s="371"/>
      <c r="D830" s="371"/>
      <c r="E830" s="367" t="s">
        <v>399</v>
      </c>
      <c r="F830" s="539"/>
      <c r="G830" s="527"/>
      <c r="H830" s="539"/>
      <c r="I830" s="372">
        <f t="shared" si="108"/>
        <v>0</v>
      </c>
      <c r="J830" s="372"/>
      <c r="K830" s="372">
        <f>'RAB Pasang'!K830*40%</f>
        <v>151624</v>
      </c>
      <c r="L830" s="387">
        <f t="shared" si="109"/>
        <v>0</v>
      </c>
      <c r="M830" s="387">
        <f t="shared" si="110"/>
        <v>0</v>
      </c>
      <c r="N830" s="422">
        <f t="shared" si="111"/>
        <v>0</v>
      </c>
    </row>
    <row r="831" spans="1:14" ht="13.2" customHeight="1" x14ac:dyDescent="0.3">
      <c r="A831" s="365">
        <f t="shared" si="112"/>
        <v>59</v>
      </c>
      <c r="B831" s="370" t="s">
        <v>927</v>
      </c>
      <c r="C831" s="371"/>
      <c r="D831" s="371"/>
      <c r="E831" s="367" t="s">
        <v>399</v>
      </c>
      <c r="F831" s="539"/>
      <c r="G831" s="527"/>
      <c r="H831" s="539"/>
      <c r="I831" s="372">
        <f t="shared" si="108"/>
        <v>0</v>
      </c>
      <c r="J831" s="372"/>
      <c r="K831" s="372">
        <f>'RAB Pasang'!K831*40%</f>
        <v>151624</v>
      </c>
      <c r="L831" s="387">
        <f t="shared" si="109"/>
        <v>0</v>
      </c>
      <c r="M831" s="387">
        <f t="shared" si="110"/>
        <v>0</v>
      </c>
      <c r="N831" s="422">
        <f t="shared" si="111"/>
        <v>0</v>
      </c>
    </row>
    <row r="832" spans="1:14" ht="13.2" customHeight="1" x14ac:dyDescent="0.3">
      <c r="A832" s="365">
        <f t="shared" si="112"/>
        <v>60</v>
      </c>
      <c r="B832" s="370" t="s">
        <v>928</v>
      </c>
      <c r="C832" s="371"/>
      <c r="D832" s="371"/>
      <c r="E832" s="367" t="s">
        <v>399</v>
      </c>
      <c r="F832" s="539"/>
      <c r="G832" s="527"/>
      <c r="H832" s="539"/>
      <c r="I832" s="372">
        <f t="shared" si="108"/>
        <v>0</v>
      </c>
      <c r="J832" s="372"/>
      <c r="K832" s="372">
        <f>'RAB Pasang'!K832*40%</f>
        <v>151624</v>
      </c>
      <c r="L832" s="387">
        <f t="shared" si="109"/>
        <v>0</v>
      </c>
      <c r="M832" s="387">
        <f t="shared" si="110"/>
        <v>0</v>
      </c>
      <c r="N832" s="422">
        <f t="shared" si="111"/>
        <v>0</v>
      </c>
    </row>
    <row r="833" spans="1:14" ht="13.2" customHeight="1" x14ac:dyDescent="0.3">
      <c r="A833" s="365">
        <f t="shared" si="112"/>
        <v>61</v>
      </c>
      <c r="B833" s="370" t="s">
        <v>1993</v>
      </c>
      <c r="C833" s="371"/>
      <c r="D833" s="371"/>
      <c r="E833" s="367" t="s">
        <v>399</v>
      </c>
      <c r="F833" s="539"/>
      <c r="G833" s="527"/>
      <c r="H833" s="539"/>
      <c r="I833" s="372">
        <f t="shared" si="108"/>
        <v>0</v>
      </c>
      <c r="J833" s="372"/>
      <c r="K833" s="372">
        <f>'RAB Pasang'!K833*40%</f>
        <v>219060</v>
      </c>
      <c r="L833" s="387">
        <f t="shared" si="109"/>
        <v>0</v>
      </c>
      <c r="M833" s="387">
        <f t="shared" si="110"/>
        <v>0</v>
      </c>
      <c r="N833" s="422">
        <f t="shared" si="111"/>
        <v>0</v>
      </c>
    </row>
    <row r="834" spans="1:14" ht="13.2" customHeight="1" x14ac:dyDescent="0.3">
      <c r="A834" s="365">
        <f t="shared" si="112"/>
        <v>62</v>
      </c>
      <c r="B834" s="370" t="s">
        <v>1390</v>
      </c>
      <c r="C834" s="371"/>
      <c r="D834" s="371"/>
      <c r="E834" s="367" t="s">
        <v>399</v>
      </c>
      <c r="F834" s="539"/>
      <c r="G834" s="527"/>
      <c r="H834" s="539"/>
      <c r="I834" s="372">
        <f t="shared" si="108"/>
        <v>0</v>
      </c>
      <c r="J834" s="372"/>
      <c r="K834" s="372">
        <f>'RAB Pasang'!K834*40%</f>
        <v>219060</v>
      </c>
      <c r="L834" s="387">
        <f t="shared" si="109"/>
        <v>0</v>
      </c>
      <c r="M834" s="387">
        <f t="shared" si="110"/>
        <v>0</v>
      </c>
      <c r="N834" s="422">
        <f t="shared" si="111"/>
        <v>0</v>
      </c>
    </row>
    <row r="835" spans="1:14" ht="13.2" customHeight="1" x14ac:dyDescent="0.3">
      <c r="A835" s="365">
        <f t="shared" si="112"/>
        <v>63</v>
      </c>
      <c r="B835" s="370" t="s">
        <v>1391</v>
      </c>
      <c r="C835" s="371"/>
      <c r="D835" s="371"/>
      <c r="E835" s="367" t="s">
        <v>399</v>
      </c>
      <c r="F835" s="539"/>
      <c r="G835" s="527"/>
      <c r="H835" s="539"/>
      <c r="I835" s="372">
        <f t="shared" si="108"/>
        <v>0</v>
      </c>
      <c r="J835" s="372"/>
      <c r="K835" s="372">
        <f>'RAB Pasang'!K835*40%</f>
        <v>219060</v>
      </c>
      <c r="L835" s="387">
        <f t="shared" si="109"/>
        <v>0</v>
      </c>
      <c r="M835" s="387">
        <f t="shared" si="110"/>
        <v>0</v>
      </c>
      <c r="N835" s="422">
        <f t="shared" si="111"/>
        <v>0</v>
      </c>
    </row>
    <row r="836" spans="1:14" ht="13.2" customHeight="1" x14ac:dyDescent="0.3">
      <c r="A836" s="365">
        <f t="shared" si="112"/>
        <v>64</v>
      </c>
      <c r="B836" s="370" t="s">
        <v>1392</v>
      </c>
      <c r="C836" s="371"/>
      <c r="D836" s="371"/>
      <c r="E836" s="367" t="s">
        <v>399</v>
      </c>
      <c r="F836" s="539"/>
      <c r="G836" s="527"/>
      <c r="H836" s="539"/>
      <c r="I836" s="372">
        <f t="shared" si="108"/>
        <v>0</v>
      </c>
      <c r="J836" s="372"/>
      <c r="K836" s="372">
        <f>'RAB Pasang'!K836*40%</f>
        <v>219060</v>
      </c>
      <c r="L836" s="387">
        <f t="shared" si="109"/>
        <v>0</v>
      </c>
      <c r="M836" s="387">
        <f t="shared" si="110"/>
        <v>0</v>
      </c>
      <c r="N836" s="422">
        <f t="shared" si="111"/>
        <v>0</v>
      </c>
    </row>
    <row r="837" spans="1:14" ht="13.2" customHeight="1" x14ac:dyDescent="0.3">
      <c r="A837" s="365">
        <f t="shared" si="112"/>
        <v>65</v>
      </c>
      <c r="B837" s="370" t="s">
        <v>1393</v>
      </c>
      <c r="C837" s="371"/>
      <c r="D837" s="371"/>
      <c r="E837" s="367" t="s">
        <v>399</v>
      </c>
      <c r="F837" s="539"/>
      <c r="G837" s="527"/>
      <c r="H837" s="539"/>
      <c r="I837" s="372">
        <f t="shared" ref="I837:I881" si="113">SUM(F837:H837)</f>
        <v>0</v>
      </c>
      <c r="J837" s="372"/>
      <c r="K837" s="372">
        <f>'RAB Pasang'!K837*40%</f>
        <v>219060</v>
      </c>
      <c r="L837" s="387">
        <f t="shared" ref="L837:L881" si="114">J837*I837</f>
        <v>0</v>
      </c>
      <c r="M837" s="387">
        <f t="shared" ref="M837:M881" si="115">K837*I837</f>
        <v>0</v>
      </c>
      <c r="N837" s="422">
        <f t="shared" ref="N837:N881" si="116">SUM(L837:M837)</f>
        <v>0</v>
      </c>
    </row>
    <row r="838" spans="1:14" ht="13.2" customHeight="1" x14ac:dyDescent="0.3">
      <c r="A838" s="365">
        <f t="shared" ref="A838:A879" si="117">A837+1</f>
        <v>66</v>
      </c>
      <c r="B838" s="370" t="s">
        <v>1394</v>
      </c>
      <c r="C838" s="371"/>
      <c r="D838" s="371"/>
      <c r="E838" s="367" t="s">
        <v>399</v>
      </c>
      <c r="F838" s="539"/>
      <c r="G838" s="527"/>
      <c r="H838" s="539"/>
      <c r="I838" s="372">
        <f t="shared" si="113"/>
        <v>0</v>
      </c>
      <c r="J838" s="372"/>
      <c r="K838" s="372">
        <f>'RAB Pasang'!K838*40%</f>
        <v>219060</v>
      </c>
      <c r="L838" s="387">
        <f t="shared" si="114"/>
        <v>0</v>
      </c>
      <c r="M838" s="387">
        <f t="shared" si="115"/>
        <v>0</v>
      </c>
      <c r="N838" s="422">
        <f t="shared" si="116"/>
        <v>0</v>
      </c>
    </row>
    <row r="839" spans="1:14" ht="13.2" customHeight="1" x14ac:dyDescent="0.3">
      <c r="A839" s="365">
        <f t="shared" si="117"/>
        <v>67</v>
      </c>
      <c r="B839" s="370" t="s">
        <v>1395</v>
      </c>
      <c r="C839" s="371"/>
      <c r="D839" s="371"/>
      <c r="E839" s="367" t="s">
        <v>399</v>
      </c>
      <c r="F839" s="539"/>
      <c r="G839" s="527"/>
      <c r="H839" s="539"/>
      <c r="I839" s="372">
        <f t="shared" si="113"/>
        <v>0</v>
      </c>
      <c r="J839" s="372"/>
      <c r="K839" s="372">
        <f>'RAB Pasang'!K839*40%</f>
        <v>219060</v>
      </c>
      <c r="L839" s="387">
        <f t="shared" si="114"/>
        <v>0</v>
      </c>
      <c r="M839" s="387">
        <f t="shared" si="115"/>
        <v>0</v>
      </c>
      <c r="N839" s="422">
        <f t="shared" si="116"/>
        <v>0</v>
      </c>
    </row>
    <row r="840" spans="1:14" ht="13.2" customHeight="1" x14ac:dyDescent="0.3">
      <c r="A840" s="365">
        <f t="shared" si="117"/>
        <v>68</v>
      </c>
      <c r="B840" s="370" t="s">
        <v>1396</v>
      </c>
      <c r="C840" s="371"/>
      <c r="D840" s="371"/>
      <c r="E840" s="367" t="s">
        <v>399</v>
      </c>
      <c r="F840" s="539"/>
      <c r="G840" s="527"/>
      <c r="H840" s="539"/>
      <c r="I840" s="372">
        <f t="shared" si="113"/>
        <v>0</v>
      </c>
      <c r="J840" s="372"/>
      <c r="K840" s="372">
        <f>'RAB Pasang'!K840*40%</f>
        <v>219060</v>
      </c>
      <c r="L840" s="387">
        <f t="shared" si="114"/>
        <v>0</v>
      </c>
      <c r="M840" s="387">
        <f t="shared" si="115"/>
        <v>0</v>
      </c>
      <c r="N840" s="422">
        <f t="shared" si="116"/>
        <v>0</v>
      </c>
    </row>
    <row r="841" spans="1:14" ht="13.2" customHeight="1" x14ac:dyDescent="0.3">
      <c r="A841" s="365">
        <f t="shared" si="117"/>
        <v>69</v>
      </c>
      <c r="B841" s="370" t="s">
        <v>1397</v>
      </c>
      <c r="C841" s="371"/>
      <c r="D841" s="371"/>
      <c r="E841" s="367" t="s">
        <v>399</v>
      </c>
      <c r="F841" s="539"/>
      <c r="G841" s="527"/>
      <c r="H841" s="539"/>
      <c r="I841" s="372">
        <f t="shared" si="113"/>
        <v>0</v>
      </c>
      <c r="J841" s="372"/>
      <c r="K841" s="372">
        <f>'RAB Pasang'!K841*40%</f>
        <v>219060</v>
      </c>
      <c r="L841" s="387">
        <f t="shared" si="114"/>
        <v>0</v>
      </c>
      <c r="M841" s="387">
        <f t="shared" si="115"/>
        <v>0</v>
      </c>
      <c r="N841" s="422">
        <f t="shared" si="116"/>
        <v>0</v>
      </c>
    </row>
    <row r="842" spans="1:14" ht="13.2" customHeight="1" x14ac:dyDescent="0.3">
      <c r="A842" s="365">
        <f t="shared" si="117"/>
        <v>70</v>
      </c>
      <c r="B842" s="370" t="s">
        <v>1398</v>
      </c>
      <c r="C842" s="371"/>
      <c r="D842" s="371"/>
      <c r="E842" s="367" t="s">
        <v>399</v>
      </c>
      <c r="F842" s="539"/>
      <c r="G842" s="527"/>
      <c r="H842" s="539"/>
      <c r="I842" s="372">
        <f t="shared" si="113"/>
        <v>0</v>
      </c>
      <c r="J842" s="372"/>
      <c r="K842" s="372">
        <f>'RAB Pasang'!K842*40%</f>
        <v>219060</v>
      </c>
      <c r="L842" s="387">
        <f t="shared" si="114"/>
        <v>0</v>
      </c>
      <c r="M842" s="387">
        <f t="shared" si="115"/>
        <v>0</v>
      </c>
      <c r="N842" s="422">
        <f t="shared" si="116"/>
        <v>0</v>
      </c>
    </row>
    <row r="843" spans="1:14" ht="13.2" customHeight="1" x14ac:dyDescent="0.3">
      <c r="A843" s="365">
        <f t="shared" si="117"/>
        <v>71</v>
      </c>
      <c r="B843" s="370" t="s">
        <v>1399</v>
      </c>
      <c r="C843" s="371"/>
      <c r="D843" s="371"/>
      <c r="E843" s="367" t="s">
        <v>399</v>
      </c>
      <c r="F843" s="539"/>
      <c r="G843" s="527"/>
      <c r="H843" s="539"/>
      <c r="I843" s="372">
        <f t="shared" si="113"/>
        <v>0</v>
      </c>
      <c r="J843" s="372"/>
      <c r="K843" s="372">
        <f>'RAB Pasang'!K843*40%</f>
        <v>219060</v>
      </c>
      <c r="L843" s="387">
        <f t="shared" si="114"/>
        <v>0</v>
      </c>
      <c r="M843" s="387">
        <f t="shared" si="115"/>
        <v>0</v>
      </c>
      <c r="N843" s="422">
        <f t="shared" si="116"/>
        <v>0</v>
      </c>
    </row>
    <row r="844" spans="1:14" ht="13.2" customHeight="1" x14ac:dyDescent="0.3">
      <c r="A844" s="365">
        <f t="shared" si="117"/>
        <v>72</v>
      </c>
      <c r="B844" s="370" t="s">
        <v>1400</v>
      </c>
      <c r="C844" s="371"/>
      <c r="D844" s="371"/>
      <c r="E844" s="367" t="s">
        <v>399</v>
      </c>
      <c r="F844" s="539"/>
      <c r="G844" s="527"/>
      <c r="H844" s="539"/>
      <c r="I844" s="372">
        <f t="shared" si="113"/>
        <v>0</v>
      </c>
      <c r="J844" s="372"/>
      <c r="K844" s="372">
        <f>'RAB Pasang'!K844*40%</f>
        <v>219060</v>
      </c>
      <c r="L844" s="387">
        <f t="shared" si="114"/>
        <v>0</v>
      </c>
      <c r="M844" s="387">
        <f t="shared" si="115"/>
        <v>0</v>
      </c>
      <c r="N844" s="422">
        <f t="shared" si="116"/>
        <v>0</v>
      </c>
    </row>
    <row r="845" spans="1:14" ht="13.2" customHeight="1" x14ac:dyDescent="0.3">
      <c r="A845" s="365">
        <f t="shared" si="117"/>
        <v>73</v>
      </c>
      <c r="B845" s="370" t="s">
        <v>1401</v>
      </c>
      <c r="C845" s="371"/>
      <c r="D845" s="371"/>
      <c r="E845" s="367" t="s">
        <v>399</v>
      </c>
      <c r="F845" s="539"/>
      <c r="G845" s="527"/>
      <c r="H845" s="539"/>
      <c r="I845" s="372">
        <f t="shared" si="113"/>
        <v>0</v>
      </c>
      <c r="J845" s="372"/>
      <c r="K845" s="372">
        <f>'RAB Pasang'!K845*40%</f>
        <v>219060</v>
      </c>
      <c r="L845" s="387">
        <f t="shared" si="114"/>
        <v>0</v>
      </c>
      <c r="M845" s="387">
        <f t="shared" si="115"/>
        <v>0</v>
      </c>
      <c r="N845" s="422">
        <f t="shared" si="116"/>
        <v>0</v>
      </c>
    </row>
    <row r="846" spans="1:14" ht="13.2" customHeight="1" x14ac:dyDescent="0.3">
      <c r="A846" s="365">
        <f t="shared" si="117"/>
        <v>74</v>
      </c>
      <c r="B846" s="370" t="s">
        <v>1402</v>
      </c>
      <c r="C846" s="371"/>
      <c r="D846" s="371"/>
      <c r="E846" s="367" t="s">
        <v>399</v>
      </c>
      <c r="F846" s="539"/>
      <c r="G846" s="527"/>
      <c r="H846" s="539"/>
      <c r="I846" s="372">
        <f t="shared" si="113"/>
        <v>0</v>
      </c>
      <c r="J846" s="372"/>
      <c r="K846" s="372">
        <f>'RAB Pasang'!K846*40%</f>
        <v>219060</v>
      </c>
      <c r="L846" s="387">
        <f t="shared" si="114"/>
        <v>0</v>
      </c>
      <c r="M846" s="387">
        <f t="shared" si="115"/>
        <v>0</v>
      </c>
      <c r="N846" s="422">
        <f t="shared" si="116"/>
        <v>0</v>
      </c>
    </row>
    <row r="847" spans="1:14" ht="13.2" customHeight="1" x14ac:dyDescent="0.3">
      <c r="A847" s="365">
        <f t="shared" si="117"/>
        <v>75</v>
      </c>
      <c r="B847" s="370" t="s">
        <v>1403</v>
      </c>
      <c r="C847" s="371"/>
      <c r="D847" s="371"/>
      <c r="E847" s="367" t="s">
        <v>399</v>
      </c>
      <c r="F847" s="539"/>
      <c r="G847" s="527"/>
      <c r="H847" s="539"/>
      <c r="I847" s="372">
        <f t="shared" si="113"/>
        <v>0</v>
      </c>
      <c r="J847" s="372"/>
      <c r="K847" s="372">
        <f>'RAB Pasang'!K847*40%</f>
        <v>219060</v>
      </c>
      <c r="L847" s="387">
        <f t="shared" si="114"/>
        <v>0</v>
      </c>
      <c r="M847" s="387">
        <f t="shared" si="115"/>
        <v>0</v>
      </c>
      <c r="N847" s="422">
        <f t="shared" si="116"/>
        <v>0</v>
      </c>
    </row>
    <row r="848" spans="1:14" ht="13.2" customHeight="1" x14ac:dyDescent="0.3">
      <c r="A848" s="365">
        <f t="shared" si="117"/>
        <v>76</v>
      </c>
      <c r="B848" s="370" t="s">
        <v>1404</v>
      </c>
      <c r="C848" s="371"/>
      <c r="D848" s="371"/>
      <c r="E848" s="367" t="s">
        <v>399</v>
      </c>
      <c r="F848" s="539"/>
      <c r="G848" s="527"/>
      <c r="H848" s="539"/>
      <c r="I848" s="372">
        <f t="shared" si="113"/>
        <v>0</v>
      </c>
      <c r="J848" s="372"/>
      <c r="K848" s="372">
        <f>'RAB Pasang'!K848*40%</f>
        <v>219060</v>
      </c>
      <c r="L848" s="387">
        <f t="shared" si="114"/>
        <v>0</v>
      </c>
      <c r="M848" s="387">
        <f t="shared" si="115"/>
        <v>0</v>
      </c>
      <c r="N848" s="422">
        <f t="shared" si="116"/>
        <v>0</v>
      </c>
    </row>
    <row r="849" spans="1:14" ht="13.2" customHeight="1" x14ac:dyDescent="0.3">
      <c r="A849" s="365">
        <f t="shared" si="117"/>
        <v>77</v>
      </c>
      <c r="B849" s="370" t="s">
        <v>1405</v>
      </c>
      <c r="C849" s="371"/>
      <c r="D849" s="371"/>
      <c r="E849" s="367" t="s">
        <v>399</v>
      </c>
      <c r="F849" s="539"/>
      <c r="G849" s="527"/>
      <c r="H849" s="539"/>
      <c r="I849" s="372">
        <f t="shared" si="113"/>
        <v>0</v>
      </c>
      <c r="J849" s="372"/>
      <c r="K849" s="372">
        <f>'RAB Pasang'!K849*40%</f>
        <v>196296</v>
      </c>
      <c r="L849" s="387">
        <f t="shared" si="114"/>
        <v>0</v>
      </c>
      <c r="M849" s="387">
        <f t="shared" si="115"/>
        <v>0</v>
      </c>
      <c r="N849" s="422">
        <f t="shared" si="116"/>
        <v>0</v>
      </c>
    </row>
    <row r="850" spans="1:14" ht="13.2" customHeight="1" x14ac:dyDescent="0.3">
      <c r="A850" s="365">
        <f t="shared" si="117"/>
        <v>78</v>
      </c>
      <c r="B850" s="370" t="s">
        <v>1406</v>
      </c>
      <c r="C850" s="371"/>
      <c r="D850" s="371"/>
      <c r="E850" s="367" t="s">
        <v>399</v>
      </c>
      <c r="F850" s="539"/>
      <c r="G850" s="527"/>
      <c r="H850" s="539"/>
      <c r="I850" s="372">
        <f t="shared" si="113"/>
        <v>0</v>
      </c>
      <c r="J850" s="372"/>
      <c r="K850" s="372">
        <f>'RAB Pasang'!K850*40%</f>
        <v>196296</v>
      </c>
      <c r="L850" s="387">
        <f t="shared" si="114"/>
        <v>0</v>
      </c>
      <c r="M850" s="387">
        <f t="shared" si="115"/>
        <v>0</v>
      </c>
      <c r="N850" s="422">
        <f t="shared" si="116"/>
        <v>0</v>
      </c>
    </row>
    <row r="851" spans="1:14" ht="13.2" customHeight="1" x14ac:dyDescent="0.3">
      <c r="A851" s="365">
        <f t="shared" si="117"/>
        <v>79</v>
      </c>
      <c r="B851" s="370" t="s">
        <v>1407</v>
      </c>
      <c r="C851" s="371"/>
      <c r="D851" s="371"/>
      <c r="E851" s="367" t="s">
        <v>399</v>
      </c>
      <c r="F851" s="539"/>
      <c r="G851" s="527"/>
      <c r="H851" s="539"/>
      <c r="I851" s="372">
        <f t="shared" si="113"/>
        <v>0</v>
      </c>
      <c r="J851" s="372"/>
      <c r="K851" s="372">
        <f>'RAB Pasang'!K851*40%</f>
        <v>196296</v>
      </c>
      <c r="L851" s="387">
        <f t="shared" si="114"/>
        <v>0</v>
      </c>
      <c r="M851" s="387">
        <f t="shared" si="115"/>
        <v>0</v>
      </c>
      <c r="N851" s="422">
        <f t="shared" si="116"/>
        <v>0</v>
      </c>
    </row>
    <row r="852" spans="1:14" ht="13.2" customHeight="1" x14ac:dyDescent="0.3">
      <c r="A852" s="365">
        <f t="shared" si="117"/>
        <v>80</v>
      </c>
      <c r="B852" s="370" t="s">
        <v>1408</v>
      </c>
      <c r="C852" s="371"/>
      <c r="D852" s="371"/>
      <c r="E852" s="367" t="s">
        <v>399</v>
      </c>
      <c r="F852" s="539"/>
      <c r="G852" s="527"/>
      <c r="H852" s="539"/>
      <c r="I852" s="372">
        <f t="shared" si="113"/>
        <v>0</v>
      </c>
      <c r="J852" s="372"/>
      <c r="K852" s="372">
        <f>'RAB Pasang'!K852*40%</f>
        <v>196296</v>
      </c>
      <c r="L852" s="387">
        <f t="shared" si="114"/>
        <v>0</v>
      </c>
      <c r="M852" s="387">
        <f t="shared" si="115"/>
        <v>0</v>
      </c>
      <c r="N852" s="422">
        <f t="shared" si="116"/>
        <v>0</v>
      </c>
    </row>
    <row r="853" spans="1:14" ht="13.2" customHeight="1" x14ac:dyDescent="0.3">
      <c r="A853" s="365">
        <f t="shared" si="117"/>
        <v>81</v>
      </c>
      <c r="B853" s="370" t="s">
        <v>1409</v>
      </c>
      <c r="C853" s="371"/>
      <c r="D853" s="371"/>
      <c r="E853" s="367" t="s">
        <v>399</v>
      </c>
      <c r="F853" s="539"/>
      <c r="G853" s="527"/>
      <c r="H853" s="539"/>
      <c r="I853" s="372">
        <f t="shared" si="113"/>
        <v>0</v>
      </c>
      <c r="J853" s="372"/>
      <c r="K853" s="372">
        <f>'RAB Pasang'!K853*40%</f>
        <v>196296</v>
      </c>
      <c r="L853" s="387">
        <f t="shared" si="114"/>
        <v>0</v>
      </c>
      <c r="M853" s="387">
        <f t="shared" si="115"/>
        <v>0</v>
      </c>
      <c r="N853" s="422">
        <f t="shared" si="116"/>
        <v>0</v>
      </c>
    </row>
    <row r="854" spans="1:14" ht="13.2" customHeight="1" x14ac:dyDescent="0.3">
      <c r="A854" s="365">
        <f t="shared" si="117"/>
        <v>82</v>
      </c>
      <c r="B854" s="370" t="s">
        <v>1410</v>
      </c>
      <c r="C854" s="371"/>
      <c r="D854" s="371"/>
      <c r="E854" s="367" t="s">
        <v>399</v>
      </c>
      <c r="F854" s="539"/>
      <c r="G854" s="527"/>
      <c r="H854" s="539"/>
      <c r="I854" s="372">
        <f t="shared" si="113"/>
        <v>0</v>
      </c>
      <c r="J854" s="372"/>
      <c r="K854" s="372">
        <f>'RAB Pasang'!K854*40%</f>
        <v>196296</v>
      </c>
      <c r="L854" s="387">
        <f t="shared" si="114"/>
        <v>0</v>
      </c>
      <c r="M854" s="387">
        <f t="shared" si="115"/>
        <v>0</v>
      </c>
      <c r="N854" s="422">
        <f t="shared" si="116"/>
        <v>0</v>
      </c>
    </row>
    <row r="855" spans="1:14" ht="13.2" customHeight="1" x14ac:dyDescent="0.3">
      <c r="A855" s="365">
        <f t="shared" si="117"/>
        <v>83</v>
      </c>
      <c r="B855" s="370" t="s">
        <v>1411</v>
      </c>
      <c r="C855" s="371"/>
      <c r="D855" s="371"/>
      <c r="E855" s="367" t="s">
        <v>399</v>
      </c>
      <c r="F855" s="539"/>
      <c r="G855" s="527"/>
      <c r="H855" s="539"/>
      <c r="I855" s="372">
        <f t="shared" si="113"/>
        <v>0</v>
      </c>
      <c r="J855" s="372"/>
      <c r="K855" s="372">
        <f>'RAB Pasang'!K855*40%</f>
        <v>196296</v>
      </c>
      <c r="L855" s="387">
        <f t="shared" si="114"/>
        <v>0</v>
      </c>
      <c r="M855" s="387">
        <f t="shared" si="115"/>
        <v>0</v>
      </c>
      <c r="N855" s="422">
        <f t="shared" si="116"/>
        <v>0</v>
      </c>
    </row>
    <row r="856" spans="1:14" ht="13.2" customHeight="1" x14ac:dyDescent="0.3">
      <c r="A856" s="365">
        <f t="shared" si="117"/>
        <v>84</v>
      </c>
      <c r="B856" s="370" t="s">
        <v>1412</v>
      </c>
      <c r="C856" s="371"/>
      <c r="D856" s="371"/>
      <c r="E856" s="367" t="s">
        <v>399</v>
      </c>
      <c r="F856" s="539"/>
      <c r="G856" s="527"/>
      <c r="H856" s="539"/>
      <c r="I856" s="372">
        <f t="shared" si="113"/>
        <v>0</v>
      </c>
      <c r="J856" s="372"/>
      <c r="K856" s="372">
        <f>'RAB Pasang'!K856*40%</f>
        <v>196296</v>
      </c>
      <c r="L856" s="387">
        <f t="shared" si="114"/>
        <v>0</v>
      </c>
      <c r="M856" s="387">
        <f t="shared" si="115"/>
        <v>0</v>
      </c>
      <c r="N856" s="422">
        <f t="shared" si="116"/>
        <v>0</v>
      </c>
    </row>
    <row r="857" spans="1:14" ht="13.2" customHeight="1" x14ac:dyDescent="0.3">
      <c r="A857" s="365">
        <f t="shared" si="117"/>
        <v>85</v>
      </c>
      <c r="B857" s="370" t="s">
        <v>1413</v>
      </c>
      <c r="C857" s="371"/>
      <c r="D857" s="371"/>
      <c r="E857" s="367" t="s">
        <v>399</v>
      </c>
      <c r="F857" s="539"/>
      <c r="G857" s="527"/>
      <c r="H857" s="539"/>
      <c r="I857" s="372">
        <f t="shared" si="113"/>
        <v>0</v>
      </c>
      <c r="J857" s="372"/>
      <c r="K857" s="372">
        <f>'RAB Pasang'!K857*40%</f>
        <v>196296</v>
      </c>
      <c r="L857" s="387">
        <f t="shared" si="114"/>
        <v>0</v>
      </c>
      <c r="M857" s="387">
        <f t="shared" si="115"/>
        <v>0</v>
      </c>
      <c r="N857" s="422">
        <f t="shared" si="116"/>
        <v>0</v>
      </c>
    </row>
    <row r="858" spans="1:14" ht="13.2" customHeight="1" x14ac:dyDescent="0.3">
      <c r="A858" s="365">
        <f t="shared" si="117"/>
        <v>86</v>
      </c>
      <c r="B858" s="370" t="s">
        <v>1414</v>
      </c>
      <c r="C858" s="371"/>
      <c r="D858" s="371"/>
      <c r="E858" s="367" t="s">
        <v>399</v>
      </c>
      <c r="F858" s="539"/>
      <c r="G858" s="527"/>
      <c r="H858" s="539"/>
      <c r="I858" s="372">
        <f t="shared" si="113"/>
        <v>0</v>
      </c>
      <c r="J858" s="372"/>
      <c r="K858" s="372">
        <f>'RAB Pasang'!K858*40%</f>
        <v>196296</v>
      </c>
      <c r="L858" s="387">
        <f t="shared" si="114"/>
        <v>0</v>
      </c>
      <c r="M858" s="387">
        <f t="shared" si="115"/>
        <v>0</v>
      </c>
      <c r="N858" s="422">
        <f t="shared" si="116"/>
        <v>0</v>
      </c>
    </row>
    <row r="859" spans="1:14" ht="13.2" customHeight="1" x14ac:dyDescent="0.3">
      <c r="A859" s="365">
        <f t="shared" si="117"/>
        <v>87</v>
      </c>
      <c r="B859" s="370" t="s">
        <v>1415</v>
      </c>
      <c r="C859" s="371"/>
      <c r="D859" s="371"/>
      <c r="E859" s="367" t="s">
        <v>399</v>
      </c>
      <c r="F859" s="539"/>
      <c r="G859" s="527"/>
      <c r="H859" s="539"/>
      <c r="I859" s="372">
        <f t="shared" si="113"/>
        <v>0</v>
      </c>
      <c r="J859" s="372"/>
      <c r="K859" s="372">
        <f>'RAB Pasang'!K859*40%</f>
        <v>196296</v>
      </c>
      <c r="L859" s="387">
        <f t="shared" si="114"/>
        <v>0</v>
      </c>
      <c r="M859" s="387">
        <f t="shared" si="115"/>
        <v>0</v>
      </c>
      <c r="N859" s="422">
        <f t="shared" si="116"/>
        <v>0</v>
      </c>
    </row>
    <row r="860" spans="1:14" ht="13.2" customHeight="1" x14ac:dyDescent="0.3">
      <c r="A860" s="365">
        <f t="shared" si="117"/>
        <v>88</v>
      </c>
      <c r="B860" s="370" t="s">
        <v>1416</v>
      </c>
      <c r="C860" s="371"/>
      <c r="D860" s="371"/>
      <c r="E860" s="367" t="s">
        <v>399</v>
      </c>
      <c r="F860" s="539"/>
      <c r="G860" s="527"/>
      <c r="H860" s="539"/>
      <c r="I860" s="372">
        <f t="shared" si="113"/>
        <v>0</v>
      </c>
      <c r="J860" s="372"/>
      <c r="K860" s="372">
        <f>'RAB Pasang'!K860*40%</f>
        <v>196296</v>
      </c>
      <c r="L860" s="387">
        <f t="shared" si="114"/>
        <v>0</v>
      </c>
      <c r="M860" s="387">
        <f t="shared" si="115"/>
        <v>0</v>
      </c>
      <c r="N860" s="422">
        <f t="shared" si="116"/>
        <v>0</v>
      </c>
    </row>
    <row r="861" spans="1:14" ht="13.2" customHeight="1" x14ac:dyDescent="0.3">
      <c r="A861" s="365">
        <f t="shared" si="117"/>
        <v>89</v>
      </c>
      <c r="B861" s="370" t="s">
        <v>1417</v>
      </c>
      <c r="C861" s="371"/>
      <c r="D861" s="371"/>
      <c r="E861" s="367" t="s">
        <v>399</v>
      </c>
      <c r="F861" s="539"/>
      <c r="G861" s="527"/>
      <c r="H861" s="539"/>
      <c r="I861" s="372">
        <f t="shared" si="113"/>
        <v>0</v>
      </c>
      <c r="J861" s="372"/>
      <c r="K861" s="372">
        <f>'RAB Pasang'!K861*40%</f>
        <v>196296</v>
      </c>
      <c r="L861" s="387">
        <f t="shared" si="114"/>
        <v>0</v>
      </c>
      <c r="M861" s="387">
        <f t="shared" si="115"/>
        <v>0</v>
      </c>
      <c r="N861" s="422">
        <f t="shared" si="116"/>
        <v>0</v>
      </c>
    </row>
    <row r="862" spans="1:14" ht="13.2" customHeight="1" x14ac:dyDescent="0.3">
      <c r="A862" s="365">
        <f t="shared" si="117"/>
        <v>90</v>
      </c>
      <c r="B862" s="370" t="s">
        <v>1418</v>
      </c>
      <c r="C862" s="371"/>
      <c r="D862" s="371"/>
      <c r="E862" s="367" t="s">
        <v>399</v>
      </c>
      <c r="F862" s="539"/>
      <c r="G862" s="527"/>
      <c r="H862" s="539"/>
      <c r="I862" s="372">
        <f t="shared" si="113"/>
        <v>0</v>
      </c>
      <c r="J862" s="372"/>
      <c r="K862" s="372">
        <f>'RAB Pasang'!K862*40%</f>
        <v>196296</v>
      </c>
      <c r="L862" s="387">
        <f t="shared" si="114"/>
        <v>0</v>
      </c>
      <c r="M862" s="387">
        <f t="shared" si="115"/>
        <v>0</v>
      </c>
      <c r="N862" s="422">
        <f t="shared" si="116"/>
        <v>0</v>
      </c>
    </row>
    <row r="863" spans="1:14" ht="13.2" customHeight="1" x14ac:dyDescent="0.3">
      <c r="A863" s="365">
        <f t="shared" si="117"/>
        <v>91</v>
      </c>
      <c r="B863" s="370" t="s">
        <v>1419</v>
      </c>
      <c r="C863" s="371"/>
      <c r="D863" s="371"/>
      <c r="E863" s="367" t="s">
        <v>399</v>
      </c>
      <c r="F863" s="539"/>
      <c r="G863" s="527"/>
      <c r="H863" s="539"/>
      <c r="I863" s="372">
        <f t="shared" si="113"/>
        <v>0</v>
      </c>
      <c r="J863" s="372"/>
      <c r="K863" s="372">
        <f>'RAB Pasang'!K863*40%</f>
        <v>196296</v>
      </c>
      <c r="L863" s="387">
        <f t="shared" si="114"/>
        <v>0</v>
      </c>
      <c r="M863" s="387">
        <f t="shared" si="115"/>
        <v>0</v>
      </c>
      <c r="N863" s="422">
        <f t="shared" si="116"/>
        <v>0</v>
      </c>
    </row>
    <row r="864" spans="1:14" ht="13.2" customHeight="1" x14ac:dyDescent="0.3">
      <c r="A864" s="365">
        <f t="shared" si="117"/>
        <v>92</v>
      </c>
      <c r="B864" s="370" t="s">
        <v>1420</v>
      </c>
      <c r="C864" s="371"/>
      <c r="D864" s="371"/>
      <c r="E864" s="367" t="s">
        <v>399</v>
      </c>
      <c r="F864" s="539"/>
      <c r="G864" s="527"/>
      <c r="H864" s="539"/>
      <c r="I864" s="372">
        <f t="shared" si="113"/>
        <v>0</v>
      </c>
      <c r="J864" s="372"/>
      <c r="K864" s="372">
        <f>'RAB Pasang'!K864*40%</f>
        <v>196296</v>
      </c>
      <c r="L864" s="387">
        <f t="shared" si="114"/>
        <v>0</v>
      </c>
      <c r="M864" s="387">
        <f t="shared" si="115"/>
        <v>0</v>
      </c>
      <c r="N864" s="422">
        <f t="shared" si="116"/>
        <v>0</v>
      </c>
    </row>
    <row r="865" spans="1:14" ht="13.2" customHeight="1" x14ac:dyDescent="0.3">
      <c r="A865" s="365">
        <f t="shared" si="117"/>
        <v>93</v>
      </c>
      <c r="B865" s="370" t="s">
        <v>1421</v>
      </c>
      <c r="C865" s="371"/>
      <c r="D865" s="371"/>
      <c r="E865" s="367" t="s">
        <v>399</v>
      </c>
      <c r="F865" s="539"/>
      <c r="G865" s="527"/>
      <c r="H865" s="539"/>
      <c r="I865" s="372">
        <f t="shared" si="113"/>
        <v>0</v>
      </c>
      <c r="J865" s="372"/>
      <c r="K865" s="372">
        <f>'RAB Pasang'!K865*40%</f>
        <v>434684</v>
      </c>
      <c r="L865" s="387">
        <f t="shared" si="114"/>
        <v>0</v>
      </c>
      <c r="M865" s="387">
        <f t="shared" si="115"/>
        <v>0</v>
      </c>
      <c r="N865" s="422">
        <f t="shared" si="116"/>
        <v>0</v>
      </c>
    </row>
    <row r="866" spans="1:14" ht="13.2" customHeight="1" x14ac:dyDescent="0.3">
      <c r="A866" s="365">
        <f t="shared" si="117"/>
        <v>94</v>
      </c>
      <c r="B866" s="370" t="s">
        <v>1422</v>
      </c>
      <c r="C866" s="371"/>
      <c r="D866" s="371"/>
      <c r="E866" s="367" t="s">
        <v>399</v>
      </c>
      <c r="F866" s="539"/>
      <c r="G866" s="527"/>
      <c r="H866" s="539"/>
      <c r="I866" s="372">
        <f t="shared" si="113"/>
        <v>0</v>
      </c>
      <c r="J866" s="372"/>
      <c r="K866" s="372">
        <f>'RAB Pasang'!K866*40%</f>
        <v>434684</v>
      </c>
      <c r="L866" s="387">
        <f t="shared" si="114"/>
        <v>0</v>
      </c>
      <c r="M866" s="387">
        <f t="shared" si="115"/>
        <v>0</v>
      </c>
      <c r="N866" s="422">
        <f t="shared" si="116"/>
        <v>0</v>
      </c>
    </row>
    <row r="867" spans="1:14" ht="13.2" customHeight="1" x14ac:dyDescent="0.3">
      <c r="A867" s="365">
        <f t="shared" si="117"/>
        <v>95</v>
      </c>
      <c r="B867" s="370" t="s">
        <v>1423</v>
      </c>
      <c r="C867" s="371"/>
      <c r="D867" s="371"/>
      <c r="E867" s="367" t="s">
        <v>399</v>
      </c>
      <c r="F867" s="539"/>
      <c r="G867" s="527"/>
      <c r="H867" s="539"/>
      <c r="I867" s="372">
        <f t="shared" si="113"/>
        <v>0</v>
      </c>
      <c r="J867" s="372"/>
      <c r="K867" s="372">
        <f>'RAB Pasang'!K867*40%</f>
        <v>434684</v>
      </c>
      <c r="L867" s="387">
        <f t="shared" si="114"/>
        <v>0</v>
      </c>
      <c r="M867" s="387">
        <f t="shared" si="115"/>
        <v>0</v>
      </c>
      <c r="N867" s="422">
        <f t="shared" si="116"/>
        <v>0</v>
      </c>
    </row>
    <row r="868" spans="1:14" ht="13.2" customHeight="1" x14ac:dyDescent="0.3">
      <c r="A868" s="365">
        <f t="shared" si="117"/>
        <v>96</v>
      </c>
      <c r="B868" s="370" t="s">
        <v>1424</v>
      </c>
      <c r="C868" s="371"/>
      <c r="D868" s="371"/>
      <c r="E868" s="367" t="s">
        <v>399</v>
      </c>
      <c r="F868" s="539"/>
      <c r="G868" s="527"/>
      <c r="H868" s="539"/>
      <c r="I868" s="372">
        <f t="shared" si="113"/>
        <v>0</v>
      </c>
      <c r="J868" s="372"/>
      <c r="K868" s="372">
        <f>'RAB Pasang'!K868*40%</f>
        <v>434684</v>
      </c>
      <c r="L868" s="387">
        <f t="shared" si="114"/>
        <v>0</v>
      </c>
      <c r="M868" s="387">
        <f t="shared" si="115"/>
        <v>0</v>
      </c>
      <c r="N868" s="422">
        <f t="shared" si="116"/>
        <v>0</v>
      </c>
    </row>
    <row r="869" spans="1:14" ht="13.2" customHeight="1" x14ac:dyDescent="0.3">
      <c r="A869" s="365">
        <f t="shared" si="117"/>
        <v>97</v>
      </c>
      <c r="B869" s="370" t="s">
        <v>1425</v>
      </c>
      <c r="C869" s="371"/>
      <c r="D869" s="371"/>
      <c r="E869" s="367" t="s">
        <v>399</v>
      </c>
      <c r="F869" s="539"/>
      <c r="G869" s="527"/>
      <c r="H869" s="539"/>
      <c r="I869" s="372">
        <f t="shared" si="113"/>
        <v>0</v>
      </c>
      <c r="J869" s="372"/>
      <c r="K869" s="372">
        <f>'RAB Pasang'!K869*40%</f>
        <v>434684</v>
      </c>
      <c r="L869" s="387">
        <f t="shared" si="114"/>
        <v>0</v>
      </c>
      <c r="M869" s="387">
        <f t="shared" si="115"/>
        <v>0</v>
      </c>
      <c r="N869" s="422">
        <f t="shared" si="116"/>
        <v>0</v>
      </c>
    </row>
    <row r="870" spans="1:14" ht="13.2" customHeight="1" x14ac:dyDescent="0.3">
      <c r="A870" s="365">
        <f t="shared" si="117"/>
        <v>98</v>
      </c>
      <c r="B870" s="370" t="s">
        <v>1426</v>
      </c>
      <c r="C870" s="371"/>
      <c r="D870" s="371"/>
      <c r="E870" s="367" t="s">
        <v>399</v>
      </c>
      <c r="F870" s="539"/>
      <c r="G870" s="527"/>
      <c r="H870" s="539"/>
      <c r="I870" s="372">
        <f t="shared" si="113"/>
        <v>0</v>
      </c>
      <c r="J870" s="372"/>
      <c r="K870" s="372">
        <f>'RAB Pasang'!K870*40%</f>
        <v>434684</v>
      </c>
      <c r="L870" s="387">
        <f t="shared" si="114"/>
        <v>0</v>
      </c>
      <c r="M870" s="387">
        <f t="shared" si="115"/>
        <v>0</v>
      </c>
      <c r="N870" s="422">
        <f t="shared" si="116"/>
        <v>0</v>
      </c>
    </row>
    <row r="871" spans="1:14" ht="13.2" customHeight="1" x14ac:dyDescent="0.3">
      <c r="A871" s="365">
        <f t="shared" si="117"/>
        <v>99</v>
      </c>
      <c r="B871" s="370" t="s">
        <v>1427</v>
      </c>
      <c r="C871" s="371"/>
      <c r="D871" s="371"/>
      <c r="E871" s="367" t="s">
        <v>399</v>
      </c>
      <c r="F871" s="539"/>
      <c r="G871" s="527"/>
      <c r="H871" s="539"/>
      <c r="I871" s="372">
        <f t="shared" si="113"/>
        <v>0</v>
      </c>
      <c r="J871" s="372"/>
      <c r="K871" s="372">
        <f>'RAB Pasang'!K871*40%</f>
        <v>434684</v>
      </c>
      <c r="L871" s="387">
        <f t="shared" si="114"/>
        <v>0</v>
      </c>
      <c r="M871" s="387">
        <f t="shared" si="115"/>
        <v>0</v>
      </c>
      <c r="N871" s="422">
        <f t="shared" si="116"/>
        <v>0</v>
      </c>
    </row>
    <row r="872" spans="1:14" ht="13.2" customHeight="1" x14ac:dyDescent="0.3">
      <c r="A872" s="365">
        <f t="shared" si="117"/>
        <v>100</v>
      </c>
      <c r="B872" s="370" t="s">
        <v>1428</v>
      </c>
      <c r="C872" s="371"/>
      <c r="D872" s="371"/>
      <c r="E872" s="367" t="s">
        <v>399</v>
      </c>
      <c r="F872" s="539"/>
      <c r="G872" s="527"/>
      <c r="H872" s="539"/>
      <c r="I872" s="372">
        <f t="shared" si="113"/>
        <v>0</v>
      </c>
      <c r="J872" s="372"/>
      <c r="K872" s="372">
        <f>'RAB Pasang'!K872*40%</f>
        <v>434684</v>
      </c>
      <c r="L872" s="387">
        <f t="shared" si="114"/>
        <v>0</v>
      </c>
      <c r="M872" s="387">
        <f t="shared" si="115"/>
        <v>0</v>
      </c>
      <c r="N872" s="422">
        <f t="shared" si="116"/>
        <v>0</v>
      </c>
    </row>
    <row r="873" spans="1:14" ht="13.2" customHeight="1" x14ac:dyDescent="0.3">
      <c r="A873" s="365">
        <f t="shared" si="117"/>
        <v>101</v>
      </c>
      <c r="B873" s="370" t="s">
        <v>1429</v>
      </c>
      <c r="C873" s="371"/>
      <c r="D873" s="371"/>
      <c r="E873" s="367" t="s">
        <v>399</v>
      </c>
      <c r="F873" s="539"/>
      <c r="G873" s="527"/>
      <c r="H873" s="539"/>
      <c r="I873" s="372">
        <f t="shared" si="113"/>
        <v>0</v>
      </c>
      <c r="J873" s="372"/>
      <c r="K873" s="372">
        <f>'RAB Pasang'!K873*40%</f>
        <v>434684</v>
      </c>
      <c r="L873" s="387">
        <f t="shared" si="114"/>
        <v>0</v>
      </c>
      <c r="M873" s="387">
        <f t="shared" si="115"/>
        <v>0</v>
      </c>
      <c r="N873" s="422">
        <f t="shared" si="116"/>
        <v>0</v>
      </c>
    </row>
    <row r="874" spans="1:14" ht="13.2" customHeight="1" x14ac:dyDescent="0.3">
      <c r="A874" s="365">
        <f t="shared" si="117"/>
        <v>102</v>
      </c>
      <c r="B874" s="370" t="s">
        <v>1430</v>
      </c>
      <c r="C874" s="371"/>
      <c r="D874" s="371"/>
      <c r="E874" s="367" t="s">
        <v>399</v>
      </c>
      <c r="F874" s="539"/>
      <c r="G874" s="527"/>
      <c r="H874" s="539"/>
      <c r="I874" s="372">
        <f t="shared" si="113"/>
        <v>0</v>
      </c>
      <c r="J874" s="372"/>
      <c r="K874" s="372">
        <f>'RAB Pasang'!K874*40%</f>
        <v>434684</v>
      </c>
      <c r="L874" s="387">
        <f t="shared" si="114"/>
        <v>0</v>
      </c>
      <c r="M874" s="387">
        <f t="shared" si="115"/>
        <v>0</v>
      </c>
      <c r="N874" s="422">
        <f t="shared" si="116"/>
        <v>0</v>
      </c>
    </row>
    <row r="875" spans="1:14" ht="13.2" customHeight="1" x14ac:dyDescent="0.3">
      <c r="A875" s="365">
        <f t="shared" si="117"/>
        <v>103</v>
      </c>
      <c r="B875" s="370" t="s">
        <v>1431</v>
      </c>
      <c r="C875" s="371"/>
      <c r="D875" s="371"/>
      <c r="E875" s="367" t="s">
        <v>399</v>
      </c>
      <c r="F875" s="539"/>
      <c r="G875" s="527"/>
      <c r="H875" s="539"/>
      <c r="I875" s="372">
        <f t="shared" si="113"/>
        <v>0</v>
      </c>
      <c r="J875" s="372"/>
      <c r="K875" s="372">
        <f>'RAB Pasang'!K875*40%</f>
        <v>434684</v>
      </c>
      <c r="L875" s="387">
        <f t="shared" si="114"/>
        <v>0</v>
      </c>
      <c r="M875" s="387">
        <f t="shared" si="115"/>
        <v>0</v>
      </c>
      <c r="N875" s="422">
        <f t="shared" si="116"/>
        <v>0</v>
      </c>
    </row>
    <row r="876" spans="1:14" ht="13.2" customHeight="1" x14ac:dyDescent="0.3">
      <c r="A876" s="365">
        <f t="shared" si="117"/>
        <v>104</v>
      </c>
      <c r="B876" s="370" t="s">
        <v>1432</v>
      </c>
      <c r="C876" s="371"/>
      <c r="D876" s="371"/>
      <c r="E876" s="367" t="s">
        <v>399</v>
      </c>
      <c r="F876" s="539"/>
      <c r="G876" s="527"/>
      <c r="H876" s="539"/>
      <c r="I876" s="372">
        <f t="shared" si="113"/>
        <v>0</v>
      </c>
      <c r="J876" s="372"/>
      <c r="K876" s="372">
        <f>'RAB Pasang'!K876*40%</f>
        <v>434684</v>
      </c>
      <c r="L876" s="387">
        <f t="shared" si="114"/>
        <v>0</v>
      </c>
      <c r="M876" s="387">
        <f t="shared" si="115"/>
        <v>0</v>
      </c>
      <c r="N876" s="422">
        <f t="shared" si="116"/>
        <v>0</v>
      </c>
    </row>
    <row r="877" spans="1:14" ht="13.2" customHeight="1" x14ac:dyDescent="0.3">
      <c r="A877" s="365">
        <f t="shared" si="117"/>
        <v>105</v>
      </c>
      <c r="B877" s="370" t="s">
        <v>1433</v>
      </c>
      <c r="C877" s="371"/>
      <c r="D877" s="371"/>
      <c r="E877" s="367" t="s">
        <v>399</v>
      </c>
      <c r="F877" s="539"/>
      <c r="G877" s="527"/>
      <c r="H877" s="539"/>
      <c r="I877" s="372">
        <f t="shared" si="113"/>
        <v>0</v>
      </c>
      <c r="J877" s="372"/>
      <c r="K877" s="372">
        <f>'RAB Pasang'!K877*40%</f>
        <v>434684</v>
      </c>
      <c r="L877" s="387">
        <f t="shared" si="114"/>
        <v>0</v>
      </c>
      <c r="M877" s="387">
        <f t="shared" si="115"/>
        <v>0</v>
      </c>
      <c r="N877" s="422">
        <f t="shared" si="116"/>
        <v>0</v>
      </c>
    </row>
    <row r="878" spans="1:14" ht="13.2" customHeight="1" x14ac:dyDescent="0.3">
      <c r="A878" s="365">
        <f t="shared" si="117"/>
        <v>106</v>
      </c>
      <c r="B878" s="370" t="s">
        <v>1434</v>
      </c>
      <c r="C878" s="371"/>
      <c r="D878" s="371"/>
      <c r="E878" s="367" t="s">
        <v>399</v>
      </c>
      <c r="F878" s="539"/>
      <c r="G878" s="527"/>
      <c r="H878" s="539"/>
      <c r="I878" s="372">
        <f t="shared" si="113"/>
        <v>0</v>
      </c>
      <c r="J878" s="372"/>
      <c r="K878" s="372">
        <f>'RAB Pasang'!K878*40%</f>
        <v>434684</v>
      </c>
      <c r="L878" s="387">
        <f t="shared" si="114"/>
        <v>0</v>
      </c>
      <c r="M878" s="387">
        <f t="shared" si="115"/>
        <v>0</v>
      </c>
      <c r="N878" s="422">
        <f t="shared" si="116"/>
        <v>0</v>
      </c>
    </row>
    <row r="879" spans="1:14" ht="13.2" customHeight="1" x14ac:dyDescent="0.3">
      <c r="A879" s="365">
        <f t="shared" si="117"/>
        <v>107</v>
      </c>
      <c r="B879" s="370" t="s">
        <v>1435</v>
      </c>
      <c r="C879" s="371"/>
      <c r="D879" s="371"/>
      <c r="E879" s="367" t="s">
        <v>399</v>
      </c>
      <c r="F879" s="539"/>
      <c r="G879" s="527"/>
      <c r="H879" s="539"/>
      <c r="I879" s="372">
        <f t="shared" si="113"/>
        <v>0</v>
      </c>
      <c r="J879" s="372"/>
      <c r="K879" s="372">
        <f>'RAB Pasang'!K879*40%</f>
        <v>434684</v>
      </c>
      <c r="L879" s="387">
        <f t="shared" si="114"/>
        <v>0</v>
      </c>
      <c r="M879" s="387">
        <f t="shared" si="115"/>
        <v>0</v>
      </c>
      <c r="N879" s="422">
        <f t="shared" si="116"/>
        <v>0</v>
      </c>
    </row>
    <row r="880" spans="1:14" ht="13.2" customHeight="1" x14ac:dyDescent="0.3">
      <c r="A880" s="365">
        <f>A879+1</f>
        <v>108</v>
      </c>
      <c r="B880" s="370" t="s">
        <v>1436</v>
      </c>
      <c r="C880" s="371"/>
      <c r="D880" s="371"/>
      <c r="E880" s="367" t="s">
        <v>399</v>
      </c>
      <c r="F880" s="539"/>
      <c r="G880" s="527"/>
      <c r="H880" s="539"/>
      <c r="I880" s="372">
        <f t="shared" si="113"/>
        <v>0</v>
      </c>
      <c r="J880" s="372"/>
      <c r="K880" s="372">
        <f>'RAB Pasang'!K880*40%</f>
        <v>434684</v>
      </c>
      <c r="L880" s="387">
        <f t="shared" si="114"/>
        <v>0</v>
      </c>
      <c r="M880" s="387">
        <f t="shared" si="115"/>
        <v>0</v>
      </c>
      <c r="N880" s="422">
        <f t="shared" si="116"/>
        <v>0</v>
      </c>
    </row>
    <row r="881" spans="1:14" ht="13.2" customHeight="1" x14ac:dyDescent="0.3">
      <c r="A881" s="365">
        <f>A880+1</f>
        <v>109</v>
      </c>
      <c r="B881" s="370" t="s">
        <v>1683</v>
      </c>
      <c r="C881" s="371"/>
      <c r="D881" s="371"/>
      <c r="E881" s="367" t="s">
        <v>399</v>
      </c>
      <c r="F881" s="580"/>
      <c r="G881" s="572"/>
      <c r="H881" s="580"/>
      <c r="I881" s="473">
        <f t="shared" si="113"/>
        <v>0</v>
      </c>
      <c r="J881" s="473"/>
      <c r="K881" s="372">
        <f>'RAB Pasang'!K881*40%</f>
        <v>12320</v>
      </c>
      <c r="L881" s="387">
        <f t="shared" si="114"/>
        <v>0</v>
      </c>
      <c r="M881" s="387">
        <f t="shared" si="115"/>
        <v>0</v>
      </c>
      <c r="N881" s="422">
        <f t="shared" si="116"/>
        <v>0</v>
      </c>
    </row>
    <row r="882" spans="1:14" ht="13.2" customHeight="1" x14ac:dyDescent="0.3">
      <c r="A882" s="485"/>
      <c r="B882" s="497" t="s">
        <v>1719</v>
      </c>
      <c r="C882" s="487"/>
      <c r="D882" s="487"/>
      <c r="E882" s="488"/>
      <c r="F882" s="492"/>
      <c r="G882" s="492"/>
      <c r="H882" s="492"/>
      <c r="I882" s="543"/>
      <c r="J882" s="492"/>
      <c r="K882" s="492"/>
      <c r="L882" s="490">
        <f>SUM(L773:L881)</f>
        <v>0</v>
      </c>
      <c r="M882" s="490">
        <f t="shared" ref="M882:N882" si="118">SUM(M773:M881)</f>
        <v>0</v>
      </c>
      <c r="N882" s="491">
        <f t="shared" si="118"/>
        <v>0</v>
      </c>
    </row>
    <row r="883" spans="1:14" ht="7.2" customHeight="1" x14ac:dyDescent="0.3">
      <c r="A883" s="423"/>
      <c r="B883" s="424"/>
      <c r="C883" s="425"/>
      <c r="D883" s="425"/>
      <c r="E883" s="426"/>
      <c r="F883" s="581"/>
      <c r="G883" s="581"/>
      <c r="H883" s="581"/>
      <c r="I883" s="427"/>
      <c r="J883" s="427"/>
      <c r="K883" s="427"/>
      <c r="L883" s="428"/>
      <c r="M883" s="428"/>
      <c r="N883" s="429"/>
    </row>
    <row r="884" spans="1:14" ht="15" customHeight="1" x14ac:dyDescent="0.3">
      <c r="A884" s="495" t="s">
        <v>1452</v>
      </c>
      <c r="B884" s="478" t="s">
        <v>1445</v>
      </c>
      <c r="C884" s="480"/>
      <c r="D884" s="480"/>
      <c r="E884" s="493"/>
      <c r="F884" s="579"/>
      <c r="G884" s="579"/>
      <c r="H884" s="579"/>
      <c r="I884" s="494"/>
      <c r="J884" s="494"/>
      <c r="K884" s="494"/>
      <c r="L884" s="484"/>
      <c r="M884" s="484"/>
      <c r="N884" s="496"/>
    </row>
    <row r="885" spans="1:14" ht="13.2" customHeight="1" x14ac:dyDescent="0.3">
      <c r="A885" s="365">
        <v>1</v>
      </c>
      <c r="B885" s="370" t="s">
        <v>1212</v>
      </c>
      <c r="C885" s="371"/>
      <c r="D885" s="371"/>
      <c r="E885" s="367" t="s">
        <v>399</v>
      </c>
      <c r="F885" s="539"/>
      <c r="G885" s="539"/>
      <c r="H885" s="527"/>
      <c r="I885" s="372">
        <f t="shared" ref="I885:I893" si="119">SUM(F885:H885)</f>
        <v>0</v>
      </c>
      <c r="J885" s="372"/>
      <c r="K885" s="372">
        <f>'RAB Pasang'!K885*40%</f>
        <v>20536</v>
      </c>
      <c r="L885" s="387">
        <f t="shared" ref="L885:L893" si="120">J885*I885</f>
        <v>0</v>
      </c>
      <c r="M885" s="387">
        <f t="shared" ref="M885:M893" si="121">K885*I885</f>
        <v>0</v>
      </c>
      <c r="N885" s="422">
        <f t="shared" ref="N885:N893" si="122">SUM(L885:M885)</f>
        <v>0</v>
      </c>
    </row>
    <row r="886" spans="1:14" ht="13.2" customHeight="1" x14ac:dyDescent="0.3">
      <c r="A886" s="365">
        <f t="shared" ref="A886:A893" si="123">A885+1</f>
        <v>2</v>
      </c>
      <c r="B886" s="370" t="s">
        <v>1213</v>
      </c>
      <c r="C886" s="371"/>
      <c r="D886" s="371"/>
      <c r="E886" s="367" t="s">
        <v>399</v>
      </c>
      <c r="F886" s="539"/>
      <c r="G886" s="539"/>
      <c r="H886" s="527"/>
      <c r="I886" s="372">
        <f t="shared" si="119"/>
        <v>0</v>
      </c>
      <c r="J886" s="372"/>
      <c r="K886" s="372">
        <f>'RAB Pasang'!K886*40%</f>
        <v>24340</v>
      </c>
      <c r="L886" s="387">
        <f t="shared" si="120"/>
        <v>0</v>
      </c>
      <c r="M886" s="387">
        <f t="shared" si="121"/>
        <v>0</v>
      </c>
      <c r="N886" s="422">
        <f t="shared" si="122"/>
        <v>0</v>
      </c>
    </row>
    <row r="887" spans="1:14" ht="13.2" customHeight="1" x14ac:dyDescent="0.3">
      <c r="A887" s="365">
        <f t="shared" si="123"/>
        <v>3</v>
      </c>
      <c r="B887" s="370" t="s">
        <v>1214</v>
      </c>
      <c r="C887" s="371"/>
      <c r="E887" s="367" t="s">
        <v>399</v>
      </c>
      <c r="F887" s="539"/>
      <c r="G887" s="539"/>
      <c r="H887" s="527"/>
      <c r="I887" s="372">
        <f t="shared" si="119"/>
        <v>0</v>
      </c>
      <c r="J887" s="372"/>
      <c r="K887" s="372">
        <f>'RAB Pasang'!K887*40%</f>
        <v>21904</v>
      </c>
      <c r="L887" s="387">
        <f t="shared" si="120"/>
        <v>0</v>
      </c>
      <c r="M887" s="387">
        <f t="shared" si="121"/>
        <v>0</v>
      </c>
      <c r="N887" s="422">
        <f t="shared" si="122"/>
        <v>0</v>
      </c>
    </row>
    <row r="888" spans="1:14" ht="13.2" customHeight="1" x14ac:dyDescent="0.3">
      <c r="A888" s="365">
        <f t="shared" si="123"/>
        <v>4</v>
      </c>
      <c r="B888" s="370" t="s">
        <v>1215</v>
      </c>
      <c r="C888" s="371"/>
      <c r="D888" s="371"/>
      <c r="E888" s="367" t="s">
        <v>399</v>
      </c>
      <c r="F888" s="539"/>
      <c r="G888" s="539"/>
      <c r="H888" s="527"/>
      <c r="I888" s="372">
        <f t="shared" si="119"/>
        <v>0</v>
      </c>
      <c r="J888" s="372"/>
      <c r="K888" s="372">
        <f>'RAB Pasang'!K888*40%</f>
        <v>24340</v>
      </c>
      <c r="L888" s="387">
        <f t="shared" si="120"/>
        <v>0</v>
      </c>
      <c r="M888" s="387">
        <f t="shared" si="121"/>
        <v>0</v>
      </c>
      <c r="N888" s="422">
        <f t="shared" si="122"/>
        <v>0</v>
      </c>
    </row>
    <row r="889" spans="1:14" ht="13.2" customHeight="1" x14ac:dyDescent="0.3">
      <c r="A889" s="365">
        <f t="shared" si="123"/>
        <v>5</v>
      </c>
      <c r="B889" s="370" t="s">
        <v>1222</v>
      </c>
      <c r="C889" s="371"/>
      <c r="D889" s="371"/>
      <c r="E889" s="367" t="s">
        <v>399</v>
      </c>
      <c r="F889" s="539"/>
      <c r="G889" s="539"/>
      <c r="H889" s="527"/>
      <c r="I889" s="372">
        <f t="shared" si="119"/>
        <v>0</v>
      </c>
      <c r="J889" s="372"/>
      <c r="K889" s="372">
        <f>'RAB Pasang'!K889*40%</f>
        <v>21904</v>
      </c>
      <c r="L889" s="387">
        <f t="shared" si="120"/>
        <v>0</v>
      </c>
      <c r="M889" s="387">
        <f t="shared" si="121"/>
        <v>0</v>
      </c>
      <c r="N889" s="422">
        <f t="shared" si="122"/>
        <v>0</v>
      </c>
    </row>
    <row r="890" spans="1:14" ht="13.2" customHeight="1" x14ac:dyDescent="0.3">
      <c r="A890" s="365">
        <f t="shared" si="123"/>
        <v>6</v>
      </c>
      <c r="B890" s="370" t="s">
        <v>1465</v>
      </c>
      <c r="C890" s="371"/>
      <c r="D890" s="371"/>
      <c r="E890" s="367" t="s">
        <v>399</v>
      </c>
      <c r="F890" s="539"/>
      <c r="G890" s="539"/>
      <c r="H890" s="527"/>
      <c r="I890" s="372">
        <f t="shared" si="119"/>
        <v>0</v>
      </c>
      <c r="J890" s="372"/>
      <c r="K890" s="372">
        <f>'RAB Pasang'!K890*40%</f>
        <v>24644</v>
      </c>
      <c r="L890" s="387">
        <f t="shared" si="120"/>
        <v>0</v>
      </c>
      <c r="M890" s="387">
        <f t="shared" si="121"/>
        <v>0</v>
      </c>
      <c r="N890" s="422">
        <f t="shared" si="122"/>
        <v>0</v>
      </c>
    </row>
    <row r="891" spans="1:14" ht="13.2" customHeight="1" x14ac:dyDescent="0.3">
      <c r="A891" s="365">
        <f t="shared" si="123"/>
        <v>7</v>
      </c>
      <c r="B891" s="370" t="s">
        <v>1466</v>
      </c>
      <c r="C891" s="373"/>
      <c r="D891" s="373"/>
      <c r="E891" s="367" t="s">
        <v>399</v>
      </c>
      <c r="F891" s="571"/>
      <c r="G891" s="571"/>
      <c r="H891" s="528"/>
      <c r="I891" s="375">
        <f t="shared" si="119"/>
        <v>0</v>
      </c>
      <c r="J891" s="375"/>
      <c r="K891" s="372">
        <f>'RAB Pasang'!K891*40%</f>
        <v>24644</v>
      </c>
      <c r="L891" s="387">
        <f t="shared" si="120"/>
        <v>0</v>
      </c>
      <c r="M891" s="387">
        <f t="shared" si="121"/>
        <v>0</v>
      </c>
      <c r="N891" s="422">
        <f t="shared" si="122"/>
        <v>0</v>
      </c>
    </row>
    <row r="892" spans="1:14" ht="13.2" customHeight="1" x14ac:dyDescent="0.3">
      <c r="A892" s="365">
        <f t="shared" si="123"/>
        <v>8</v>
      </c>
      <c r="B892" s="376" t="s">
        <v>1467</v>
      </c>
      <c r="C892" s="373"/>
      <c r="D892" s="373"/>
      <c r="E892" s="374" t="s">
        <v>399</v>
      </c>
      <c r="F892" s="571"/>
      <c r="G892" s="571"/>
      <c r="H892" s="528"/>
      <c r="I892" s="375">
        <f t="shared" si="119"/>
        <v>0</v>
      </c>
      <c r="J892" s="375"/>
      <c r="K892" s="375">
        <f>'RAB Pasang'!K892*40%</f>
        <v>24644</v>
      </c>
      <c r="L892" s="387">
        <f t="shared" si="120"/>
        <v>0</v>
      </c>
      <c r="M892" s="387">
        <f t="shared" si="121"/>
        <v>0</v>
      </c>
      <c r="N892" s="422">
        <f t="shared" si="122"/>
        <v>0</v>
      </c>
    </row>
    <row r="893" spans="1:14" ht="13.2" customHeight="1" x14ac:dyDescent="0.3">
      <c r="A893" s="365">
        <f t="shared" si="123"/>
        <v>9</v>
      </c>
      <c r="B893" s="430" t="s">
        <v>1464</v>
      </c>
      <c r="C893" s="431"/>
      <c r="D893" s="431"/>
      <c r="E893" s="432" t="s">
        <v>203</v>
      </c>
      <c r="F893" s="582"/>
      <c r="G893" s="582"/>
      <c r="H893" s="583"/>
      <c r="I893" s="475">
        <f t="shared" si="119"/>
        <v>0</v>
      </c>
      <c r="J893" s="475"/>
      <c r="K893" s="475">
        <f>'RAB Pasang'!K893*40%</f>
        <v>9388</v>
      </c>
      <c r="L893" s="387">
        <f t="shared" si="120"/>
        <v>0</v>
      </c>
      <c r="M893" s="387">
        <f t="shared" si="121"/>
        <v>0</v>
      </c>
      <c r="N893" s="422">
        <f t="shared" si="122"/>
        <v>0</v>
      </c>
    </row>
    <row r="894" spans="1:14" ht="13.2" customHeight="1" x14ac:dyDescent="0.3">
      <c r="A894" s="485"/>
      <c r="B894" s="497" t="s">
        <v>1720</v>
      </c>
      <c r="C894" s="487"/>
      <c r="D894" s="487"/>
      <c r="E894" s="488"/>
      <c r="F894" s="540"/>
      <c r="G894" s="540"/>
      <c r="H894" s="540"/>
      <c r="I894" s="489"/>
      <c r="J894" s="492"/>
      <c r="K894" s="492"/>
      <c r="L894" s="490">
        <f t="shared" ref="L894:N894" si="124">SUM(L885:L893)</f>
        <v>0</v>
      </c>
      <c r="M894" s="490">
        <f t="shared" si="124"/>
        <v>0</v>
      </c>
      <c r="N894" s="491">
        <f t="shared" si="124"/>
        <v>0</v>
      </c>
    </row>
    <row r="895" spans="1:14" ht="6.6" customHeight="1" x14ac:dyDescent="0.3">
      <c r="A895" s="423"/>
      <c r="B895" s="424"/>
      <c r="C895" s="425"/>
      <c r="D895" s="425"/>
      <c r="E895" s="426"/>
      <c r="F895" s="569"/>
      <c r="G895" s="569"/>
      <c r="H895" s="569"/>
      <c r="I895" s="474"/>
      <c r="J895" s="427"/>
      <c r="K895" s="427"/>
      <c r="L895" s="428"/>
      <c r="M895" s="428"/>
      <c r="N895" s="429"/>
    </row>
    <row r="896" spans="1:14" ht="13.95" customHeight="1" x14ac:dyDescent="0.3">
      <c r="A896" s="495" t="s">
        <v>1453</v>
      </c>
      <c r="B896" s="478" t="s">
        <v>1475</v>
      </c>
      <c r="C896" s="480"/>
      <c r="D896" s="480"/>
      <c r="E896" s="493"/>
      <c r="F896" s="568"/>
      <c r="G896" s="568"/>
      <c r="H896" s="568"/>
      <c r="I896" s="483"/>
      <c r="J896" s="494"/>
      <c r="K896" s="494"/>
      <c r="L896" s="484"/>
      <c r="M896" s="484"/>
      <c r="N896" s="496"/>
    </row>
    <row r="897" spans="1:14" ht="13.2" customHeight="1" x14ac:dyDescent="0.3">
      <c r="A897" s="365">
        <v>1</v>
      </c>
      <c r="B897" s="370" t="s">
        <v>1710</v>
      </c>
      <c r="C897" s="371"/>
      <c r="D897" s="371"/>
      <c r="E897" s="367" t="s">
        <v>596</v>
      </c>
      <c r="F897" s="536"/>
      <c r="G897" s="536"/>
      <c r="H897" s="537"/>
      <c r="I897" s="466">
        <f t="shared" ref="I897:I908" si="125">SUM(F897:H897)</f>
        <v>0</v>
      </c>
      <c r="J897" s="372"/>
      <c r="K897" s="372">
        <f>'RAB Pasang'!K897*40%</f>
        <v>178848</v>
      </c>
      <c r="L897" s="387">
        <f t="shared" ref="L897:L908" si="126">J897*I897</f>
        <v>0</v>
      </c>
      <c r="M897" s="387">
        <f t="shared" ref="M897:M908" si="127">K897*I897</f>
        <v>0</v>
      </c>
      <c r="N897" s="422">
        <f t="shared" ref="N897:N908" si="128">SUM(L897:M897)</f>
        <v>0</v>
      </c>
    </row>
    <row r="898" spans="1:14" ht="13.2" customHeight="1" x14ac:dyDescent="0.3">
      <c r="A898" s="365">
        <f t="shared" ref="A898:A908" si="129">A897+1</f>
        <v>2</v>
      </c>
      <c r="B898" s="370" t="s">
        <v>1711</v>
      </c>
      <c r="C898" s="371"/>
      <c r="D898" s="371"/>
      <c r="E898" s="367" t="s">
        <v>596</v>
      </c>
      <c r="F898" s="536"/>
      <c r="G898" s="536"/>
      <c r="H898" s="537"/>
      <c r="I898" s="466">
        <f t="shared" si="125"/>
        <v>0</v>
      </c>
      <c r="J898" s="372"/>
      <c r="K898" s="372">
        <f>'RAB Pasang'!K898*40%</f>
        <v>298084</v>
      </c>
      <c r="L898" s="387">
        <f t="shared" si="126"/>
        <v>0</v>
      </c>
      <c r="M898" s="387">
        <f t="shared" si="127"/>
        <v>0</v>
      </c>
      <c r="N898" s="422">
        <f t="shared" si="128"/>
        <v>0</v>
      </c>
    </row>
    <row r="899" spans="1:14" ht="13.2" customHeight="1" x14ac:dyDescent="0.3">
      <c r="A899" s="365">
        <f t="shared" si="129"/>
        <v>3</v>
      </c>
      <c r="B899" s="370" t="s">
        <v>1994</v>
      </c>
      <c r="C899" s="371"/>
      <c r="D899" s="371"/>
      <c r="E899" s="367" t="s">
        <v>596</v>
      </c>
      <c r="F899" s="536"/>
      <c r="G899" s="536"/>
      <c r="H899" s="537"/>
      <c r="I899" s="466">
        <f t="shared" si="125"/>
        <v>0</v>
      </c>
      <c r="J899" s="372"/>
      <c r="K899" s="372">
        <f>'RAB Pasang'!K899*40%</f>
        <v>340176</v>
      </c>
      <c r="L899" s="387">
        <f t="shared" si="126"/>
        <v>0</v>
      </c>
      <c r="M899" s="387">
        <f t="shared" si="127"/>
        <v>0</v>
      </c>
      <c r="N899" s="422">
        <f t="shared" si="128"/>
        <v>0</v>
      </c>
    </row>
    <row r="900" spans="1:14" ht="13.2" customHeight="1" x14ac:dyDescent="0.3">
      <c r="A900" s="365">
        <f t="shared" si="129"/>
        <v>4</v>
      </c>
      <c r="B900" s="370" t="s">
        <v>1995</v>
      </c>
      <c r="C900" s="371"/>
      <c r="D900" s="371"/>
      <c r="E900" s="367" t="s">
        <v>596</v>
      </c>
      <c r="F900" s="536"/>
      <c r="G900" s="536"/>
      <c r="H900" s="537"/>
      <c r="I900" s="466">
        <f t="shared" si="125"/>
        <v>0</v>
      </c>
      <c r="J900" s="372"/>
      <c r="K900" s="372">
        <f>'RAB Pasang'!K900*40%</f>
        <v>340176</v>
      </c>
      <c r="L900" s="387">
        <f t="shared" si="126"/>
        <v>0</v>
      </c>
      <c r="M900" s="387">
        <f t="shared" si="127"/>
        <v>0</v>
      </c>
      <c r="N900" s="422">
        <f t="shared" si="128"/>
        <v>0</v>
      </c>
    </row>
    <row r="901" spans="1:14" ht="13.2" customHeight="1" x14ac:dyDescent="0.3">
      <c r="A901" s="365">
        <f t="shared" si="129"/>
        <v>5</v>
      </c>
      <c r="B901" s="370" t="s">
        <v>1712</v>
      </c>
      <c r="C901" s="371"/>
      <c r="D901" s="371"/>
      <c r="E901" s="367" t="s">
        <v>596</v>
      </c>
      <c r="F901" s="536"/>
      <c r="G901" s="536"/>
      <c r="H901" s="537"/>
      <c r="I901" s="466">
        <f t="shared" si="125"/>
        <v>0</v>
      </c>
      <c r="J901" s="372"/>
      <c r="K901" s="372">
        <f>'RAB Pasang'!K901*40%</f>
        <v>279452</v>
      </c>
      <c r="L901" s="387">
        <f t="shared" si="126"/>
        <v>0</v>
      </c>
      <c r="M901" s="387">
        <f t="shared" si="127"/>
        <v>0</v>
      </c>
      <c r="N901" s="422">
        <f t="shared" si="128"/>
        <v>0</v>
      </c>
    </row>
    <row r="902" spans="1:14" ht="13.2" customHeight="1" x14ac:dyDescent="0.3">
      <c r="A902" s="365">
        <f t="shared" si="129"/>
        <v>6</v>
      </c>
      <c r="B902" s="370" t="s">
        <v>1996</v>
      </c>
      <c r="C902" s="371"/>
      <c r="D902" s="371"/>
      <c r="E902" s="367" t="s">
        <v>596</v>
      </c>
      <c r="F902" s="536"/>
      <c r="G902" s="536"/>
      <c r="H902" s="537"/>
      <c r="I902" s="466">
        <f t="shared" si="125"/>
        <v>0</v>
      </c>
      <c r="J902" s="372"/>
      <c r="K902" s="372">
        <f>'RAB Pasang'!K902*40%</f>
        <v>314008</v>
      </c>
      <c r="L902" s="387">
        <f t="shared" si="126"/>
        <v>0</v>
      </c>
      <c r="M902" s="387">
        <f t="shared" si="127"/>
        <v>0</v>
      </c>
      <c r="N902" s="422">
        <f t="shared" si="128"/>
        <v>0</v>
      </c>
    </row>
    <row r="903" spans="1:14" ht="13.2" customHeight="1" x14ac:dyDescent="0.3">
      <c r="A903" s="365">
        <f t="shared" si="129"/>
        <v>7</v>
      </c>
      <c r="B903" s="370" t="s">
        <v>1997</v>
      </c>
      <c r="C903" s="371"/>
      <c r="D903" s="371"/>
      <c r="E903" s="367" t="s">
        <v>596</v>
      </c>
      <c r="F903" s="536"/>
      <c r="G903" s="536"/>
      <c r="H903" s="537"/>
      <c r="I903" s="466">
        <f t="shared" si="125"/>
        <v>0</v>
      </c>
      <c r="J903" s="372"/>
      <c r="K903" s="372">
        <f>'RAB Pasang'!K903*40%</f>
        <v>314008</v>
      </c>
      <c r="L903" s="387">
        <f t="shared" si="126"/>
        <v>0</v>
      </c>
      <c r="M903" s="387">
        <f t="shared" si="127"/>
        <v>0</v>
      </c>
      <c r="N903" s="422">
        <f t="shared" si="128"/>
        <v>0</v>
      </c>
    </row>
    <row r="904" spans="1:14" ht="13.2" customHeight="1" x14ac:dyDescent="0.3">
      <c r="A904" s="365">
        <f t="shared" si="129"/>
        <v>8</v>
      </c>
      <c r="B904" s="370" t="s">
        <v>1722</v>
      </c>
      <c r="C904" s="371"/>
      <c r="D904" s="371"/>
      <c r="E904" s="367" t="s">
        <v>399</v>
      </c>
      <c r="F904" s="539"/>
      <c r="G904" s="539"/>
      <c r="H904" s="527"/>
      <c r="I904" s="372">
        <f t="shared" si="125"/>
        <v>0</v>
      </c>
      <c r="J904" s="372"/>
      <c r="K904" s="372">
        <f>'RAB Pasang'!K904*40%</f>
        <v>8152</v>
      </c>
      <c r="L904" s="387">
        <f t="shared" si="126"/>
        <v>0</v>
      </c>
      <c r="M904" s="387">
        <f t="shared" si="127"/>
        <v>0</v>
      </c>
      <c r="N904" s="422">
        <f t="shared" si="128"/>
        <v>0</v>
      </c>
    </row>
    <row r="905" spans="1:14" ht="13.2" customHeight="1" x14ac:dyDescent="0.3">
      <c r="A905" s="365">
        <f t="shared" si="129"/>
        <v>9</v>
      </c>
      <c r="B905" s="370" t="s">
        <v>1670</v>
      </c>
      <c r="C905" s="371"/>
      <c r="D905" s="371"/>
      <c r="E905" s="367" t="s">
        <v>399</v>
      </c>
      <c r="F905" s="539"/>
      <c r="G905" s="539"/>
      <c r="H905" s="527"/>
      <c r="I905" s="372">
        <f t="shared" si="125"/>
        <v>0</v>
      </c>
      <c r="J905" s="372"/>
      <c r="K905" s="372">
        <f>'RAB Pasang'!K905*40%</f>
        <v>7884</v>
      </c>
      <c r="L905" s="387">
        <f t="shared" si="126"/>
        <v>0</v>
      </c>
      <c r="M905" s="387">
        <f t="shared" si="127"/>
        <v>0</v>
      </c>
      <c r="N905" s="422">
        <f t="shared" si="128"/>
        <v>0</v>
      </c>
    </row>
    <row r="906" spans="1:14" ht="13.2" customHeight="1" x14ac:dyDescent="0.3">
      <c r="A906" s="365">
        <f t="shared" si="129"/>
        <v>10</v>
      </c>
      <c r="B906" s="370" t="s">
        <v>1671</v>
      </c>
      <c r="C906" s="371"/>
      <c r="D906" s="371"/>
      <c r="E906" s="367" t="s">
        <v>399</v>
      </c>
      <c r="F906" s="539"/>
      <c r="G906" s="539"/>
      <c r="H906" s="527"/>
      <c r="I906" s="372">
        <f t="shared" si="125"/>
        <v>0</v>
      </c>
      <c r="J906" s="372"/>
      <c r="K906" s="372">
        <f>'RAB Pasang'!K906*40%</f>
        <v>7884</v>
      </c>
      <c r="L906" s="387">
        <f t="shared" si="126"/>
        <v>0</v>
      </c>
      <c r="M906" s="387">
        <f t="shared" si="127"/>
        <v>0</v>
      </c>
      <c r="N906" s="422">
        <f t="shared" si="128"/>
        <v>0</v>
      </c>
    </row>
    <row r="907" spans="1:14" ht="13.2" customHeight="1" x14ac:dyDescent="0.3">
      <c r="A907" s="365">
        <f t="shared" si="129"/>
        <v>11</v>
      </c>
      <c r="B907" s="370" t="s">
        <v>1853</v>
      </c>
      <c r="C907" s="371"/>
      <c r="D907" s="371"/>
      <c r="E907" s="367" t="s">
        <v>399</v>
      </c>
      <c r="F907" s="539"/>
      <c r="G907" s="527"/>
      <c r="H907" s="527"/>
      <c r="I907" s="372">
        <f t="shared" si="125"/>
        <v>0</v>
      </c>
      <c r="J907" s="372"/>
      <c r="K907" s="372">
        <f>'RAB Pasang'!K907*40%</f>
        <v>131432</v>
      </c>
      <c r="L907" s="387">
        <f t="shared" si="126"/>
        <v>0</v>
      </c>
      <c r="M907" s="387">
        <f t="shared" si="127"/>
        <v>0</v>
      </c>
      <c r="N907" s="422">
        <f t="shared" si="128"/>
        <v>0</v>
      </c>
    </row>
    <row r="908" spans="1:14" ht="13.2" customHeight="1" x14ac:dyDescent="0.3">
      <c r="A908" s="365">
        <f t="shared" si="129"/>
        <v>12</v>
      </c>
      <c r="B908" s="366" t="s">
        <v>1807</v>
      </c>
      <c r="C908" s="362"/>
      <c r="D908" s="362"/>
      <c r="E908" s="367" t="s">
        <v>203</v>
      </c>
      <c r="F908" s="538"/>
      <c r="G908" s="535"/>
      <c r="H908" s="535"/>
      <c r="I908" s="369">
        <f t="shared" si="125"/>
        <v>0</v>
      </c>
      <c r="J908" s="369"/>
      <c r="K908" s="369">
        <f>'RAB Pasang'!K908*40%</f>
        <v>98572</v>
      </c>
      <c r="L908" s="387">
        <f t="shared" si="126"/>
        <v>0</v>
      </c>
      <c r="M908" s="387">
        <f t="shared" si="127"/>
        <v>0</v>
      </c>
      <c r="N908" s="422">
        <f t="shared" si="128"/>
        <v>0</v>
      </c>
    </row>
    <row r="909" spans="1:14" ht="15" customHeight="1" x14ac:dyDescent="0.3">
      <c r="A909" s="485"/>
      <c r="B909" s="497" t="s">
        <v>1721</v>
      </c>
      <c r="C909" s="487"/>
      <c r="D909" s="487"/>
      <c r="E909" s="488"/>
      <c r="F909" s="492"/>
      <c r="G909" s="492"/>
      <c r="H909" s="492"/>
      <c r="I909" s="543"/>
      <c r="J909" s="492"/>
      <c r="K909" s="492"/>
      <c r="L909" s="490">
        <f>SUM(L897:L908)</f>
        <v>0</v>
      </c>
      <c r="M909" s="490">
        <f t="shared" ref="M909:N909" si="130">SUM(M897:M908)</f>
        <v>0</v>
      </c>
      <c r="N909" s="491">
        <f t="shared" si="130"/>
        <v>0</v>
      </c>
    </row>
    <row r="910" spans="1:14" ht="6" customHeight="1" x14ac:dyDescent="0.3">
      <c r="A910" s="418"/>
      <c r="B910" s="370"/>
      <c r="C910" s="371"/>
      <c r="D910" s="371"/>
      <c r="E910" s="367"/>
      <c r="F910" s="527"/>
      <c r="G910" s="527"/>
      <c r="H910" s="527"/>
      <c r="I910" s="372"/>
      <c r="J910" s="372"/>
      <c r="K910" s="372"/>
      <c r="L910" s="387"/>
      <c r="M910" s="387"/>
      <c r="N910" s="422"/>
    </row>
    <row r="911" spans="1:14" ht="13.95" customHeight="1" x14ac:dyDescent="0.3">
      <c r="A911" s="495" t="s">
        <v>1474</v>
      </c>
      <c r="B911" s="478" t="s">
        <v>1723</v>
      </c>
      <c r="C911" s="480"/>
      <c r="D911" s="480"/>
      <c r="E911" s="493"/>
      <c r="F911" s="579"/>
      <c r="G911" s="579"/>
      <c r="H911" s="579"/>
      <c r="I911" s="494"/>
      <c r="J911" s="494"/>
      <c r="K911" s="494"/>
      <c r="L911" s="484"/>
      <c r="M911" s="484"/>
      <c r="N911" s="496"/>
    </row>
    <row r="912" spans="1:14" ht="13.2" customHeight="1" x14ac:dyDescent="0.3">
      <c r="A912" s="365">
        <v>1</v>
      </c>
      <c r="B912" s="370" t="s">
        <v>1973</v>
      </c>
      <c r="C912" s="362"/>
      <c r="D912" s="362"/>
      <c r="E912" s="367" t="s">
        <v>399</v>
      </c>
      <c r="F912" s="538"/>
      <c r="G912" s="538"/>
      <c r="H912" s="535"/>
      <c r="I912" s="369">
        <f t="shared" ref="I912:I931" si="131">SUM(F912:H912)</f>
        <v>0</v>
      </c>
      <c r="J912" s="369"/>
      <c r="K912" s="372">
        <f>'RAB Pasang'!K912*40%</f>
        <v>32860</v>
      </c>
      <c r="L912" s="385">
        <f t="shared" ref="L912:L931" si="132">J912*I912</f>
        <v>0</v>
      </c>
      <c r="M912" s="385">
        <f t="shared" ref="M912:M931" si="133">K912*I912</f>
        <v>0</v>
      </c>
      <c r="N912" s="388">
        <f t="shared" ref="N912:N931" si="134">SUM(L912:M912)</f>
        <v>0</v>
      </c>
    </row>
    <row r="913" spans="1:14" ht="13.2" customHeight="1" x14ac:dyDescent="0.3">
      <c r="A913" s="365">
        <f>A912+1</f>
        <v>2</v>
      </c>
      <c r="B913" s="370" t="s">
        <v>1974</v>
      </c>
      <c r="C913" s="371"/>
      <c r="D913" s="371"/>
      <c r="E913" s="367" t="s">
        <v>399</v>
      </c>
      <c r="F913" s="539"/>
      <c r="G913" s="539"/>
      <c r="H913" s="527"/>
      <c r="I913" s="372">
        <f t="shared" si="131"/>
        <v>0</v>
      </c>
      <c r="J913" s="372"/>
      <c r="K913" s="372">
        <f>'RAB Pasang'!K913*40%</f>
        <v>32860</v>
      </c>
      <c r="L913" s="385">
        <f t="shared" si="132"/>
        <v>0</v>
      </c>
      <c r="M913" s="385">
        <f t="shared" si="133"/>
        <v>0</v>
      </c>
      <c r="N913" s="388">
        <f t="shared" si="134"/>
        <v>0</v>
      </c>
    </row>
    <row r="914" spans="1:14" ht="13.2" customHeight="1" x14ac:dyDescent="0.3">
      <c r="A914" s="365">
        <f>A913+1</f>
        <v>3</v>
      </c>
      <c r="B914" s="370" t="s">
        <v>1975</v>
      </c>
      <c r="C914" s="371"/>
      <c r="D914" s="371"/>
      <c r="E914" s="367" t="s">
        <v>399</v>
      </c>
      <c r="F914" s="539"/>
      <c r="G914" s="539"/>
      <c r="H914" s="527"/>
      <c r="I914" s="372">
        <f t="shared" si="131"/>
        <v>0</v>
      </c>
      <c r="J914" s="372"/>
      <c r="K914" s="372">
        <f>'RAB Pasang'!K914*40%</f>
        <v>32860</v>
      </c>
      <c r="L914" s="385">
        <f t="shared" si="132"/>
        <v>0</v>
      </c>
      <c r="M914" s="385">
        <f t="shared" si="133"/>
        <v>0</v>
      </c>
      <c r="N914" s="388">
        <f t="shared" si="134"/>
        <v>0</v>
      </c>
    </row>
    <row r="915" spans="1:14" ht="13.2" customHeight="1" x14ac:dyDescent="0.3">
      <c r="A915" s="365">
        <f t="shared" ref="A915:A931" si="135">A914+1</f>
        <v>4</v>
      </c>
      <c r="B915" s="370" t="s">
        <v>1976</v>
      </c>
      <c r="C915" s="371"/>
      <c r="D915" s="371"/>
      <c r="E915" s="367" t="s">
        <v>399</v>
      </c>
      <c r="F915" s="539"/>
      <c r="G915" s="539"/>
      <c r="H915" s="527"/>
      <c r="I915" s="372">
        <f t="shared" si="131"/>
        <v>0</v>
      </c>
      <c r="J915" s="372"/>
      <c r="K915" s="372">
        <f>'RAB Pasang'!K915*40%</f>
        <v>32860</v>
      </c>
      <c r="L915" s="385">
        <f t="shared" si="132"/>
        <v>0</v>
      </c>
      <c r="M915" s="385">
        <f t="shared" si="133"/>
        <v>0</v>
      </c>
      <c r="N915" s="388">
        <f t="shared" si="134"/>
        <v>0</v>
      </c>
    </row>
    <row r="916" spans="1:14" ht="13.2" customHeight="1" x14ac:dyDescent="0.3">
      <c r="A916" s="365">
        <f t="shared" si="135"/>
        <v>5</v>
      </c>
      <c r="B916" s="370" t="s">
        <v>1977</v>
      </c>
      <c r="C916" s="371"/>
      <c r="D916" s="371"/>
      <c r="E916" s="367" t="s">
        <v>399</v>
      </c>
      <c r="F916" s="539"/>
      <c r="G916" s="539"/>
      <c r="H916" s="527"/>
      <c r="I916" s="372">
        <f t="shared" si="131"/>
        <v>0</v>
      </c>
      <c r="J916" s="372"/>
      <c r="K916" s="372">
        <f>'RAB Pasang'!K916*40%</f>
        <v>52572</v>
      </c>
      <c r="L916" s="385">
        <f t="shared" si="132"/>
        <v>0</v>
      </c>
      <c r="M916" s="385">
        <f t="shared" si="133"/>
        <v>0</v>
      </c>
      <c r="N916" s="388">
        <f t="shared" si="134"/>
        <v>0</v>
      </c>
    </row>
    <row r="917" spans="1:14" ht="13.2" customHeight="1" x14ac:dyDescent="0.3">
      <c r="A917" s="365">
        <f t="shared" si="135"/>
        <v>6</v>
      </c>
      <c r="B917" s="370" t="s">
        <v>1978</v>
      </c>
      <c r="C917" s="371"/>
      <c r="D917" s="371"/>
      <c r="E917" s="367" t="s">
        <v>399</v>
      </c>
      <c r="F917" s="539"/>
      <c r="G917" s="539"/>
      <c r="H917" s="527"/>
      <c r="I917" s="372">
        <f t="shared" si="131"/>
        <v>0</v>
      </c>
      <c r="J917" s="372"/>
      <c r="K917" s="372">
        <f>'RAB Pasang'!K917*40%</f>
        <v>52572</v>
      </c>
      <c r="L917" s="385">
        <f t="shared" si="132"/>
        <v>0</v>
      </c>
      <c r="M917" s="385">
        <f t="shared" si="133"/>
        <v>0</v>
      </c>
      <c r="N917" s="388">
        <f t="shared" si="134"/>
        <v>0</v>
      </c>
    </row>
    <row r="918" spans="1:14" ht="13.2" customHeight="1" x14ac:dyDescent="0.3">
      <c r="A918" s="365">
        <f t="shared" si="135"/>
        <v>7</v>
      </c>
      <c r="B918" s="370" t="s">
        <v>1979</v>
      </c>
      <c r="C918" s="371"/>
      <c r="D918" s="371"/>
      <c r="E918" s="367" t="s">
        <v>399</v>
      </c>
      <c r="F918" s="539"/>
      <c r="G918" s="539"/>
      <c r="H918" s="527"/>
      <c r="I918" s="372">
        <f t="shared" si="131"/>
        <v>0</v>
      </c>
      <c r="J918" s="372"/>
      <c r="K918" s="372">
        <f>'RAB Pasang'!K918*40%</f>
        <v>52572</v>
      </c>
      <c r="L918" s="385">
        <f t="shared" si="132"/>
        <v>0</v>
      </c>
      <c r="M918" s="385">
        <f t="shared" si="133"/>
        <v>0</v>
      </c>
      <c r="N918" s="388">
        <f t="shared" si="134"/>
        <v>0</v>
      </c>
    </row>
    <row r="919" spans="1:14" ht="13.2" customHeight="1" x14ac:dyDescent="0.3">
      <c r="A919" s="365">
        <f t="shared" si="135"/>
        <v>8</v>
      </c>
      <c r="B919" s="370" t="s">
        <v>1980</v>
      </c>
      <c r="C919" s="371"/>
      <c r="D919" s="371"/>
      <c r="E919" s="367" t="s">
        <v>399</v>
      </c>
      <c r="F919" s="539"/>
      <c r="G919" s="539"/>
      <c r="H919" s="527"/>
      <c r="I919" s="372">
        <f t="shared" si="131"/>
        <v>0</v>
      </c>
      <c r="J919" s="372"/>
      <c r="K919" s="372">
        <f>'RAB Pasang'!K919*40%</f>
        <v>52572</v>
      </c>
      <c r="L919" s="385">
        <f t="shared" si="132"/>
        <v>0</v>
      </c>
      <c r="M919" s="385">
        <f t="shared" si="133"/>
        <v>0</v>
      </c>
      <c r="N919" s="388">
        <f t="shared" si="134"/>
        <v>0</v>
      </c>
    </row>
    <row r="920" spans="1:14" ht="13.2" customHeight="1" x14ac:dyDescent="0.3">
      <c r="A920" s="365">
        <f t="shared" si="135"/>
        <v>9</v>
      </c>
      <c r="B920" s="370" t="s">
        <v>1748</v>
      </c>
      <c r="C920" s="371"/>
      <c r="D920" s="371"/>
      <c r="E920" s="367" t="s">
        <v>399</v>
      </c>
      <c r="F920" s="584"/>
      <c r="G920" s="584"/>
      <c r="H920" s="585"/>
      <c r="I920" s="372">
        <f t="shared" si="131"/>
        <v>0</v>
      </c>
      <c r="J920" s="372"/>
      <c r="K920" s="372">
        <f>'RAB Pasang'!K920*40%</f>
        <v>98572</v>
      </c>
      <c r="L920" s="385">
        <f t="shared" si="132"/>
        <v>0</v>
      </c>
      <c r="M920" s="385">
        <f t="shared" si="133"/>
        <v>0</v>
      </c>
      <c r="N920" s="388">
        <f t="shared" si="134"/>
        <v>0</v>
      </c>
    </row>
    <row r="921" spans="1:14" ht="13.2" customHeight="1" x14ac:dyDescent="0.3">
      <c r="A921" s="365">
        <f t="shared" si="135"/>
        <v>10</v>
      </c>
      <c r="B921" s="370" t="s">
        <v>1750</v>
      </c>
      <c r="C921" s="371"/>
      <c r="D921" s="371"/>
      <c r="E921" s="367" t="s">
        <v>399</v>
      </c>
      <c r="F921" s="584"/>
      <c r="G921" s="584"/>
      <c r="H921" s="585"/>
      <c r="I921" s="372">
        <f t="shared" si="131"/>
        <v>0</v>
      </c>
      <c r="J921" s="372"/>
      <c r="K921" s="372">
        <f>'RAB Pasang'!K921*40%</f>
        <v>98572</v>
      </c>
      <c r="L921" s="385">
        <f t="shared" si="132"/>
        <v>0</v>
      </c>
      <c r="M921" s="385">
        <f t="shared" si="133"/>
        <v>0</v>
      </c>
      <c r="N921" s="388">
        <f t="shared" si="134"/>
        <v>0</v>
      </c>
    </row>
    <row r="922" spans="1:14" ht="13.2" customHeight="1" x14ac:dyDescent="0.3">
      <c r="A922" s="365">
        <f t="shared" si="135"/>
        <v>11</v>
      </c>
      <c r="B922" s="370" t="s">
        <v>1754</v>
      </c>
      <c r="C922" s="371"/>
      <c r="D922" s="371"/>
      <c r="E922" s="367" t="s">
        <v>399</v>
      </c>
      <c r="F922" s="584"/>
      <c r="G922" s="584"/>
      <c r="H922" s="585"/>
      <c r="I922" s="372">
        <f t="shared" si="131"/>
        <v>0</v>
      </c>
      <c r="J922" s="372"/>
      <c r="K922" s="372">
        <f>'RAB Pasang'!K922*40%</f>
        <v>98572</v>
      </c>
      <c r="L922" s="385">
        <f t="shared" si="132"/>
        <v>0</v>
      </c>
      <c r="M922" s="385">
        <f t="shared" si="133"/>
        <v>0</v>
      </c>
      <c r="N922" s="388">
        <f t="shared" si="134"/>
        <v>0</v>
      </c>
    </row>
    <row r="923" spans="1:14" ht="13.2" customHeight="1" x14ac:dyDescent="0.3">
      <c r="A923" s="365">
        <f t="shared" si="135"/>
        <v>12</v>
      </c>
      <c r="B923" s="370" t="s">
        <v>1739</v>
      </c>
      <c r="C923" s="371"/>
      <c r="D923" s="371"/>
      <c r="E923" s="367" t="s">
        <v>399</v>
      </c>
      <c r="F923" s="584"/>
      <c r="G923" s="584"/>
      <c r="H923" s="585"/>
      <c r="I923" s="372">
        <f t="shared" si="131"/>
        <v>0</v>
      </c>
      <c r="J923" s="372"/>
      <c r="K923" s="372">
        <f>'RAB Pasang'!K923*40%</f>
        <v>98572</v>
      </c>
      <c r="L923" s="385">
        <f t="shared" si="132"/>
        <v>0</v>
      </c>
      <c r="M923" s="385">
        <f t="shared" si="133"/>
        <v>0</v>
      </c>
      <c r="N923" s="388">
        <f t="shared" si="134"/>
        <v>0</v>
      </c>
    </row>
    <row r="924" spans="1:14" ht="13.2" customHeight="1" x14ac:dyDescent="0.3">
      <c r="A924" s="365">
        <f t="shared" si="135"/>
        <v>13</v>
      </c>
      <c r="B924" s="370" t="s">
        <v>1761</v>
      </c>
      <c r="C924" s="371"/>
      <c r="D924" s="371"/>
      <c r="E924" s="367" t="s">
        <v>399</v>
      </c>
      <c r="F924" s="586"/>
      <c r="G924" s="586"/>
      <c r="H924" s="587"/>
      <c r="I924" s="369">
        <f t="shared" si="131"/>
        <v>0</v>
      </c>
      <c r="J924" s="369"/>
      <c r="K924" s="372">
        <f>'RAB Pasang'!K924*40%</f>
        <v>98572</v>
      </c>
      <c r="L924" s="385">
        <f t="shared" si="132"/>
        <v>0</v>
      </c>
      <c r="M924" s="385">
        <f t="shared" si="133"/>
        <v>0</v>
      </c>
      <c r="N924" s="388">
        <f t="shared" si="134"/>
        <v>0</v>
      </c>
    </row>
    <row r="925" spans="1:14" ht="13.2" customHeight="1" x14ac:dyDescent="0.3">
      <c r="A925" s="365">
        <f t="shared" si="135"/>
        <v>14</v>
      </c>
      <c r="B925" s="370" t="s">
        <v>1762</v>
      </c>
      <c r="C925" s="371"/>
      <c r="D925" s="371"/>
      <c r="E925" s="367" t="s">
        <v>399</v>
      </c>
      <c r="F925" s="586"/>
      <c r="G925" s="586"/>
      <c r="H925" s="587"/>
      <c r="I925" s="369">
        <f t="shared" si="131"/>
        <v>0</v>
      </c>
      <c r="J925" s="369"/>
      <c r="K925" s="372">
        <f>'RAB Pasang'!K925*40%</f>
        <v>98572</v>
      </c>
      <c r="L925" s="385">
        <f t="shared" si="132"/>
        <v>0</v>
      </c>
      <c r="M925" s="385">
        <f t="shared" si="133"/>
        <v>0</v>
      </c>
      <c r="N925" s="388">
        <f t="shared" si="134"/>
        <v>0</v>
      </c>
    </row>
    <row r="926" spans="1:14" ht="13.2" customHeight="1" x14ac:dyDescent="0.3">
      <c r="A926" s="365">
        <f t="shared" si="135"/>
        <v>15</v>
      </c>
      <c r="B926" s="370" t="s">
        <v>1763</v>
      </c>
      <c r="C926" s="371"/>
      <c r="D926" s="371"/>
      <c r="E926" s="367" t="s">
        <v>399</v>
      </c>
      <c r="F926" s="586"/>
      <c r="G926" s="586"/>
      <c r="H926" s="587"/>
      <c r="I926" s="369">
        <f t="shared" si="131"/>
        <v>0</v>
      </c>
      <c r="J926" s="369"/>
      <c r="K926" s="372">
        <f>'RAB Pasang'!K926*40%</f>
        <v>98572</v>
      </c>
      <c r="L926" s="385">
        <f t="shared" si="132"/>
        <v>0</v>
      </c>
      <c r="M926" s="385">
        <f t="shared" si="133"/>
        <v>0</v>
      </c>
      <c r="N926" s="388">
        <f t="shared" si="134"/>
        <v>0</v>
      </c>
    </row>
    <row r="927" spans="1:14" ht="13.2" customHeight="1" x14ac:dyDescent="0.3">
      <c r="A927" s="365">
        <f t="shared" si="135"/>
        <v>16</v>
      </c>
      <c r="B927" s="370" t="s">
        <v>1766</v>
      </c>
      <c r="C927" s="371"/>
      <c r="D927" s="371"/>
      <c r="E927" s="367" t="s">
        <v>399</v>
      </c>
      <c r="F927" s="586"/>
      <c r="G927" s="586"/>
      <c r="H927" s="587"/>
      <c r="I927" s="369">
        <f t="shared" si="131"/>
        <v>0</v>
      </c>
      <c r="J927" s="369"/>
      <c r="K927" s="372">
        <f>'RAB Pasang'!K927*40%</f>
        <v>98572</v>
      </c>
      <c r="L927" s="385">
        <f t="shared" si="132"/>
        <v>0</v>
      </c>
      <c r="M927" s="385">
        <f t="shared" si="133"/>
        <v>0</v>
      </c>
      <c r="N927" s="388">
        <f t="shared" si="134"/>
        <v>0</v>
      </c>
    </row>
    <row r="928" spans="1:14" ht="13.2" customHeight="1" x14ac:dyDescent="0.3">
      <c r="A928" s="365">
        <f t="shared" si="135"/>
        <v>17</v>
      </c>
      <c r="B928" s="370" t="s">
        <v>1744</v>
      </c>
      <c r="C928" s="371"/>
      <c r="D928" s="371"/>
      <c r="E928" s="367" t="s">
        <v>399</v>
      </c>
      <c r="F928" s="586"/>
      <c r="G928" s="586"/>
      <c r="H928" s="587"/>
      <c r="I928" s="369">
        <f t="shared" si="131"/>
        <v>0</v>
      </c>
      <c r="J928" s="369"/>
      <c r="K928" s="372">
        <f>'RAB Pasang'!K928*40%</f>
        <v>98572</v>
      </c>
      <c r="L928" s="385">
        <f t="shared" si="132"/>
        <v>0</v>
      </c>
      <c r="M928" s="385">
        <f t="shared" si="133"/>
        <v>0</v>
      </c>
      <c r="N928" s="388">
        <f t="shared" si="134"/>
        <v>0</v>
      </c>
    </row>
    <row r="929" spans="1:14" ht="13.2" customHeight="1" x14ac:dyDescent="0.3">
      <c r="A929" s="365">
        <f t="shared" si="135"/>
        <v>18</v>
      </c>
      <c r="B929" s="370" t="s">
        <v>1758</v>
      </c>
      <c r="C929" s="371"/>
      <c r="D929" s="371"/>
      <c r="E929" s="367" t="s">
        <v>399</v>
      </c>
      <c r="F929" s="586"/>
      <c r="G929" s="586"/>
      <c r="H929" s="587"/>
      <c r="I929" s="369">
        <f t="shared" si="131"/>
        <v>0</v>
      </c>
      <c r="J929" s="369"/>
      <c r="K929" s="372">
        <f>'RAB Pasang'!K929*40%</f>
        <v>98572</v>
      </c>
      <c r="L929" s="385">
        <f t="shared" si="132"/>
        <v>0</v>
      </c>
      <c r="M929" s="385">
        <f t="shared" si="133"/>
        <v>0</v>
      </c>
      <c r="N929" s="388">
        <f t="shared" si="134"/>
        <v>0</v>
      </c>
    </row>
    <row r="930" spans="1:14" ht="13.2" customHeight="1" x14ac:dyDescent="0.3">
      <c r="A930" s="365">
        <f t="shared" si="135"/>
        <v>19</v>
      </c>
      <c r="B930" s="370" t="s">
        <v>1746</v>
      </c>
      <c r="C930" s="371"/>
      <c r="D930" s="371"/>
      <c r="E930" s="367" t="s">
        <v>399</v>
      </c>
      <c r="F930" s="586"/>
      <c r="G930" s="586"/>
      <c r="H930" s="587"/>
      <c r="I930" s="369">
        <f t="shared" si="131"/>
        <v>0</v>
      </c>
      <c r="J930" s="369"/>
      <c r="K930" s="372">
        <f>'RAB Pasang'!K930*40%</f>
        <v>98572</v>
      </c>
      <c r="L930" s="385">
        <f t="shared" si="132"/>
        <v>0</v>
      </c>
      <c r="M930" s="385">
        <f t="shared" si="133"/>
        <v>0</v>
      </c>
      <c r="N930" s="388">
        <f t="shared" si="134"/>
        <v>0</v>
      </c>
    </row>
    <row r="931" spans="1:14" ht="13.2" customHeight="1" x14ac:dyDescent="0.3">
      <c r="A931" s="365">
        <f t="shared" si="135"/>
        <v>20</v>
      </c>
      <c r="B931" s="370" t="s">
        <v>1768</v>
      </c>
      <c r="C931" s="362"/>
      <c r="D931" s="362"/>
      <c r="E931" s="367" t="s">
        <v>399</v>
      </c>
      <c r="F931" s="586"/>
      <c r="G931" s="586"/>
      <c r="H931" s="587"/>
      <c r="I931" s="369">
        <f t="shared" si="131"/>
        <v>0</v>
      </c>
      <c r="J931" s="369"/>
      <c r="K931" s="369">
        <f>'RAB Pasang'!K931*40%</f>
        <v>49288</v>
      </c>
      <c r="L931" s="385">
        <f t="shared" si="132"/>
        <v>0</v>
      </c>
      <c r="M931" s="385">
        <f t="shared" si="133"/>
        <v>0</v>
      </c>
      <c r="N931" s="388">
        <f t="shared" si="134"/>
        <v>0</v>
      </c>
    </row>
    <row r="932" spans="1:14" ht="13.95" customHeight="1" x14ac:dyDescent="0.3">
      <c r="A932" s="485"/>
      <c r="B932" s="497" t="s">
        <v>1724</v>
      </c>
      <c r="C932" s="487"/>
      <c r="D932" s="487"/>
      <c r="E932" s="488"/>
      <c r="F932" s="540"/>
      <c r="G932" s="540"/>
      <c r="H932" s="540"/>
      <c r="I932" s="489"/>
      <c r="J932" s="492"/>
      <c r="K932" s="492"/>
      <c r="L932" s="490">
        <f t="shared" ref="L932:N932" si="136">SUM(L912:L931)</f>
        <v>0</v>
      </c>
      <c r="M932" s="490">
        <f t="shared" si="136"/>
        <v>0</v>
      </c>
      <c r="N932" s="491">
        <f t="shared" si="136"/>
        <v>0</v>
      </c>
    </row>
    <row r="933" spans="1:14" ht="7.2" customHeight="1" x14ac:dyDescent="0.3">
      <c r="A933" s="365"/>
      <c r="B933" s="366"/>
      <c r="C933" s="362"/>
      <c r="D933" s="362"/>
      <c r="E933" s="368"/>
      <c r="F933" s="529"/>
      <c r="G933" s="529"/>
      <c r="H933" s="529"/>
      <c r="I933" s="461"/>
      <c r="J933" s="369"/>
      <c r="K933" s="369"/>
      <c r="L933" s="385"/>
      <c r="M933" s="385"/>
      <c r="N933" s="388"/>
    </row>
    <row r="934" spans="1:14" ht="13.95" customHeight="1" x14ac:dyDescent="0.3">
      <c r="A934" s="495" t="s">
        <v>1637</v>
      </c>
      <c r="B934" s="478" t="s">
        <v>1454</v>
      </c>
      <c r="C934" s="480"/>
      <c r="D934" s="480"/>
      <c r="E934" s="493"/>
      <c r="F934" s="568"/>
      <c r="G934" s="568"/>
      <c r="H934" s="568"/>
      <c r="I934" s="483"/>
      <c r="J934" s="494"/>
      <c r="K934" s="494"/>
      <c r="L934" s="484"/>
      <c r="M934" s="484"/>
      <c r="N934" s="496"/>
    </row>
    <row r="935" spans="1:14" ht="13.2" customHeight="1" x14ac:dyDescent="0.3">
      <c r="A935" s="365">
        <v>1</v>
      </c>
      <c r="B935" s="370" t="s">
        <v>2109</v>
      </c>
      <c r="C935" s="371"/>
      <c r="D935" s="371"/>
      <c r="E935" s="367" t="s">
        <v>399</v>
      </c>
      <c r="F935" s="527"/>
      <c r="G935" s="539"/>
      <c r="H935" s="539"/>
      <c r="I935" s="372">
        <f t="shared" ref="I935:I982" si="137">SUM(F935:H935)</f>
        <v>0</v>
      </c>
      <c r="J935" s="372"/>
      <c r="K935" s="372">
        <f>'RAB Pasang'!K935*40%</f>
        <v>151624</v>
      </c>
      <c r="L935" s="387">
        <f t="shared" ref="L935:L982" si="138">J935*I935</f>
        <v>0</v>
      </c>
      <c r="M935" s="387">
        <f t="shared" ref="M935:M982" si="139">K935*I935</f>
        <v>0</v>
      </c>
      <c r="N935" s="422">
        <f t="shared" ref="N935:N982" si="140">SUM(L935:M935)</f>
        <v>0</v>
      </c>
    </row>
    <row r="936" spans="1:14" ht="13.2" customHeight="1" x14ac:dyDescent="0.3">
      <c r="A936" s="365">
        <f>A935+1</f>
        <v>2</v>
      </c>
      <c r="B936" s="370" t="s">
        <v>2110</v>
      </c>
      <c r="C936" s="371"/>
      <c r="D936" s="371"/>
      <c r="E936" s="367" t="s">
        <v>399</v>
      </c>
      <c r="F936" s="527"/>
      <c r="G936" s="539"/>
      <c r="H936" s="539"/>
      <c r="I936" s="372">
        <f t="shared" si="137"/>
        <v>0</v>
      </c>
      <c r="J936" s="372"/>
      <c r="K936" s="372">
        <f>'RAB Pasang'!K936*40%</f>
        <v>151624</v>
      </c>
      <c r="L936" s="387">
        <f t="shared" si="138"/>
        <v>0</v>
      </c>
      <c r="M936" s="387">
        <f t="shared" si="139"/>
        <v>0</v>
      </c>
      <c r="N936" s="422">
        <f t="shared" si="140"/>
        <v>0</v>
      </c>
    </row>
    <row r="937" spans="1:14" ht="13.2" customHeight="1" x14ac:dyDescent="0.3">
      <c r="A937" s="365">
        <f>A936+1</f>
        <v>3</v>
      </c>
      <c r="B937" s="370" t="s">
        <v>2111</v>
      </c>
      <c r="C937" s="371"/>
      <c r="D937" s="371"/>
      <c r="E937" s="367" t="s">
        <v>399</v>
      </c>
      <c r="F937" s="527"/>
      <c r="G937" s="539"/>
      <c r="H937" s="539"/>
      <c r="I937" s="372">
        <f t="shared" si="137"/>
        <v>0</v>
      </c>
      <c r="J937" s="372"/>
      <c r="K937" s="372">
        <f>'RAB Pasang'!K937*40%</f>
        <v>151624</v>
      </c>
      <c r="L937" s="387">
        <f t="shared" si="138"/>
        <v>0</v>
      </c>
      <c r="M937" s="387">
        <f t="shared" si="139"/>
        <v>0</v>
      </c>
      <c r="N937" s="422">
        <f t="shared" si="140"/>
        <v>0</v>
      </c>
    </row>
    <row r="938" spans="1:14" ht="13.2" customHeight="1" x14ac:dyDescent="0.3">
      <c r="A938" s="365">
        <f>A937+1</f>
        <v>4</v>
      </c>
      <c r="B938" s="370" t="s">
        <v>2112</v>
      </c>
      <c r="C938" s="371"/>
      <c r="D938" s="371"/>
      <c r="E938" s="367" t="s">
        <v>399</v>
      </c>
      <c r="F938" s="527"/>
      <c r="G938" s="539"/>
      <c r="H938" s="539"/>
      <c r="I938" s="372">
        <f t="shared" si="137"/>
        <v>0</v>
      </c>
      <c r="J938" s="372"/>
      <c r="K938" s="372">
        <f>'RAB Pasang'!K938*40%</f>
        <v>151624</v>
      </c>
      <c r="L938" s="387">
        <f t="shared" si="138"/>
        <v>0</v>
      </c>
      <c r="M938" s="387">
        <f t="shared" si="139"/>
        <v>0</v>
      </c>
      <c r="N938" s="422">
        <f t="shared" si="140"/>
        <v>0</v>
      </c>
    </row>
    <row r="939" spans="1:14" ht="13.2" customHeight="1" x14ac:dyDescent="0.3">
      <c r="A939" s="365">
        <f t="shared" ref="A939:A982" si="141">A938+1</f>
        <v>5</v>
      </c>
      <c r="B939" s="370" t="s">
        <v>2113</v>
      </c>
      <c r="C939" s="371"/>
      <c r="D939" s="371"/>
      <c r="E939" s="367" t="s">
        <v>399</v>
      </c>
      <c r="F939" s="527"/>
      <c r="G939" s="539"/>
      <c r="H939" s="539"/>
      <c r="I939" s="372">
        <f t="shared" si="137"/>
        <v>0</v>
      </c>
      <c r="J939" s="372"/>
      <c r="K939" s="372">
        <f>'RAB Pasang'!K939*40%</f>
        <v>151624</v>
      </c>
      <c r="L939" s="387">
        <f t="shared" si="138"/>
        <v>0</v>
      </c>
      <c r="M939" s="387">
        <f t="shared" si="139"/>
        <v>0</v>
      </c>
      <c r="N939" s="422">
        <f t="shared" si="140"/>
        <v>0</v>
      </c>
    </row>
    <row r="940" spans="1:14" ht="13.2" customHeight="1" x14ac:dyDescent="0.3">
      <c r="A940" s="365">
        <f t="shared" si="141"/>
        <v>6</v>
      </c>
      <c r="B940" s="370" t="s">
        <v>2114</v>
      </c>
      <c r="C940" s="371"/>
      <c r="D940" s="371"/>
      <c r="E940" s="367" t="s">
        <v>399</v>
      </c>
      <c r="F940" s="527"/>
      <c r="G940" s="539"/>
      <c r="H940" s="539"/>
      <c r="I940" s="372">
        <f t="shared" si="137"/>
        <v>0</v>
      </c>
      <c r="J940" s="372"/>
      <c r="K940" s="372">
        <f>'RAB Pasang'!K940*40%</f>
        <v>151624</v>
      </c>
      <c r="L940" s="387">
        <f t="shared" si="138"/>
        <v>0</v>
      </c>
      <c r="M940" s="387">
        <f t="shared" si="139"/>
        <v>0</v>
      </c>
      <c r="N940" s="422">
        <f t="shared" si="140"/>
        <v>0</v>
      </c>
    </row>
    <row r="941" spans="1:14" ht="13.2" customHeight="1" x14ac:dyDescent="0.3">
      <c r="A941" s="365">
        <f t="shared" si="141"/>
        <v>7</v>
      </c>
      <c r="B941" s="370" t="s">
        <v>2115</v>
      </c>
      <c r="C941" s="371"/>
      <c r="D941" s="371"/>
      <c r="E941" s="367" t="s">
        <v>399</v>
      </c>
      <c r="F941" s="527"/>
      <c r="G941" s="539"/>
      <c r="H941" s="539"/>
      <c r="I941" s="372">
        <f t="shared" si="137"/>
        <v>0</v>
      </c>
      <c r="J941" s="372"/>
      <c r="K941" s="372">
        <f>'RAB Pasang'!K941*40%</f>
        <v>151624</v>
      </c>
      <c r="L941" s="387">
        <f t="shared" si="138"/>
        <v>0</v>
      </c>
      <c r="M941" s="387">
        <f t="shared" si="139"/>
        <v>0</v>
      </c>
      <c r="N941" s="422">
        <f t="shared" si="140"/>
        <v>0</v>
      </c>
    </row>
    <row r="942" spans="1:14" ht="13.2" customHeight="1" x14ac:dyDescent="0.3">
      <c r="A942" s="365">
        <f t="shared" si="141"/>
        <v>8</v>
      </c>
      <c r="B942" s="370" t="s">
        <v>2116</v>
      </c>
      <c r="C942" s="371"/>
      <c r="D942" s="371"/>
      <c r="E942" s="367" t="s">
        <v>399</v>
      </c>
      <c r="F942" s="527"/>
      <c r="G942" s="539"/>
      <c r="H942" s="539"/>
      <c r="I942" s="372">
        <f t="shared" si="137"/>
        <v>0</v>
      </c>
      <c r="J942" s="372"/>
      <c r="K942" s="372">
        <f>'RAB Pasang'!K942*40%</f>
        <v>151624</v>
      </c>
      <c r="L942" s="387">
        <f t="shared" si="138"/>
        <v>0</v>
      </c>
      <c r="M942" s="387">
        <f t="shared" si="139"/>
        <v>0</v>
      </c>
      <c r="N942" s="422">
        <f t="shared" si="140"/>
        <v>0</v>
      </c>
    </row>
    <row r="943" spans="1:14" ht="13.2" customHeight="1" x14ac:dyDescent="0.3">
      <c r="A943" s="365">
        <f t="shared" si="141"/>
        <v>9</v>
      </c>
      <c r="B943" s="370" t="s">
        <v>2117</v>
      </c>
      <c r="C943" s="371"/>
      <c r="D943" s="371"/>
      <c r="E943" s="367" t="s">
        <v>399</v>
      </c>
      <c r="F943" s="527"/>
      <c r="G943" s="539"/>
      <c r="H943" s="539"/>
      <c r="I943" s="372">
        <f t="shared" si="137"/>
        <v>0</v>
      </c>
      <c r="J943" s="372"/>
      <c r="K943" s="372">
        <f>'RAB Pasang'!K943*40%</f>
        <v>151624</v>
      </c>
      <c r="L943" s="387">
        <f t="shared" si="138"/>
        <v>0</v>
      </c>
      <c r="M943" s="387">
        <f t="shared" si="139"/>
        <v>0</v>
      </c>
      <c r="N943" s="422">
        <f t="shared" si="140"/>
        <v>0</v>
      </c>
    </row>
    <row r="944" spans="1:14" ht="13.2" customHeight="1" x14ac:dyDescent="0.3">
      <c r="A944" s="365">
        <f t="shared" si="141"/>
        <v>10</v>
      </c>
      <c r="B944" s="370" t="s">
        <v>2118</v>
      </c>
      <c r="C944" s="371"/>
      <c r="D944" s="371"/>
      <c r="E944" s="367" t="s">
        <v>399</v>
      </c>
      <c r="F944" s="527"/>
      <c r="G944" s="539"/>
      <c r="H944" s="539"/>
      <c r="I944" s="372">
        <f t="shared" si="137"/>
        <v>0</v>
      </c>
      <c r="J944" s="372"/>
      <c r="K944" s="372">
        <f>'RAB Pasang'!K944*40%</f>
        <v>151624</v>
      </c>
      <c r="L944" s="387">
        <f t="shared" si="138"/>
        <v>0</v>
      </c>
      <c r="M944" s="387">
        <f t="shared" si="139"/>
        <v>0</v>
      </c>
      <c r="N944" s="422">
        <f t="shared" si="140"/>
        <v>0</v>
      </c>
    </row>
    <row r="945" spans="1:14" ht="13.2" customHeight="1" x14ac:dyDescent="0.3">
      <c r="A945" s="365">
        <f t="shared" si="141"/>
        <v>11</v>
      </c>
      <c r="B945" s="370" t="s">
        <v>2119</v>
      </c>
      <c r="C945" s="371"/>
      <c r="D945" s="371"/>
      <c r="E945" s="367" t="s">
        <v>399</v>
      </c>
      <c r="F945" s="527"/>
      <c r="G945" s="539"/>
      <c r="H945" s="539"/>
      <c r="I945" s="372">
        <f t="shared" si="137"/>
        <v>0</v>
      </c>
      <c r="J945" s="372"/>
      <c r="K945" s="372">
        <f>'RAB Pasang'!K945*40%</f>
        <v>151624</v>
      </c>
      <c r="L945" s="387">
        <f t="shared" si="138"/>
        <v>0</v>
      </c>
      <c r="M945" s="387">
        <f t="shared" si="139"/>
        <v>0</v>
      </c>
      <c r="N945" s="422">
        <f t="shared" si="140"/>
        <v>0</v>
      </c>
    </row>
    <row r="946" spans="1:14" ht="13.2" customHeight="1" x14ac:dyDescent="0.3">
      <c r="A946" s="365">
        <f t="shared" si="141"/>
        <v>12</v>
      </c>
      <c r="B946" s="370" t="s">
        <v>2120</v>
      </c>
      <c r="C946" s="371"/>
      <c r="D946" s="371"/>
      <c r="E946" s="367" t="s">
        <v>399</v>
      </c>
      <c r="F946" s="527"/>
      <c r="G946" s="539"/>
      <c r="H946" s="539"/>
      <c r="I946" s="372">
        <f t="shared" si="137"/>
        <v>0</v>
      </c>
      <c r="J946" s="372"/>
      <c r="K946" s="372">
        <f>'RAB Pasang'!K946*40%</f>
        <v>151624</v>
      </c>
      <c r="L946" s="387">
        <f t="shared" si="138"/>
        <v>0</v>
      </c>
      <c r="M946" s="387">
        <f t="shared" si="139"/>
        <v>0</v>
      </c>
      <c r="N946" s="422">
        <f t="shared" si="140"/>
        <v>0</v>
      </c>
    </row>
    <row r="947" spans="1:14" ht="13.2" customHeight="1" x14ac:dyDescent="0.3">
      <c r="A947" s="365">
        <f t="shared" si="141"/>
        <v>13</v>
      </c>
      <c r="B947" s="370" t="s">
        <v>2121</v>
      </c>
      <c r="C947" s="371"/>
      <c r="D947" s="371"/>
      <c r="E947" s="367" t="s">
        <v>399</v>
      </c>
      <c r="F947" s="527"/>
      <c r="G947" s="539"/>
      <c r="H947" s="539"/>
      <c r="I947" s="372">
        <f t="shared" si="137"/>
        <v>0</v>
      </c>
      <c r="J947" s="372"/>
      <c r="K947" s="372">
        <f>'RAB Pasang'!K947*40%</f>
        <v>151624</v>
      </c>
      <c r="L947" s="387">
        <f t="shared" si="138"/>
        <v>0</v>
      </c>
      <c r="M947" s="387">
        <f t="shared" si="139"/>
        <v>0</v>
      </c>
      <c r="N947" s="422">
        <f t="shared" si="140"/>
        <v>0</v>
      </c>
    </row>
    <row r="948" spans="1:14" ht="13.2" customHeight="1" x14ac:dyDescent="0.3">
      <c r="A948" s="365">
        <f t="shared" si="141"/>
        <v>14</v>
      </c>
      <c r="B948" s="370" t="s">
        <v>2122</v>
      </c>
      <c r="C948" s="371"/>
      <c r="D948" s="371"/>
      <c r="E948" s="367" t="s">
        <v>399</v>
      </c>
      <c r="F948" s="527"/>
      <c r="G948" s="539"/>
      <c r="H948" s="539"/>
      <c r="I948" s="372">
        <f t="shared" si="137"/>
        <v>0</v>
      </c>
      <c r="J948" s="372"/>
      <c r="K948" s="372">
        <f>'RAB Pasang'!K948*40%</f>
        <v>151624</v>
      </c>
      <c r="L948" s="387">
        <f t="shared" si="138"/>
        <v>0</v>
      </c>
      <c r="M948" s="387">
        <f t="shared" si="139"/>
        <v>0</v>
      </c>
      <c r="N948" s="422">
        <f t="shared" si="140"/>
        <v>0</v>
      </c>
    </row>
    <row r="949" spans="1:14" ht="13.2" customHeight="1" x14ac:dyDescent="0.3">
      <c r="A949" s="365">
        <f t="shared" si="141"/>
        <v>15</v>
      </c>
      <c r="B949" s="370" t="s">
        <v>2123</v>
      </c>
      <c r="C949" s="371"/>
      <c r="D949" s="371"/>
      <c r="E949" s="367" t="s">
        <v>399</v>
      </c>
      <c r="F949" s="527"/>
      <c r="G949" s="539"/>
      <c r="H949" s="539"/>
      <c r="I949" s="372">
        <f t="shared" si="137"/>
        <v>0</v>
      </c>
      <c r="J949" s="372"/>
      <c r="K949" s="372">
        <f>'RAB Pasang'!K949*40%</f>
        <v>151624</v>
      </c>
      <c r="L949" s="387">
        <f t="shared" si="138"/>
        <v>0</v>
      </c>
      <c r="M949" s="387">
        <f t="shared" si="139"/>
        <v>0</v>
      </c>
      <c r="N949" s="422">
        <f t="shared" si="140"/>
        <v>0</v>
      </c>
    </row>
    <row r="950" spans="1:14" ht="13.2" customHeight="1" x14ac:dyDescent="0.3">
      <c r="A950" s="365">
        <f t="shared" si="141"/>
        <v>16</v>
      </c>
      <c r="B950" s="370" t="s">
        <v>2124</v>
      </c>
      <c r="C950" s="371"/>
      <c r="D950" s="371"/>
      <c r="E950" s="367" t="s">
        <v>399</v>
      </c>
      <c r="F950" s="527"/>
      <c r="G950" s="539"/>
      <c r="H950" s="539"/>
      <c r="I950" s="372">
        <f t="shared" si="137"/>
        <v>0</v>
      </c>
      <c r="J950" s="372"/>
      <c r="K950" s="372">
        <f>'RAB Pasang'!K950*40%</f>
        <v>151624</v>
      </c>
      <c r="L950" s="387">
        <f t="shared" si="138"/>
        <v>0</v>
      </c>
      <c r="M950" s="387">
        <f t="shared" si="139"/>
        <v>0</v>
      </c>
      <c r="N950" s="422">
        <f t="shared" si="140"/>
        <v>0</v>
      </c>
    </row>
    <row r="951" spans="1:14" ht="13.2" customHeight="1" x14ac:dyDescent="0.3">
      <c r="A951" s="365">
        <f t="shared" si="141"/>
        <v>17</v>
      </c>
      <c r="B951" s="370" t="s">
        <v>2125</v>
      </c>
      <c r="C951" s="371"/>
      <c r="D951" s="371"/>
      <c r="E951" s="367" t="s">
        <v>399</v>
      </c>
      <c r="F951" s="539"/>
      <c r="G951" s="527"/>
      <c r="H951" s="539"/>
      <c r="I951" s="372">
        <f t="shared" si="137"/>
        <v>0</v>
      </c>
      <c r="J951" s="372"/>
      <c r="K951" s="372">
        <f>'RAB Pasang'!K951*40%</f>
        <v>173528</v>
      </c>
      <c r="L951" s="387">
        <f t="shared" si="138"/>
        <v>0</v>
      </c>
      <c r="M951" s="387">
        <f t="shared" si="139"/>
        <v>0</v>
      </c>
      <c r="N951" s="422">
        <f t="shared" si="140"/>
        <v>0</v>
      </c>
    </row>
    <row r="952" spans="1:14" ht="13.2" customHeight="1" x14ac:dyDescent="0.3">
      <c r="A952" s="365">
        <f t="shared" si="141"/>
        <v>18</v>
      </c>
      <c r="B952" s="370" t="s">
        <v>2126</v>
      </c>
      <c r="C952" s="371"/>
      <c r="D952" s="371"/>
      <c r="E952" s="367" t="s">
        <v>399</v>
      </c>
      <c r="F952" s="539"/>
      <c r="G952" s="527"/>
      <c r="H952" s="539"/>
      <c r="I952" s="372">
        <f t="shared" si="137"/>
        <v>0</v>
      </c>
      <c r="J952" s="372"/>
      <c r="K952" s="372">
        <f>'RAB Pasang'!K952*40%</f>
        <v>173528</v>
      </c>
      <c r="L952" s="387">
        <f t="shared" si="138"/>
        <v>0</v>
      </c>
      <c r="M952" s="387">
        <f t="shared" si="139"/>
        <v>0</v>
      </c>
      <c r="N952" s="422">
        <f t="shared" si="140"/>
        <v>0</v>
      </c>
    </row>
    <row r="953" spans="1:14" ht="13.2" customHeight="1" x14ac:dyDescent="0.3">
      <c r="A953" s="365">
        <f t="shared" si="141"/>
        <v>19</v>
      </c>
      <c r="B953" s="370" t="s">
        <v>2127</v>
      </c>
      <c r="C953" s="371"/>
      <c r="D953" s="371"/>
      <c r="E953" s="367" t="s">
        <v>399</v>
      </c>
      <c r="F953" s="539"/>
      <c r="G953" s="527"/>
      <c r="H953" s="539"/>
      <c r="I953" s="372">
        <f t="shared" si="137"/>
        <v>0</v>
      </c>
      <c r="J953" s="372"/>
      <c r="K953" s="372">
        <f>'RAB Pasang'!K953*40%</f>
        <v>173528</v>
      </c>
      <c r="L953" s="387">
        <f t="shared" si="138"/>
        <v>0</v>
      </c>
      <c r="M953" s="387">
        <f t="shared" si="139"/>
        <v>0</v>
      </c>
      <c r="N953" s="422">
        <f t="shared" si="140"/>
        <v>0</v>
      </c>
    </row>
    <row r="954" spans="1:14" ht="13.2" customHeight="1" x14ac:dyDescent="0.3">
      <c r="A954" s="365">
        <f t="shared" si="141"/>
        <v>20</v>
      </c>
      <c r="B954" s="370" t="s">
        <v>2128</v>
      </c>
      <c r="C954" s="371"/>
      <c r="D954" s="371"/>
      <c r="E954" s="367" t="s">
        <v>399</v>
      </c>
      <c r="F954" s="539"/>
      <c r="G954" s="527"/>
      <c r="H954" s="539"/>
      <c r="I954" s="372">
        <f t="shared" si="137"/>
        <v>0</v>
      </c>
      <c r="J954" s="372"/>
      <c r="K954" s="372">
        <f>'RAB Pasang'!K954*40%</f>
        <v>173528</v>
      </c>
      <c r="L954" s="387">
        <f t="shared" si="138"/>
        <v>0</v>
      </c>
      <c r="M954" s="387">
        <f t="shared" si="139"/>
        <v>0</v>
      </c>
      <c r="N954" s="422">
        <f t="shared" si="140"/>
        <v>0</v>
      </c>
    </row>
    <row r="955" spans="1:14" ht="13.2" customHeight="1" x14ac:dyDescent="0.3">
      <c r="A955" s="365">
        <f t="shared" si="141"/>
        <v>21</v>
      </c>
      <c r="B955" s="370" t="s">
        <v>2129</v>
      </c>
      <c r="C955" s="371"/>
      <c r="D955" s="371"/>
      <c r="E955" s="367" t="s">
        <v>399</v>
      </c>
      <c r="F955" s="539"/>
      <c r="G955" s="527"/>
      <c r="H955" s="539"/>
      <c r="I955" s="372">
        <f t="shared" si="137"/>
        <v>0</v>
      </c>
      <c r="J955" s="372"/>
      <c r="K955" s="372">
        <f>'RAB Pasang'!K955*40%</f>
        <v>173528</v>
      </c>
      <c r="L955" s="387">
        <f t="shared" si="138"/>
        <v>0</v>
      </c>
      <c r="M955" s="387">
        <f t="shared" si="139"/>
        <v>0</v>
      </c>
      <c r="N955" s="422">
        <f t="shared" si="140"/>
        <v>0</v>
      </c>
    </row>
    <row r="956" spans="1:14" ht="13.2" customHeight="1" x14ac:dyDescent="0.3">
      <c r="A956" s="365">
        <f t="shared" si="141"/>
        <v>22</v>
      </c>
      <c r="B956" s="370" t="s">
        <v>2130</v>
      </c>
      <c r="C956" s="371"/>
      <c r="D956" s="371"/>
      <c r="E956" s="367" t="s">
        <v>399</v>
      </c>
      <c r="F956" s="539"/>
      <c r="G956" s="527"/>
      <c r="H956" s="539"/>
      <c r="I956" s="372">
        <f t="shared" si="137"/>
        <v>0</v>
      </c>
      <c r="J956" s="372"/>
      <c r="K956" s="372">
        <f>'RAB Pasang'!K956*40%</f>
        <v>173528</v>
      </c>
      <c r="L956" s="387">
        <f t="shared" si="138"/>
        <v>0</v>
      </c>
      <c r="M956" s="387">
        <f t="shared" si="139"/>
        <v>0</v>
      </c>
      <c r="N956" s="422">
        <f t="shared" si="140"/>
        <v>0</v>
      </c>
    </row>
    <row r="957" spans="1:14" ht="13.2" customHeight="1" x14ac:dyDescent="0.3">
      <c r="A957" s="365">
        <f t="shared" si="141"/>
        <v>23</v>
      </c>
      <c r="B957" s="370" t="s">
        <v>2131</v>
      </c>
      <c r="C957" s="371"/>
      <c r="D957" s="371"/>
      <c r="E957" s="367" t="s">
        <v>399</v>
      </c>
      <c r="F957" s="539"/>
      <c r="G957" s="527"/>
      <c r="H957" s="539"/>
      <c r="I957" s="372">
        <f t="shared" si="137"/>
        <v>0</v>
      </c>
      <c r="J957" s="372"/>
      <c r="K957" s="372">
        <f>'RAB Pasang'!K957*40%</f>
        <v>173528</v>
      </c>
      <c r="L957" s="387">
        <f t="shared" si="138"/>
        <v>0</v>
      </c>
      <c r="M957" s="387">
        <f t="shared" si="139"/>
        <v>0</v>
      </c>
      <c r="N957" s="422">
        <f t="shared" si="140"/>
        <v>0</v>
      </c>
    </row>
    <row r="958" spans="1:14" ht="13.2" customHeight="1" x14ac:dyDescent="0.3">
      <c r="A958" s="365">
        <f t="shared" si="141"/>
        <v>24</v>
      </c>
      <c r="B958" s="370" t="s">
        <v>2132</v>
      </c>
      <c r="C958" s="371"/>
      <c r="D958" s="371"/>
      <c r="E958" s="367" t="s">
        <v>399</v>
      </c>
      <c r="F958" s="539"/>
      <c r="G958" s="527"/>
      <c r="H958" s="539"/>
      <c r="I958" s="372">
        <f t="shared" si="137"/>
        <v>0</v>
      </c>
      <c r="J958" s="372"/>
      <c r="K958" s="372">
        <f>'RAB Pasang'!K958*40%</f>
        <v>173528</v>
      </c>
      <c r="L958" s="387">
        <f t="shared" si="138"/>
        <v>0</v>
      </c>
      <c r="M958" s="387">
        <f t="shared" si="139"/>
        <v>0</v>
      </c>
      <c r="N958" s="422">
        <f t="shared" si="140"/>
        <v>0</v>
      </c>
    </row>
    <row r="959" spans="1:14" ht="13.2" customHeight="1" x14ac:dyDescent="0.3">
      <c r="A959" s="365">
        <f t="shared" si="141"/>
        <v>25</v>
      </c>
      <c r="B959" s="370" t="s">
        <v>2133</v>
      </c>
      <c r="C959" s="371"/>
      <c r="D959" s="371"/>
      <c r="E959" s="367" t="s">
        <v>399</v>
      </c>
      <c r="F959" s="539"/>
      <c r="G959" s="527"/>
      <c r="H959" s="539"/>
      <c r="I959" s="372">
        <f t="shared" si="137"/>
        <v>0</v>
      </c>
      <c r="J959" s="372"/>
      <c r="K959" s="372">
        <f>'RAB Pasang'!K959*40%</f>
        <v>173528</v>
      </c>
      <c r="L959" s="387">
        <f t="shared" si="138"/>
        <v>0</v>
      </c>
      <c r="M959" s="387">
        <f t="shared" si="139"/>
        <v>0</v>
      </c>
      <c r="N959" s="422">
        <f t="shared" si="140"/>
        <v>0</v>
      </c>
    </row>
    <row r="960" spans="1:14" ht="13.2" customHeight="1" x14ac:dyDescent="0.3">
      <c r="A960" s="365">
        <f t="shared" si="141"/>
        <v>26</v>
      </c>
      <c r="B960" s="370" t="s">
        <v>2134</v>
      </c>
      <c r="C960" s="371"/>
      <c r="D960" s="371"/>
      <c r="E960" s="367" t="s">
        <v>399</v>
      </c>
      <c r="F960" s="539"/>
      <c r="G960" s="527"/>
      <c r="H960" s="539"/>
      <c r="I960" s="372">
        <f t="shared" si="137"/>
        <v>0</v>
      </c>
      <c r="J960" s="372"/>
      <c r="K960" s="372">
        <f>'RAB Pasang'!K960*40%</f>
        <v>173528</v>
      </c>
      <c r="L960" s="387">
        <f t="shared" si="138"/>
        <v>0</v>
      </c>
      <c r="M960" s="387">
        <f t="shared" si="139"/>
        <v>0</v>
      </c>
      <c r="N960" s="422">
        <f t="shared" si="140"/>
        <v>0</v>
      </c>
    </row>
    <row r="961" spans="1:14" ht="13.2" customHeight="1" x14ac:dyDescent="0.3">
      <c r="A961" s="365">
        <f t="shared" si="141"/>
        <v>27</v>
      </c>
      <c r="B961" s="370" t="s">
        <v>2135</v>
      </c>
      <c r="C961" s="371"/>
      <c r="D961" s="371"/>
      <c r="E961" s="367" t="s">
        <v>399</v>
      </c>
      <c r="F961" s="539"/>
      <c r="G961" s="527"/>
      <c r="H961" s="539"/>
      <c r="I961" s="372">
        <f t="shared" si="137"/>
        <v>0</v>
      </c>
      <c r="J961" s="372"/>
      <c r="K961" s="372">
        <f>'RAB Pasang'!K961*40%</f>
        <v>173528</v>
      </c>
      <c r="L961" s="387">
        <f t="shared" si="138"/>
        <v>0</v>
      </c>
      <c r="M961" s="387">
        <f t="shared" si="139"/>
        <v>0</v>
      </c>
      <c r="N961" s="422">
        <f t="shared" si="140"/>
        <v>0</v>
      </c>
    </row>
    <row r="962" spans="1:14" ht="13.2" customHeight="1" x14ac:dyDescent="0.3">
      <c r="A962" s="365">
        <f t="shared" si="141"/>
        <v>28</v>
      </c>
      <c r="B962" s="370" t="s">
        <v>2136</v>
      </c>
      <c r="C962" s="371"/>
      <c r="D962" s="371"/>
      <c r="E962" s="367" t="s">
        <v>399</v>
      </c>
      <c r="F962" s="539"/>
      <c r="G962" s="527"/>
      <c r="H962" s="539"/>
      <c r="I962" s="372">
        <f t="shared" si="137"/>
        <v>0</v>
      </c>
      <c r="J962" s="372"/>
      <c r="K962" s="372">
        <f>'RAB Pasang'!K962*40%</f>
        <v>173528</v>
      </c>
      <c r="L962" s="387">
        <f t="shared" si="138"/>
        <v>0</v>
      </c>
      <c r="M962" s="387">
        <f t="shared" si="139"/>
        <v>0</v>
      </c>
      <c r="N962" s="422">
        <f t="shared" si="140"/>
        <v>0</v>
      </c>
    </row>
    <row r="963" spans="1:14" ht="13.2" customHeight="1" x14ac:dyDescent="0.3">
      <c r="A963" s="365">
        <f t="shared" si="141"/>
        <v>29</v>
      </c>
      <c r="B963" s="370" t="s">
        <v>2137</v>
      </c>
      <c r="C963" s="371"/>
      <c r="D963" s="371"/>
      <c r="E963" s="367" t="s">
        <v>399</v>
      </c>
      <c r="F963" s="539"/>
      <c r="G963" s="527"/>
      <c r="H963" s="539"/>
      <c r="I963" s="372">
        <f t="shared" si="137"/>
        <v>0</v>
      </c>
      <c r="J963" s="372"/>
      <c r="K963" s="372">
        <f>'RAB Pasang'!K963*40%</f>
        <v>173528</v>
      </c>
      <c r="L963" s="387">
        <f t="shared" si="138"/>
        <v>0</v>
      </c>
      <c r="M963" s="387">
        <f t="shared" si="139"/>
        <v>0</v>
      </c>
      <c r="N963" s="422">
        <f t="shared" si="140"/>
        <v>0</v>
      </c>
    </row>
    <row r="964" spans="1:14" ht="13.2" customHeight="1" x14ac:dyDescent="0.3">
      <c r="A964" s="365">
        <f t="shared" si="141"/>
        <v>30</v>
      </c>
      <c r="B964" s="370" t="s">
        <v>2138</v>
      </c>
      <c r="C964" s="371"/>
      <c r="D964" s="371"/>
      <c r="E964" s="367" t="s">
        <v>399</v>
      </c>
      <c r="F964" s="539"/>
      <c r="G964" s="527"/>
      <c r="H964" s="539"/>
      <c r="I964" s="372">
        <f t="shared" si="137"/>
        <v>0</v>
      </c>
      <c r="J964" s="372"/>
      <c r="K964" s="372">
        <f>'RAB Pasang'!K964*40%</f>
        <v>173528</v>
      </c>
      <c r="L964" s="387">
        <f t="shared" si="138"/>
        <v>0</v>
      </c>
      <c r="M964" s="387">
        <f t="shared" si="139"/>
        <v>0</v>
      </c>
      <c r="N964" s="422">
        <f t="shared" si="140"/>
        <v>0</v>
      </c>
    </row>
    <row r="965" spans="1:14" ht="13.2" customHeight="1" x14ac:dyDescent="0.3">
      <c r="A965" s="365">
        <f t="shared" si="141"/>
        <v>31</v>
      </c>
      <c r="B965" s="370" t="s">
        <v>2139</v>
      </c>
      <c r="C965" s="371"/>
      <c r="D965" s="371"/>
      <c r="E965" s="367" t="s">
        <v>399</v>
      </c>
      <c r="F965" s="539"/>
      <c r="G965" s="527"/>
      <c r="H965" s="539"/>
      <c r="I965" s="372">
        <f t="shared" si="137"/>
        <v>0</v>
      </c>
      <c r="J965" s="372"/>
      <c r="K965" s="372">
        <f>'RAB Pasang'!K965*40%</f>
        <v>173528</v>
      </c>
      <c r="L965" s="387">
        <f t="shared" si="138"/>
        <v>0</v>
      </c>
      <c r="M965" s="387">
        <f t="shared" si="139"/>
        <v>0</v>
      </c>
      <c r="N965" s="422">
        <f t="shared" si="140"/>
        <v>0</v>
      </c>
    </row>
    <row r="966" spans="1:14" ht="13.2" customHeight="1" x14ac:dyDescent="0.3">
      <c r="A966" s="365">
        <f t="shared" si="141"/>
        <v>32</v>
      </c>
      <c r="B966" s="370" t="s">
        <v>2140</v>
      </c>
      <c r="C966" s="371"/>
      <c r="D966" s="371"/>
      <c r="E966" s="367" t="s">
        <v>399</v>
      </c>
      <c r="F966" s="539"/>
      <c r="G966" s="527"/>
      <c r="H966" s="539"/>
      <c r="I966" s="372">
        <f t="shared" si="137"/>
        <v>0</v>
      </c>
      <c r="J966" s="372"/>
      <c r="K966" s="372">
        <f>'RAB Pasang'!K966*40%</f>
        <v>173528</v>
      </c>
      <c r="L966" s="387">
        <f t="shared" si="138"/>
        <v>0</v>
      </c>
      <c r="M966" s="387">
        <f t="shared" si="139"/>
        <v>0</v>
      </c>
      <c r="N966" s="422">
        <f t="shared" si="140"/>
        <v>0</v>
      </c>
    </row>
    <row r="967" spans="1:14" ht="13.2" customHeight="1" x14ac:dyDescent="0.3">
      <c r="A967" s="365">
        <f t="shared" si="141"/>
        <v>33</v>
      </c>
      <c r="B967" s="370" t="s">
        <v>1439</v>
      </c>
      <c r="C967" s="371"/>
      <c r="D967" s="371"/>
      <c r="E967" s="367" t="s">
        <v>399</v>
      </c>
      <c r="F967" s="539"/>
      <c r="G967" s="527"/>
      <c r="H967" s="539"/>
      <c r="I967" s="372">
        <f t="shared" si="137"/>
        <v>0</v>
      </c>
      <c r="J967" s="372"/>
      <c r="K967" s="372">
        <f>'RAB Pasang'!K967*40%</f>
        <v>98572</v>
      </c>
      <c r="L967" s="387">
        <f t="shared" si="138"/>
        <v>0</v>
      </c>
      <c r="M967" s="387">
        <f t="shared" si="139"/>
        <v>0</v>
      </c>
      <c r="N967" s="422">
        <f t="shared" si="140"/>
        <v>0</v>
      </c>
    </row>
    <row r="968" spans="1:14" ht="13.2" customHeight="1" x14ac:dyDescent="0.3">
      <c r="A968" s="365">
        <f t="shared" si="141"/>
        <v>34</v>
      </c>
      <c r="B968" s="370" t="s">
        <v>1910</v>
      </c>
      <c r="C968" s="371"/>
      <c r="D968" s="371"/>
      <c r="E968" s="367" t="s">
        <v>399</v>
      </c>
      <c r="F968" s="527"/>
      <c r="G968" s="539"/>
      <c r="H968" s="539"/>
      <c r="I968" s="372">
        <f t="shared" si="137"/>
        <v>0</v>
      </c>
      <c r="J968" s="372"/>
      <c r="K968" s="372">
        <f>'RAB Pasang'!K968*40%</f>
        <v>130404</v>
      </c>
      <c r="L968" s="387">
        <f t="shared" si="138"/>
        <v>0</v>
      </c>
      <c r="M968" s="387">
        <f t="shared" si="139"/>
        <v>0</v>
      </c>
      <c r="N968" s="422">
        <f t="shared" si="140"/>
        <v>0</v>
      </c>
    </row>
    <row r="969" spans="1:14" ht="13.2" customHeight="1" x14ac:dyDescent="0.3">
      <c r="A969" s="365">
        <f t="shared" si="141"/>
        <v>35</v>
      </c>
      <c r="B969" s="370" t="s">
        <v>1911</v>
      </c>
      <c r="C969" s="371"/>
      <c r="D969" s="371"/>
      <c r="E969" s="367" t="s">
        <v>399</v>
      </c>
      <c r="F969" s="527"/>
      <c r="G969" s="539"/>
      <c r="H969" s="539"/>
      <c r="I969" s="372">
        <f t="shared" si="137"/>
        <v>0</v>
      </c>
      <c r="J969" s="372"/>
      <c r="K969" s="372">
        <f>'RAB Pasang'!K969*40%</f>
        <v>130404</v>
      </c>
      <c r="L969" s="387">
        <f t="shared" si="138"/>
        <v>0</v>
      </c>
      <c r="M969" s="387">
        <f t="shared" si="139"/>
        <v>0</v>
      </c>
      <c r="N969" s="422">
        <f t="shared" si="140"/>
        <v>0</v>
      </c>
    </row>
    <row r="970" spans="1:14" ht="13.2" customHeight="1" x14ac:dyDescent="0.3">
      <c r="A970" s="365">
        <f t="shared" si="141"/>
        <v>36</v>
      </c>
      <c r="B970" s="370" t="s">
        <v>1912</v>
      </c>
      <c r="C970" s="371"/>
      <c r="D970" s="371"/>
      <c r="E970" s="367" t="s">
        <v>399</v>
      </c>
      <c r="F970" s="527"/>
      <c r="G970" s="539"/>
      <c r="H970" s="539"/>
      <c r="I970" s="372">
        <f t="shared" si="137"/>
        <v>0</v>
      </c>
      <c r="J970" s="372"/>
      <c r="K970" s="372">
        <f>'RAB Pasang'!K970*40%</f>
        <v>130404</v>
      </c>
      <c r="L970" s="387">
        <f t="shared" si="138"/>
        <v>0</v>
      </c>
      <c r="M970" s="387">
        <f t="shared" si="139"/>
        <v>0</v>
      </c>
      <c r="N970" s="422">
        <f t="shared" si="140"/>
        <v>0</v>
      </c>
    </row>
    <row r="971" spans="1:14" ht="13.2" customHeight="1" x14ac:dyDescent="0.3">
      <c r="A971" s="365">
        <f t="shared" si="141"/>
        <v>37</v>
      </c>
      <c r="B971" s="370" t="s">
        <v>2141</v>
      </c>
      <c r="C971" s="371"/>
      <c r="D971" s="371"/>
      <c r="E971" s="367" t="s">
        <v>399</v>
      </c>
      <c r="F971" s="539"/>
      <c r="G971" s="527"/>
      <c r="H971" s="539"/>
      <c r="I971" s="372">
        <f t="shared" si="137"/>
        <v>0</v>
      </c>
      <c r="J971" s="372"/>
      <c r="K971" s="372">
        <f>'RAB Pasang'!K971*40%</f>
        <v>98572</v>
      </c>
      <c r="L971" s="387">
        <f t="shared" si="138"/>
        <v>0</v>
      </c>
      <c r="M971" s="387">
        <f t="shared" si="139"/>
        <v>0</v>
      </c>
      <c r="N971" s="422">
        <f t="shared" si="140"/>
        <v>0</v>
      </c>
    </row>
    <row r="972" spans="1:14" ht="13.2" customHeight="1" x14ac:dyDescent="0.3">
      <c r="A972" s="365">
        <f t="shared" si="141"/>
        <v>38</v>
      </c>
      <c r="B972" s="370" t="s">
        <v>2142</v>
      </c>
      <c r="C972" s="371"/>
      <c r="D972" s="371"/>
      <c r="E972" s="367" t="s">
        <v>399</v>
      </c>
      <c r="F972" s="539"/>
      <c r="G972" s="527"/>
      <c r="H972" s="539"/>
      <c r="I972" s="372">
        <f t="shared" si="137"/>
        <v>0</v>
      </c>
      <c r="J972" s="372"/>
      <c r="K972" s="372">
        <f>'RAB Pasang'!K972*40%</f>
        <v>98572</v>
      </c>
      <c r="L972" s="387">
        <f t="shared" si="138"/>
        <v>0</v>
      </c>
      <c r="M972" s="387">
        <f t="shared" si="139"/>
        <v>0</v>
      </c>
      <c r="N972" s="422">
        <f t="shared" si="140"/>
        <v>0</v>
      </c>
    </row>
    <row r="973" spans="1:14" ht="13.2" customHeight="1" x14ac:dyDescent="0.3">
      <c r="A973" s="365">
        <f t="shared" si="141"/>
        <v>39</v>
      </c>
      <c r="B973" s="370" t="s">
        <v>1631</v>
      </c>
      <c r="C973" s="371"/>
      <c r="D973" s="371"/>
      <c r="E973" s="367" t="s">
        <v>399</v>
      </c>
      <c r="F973" s="539"/>
      <c r="G973" s="539"/>
      <c r="H973" s="527"/>
      <c r="I973" s="372">
        <f t="shared" si="137"/>
        <v>0</v>
      </c>
      <c r="J973" s="372"/>
      <c r="K973" s="372">
        <f>'RAB Pasang'!K973*40%</f>
        <v>108668</v>
      </c>
      <c r="L973" s="387">
        <f t="shared" si="138"/>
        <v>0</v>
      </c>
      <c r="M973" s="387">
        <f t="shared" si="139"/>
        <v>0</v>
      </c>
      <c r="N973" s="422">
        <f t="shared" si="140"/>
        <v>0</v>
      </c>
    </row>
    <row r="974" spans="1:14" ht="13.2" customHeight="1" x14ac:dyDescent="0.3">
      <c r="A974" s="365">
        <f t="shared" si="141"/>
        <v>40</v>
      </c>
      <c r="B974" s="370" t="s">
        <v>1632</v>
      </c>
      <c r="C974" s="371"/>
      <c r="D974" s="371"/>
      <c r="E974" s="367" t="s">
        <v>399</v>
      </c>
      <c r="F974" s="539"/>
      <c r="G974" s="539"/>
      <c r="H974" s="527"/>
      <c r="I974" s="372">
        <f t="shared" si="137"/>
        <v>0</v>
      </c>
      <c r="J974" s="372"/>
      <c r="K974" s="372">
        <f>'RAB Pasang'!K974*40%</f>
        <v>108668</v>
      </c>
      <c r="L974" s="387">
        <f t="shared" si="138"/>
        <v>0</v>
      </c>
      <c r="M974" s="387">
        <f t="shared" si="139"/>
        <v>0</v>
      </c>
      <c r="N974" s="422">
        <f t="shared" si="140"/>
        <v>0</v>
      </c>
    </row>
    <row r="975" spans="1:14" ht="13.2" customHeight="1" x14ac:dyDescent="0.3">
      <c r="A975" s="365">
        <f t="shared" si="141"/>
        <v>41</v>
      </c>
      <c r="B975" s="370" t="s">
        <v>1633</v>
      </c>
      <c r="C975" s="371"/>
      <c r="D975" s="371"/>
      <c r="E975" s="367" t="s">
        <v>399</v>
      </c>
      <c r="F975" s="539"/>
      <c r="G975" s="539"/>
      <c r="H975" s="527"/>
      <c r="I975" s="372">
        <f t="shared" si="137"/>
        <v>0</v>
      </c>
      <c r="J975" s="372"/>
      <c r="K975" s="372">
        <f>'RAB Pasang'!K975*40%</f>
        <v>108668</v>
      </c>
      <c r="L975" s="387">
        <f t="shared" si="138"/>
        <v>0</v>
      </c>
      <c r="M975" s="387">
        <f t="shared" si="139"/>
        <v>0</v>
      </c>
      <c r="N975" s="422">
        <f t="shared" si="140"/>
        <v>0</v>
      </c>
    </row>
    <row r="976" spans="1:14" ht="13.2" customHeight="1" x14ac:dyDescent="0.3">
      <c r="A976" s="365">
        <f t="shared" si="141"/>
        <v>42</v>
      </c>
      <c r="B976" s="370" t="s">
        <v>1200</v>
      </c>
      <c r="C976" s="371"/>
      <c r="D976" s="371"/>
      <c r="E976" s="367" t="s">
        <v>399</v>
      </c>
      <c r="F976" s="539"/>
      <c r="G976" s="539"/>
      <c r="H976" s="527"/>
      <c r="I976" s="372">
        <f t="shared" si="137"/>
        <v>0</v>
      </c>
      <c r="J976" s="372"/>
      <c r="K976" s="372">
        <f>'RAB Pasang'!K976*40%</f>
        <v>108668</v>
      </c>
      <c r="L976" s="387">
        <f t="shared" si="138"/>
        <v>0</v>
      </c>
      <c r="M976" s="387">
        <f t="shared" si="139"/>
        <v>0</v>
      </c>
      <c r="N976" s="422">
        <f t="shared" si="140"/>
        <v>0</v>
      </c>
    </row>
    <row r="977" spans="1:14" ht="13.2" customHeight="1" x14ac:dyDescent="0.3">
      <c r="A977" s="365">
        <f t="shared" si="141"/>
        <v>43</v>
      </c>
      <c r="B977" s="370" t="s">
        <v>1201</v>
      </c>
      <c r="C977" s="371"/>
      <c r="D977" s="371"/>
      <c r="E977" s="367" t="s">
        <v>399</v>
      </c>
      <c r="F977" s="539"/>
      <c r="G977" s="539"/>
      <c r="H977" s="527"/>
      <c r="I977" s="372">
        <f t="shared" si="137"/>
        <v>0</v>
      </c>
      <c r="J977" s="372"/>
      <c r="K977" s="372">
        <f>'RAB Pasang'!K977*40%</f>
        <v>108668</v>
      </c>
      <c r="L977" s="387">
        <f t="shared" si="138"/>
        <v>0</v>
      </c>
      <c r="M977" s="387">
        <f t="shared" si="139"/>
        <v>0</v>
      </c>
      <c r="N977" s="422">
        <f t="shared" si="140"/>
        <v>0</v>
      </c>
    </row>
    <row r="978" spans="1:14" ht="13.2" customHeight="1" x14ac:dyDescent="0.3">
      <c r="A978" s="365">
        <f t="shared" si="141"/>
        <v>44</v>
      </c>
      <c r="B978" s="370" t="s">
        <v>1634</v>
      </c>
      <c r="C978" s="371"/>
      <c r="D978" s="371"/>
      <c r="E978" s="367" t="s">
        <v>399</v>
      </c>
      <c r="F978" s="539"/>
      <c r="G978" s="539"/>
      <c r="H978" s="527"/>
      <c r="I978" s="372">
        <f t="shared" si="137"/>
        <v>0</v>
      </c>
      <c r="J978" s="372"/>
      <c r="K978" s="372">
        <f>'RAB Pasang'!K978*40%</f>
        <v>108668</v>
      </c>
      <c r="L978" s="387">
        <f t="shared" si="138"/>
        <v>0</v>
      </c>
      <c r="M978" s="387">
        <f t="shared" si="139"/>
        <v>0</v>
      </c>
      <c r="N978" s="422">
        <f t="shared" si="140"/>
        <v>0</v>
      </c>
    </row>
    <row r="979" spans="1:14" ht="13.2" customHeight="1" x14ac:dyDescent="0.3">
      <c r="A979" s="365">
        <f t="shared" si="141"/>
        <v>45</v>
      </c>
      <c r="B979" s="370" t="s">
        <v>1635</v>
      </c>
      <c r="C979" s="371"/>
      <c r="D979" s="371"/>
      <c r="E979" s="367" t="s">
        <v>399</v>
      </c>
      <c r="F979" s="539"/>
      <c r="G979" s="539"/>
      <c r="H979" s="527"/>
      <c r="I979" s="372">
        <f t="shared" si="137"/>
        <v>0</v>
      </c>
      <c r="J979" s="372"/>
      <c r="K979" s="372">
        <f>'RAB Pasang'!K979*40%</f>
        <v>108668</v>
      </c>
      <c r="L979" s="387">
        <f t="shared" si="138"/>
        <v>0</v>
      </c>
      <c r="M979" s="387">
        <f t="shared" si="139"/>
        <v>0</v>
      </c>
      <c r="N979" s="422">
        <f t="shared" si="140"/>
        <v>0</v>
      </c>
    </row>
    <row r="980" spans="1:14" ht="13.2" customHeight="1" x14ac:dyDescent="0.3">
      <c r="A980" s="365">
        <f t="shared" si="141"/>
        <v>46</v>
      </c>
      <c r="B980" s="370" t="s">
        <v>1636</v>
      </c>
      <c r="C980" s="371"/>
      <c r="D980" s="371"/>
      <c r="E980" s="367" t="s">
        <v>399</v>
      </c>
      <c r="F980" s="539"/>
      <c r="G980" s="539"/>
      <c r="H980" s="527"/>
      <c r="I980" s="372">
        <f t="shared" si="137"/>
        <v>0</v>
      </c>
      <c r="J980" s="372"/>
      <c r="K980" s="372">
        <f>'RAB Pasang'!K980*40%</f>
        <v>108668</v>
      </c>
      <c r="L980" s="387">
        <f t="shared" si="138"/>
        <v>0</v>
      </c>
      <c r="M980" s="387">
        <f t="shared" si="139"/>
        <v>0</v>
      </c>
      <c r="N980" s="422">
        <f t="shared" si="140"/>
        <v>0</v>
      </c>
    </row>
    <row r="981" spans="1:14" ht="13.2" customHeight="1" x14ac:dyDescent="0.3">
      <c r="A981" s="365">
        <f t="shared" si="141"/>
        <v>47</v>
      </c>
      <c r="B981" s="370" t="s">
        <v>1208</v>
      </c>
      <c r="C981" s="371"/>
      <c r="D981" s="371"/>
      <c r="E981" s="367" t="s">
        <v>399</v>
      </c>
      <c r="F981" s="539"/>
      <c r="G981" s="539"/>
      <c r="H981" s="527"/>
      <c r="I981" s="372">
        <f t="shared" si="137"/>
        <v>0</v>
      </c>
      <c r="J981" s="372"/>
      <c r="K981" s="372">
        <f>'RAB Pasang'!K981*40%</f>
        <v>108668</v>
      </c>
      <c r="L981" s="387">
        <f t="shared" si="138"/>
        <v>0</v>
      </c>
      <c r="M981" s="387">
        <f t="shared" si="139"/>
        <v>0</v>
      </c>
      <c r="N981" s="422">
        <f t="shared" si="140"/>
        <v>0</v>
      </c>
    </row>
    <row r="982" spans="1:14" ht="13.2" customHeight="1" x14ac:dyDescent="0.3">
      <c r="A982" s="365">
        <f t="shared" si="141"/>
        <v>48</v>
      </c>
      <c r="B982" s="370" t="s">
        <v>1209</v>
      </c>
      <c r="C982" s="371"/>
      <c r="D982" s="371"/>
      <c r="E982" s="367" t="s">
        <v>399</v>
      </c>
      <c r="F982" s="539"/>
      <c r="G982" s="539"/>
      <c r="H982" s="527"/>
      <c r="I982" s="372">
        <f t="shared" si="137"/>
        <v>0</v>
      </c>
      <c r="J982" s="372"/>
      <c r="K982" s="372">
        <f>'RAB Pasang'!K982*40%</f>
        <v>108668</v>
      </c>
      <c r="L982" s="387">
        <f t="shared" si="138"/>
        <v>0</v>
      </c>
      <c r="M982" s="387">
        <f t="shared" si="139"/>
        <v>0</v>
      </c>
      <c r="N982" s="422">
        <f t="shared" si="140"/>
        <v>0</v>
      </c>
    </row>
    <row r="983" spans="1:14" ht="15.6" customHeight="1" x14ac:dyDescent="0.3">
      <c r="A983" s="485"/>
      <c r="B983" s="497" t="s">
        <v>2214</v>
      </c>
      <c r="C983" s="487"/>
      <c r="D983" s="487"/>
      <c r="E983" s="488"/>
      <c r="F983" s="492"/>
      <c r="G983" s="492"/>
      <c r="H983" s="492"/>
      <c r="I983" s="543"/>
      <c r="J983" s="492"/>
      <c r="K983" s="492"/>
      <c r="L983" s="490">
        <f t="shared" ref="L983:N983" si="142">SUM(L935:L982)</f>
        <v>0</v>
      </c>
      <c r="M983" s="490">
        <f t="shared" si="142"/>
        <v>0</v>
      </c>
      <c r="N983" s="491">
        <f t="shared" si="142"/>
        <v>0</v>
      </c>
    </row>
    <row r="984" spans="1:14" ht="7.95" customHeight="1" x14ac:dyDescent="0.3">
      <c r="A984" s="365"/>
      <c r="B984" s="370"/>
      <c r="C984" s="371"/>
      <c r="D984" s="371"/>
      <c r="E984" s="367"/>
      <c r="F984" s="527"/>
      <c r="G984" s="527"/>
      <c r="H984" s="527"/>
      <c r="I984" s="372"/>
      <c r="J984" s="372"/>
      <c r="K984" s="372"/>
      <c r="L984" s="387"/>
      <c r="M984" s="387"/>
      <c r="N984" s="422"/>
    </row>
    <row r="985" spans="1:14" ht="14.4" customHeight="1" x14ac:dyDescent="0.3">
      <c r="A985" s="495" t="s">
        <v>615</v>
      </c>
      <c r="B985" s="499" t="s">
        <v>1790</v>
      </c>
      <c r="C985" s="500"/>
      <c r="D985" s="500"/>
      <c r="E985" s="501"/>
      <c r="F985" s="588"/>
      <c r="G985" s="588"/>
      <c r="H985" s="588"/>
      <c r="I985" s="503"/>
      <c r="J985" s="503"/>
      <c r="K985" s="503"/>
      <c r="L985" s="504"/>
      <c r="M985" s="504"/>
      <c r="N985" s="505"/>
    </row>
    <row r="986" spans="1:14" ht="13.2" customHeight="1" x14ac:dyDescent="0.3">
      <c r="A986" s="365">
        <v>1</v>
      </c>
      <c r="B986" s="370" t="s">
        <v>1791</v>
      </c>
      <c r="C986" s="371"/>
      <c r="D986" s="371"/>
      <c r="E986" s="367" t="s">
        <v>399</v>
      </c>
      <c r="F986" s="527"/>
      <c r="G986" s="527"/>
      <c r="H986" s="539"/>
      <c r="I986" s="372">
        <f t="shared" ref="I986:I1004" si="143">SUM(F986:H986)</f>
        <v>0</v>
      </c>
      <c r="J986" s="372"/>
      <c r="K986" s="372">
        <f>'RAB Pasang'!K986*40%</f>
        <v>652012</v>
      </c>
      <c r="L986" s="387">
        <f t="shared" ref="L986:L1004" si="144">J986*I986</f>
        <v>0</v>
      </c>
      <c r="M986" s="387">
        <f t="shared" ref="M986:M1004" si="145">K986*I986</f>
        <v>0</v>
      </c>
      <c r="N986" s="422">
        <f t="shared" ref="N986:N1004" si="146">SUM(L986:M986)</f>
        <v>0</v>
      </c>
    </row>
    <row r="987" spans="1:14" ht="13.2" customHeight="1" x14ac:dyDescent="0.3">
      <c r="A987" s="365">
        <f>A986+1</f>
        <v>2</v>
      </c>
      <c r="B987" s="370" t="s">
        <v>1792</v>
      </c>
      <c r="C987" s="371"/>
      <c r="D987" s="371"/>
      <c r="E987" s="367" t="s">
        <v>399</v>
      </c>
      <c r="F987" s="527"/>
      <c r="G987" s="527"/>
      <c r="H987" s="539"/>
      <c r="I987" s="372">
        <f t="shared" si="143"/>
        <v>0</v>
      </c>
      <c r="J987" s="372"/>
      <c r="K987" s="372">
        <f>'RAB Pasang'!K987*40%</f>
        <v>652012</v>
      </c>
      <c r="L987" s="387">
        <f t="shared" si="144"/>
        <v>0</v>
      </c>
      <c r="M987" s="387">
        <f t="shared" si="145"/>
        <v>0</v>
      </c>
      <c r="N987" s="422">
        <f t="shared" si="146"/>
        <v>0</v>
      </c>
    </row>
    <row r="988" spans="1:14" ht="13.2" customHeight="1" x14ac:dyDescent="0.3">
      <c r="A988" s="365">
        <f t="shared" ref="A988:A1004" si="147">A987+1</f>
        <v>3</v>
      </c>
      <c r="B988" s="370" t="s">
        <v>1793</v>
      </c>
      <c r="C988" s="371"/>
      <c r="D988" s="371"/>
      <c r="E988" s="367" t="s">
        <v>399</v>
      </c>
      <c r="F988" s="527"/>
      <c r="G988" s="527"/>
      <c r="H988" s="539"/>
      <c r="I988" s="372">
        <f t="shared" si="143"/>
        <v>0</v>
      </c>
      <c r="J988" s="372"/>
      <c r="K988" s="372">
        <f>'RAB Pasang'!K988*40%</f>
        <v>652012</v>
      </c>
      <c r="L988" s="387">
        <f t="shared" si="144"/>
        <v>0</v>
      </c>
      <c r="M988" s="387">
        <f t="shared" si="145"/>
        <v>0</v>
      </c>
      <c r="N988" s="422">
        <f t="shared" si="146"/>
        <v>0</v>
      </c>
    </row>
    <row r="989" spans="1:14" ht="13.2" customHeight="1" x14ac:dyDescent="0.3">
      <c r="A989" s="365">
        <f t="shared" si="147"/>
        <v>4</v>
      </c>
      <c r="B989" s="370" t="s">
        <v>1794</v>
      </c>
      <c r="C989" s="371"/>
      <c r="D989" s="371"/>
      <c r="E989" s="367" t="s">
        <v>399</v>
      </c>
      <c r="F989" s="527"/>
      <c r="G989" s="527"/>
      <c r="H989" s="539"/>
      <c r="I989" s="372">
        <f t="shared" si="143"/>
        <v>0</v>
      </c>
      <c r="J989" s="372"/>
      <c r="K989" s="372">
        <f>'RAB Pasang'!K989*40%</f>
        <v>652012</v>
      </c>
      <c r="L989" s="387">
        <f t="shared" si="144"/>
        <v>0</v>
      </c>
      <c r="M989" s="387">
        <f t="shared" si="145"/>
        <v>0</v>
      </c>
      <c r="N989" s="422">
        <f t="shared" si="146"/>
        <v>0</v>
      </c>
    </row>
    <row r="990" spans="1:14" ht="13.2" customHeight="1" x14ac:dyDescent="0.3">
      <c r="A990" s="365">
        <f t="shared" si="147"/>
        <v>5</v>
      </c>
      <c r="B990" s="370" t="s">
        <v>1795</v>
      </c>
      <c r="C990" s="371"/>
      <c r="D990" s="371"/>
      <c r="E990" s="367" t="s">
        <v>399</v>
      </c>
      <c r="F990" s="527"/>
      <c r="G990" s="527"/>
      <c r="H990" s="539"/>
      <c r="I990" s="372">
        <f t="shared" si="143"/>
        <v>0</v>
      </c>
      <c r="J990" s="372"/>
      <c r="K990" s="372">
        <f>'RAB Pasang'!K990*40%</f>
        <v>909732</v>
      </c>
      <c r="L990" s="387">
        <f t="shared" si="144"/>
        <v>0</v>
      </c>
      <c r="M990" s="387">
        <f t="shared" si="145"/>
        <v>0</v>
      </c>
      <c r="N990" s="422">
        <f t="shared" si="146"/>
        <v>0</v>
      </c>
    </row>
    <row r="991" spans="1:14" ht="13.2" customHeight="1" x14ac:dyDescent="0.3">
      <c r="A991" s="365">
        <f t="shared" si="147"/>
        <v>6</v>
      </c>
      <c r="B991" s="370" t="s">
        <v>1796</v>
      </c>
      <c r="C991" s="371"/>
      <c r="D991" s="371"/>
      <c r="E991" s="367" t="s">
        <v>399</v>
      </c>
      <c r="F991" s="527"/>
      <c r="G991" s="527"/>
      <c r="H991" s="539"/>
      <c r="I991" s="372">
        <f t="shared" si="143"/>
        <v>0</v>
      </c>
      <c r="J991" s="372"/>
      <c r="K991" s="372">
        <f>'RAB Pasang'!K991*40%</f>
        <v>909732</v>
      </c>
      <c r="L991" s="387">
        <f t="shared" si="144"/>
        <v>0</v>
      </c>
      <c r="M991" s="387">
        <f t="shared" si="145"/>
        <v>0</v>
      </c>
      <c r="N991" s="422">
        <f t="shared" si="146"/>
        <v>0</v>
      </c>
    </row>
    <row r="992" spans="1:14" ht="13.2" customHeight="1" x14ac:dyDescent="0.3">
      <c r="A992" s="365">
        <f t="shared" si="147"/>
        <v>7</v>
      </c>
      <c r="B992" s="370" t="s">
        <v>1797</v>
      </c>
      <c r="C992" s="371"/>
      <c r="D992" s="371"/>
      <c r="E992" s="367" t="s">
        <v>399</v>
      </c>
      <c r="F992" s="527"/>
      <c r="G992" s="527"/>
      <c r="H992" s="539"/>
      <c r="I992" s="372">
        <f t="shared" si="143"/>
        <v>0</v>
      </c>
      <c r="J992" s="372"/>
      <c r="K992" s="372">
        <f>'RAB Pasang'!K992*40%</f>
        <v>909732</v>
      </c>
      <c r="L992" s="387">
        <f t="shared" si="144"/>
        <v>0</v>
      </c>
      <c r="M992" s="387">
        <f t="shared" si="145"/>
        <v>0</v>
      </c>
      <c r="N992" s="422">
        <f t="shared" si="146"/>
        <v>0</v>
      </c>
    </row>
    <row r="993" spans="1:14" ht="13.2" customHeight="1" x14ac:dyDescent="0.3">
      <c r="A993" s="365">
        <f t="shared" si="147"/>
        <v>8</v>
      </c>
      <c r="B993" s="370" t="s">
        <v>1798</v>
      </c>
      <c r="C993" s="371"/>
      <c r="D993" s="371"/>
      <c r="E993" s="367" t="s">
        <v>399</v>
      </c>
      <c r="F993" s="527"/>
      <c r="G993" s="527"/>
      <c r="H993" s="539"/>
      <c r="I993" s="372">
        <f t="shared" si="143"/>
        <v>0</v>
      </c>
      <c r="J993" s="372"/>
      <c r="K993" s="372">
        <f>'RAB Pasang'!K993*40%</f>
        <v>909732</v>
      </c>
      <c r="L993" s="387">
        <f t="shared" si="144"/>
        <v>0</v>
      </c>
      <c r="M993" s="387">
        <f t="shared" si="145"/>
        <v>0</v>
      </c>
      <c r="N993" s="422">
        <f t="shared" si="146"/>
        <v>0</v>
      </c>
    </row>
    <row r="994" spans="1:14" ht="13.2" customHeight="1" x14ac:dyDescent="0.3">
      <c r="A994" s="365">
        <f t="shared" si="147"/>
        <v>9</v>
      </c>
      <c r="B994" s="370" t="s">
        <v>1799</v>
      </c>
      <c r="C994" s="371"/>
      <c r="D994" s="371"/>
      <c r="E994" s="367" t="s">
        <v>399</v>
      </c>
      <c r="F994" s="527"/>
      <c r="G994" s="527"/>
      <c r="H994" s="539"/>
      <c r="I994" s="372">
        <f t="shared" si="143"/>
        <v>0</v>
      </c>
      <c r="J994" s="372"/>
      <c r="K994" s="372">
        <f>'RAB Pasang'!K994*40%</f>
        <v>525736</v>
      </c>
      <c r="L994" s="387">
        <f t="shared" si="144"/>
        <v>0</v>
      </c>
      <c r="M994" s="387">
        <f t="shared" si="145"/>
        <v>0</v>
      </c>
      <c r="N994" s="422">
        <f t="shared" si="146"/>
        <v>0</v>
      </c>
    </row>
    <row r="995" spans="1:14" ht="13.2" customHeight="1" x14ac:dyDescent="0.3">
      <c r="A995" s="365">
        <f t="shared" si="147"/>
        <v>10</v>
      </c>
      <c r="B995" s="370" t="s">
        <v>1800</v>
      </c>
      <c r="C995" s="371"/>
      <c r="D995" s="371"/>
      <c r="E995" s="367" t="s">
        <v>399</v>
      </c>
      <c r="F995" s="527"/>
      <c r="G995" s="527"/>
      <c r="H995" s="539"/>
      <c r="I995" s="372">
        <f t="shared" si="143"/>
        <v>0</v>
      </c>
      <c r="J995" s="372"/>
      <c r="K995" s="372">
        <f>'RAB Pasang'!K995*40%</f>
        <v>525736</v>
      </c>
      <c r="L995" s="387">
        <f t="shared" si="144"/>
        <v>0</v>
      </c>
      <c r="M995" s="387">
        <f t="shared" si="145"/>
        <v>0</v>
      </c>
      <c r="N995" s="422">
        <f t="shared" si="146"/>
        <v>0</v>
      </c>
    </row>
    <row r="996" spans="1:14" ht="13.2" customHeight="1" x14ac:dyDescent="0.3">
      <c r="A996" s="365">
        <f t="shared" si="147"/>
        <v>11</v>
      </c>
      <c r="B996" s="370" t="s">
        <v>1801</v>
      </c>
      <c r="C996" s="371"/>
      <c r="D996" s="371"/>
      <c r="E996" s="367" t="s">
        <v>399</v>
      </c>
      <c r="F996" s="527"/>
      <c r="G996" s="527"/>
      <c r="H996" s="539"/>
      <c r="I996" s="372">
        <f t="shared" si="143"/>
        <v>0</v>
      </c>
      <c r="J996" s="372"/>
      <c r="K996" s="372">
        <f>'RAB Pasang'!K996*40%</f>
        <v>525736</v>
      </c>
      <c r="L996" s="387">
        <f t="shared" si="144"/>
        <v>0</v>
      </c>
      <c r="M996" s="387">
        <f t="shared" si="145"/>
        <v>0</v>
      </c>
      <c r="N996" s="422">
        <f t="shared" si="146"/>
        <v>0</v>
      </c>
    </row>
    <row r="997" spans="1:14" ht="13.2" customHeight="1" x14ac:dyDescent="0.3">
      <c r="A997" s="365">
        <f t="shared" si="147"/>
        <v>12</v>
      </c>
      <c r="B997" s="370" t="s">
        <v>1802</v>
      </c>
      <c r="C997" s="371"/>
      <c r="D997" s="371"/>
      <c r="E997" s="367" t="s">
        <v>399</v>
      </c>
      <c r="F997" s="527"/>
      <c r="G997" s="527"/>
      <c r="H997" s="539"/>
      <c r="I997" s="372">
        <f t="shared" si="143"/>
        <v>0</v>
      </c>
      <c r="J997" s="372"/>
      <c r="K997" s="372">
        <f>'RAB Pasang'!K997*40%</f>
        <v>909732</v>
      </c>
      <c r="L997" s="387">
        <f t="shared" si="144"/>
        <v>0</v>
      </c>
      <c r="M997" s="387">
        <f t="shared" si="145"/>
        <v>0</v>
      </c>
      <c r="N997" s="422">
        <f t="shared" si="146"/>
        <v>0</v>
      </c>
    </row>
    <row r="998" spans="1:14" ht="13.2" customHeight="1" x14ac:dyDescent="0.3">
      <c r="A998" s="365">
        <f t="shared" si="147"/>
        <v>13</v>
      </c>
      <c r="B998" s="370" t="s">
        <v>1803</v>
      </c>
      <c r="C998" s="371"/>
      <c r="D998" s="371"/>
      <c r="E998" s="367" t="s">
        <v>399</v>
      </c>
      <c r="F998" s="527"/>
      <c r="G998" s="527"/>
      <c r="H998" s="539"/>
      <c r="I998" s="372">
        <f t="shared" si="143"/>
        <v>0</v>
      </c>
      <c r="J998" s="372"/>
      <c r="K998" s="372">
        <f>'RAB Pasang'!K998*40%</f>
        <v>909732</v>
      </c>
      <c r="L998" s="387">
        <f t="shared" si="144"/>
        <v>0</v>
      </c>
      <c r="M998" s="387">
        <f t="shared" si="145"/>
        <v>0</v>
      </c>
      <c r="N998" s="422">
        <f t="shared" si="146"/>
        <v>0</v>
      </c>
    </row>
    <row r="999" spans="1:14" ht="13.2" customHeight="1" x14ac:dyDescent="0.3">
      <c r="A999" s="365">
        <f t="shared" si="147"/>
        <v>14</v>
      </c>
      <c r="B999" s="370" t="s">
        <v>1804</v>
      </c>
      <c r="C999" s="371"/>
      <c r="D999" s="371"/>
      <c r="E999" s="367" t="s">
        <v>399</v>
      </c>
      <c r="F999" s="527"/>
      <c r="G999" s="527"/>
      <c r="H999" s="539"/>
      <c r="I999" s="372">
        <f t="shared" si="143"/>
        <v>0</v>
      </c>
      <c r="J999" s="372"/>
      <c r="K999" s="372">
        <f>'RAB Pasang'!K999*40%</f>
        <v>909732</v>
      </c>
      <c r="L999" s="387">
        <f t="shared" si="144"/>
        <v>0</v>
      </c>
      <c r="M999" s="387">
        <f t="shared" si="145"/>
        <v>0</v>
      </c>
      <c r="N999" s="422">
        <f t="shared" si="146"/>
        <v>0</v>
      </c>
    </row>
    <row r="1000" spans="1:14" ht="13.2" customHeight="1" x14ac:dyDescent="0.3">
      <c r="A1000" s="365">
        <f t="shared" si="147"/>
        <v>15</v>
      </c>
      <c r="B1000" s="370" t="s">
        <v>1829</v>
      </c>
      <c r="C1000" s="371"/>
      <c r="D1000" s="371"/>
      <c r="E1000" s="367" t="s">
        <v>399</v>
      </c>
      <c r="F1000" s="527"/>
      <c r="G1000" s="527"/>
      <c r="H1000" s="539"/>
      <c r="I1000" s="372">
        <f t="shared" si="143"/>
        <v>0</v>
      </c>
      <c r="J1000" s="372"/>
      <c r="K1000" s="372">
        <f>'RAB Pasang'!K1000*40%</f>
        <v>652012</v>
      </c>
      <c r="L1000" s="387">
        <f t="shared" si="144"/>
        <v>0</v>
      </c>
      <c r="M1000" s="387">
        <f t="shared" si="145"/>
        <v>0</v>
      </c>
      <c r="N1000" s="422">
        <f t="shared" si="146"/>
        <v>0</v>
      </c>
    </row>
    <row r="1001" spans="1:14" ht="13.2" customHeight="1" x14ac:dyDescent="0.3">
      <c r="A1001" s="365">
        <f t="shared" si="147"/>
        <v>16</v>
      </c>
      <c r="B1001" s="370" t="s">
        <v>1830</v>
      </c>
      <c r="C1001" s="371"/>
      <c r="D1001" s="371"/>
      <c r="E1001" s="367" t="s">
        <v>399</v>
      </c>
      <c r="F1001" s="527"/>
      <c r="G1001" s="527"/>
      <c r="H1001" s="539"/>
      <c r="I1001" s="372">
        <f t="shared" si="143"/>
        <v>0</v>
      </c>
      <c r="J1001" s="372"/>
      <c r="K1001" s="372">
        <f>'RAB Pasang'!K1001*40%</f>
        <v>652012</v>
      </c>
      <c r="L1001" s="387">
        <f t="shared" si="144"/>
        <v>0</v>
      </c>
      <c r="M1001" s="387">
        <f t="shared" si="145"/>
        <v>0</v>
      </c>
      <c r="N1001" s="422">
        <f t="shared" si="146"/>
        <v>0</v>
      </c>
    </row>
    <row r="1002" spans="1:14" ht="13.2" customHeight="1" x14ac:dyDescent="0.3">
      <c r="A1002" s="365">
        <f t="shared" si="147"/>
        <v>17</v>
      </c>
      <c r="B1002" s="370" t="s">
        <v>1831</v>
      </c>
      <c r="C1002" s="371"/>
      <c r="D1002" s="371"/>
      <c r="E1002" s="367" t="s">
        <v>399</v>
      </c>
      <c r="F1002" s="527"/>
      <c r="G1002" s="527"/>
      <c r="H1002" s="539"/>
      <c r="I1002" s="372">
        <f t="shared" si="143"/>
        <v>0</v>
      </c>
      <c r="J1002" s="372"/>
      <c r="K1002" s="372">
        <f>'RAB Pasang'!K1002*40%</f>
        <v>909732</v>
      </c>
      <c r="L1002" s="387">
        <f t="shared" si="144"/>
        <v>0</v>
      </c>
      <c r="M1002" s="387">
        <f t="shared" si="145"/>
        <v>0</v>
      </c>
      <c r="N1002" s="422">
        <f t="shared" si="146"/>
        <v>0</v>
      </c>
    </row>
    <row r="1003" spans="1:14" ht="13.2" customHeight="1" x14ac:dyDescent="0.3">
      <c r="A1003" s="365">
        <f t="shared" si="147"/>
        <v>18</v>
      </c>
      <c r="B1003" s="370" t="s">
        <v>416</v>
      </c>
      <c r="C1003" s="371"/>
      <c r="D1003" s="371"/>
      <c r="E1003" s="367" t="s">
        <v>399</v>
      </c>
      <c r="F1003" s="527"/>
      <c r="G1003" s="527"/>
      <c r="H1003" s="539"/>
      <c r="I1003" s="372">
        <f t="shared" si="143"/>
        <v>0</v>
      </c>
      <c r="J1003" s="372"/>
      <c r="K1003" s="372">
        <f>'RAB Pasang'!K1003*40%</f>
        <v>909732</v>
      </c>
      <c r="L1003" s="387">
        <f t="shared" si="144"/>
        <v>0</v>
      </c>
      <c r="M1003" s="387">
        <f t="shared" si="145"/>
        <v>0</v>
      </c>
      <c r="N1003" s="422">
        <f t="shared" si="146"/>
        <v>0</v>
      </c>
    </row>
    <row r="1004" spans="1:14" ht="13.2" customHeight="1" x14ac:dyDescent="0.3">
      <c r="A1004" s="365">
        <f t="shared" si="147"/>
        <v>19</v>
      </c>
      <c r="B1004" s="370" t="s">
        <v>1805</v>
      </c>
      <c r="C1004" s="371"/>
      <c r="D1004" s="371"/>
      <c r="E1004" s="367" t="s">
        <v>203</v>
      </c>
      <c r="F1004" s="527"/>
      <c r="G1004" s="527"/>
      <c r="H1004" s="539"/>
      <c r="I1004" s="372">
        <f t="shared" si="143"/>
        <v>0</v>
      </c>
      <c r="J1004" s="372"/>
      <c r="K1004" s="372">
        <f>'RAB Pasang'!K1004*40%</f>
        <v>19144</v>
      </c>
      <c r="L1004" s="387">
        <f t="shared" si="144"/>
        <v>0</v>
      </c>
      <c r="M1004" s="387">
        <f t="shared" si="145"/>
        <v>0</v>
      </c>
      <c r="N1004" s="422">
        <f t="shared" si="146"/>
        <v>0</v>
      </c>
    </row>
    <row r="1005" spans="1:14" ht="13.95" customHeight="1" x14ac:dyDescent="0.3">
      <c r="A1005" s="485"/>
      <c r="B1005" s="497" t="s">
        <v>1806</v>
      </c>
      <c r="C1005" s="487"/>
      <c r="D1005" s="487"/>
      <c r="E1005" s="488"/>
      <c r="F1005" s="492"/>
      <c r="G1005" s="492"/>
      <c r="H1005" s="492"/>
      <c r="I1005" s="543"/>
      <c r="J1005" s="492"/>
      <c r="K1005" s="492"/>
      <c r="L1005" s="490">
        <f t="shared" ref="L1005:N1005" si="148">SUM(L986:L1004)</f>
        <v>0</v>
      </c>
      <c r="M1005" s="490">
        <f t="shared" si="148"/>
        <v>0</v>
      </c>
      <c r="N1005" s="491">
        <f t="shared" si="148"/>
        <v>0</v>
      </c>
    </row>
    <row r="1006" spans="1:14" ht="7.95" customHeight="1" x14ac:dyDescent="0.3">
      <c r="A1006" s="365"/>
      <c r="B1006" s="370"/>
      <c r="C1006" s="371"/>
      <c r="D1006" s="371"/>
      <c r="E1006" s="367"/>
      <c r="F1006" s="527"/>
      <c r="G1006" s="527"/>
      <c r="H1006" s="527"/>
      <c r="I1006" s="372"/>
      <c r="J1006" s="372"/>
      <c r="K1006" s="372"/>
      <c r="L1006" s="387"/>
      <c r="M1006" s="387"/>
      <c r="N1006" s="422"/>
    </row>
    <row r="1007" spans="1:14" ht="13.95" customHeight="1" x14ac:dyDescent="0.3">
      <c r="A1007" s="495" t="s">
        <v>616</v>
      </c>
      <c r="B1007" s="478" t="s">
        <v>1638</v>
      </c>
      <c r="C1007" s="480"/>
      <c r="D1007" s="480"/>
      <c r="E1007" s="493"/>
      <c r="F1007" s="579"/>
      <c r="G1007" s="579"/>
      <c r="H1007" s="579"/>
      <c r="I1007" s="494"/>
      <c r="J1007" s="494"/>
      <c r="K1007" s="494"/>
      <c r="L1007" s="484"/>
      <c r="M1007" s="484"/>
      <c r="N1007" s="496"/>
    </row>
    <row r="1008" spans="1:14" ht="13.2" customHeight="1" x14ac:dyDescent="0.3">
      <c r="A1008" s="365">
        <v>1</v>
      </c>
      <c r="B1008" s="366" t="s">
        <v>1955</v>
      </c>
      <c r="C1008" s="362"/>
      <c r="D1008" s="362"/>
      <c r="E1008" s="368" t="s">
        <v>235</v>
      </c>
      <c r="F1008" s="535"/>
      <c r="G1008" s="535"/>
      <c r="H1008" s="538"/>
      <c r="I1008" s="369">
        <f t="shared" ref="I1008:I1055" si="149">SUM(F1008:H1008)</f>
        <v>0</v>
      </c>
      <c r="J1008" s="369"/>
      <c r="K1008" s="369">
        <f>'RAB Pasang'!K1008*40%</f>
        <v>78860</v>
      </c>
      <c r="L1008" s="385">
        <f t="shared" ref="L1008:L1055" si="150">J1008*I1008</f>
        <v>0</v>
      </c>
      <c r="M1008" s="385">
        <f t="shared" ref="M1008:M1055" si="151">K1008*I1008</f>
        <v>0</v>
      </c>
      <c r="N1008" s="388">
        <f t="shared" ref="N1008:N1055" si="152">SUM(L1008:M1008)</f>
        <v>0</v>
      </c>
    </row>
    <row r="1009" spans="1:14" ht="13.2" customHeight="1" x14ac:dyDescent="0.3">
      <c r="A1009" s="365">
        <f>A1008+1</f>
        <v>2</v>
      </c>
      <c r="B1009" s="366" t="s">
        <v>1956</v>
      </c>
      <c r="C1009" s="362"/>
      <c r="D1009" s="362"/>
      <c r="E1009" s="368" t="s">
        <v>235</v>
      </c>
      <c r="F1009" s="535"/>
      <c r="G1009" s="535"/>
      <c r="H1009" s="538"/>
      <c r="I1009" s="369">
        <f t="shared" si="149"/>
        <v>0</v>
      </c>
      <c r="J1009" s="369"/>
      <c r="K1009" s="369">
        <f>'RAB Pasang'!K1009*40%</f>
        <v>78860</v>
      </c>
      <c r="L1009" s="385">
        <f t="shared" si="150"/>
        <v>0</v>
      </c>
      <c r="M1009" s="385">
        <f t="shared" si="151"/>
        <v>0</v>
      </c>
      <c r="N1009" s="388">
        <f t="shared" si="152"/>
        <v>0</v>
      </c>
    </row>
    <row r="1010" spans="1:14" ht="13.2" customHeight="1" x14ac:dyDescent="0.3">
      <c r="A1010" s="365">
        <f t="shared" ref="A1010:A1055" si="153">A1009+1</f>
        <v>3</v>
      </c>
      <c r="B1010" s="366" t="s">
        <v>1957</v>
      </c>
      <c r="C1010" s="362"/>
      <c r="D1010" s="362"/>
      <c r="E1010" s="368" t="s">
        <v>235</v>
      </c>
      <c r="F1010" s="535"/>
      <c r="G1010" s="535"/>
      <c r="H1010" s="538"/>
      <c r="I1010" s="369">
        <f t="shared" si="149"/>
        <v>0</v>
      </c>
      <c r="J1010" s="369"/>
      <c r="K1010" s="369">
        <f>'RAB Pasang'!K1010*40%</f>
        <v>78860</v>
      </c>
      <c r="L1010" s="385">
        <f t="shared" si="150"/>
        <v>0</v>
      </c>
      <c r="M1010" s="385">
        <f t="shared" si="151"/>
        <v>0</v>
      </c>
      <c r="N1010" s="388">
        <f t="shared" si="152"/>
        <v>0</v>
      </c>
    </row>
    <row r="1011" spans="1:14" ht="13.2" customHeight="1" x14ac:dyDescent="0.3">
      <c r="A1011" s="365">
        <f t="shared" si="153"/>
        <v>4</v>
      </c>
      <c r="B1011" s="366" t="s">
        <v>1958</v>
      </c>
      <c r="C1011" s="362"/>
      <c r="D1011" s="362"/>
      <c r="E1011" s="368" t="s">
        <v>235</v>
      </c>
      <c r="F1011" s="535"/>
      <c r="G1011" s="535"/>
      <c r="H1011" s="538"/>
      <c r="I1011" s="369">
        <f t="shared" si="149"/>
        <v>0</v>
      </c>
      <c r="J1011" s="369"/>
      <c r="K1011" s="369">
        <f>'RAB Pasang'!K1011*40%</f>
        <v>78860</v>
      </c>
      <c r="L1011" s="385">
        <f t="shared" si="150"/>
        <v>0</v>
      </c>
      <c r="M1011" s="385">
        <f t="shared" si="151"/>
        <v>0</v>
      </c>
      <c r="N1011" s="388">
        <f t="shared" si="152"/>
        <v>0</v>
      </c>
    </row>
    <row r="1012" spans="1:14" ht="13.2" customHeight="1" x14ac:dyDescent="0.3">
      <c r="A1012" s="365">
        <f t="shared" si="153"/>
        <v>5</v>
      </c>
      <c r="B1012" s="366" t="s">
        <v>1959</v>
      </c>
      <c r="C1012" s="362"/>
      <c r="D1012" s="362"/>
      <c r="E1012" s="368" t="s">
        <v>235</v>
      </c>
      <c r="F1012" s="538"/>
      <c r="G1012" s="538"/>
      <c r="H1012" s="535"/>
      <c r="I1012" s="369">
        <f t="shared" si="149"/>
        <v>0</v>
      </c>
      <c r="J1012" s="369"/>
      <c r="K1012" s="369">
        <f>'RAB Pasang'!K1012*40%</f>
        <v>78860</v>
      </c>
      <c r="L1012" s="385">
        <f t="shared" si="150"/>
        <v>0</v>
      </c>
      <c r="M1012" s="385">
        <f t="shared" si="151"/>
        <v>0</v>
      </c>
      <c r="N1012" s="388">
        <f t="shared" si="152"/>
        <v>0</v>
      </c>
    </row>
    <row r="1013" spans="1:14" ht="13.2" customHeight="1" x14ac:dyDescent="0.3">
      <c r="A1013" s="365">
        <f t="shared" si="153"/>
        <v>6</v>
      </c>
      <c r="B1013" s="366" t="s">
        <v>1960</v>
      </c>
      <c r="C1013" s="362"/>
      <c r="D1013" s="362"/>
      <c r="E1013" s="368" t="s">
        <v>235</v>
      </c>
      <c r="F1013" s="538"/>
      <c r="G1013" s="538"/>
      <c r="H1013" s="535"/>
      <c r="I1013" s="369">
        <f t="shared" si="149"/>
        <v>0</v>
      </c>
      <c r="J1013" s="369"/>
      <c r="K1013" s="369">
        <f>'RAB Pasang'!K1013*40%</f>
        <v>78860</v>
      </c>
      <c r="L1013" s="385">
        <f t="shared" si="150"/>
        <v>0</v>
      </c>
      <c r="M1013" s="385">
        <f t="shared" si="151"/>
        <v>0</v>
      </c>
      <c r="N1013" s="388">
        <f t="shared" si="152"/>
        <v>0</v>
      </c>
    </row>
    <row r="1014" spans="1:14" ht="13.2" customHeight="1" x14ac:dyDescent="0.3">
      <c r="A1014" s="365">
        <f t="shared" si="153"/>
        <v>7</v>
      </c>
      <c r="B1014" s="366" t="s">
        <v>2325</v>
      </c>
      <c r="C1014" s="362"/>
      <c r="D1014" s="362"/>
      <c r="E1014" s="368" t="s">
        <v>235</v>
      </c>
      <c r="F1014" s="535"/>
      <c r="G1014" s="535"/>
      <c r="H1014" s="538"/>
      <c r="I1014" s="369">
        <f t="shared" si="149"/>
        <v>0</v>
      </c>
      <c r="J1014" s="369"/>
      <c r="K1014" s="369">
        <f>'RAB Pasang'!K1014*40%</f>
        <v>78860</v>
      </c>
      <c r="L1014" s="385">
        <f t="shared" si="150"/>
        <v>0</v>
      </c>
      <c r="M1014" s="385">
        <f t="shared" si="151"/>
        <v>0</v>
      </c>
      <c r="N1014" s="388">
        <f t="shared" si="152"/>
        <v>0</v>
      </c>
    </row>
    <row r="1015" spans="1:14" ht="13.2" customHeight="1" x14ac:dyDescent="0.3">
      <c r="A1015" s="365">
        <f t="shared" si="153"/>
        <v>8</v>
      </c>
      <c r="B1015" s="366" t="s">
        <v>1961</v>
      </c>
      <c r="C1015" s="362"/>
      <c r="D1015" s="362"/>
      <c r="E1015" s="368" t="s">
        <v>235</v>
      </c>
      <c r="F1015" s="535"/>
      <c r="G1015" s="535"/>
      <c r="H1015" s="538"/>
      <c r="I1015" s="369">
        <f t="shared" si="149"/>
        <v>0</v>
      </c>
      <c r="J1015" s="369"/>
      <c r="K1015" s="369">
        <f>'RAB Pasang'!K1015*40%</f>
        <v>78860</v>
      </c>
      <c r="L1015" s="385">
        <f t="shared" si="150"/>
        <v>0</v>
      </c>
      <c r="M1015" s="385">
        <f t="shared" si="151"/>
        <v>0</v>
      </c>
      <c r="N1015" s="388">
        <f t="shared" si="152"/>
        <v>0</v>
      </c>
    </row>
    <row r="1016" spans="1:14" ht="13.2" customHeight="1" x14ac:dyDescent="0.3">
      <c r="A1016" s="365">
        <f t="shared" si="153"/>
        <v>9</v>
      </c>
      <c r="B1016" s="366" t="s">
        <v>1962</v>
      </c>
      <c r="C1016" s="362"/>
      <c r="D1016" s="362"/>
      <c r="E1016" s="368" t="s">
        <v>235</v>
      </c>
      <c r="F1016" s="535"/>
      <c r="G1016" s="535"/>
      <c r="H1016" s="538"/>
      <c r="I1016" s="369">
        <f t="shared" si="149"/>
        <v>0</v>
      </c>
      <c r="J1016" s="369"/>
      <c r="K1016" s="369">
        <f>'RAB Pasang'!K1016*40%</f>
        <v>78860</v>
      </c>
      <c r="L1016" s="385">
        <f t="shared" si="150"/>
        <v>0</v>
      </c>
      <c r="M1016" s="385">
        <f t="shared" si="151"/>
        <v>0</v>
      </c>
      <c r="N1016" s="388">
        <f t="shared" si="152"/>
        <v>0</v>
      </c>
    </row>
    <row r="1017" spans="1:14" ht="13.2" customHeight="1" x14ac:dyDescent="0.3">
      <c r="A1017" s="365">
        <f t="shared" si="153"/>
        <v>10</v>
      </c>
      <c r="B1017" s="366" t="s">
        <v>1963</v>
      </c>
      <c r="C1017" s="362"/>
      <c r="D1017" s="362"/>
      <c r="E1017" s="368" t="s">
        <v>235</v>
      </c>
      <c r="F1017" s="535"/>
      <c r="G1017" s="535"/>
      <c r="H1017" s="538"/>
      <c r="I1017" s="369">
        <f t="shared" si="149"/>
        <v>0</v>
      </c>
      <c r="J1017" s="369"/>
      <c r="K1017" s="369">
        <f>'RAB Pasang'!K1017*40%</f>
        <v>78860</v>
      </c>
      <c r="L1017" s="385">
        <f t="shared" si="150"/>
        <v>0</v>
      </c>
      <c r="M1017" s="385">
        <f t="shared" si="151"/>
        <v>0</v>
      </c>
      <c r="N1017" s="388">
        <f t="shared" si="152"/>
        <v>0</v>
      </c>
    </row>
    <row r="1018" spans="1:14" ht="13.2" customHeight="1" x14ac:dyDescent="0.3">
      <c r="A1018" s="365">
        <f t="shared" si="153"/>
        <v>11</v>
      </c>
      <c r="B1018" s="366" t="s">
        <v>1964</v>
      </c>
      <c r="C1018" s="362"/>
      <c r="D1018" s="362"/>
      <c r="E1018" s="368" t="s">
        <v>235</v>
      </c>
      <c r="F1018" s="538"/>
      <c r="G1018" s="538"/>
      <c r="H1018" s="535"/>
      <c r="I1018" s="369">
        <f t="shared" si="149"/>
        <v>0</v>
      </c>
      <c r="J1018" s="369"/>
      <c r="K1018" s="369">
        <f>'RAB Pasang'!K1018*40%</f>
        <v>78860</v>
      </c>
      <c r="L1018" s="385">
        <f t="shared" si="150"/>
        <v>0</v>
      </c>
      <c r="M1018" s="385">
        <f t="shared" si="151"/>
        <v>0</v>
      </c>
      <c r="N1018" s="388">
        <f t="shared" si="152"/>
        <v>0</v>
      </c>
    </row>
    <row r="1019" spans="1:14" ht="13.2" customHeight="1" x14ac:dyDescent="0.3">
      <c r="A1019" s="365">
        <f t="shared" si="153"/>
        <v>12</v>
      </c>
      <c r="B1019" s="366" t="s">
        <v>1965</v>
      </c>
      <c r="C1019" s="362"/>
      <c r="D1019" s="362"/>
      <c r="E1019" s="368" t="s">
        <v>235</v>
      </c>
      <c r="F1019" s="538"/>
      <c r="G1019" s="538"/>
      <c r="H1019" s="535"/>
      <c r="I1019" s="369">
        <f t="shared" si="149"/>
        <v>0</v>
      </c>
      <c r="J1019" s="369"/>
      <c r="K1019" s="369">
        <f>'RAB Pasang'!K1019*40%</f>
        <v>78860</v>
      </c>
      <c r="L1019" s="385">
        <f t="shared" si="150"/>
        <v>0</v>
      </c>
      <c r="M1019" s="385">
        <f t="shared" si="151"/>
        <v>0</v>
      </c>
      <c r="N1019" s="388">
        <f t="shared" si="152"/>
        <v>0</v>
      </c>
    </row>
    <row r="1020" spans="1:14" ht="13.2" customHeight="1" x14ac:dyDescent="0.3">
      <c r="A1020" s="365">
        <f t="shared" si="153"/>
        <v>13</v>
      </c>
      <c r="B1020" s="366" t="s">
        <v>2326</v>
      </c>
      <c r="C1020" s="362"/>
      <c r="D1020" s="362"/>
      <c r="E1020" s="368" t="s">
        <v>235</v>
      </c>
      <c r="F1020" s="535"/>
      <c r="G1020" s="535"/>
      <c r="H1020" s="538"/>
      <c r="I1020" s="369">
        <f t="shared" si="149"/>
        <v>0</v>
      </c>
      <c r="J1020" s="369"/>
      <c r="K1020" s="369">
        <f>'RAB Pasang'!K1020*40%</f>
        <v>78860</v>
      </c>
      <c r="L1020" s="385">
        <f t="shared" si="150"/>
        <v>0</v>
      </c>
      <c r="M1020" s="385">
        <f t="shared" si="151"/>
        <v>0</v>
      </c>
      <c r="N1020" s="388">
        <f t="shared" si="152"/>
        <v>0</v>
      </c>
    </row>
    <row r="1021" spans="1:14" ht="13.2" customHeight="1" x14ac:dyDescent="0.3">
      <c r="A1021" s="365">
        <f t="shared" si="153"/>
        <v>14</v>
      </c>
      <c r="B1021" s="366" t="s">
        <v>1966</v>
      </c>
      <c r="C1021" s="362"/>
      <c r="D1021" s="362"/>
      <c r="E1021" s="368" t="s">
        <v>235</v>
      </c>
      <c r="F1021" s="535"/>
      <c r="G1021" s="535"/>
      <c r="H1021" s="538"/>
      <c r="I1021" s="369">
        <f t="shared" si="149"/>
        <v>0</v>
      </c>
      <c r="J1021" s="369"/>
      <c r="K1021" s="369">
        <f>'RAB Pasang'!K1021*40%</f>
        <v>78860</v>
      </c>
      <c r="L1021" s="385">
        <f t="shared" si="150"/>
        <v>0</v>
      </c>
      <c r="M1021" s="385">
        <f t="shared" si="151"/>
        <v>0</v>
      </c>
      <c r="N1021" s="388">
        <f t="shared" si="152"/>
        <v>0</v>
      </c>
    </row>
    <row r="1022" spans="1:14" ht="13.2" customHeight="1" x14ac:dyDescent="0.3">
      <c r="A1022" s="365">
        <f t="shared" si="153"/>
        <v>15</v>
      </c>
      <c r="B1022" s="366" t="s">
        <v>1967</v>
      </c>
      <c r="C1022" s="362"/>
      <c r="D1022" s="362"/>
      <c r="E1022" s="368" t="s">
        <v>235</v>
      </c>
      <c r="F1022" s="535"/>
      <c r="G1022" s="535"/>
      <c r="H1022" s="538"/>
      <c r="I1022" s="369">
        <f t="shared" si="149"/>
        <v>0</v>
      </c>
      <c r="J1022" s="369"/>
      <c r="K1022" s="369">
        <f>'RAB Pasang'!K1022*40%</f>
        <v>78860</v>
      </c>
      <c r="L1022" s="385">
        <f t="shared" si="150"/>
        <v>0</v>
      </c>
      <c r="M1022" s="385">
        <f t="shared" si="151"/>
        <v>0</v>
      </c>
      <c r="N1022" s="388">
        <f t="shared" si="152"/>
        <v>0</v>
      </c>
    </row>
    <row r="1023" spans="1:14" ht="13.2" customHeight="1" x14ac:dyDescent="0.3">
      <c r="A1023" s="365">
        <f t="shared" si="153"/>
        <v>16</v>
      </c>
      <c r="B1023" s="366" t="s">
        <v>1968</v>
      </c>
      <c r="C1023" s="362"/>
      <c r="D1023" s="362"/>
      <c r="E1023" s="368" t="s">
        <v>235</v>
      </c>
      <c r="F1023" s="535"/>
      <c r="G1023" s="535"/>
      <c r="H1023" s="538"/>
      <c r="I1023" s="369">
        <f t="shared" si="149"/>
        <v>0</v>
      </c>
      <c r="J1023" s="369"/>
      <c r="K1023" s="369">
        <f>'RAB Pasang'!K1023*40%</f>
        <v>78860</v>
      </c>
      <c r="L1023" s="385">
        <f t="shared" si="150"/>
        <v>0</v>
      </c>
      <c r="M1023" s="385">
        <f t="shared" si="151"/>
        <v>0</v>
      </c>
      <c r="N1023" s="388">
        <f t="shared" si="152"/>
        <v>0</v>
      </c>
    </row>
    <row r="1024" spans="1:14" ht="13.2" customHeight="1" x14ac:dyDescent="0.3">
      <c r="A1024" s="365">
        <f t="shared" si="153"/>
        <v>17</v>
      </c>
      <c r="B1024" s="366" t="s">
        <v>1969</v>
      </c>
      <c r="C1024" s="362"/>
      <c r="D1024" s="362"/>
      <c r="E1024" s="368" t="s">
        <v>235</v>
      </c>
      <c r="F1024" s="538"/>
      <c r="G1024" s="538"/>
      <c r="H1024" s="535"/>
      <c r="I1024" s="369">
        <f t="shared" si="149"/>
        <v>0</v>
      </c>
      <c r="J1024" s="369"/>
      <c r="K1024" s="369">
        <f>'RAB Pasang'!K1024*40%</f>
        <v>78860</v>
      </c>
      <c r="L1024" s="385">
        <f t="shared" si="150"/>
        <v>0</v>
      </c>
      <c r="M1024" s="385">
        <f t="shared" si="151"/>
        <v>0</v>
      </c>
      <c r="N1024" s="388">
        <f t="shared" si="152"/>
        <v>0</v>
      </c>
    </row>
    <row r="1025" spans="1:14" ht="13.2" customHeight="1" x14ac:dyDescent="0.3">
      <c r="A1025" s="365">
        <f t="shared" si="153"/>
        <v>18</v>
      </c>
      <c r="B1025" s="366" t="s">
        <v>1970</v>
      </c>
      <c r="C1025" s="362"/>
      <c r="D1025" s="362"/>
      <c r="E1025" s="368" t="s">
        <v>235</v>
      </c>
      <c r="F1025" s="538"/>
      <c r="G1025" s="538"/>
      <c r="H1025" s="535"/>
      <c r="I1025" s="369">
        <f t="shared" si="149"/>
        <v>0</v>
      </c>
      <c r="J1025" s="369"/>
      <c r="K1025" s="369">
        <f>'RAB Pasang'!K1025*40%</f>
        <v>78860</v>
      </c>
      <c r="L1025" s="385">
        <f t="shared" si="150"/>
        <v>0</v>
      </c>
      <c r="M1025" s="385">
        <f t="shared" si="151"/>
        <v>0</v>
      </c>
      <c r="N1025" s="388">
        <f t="shared" si="152"/>
        <v>0</v>
      </c>
    </row>
    <row r="1026" spans="1:14" ht="13.2" customHeight="1" x14ac:dyDescent="0.3">
      <c r="A1026" s="365">
        <f t="shared" si="153"/>
        <v>19</v>
      </c>
      <c r="B1026" s="366" t="s">
        <v>2327</v>
      </c>
      <c r="C1026" s="362"/>
      <c r="D1026" s="362"/>
      <c r="E1026" s="368" t="s">
        <v>235</v>
      </c>
      <c r="F1026" s="535"/>
      <c r="G1026" s="535"/>
      <c r="H1026" s="538"/>
      <c r="I1026" s="369">
        <f t="shared" si="149"/>
        <v>0</v>
      </c>
      <c r="J1026" s="369"/>
      <c r="K1026" s="369">
        <f>'RAB Pasang'!K1026*40%</f>
        <v>78860</v>
      </c>
      <c r="L1026" s="387">
        <f t="shared" si="150"/>
        <v>0</v>
      </c>
      <c r="M1026" s="387">
        <f t="shared" si="151"/>
        <v>0</v>
      </c>
      <c r="N1026" s="422">
        <f t="shared" si="152"/>
        <v>0</v>
      </c>
    </row>
    <row r="1027" spans="1:14" ht="13.2" customHeight="1" x14ac:dyDescent="0.3">
      <c r="A1027" s="365">
        <f t="shared" si="153"/>
        <v>20</v>
      </c>
      <c r="B1027" s="366" t="s">
        <v>2328</v>
      </c>
      <c r="C1027" s="362"/>
      <c r="D1027" s="362"/>
      <c r="E1027" s="368" t="s">
        <v>235</v>
      </c>
      <c r="F1027" s="535"/>
      <c r="G1027" s="535"/>
      <c r="H1027" s="538"/>
      <c r="I1027" s="369">
        <f t="shared" si="149"/>
        <v>0</v>
      </c>
      <c r="J1027" s="369"/>
      <c r="K1027" s="369">
        <f>'RAB Pasang'!K1027*40%</f>
        <v>78860</v>
      </c>
      <c r="L1027" s="387">
        <f t="shared" si="150"/>
        <v>0</v>
      </c>
      <c r="M1027" s="387">
        <f t="shared" si="151"/>
        <v>0</v>
      </c>
      <c r="N1027" s="422">
        <f t="shared" si="152"/>
        <v>0</v>
      </c>
    </row>
    <row r="1028" spans="1:14" ht="13.2" customHeight="1" x14ac:dyDescent="0.3">
      <c r="A1028" s="365">
        <f t="shared" si="153"/>
        <v>21</v>
      </c>
      <c r="B1028" s="366" t="s">
        <v>2329</v>
      </c>
      <c r="C1028" s="362"/>
      <c r="D1028" s="362"/>
      <c r="E1028" s="368" t="s">
        <v>235</v>
      </c>
      <c r="F1028" s="535"/>
      <c r="G1028" s="535"/>
      <c r="H1028" s="538"/>
      <c r="I1028" s="369">
        <f t="shared" si="149"/>
        <v>0</v>
      </c>
      <c r="J1028" s="369"/>
      <c r="K1028" s="369">
        <f>'RAB Pasang'!K1028*40%</f>
        <v>78860</v>
      </c>
      <c r="L1028" s="387">
        <f t="shared" si="150"/>
        <v>0</v>
      </c>
      <c r="M1028" s="387">
        <f t="shared" si="151"/>
        <v>0</v>
      </c>
      <c r="N1028" s="422">
        <f t="shared" si="152"/>
        <v>0</v>
      </c>
    </row>
    <row r="1029" spans="1:14" ht="13.2" customHeight="1" x14ac:dyDescent="0.3">
      <c r="A1029" s="365">
        <f t="shared" si="153"/>
        <v>22</v>
      </c>
      <c r="B1029" s="366" t="s">
        <v>2330</v>
      </c>
      <c r="C1029" s="362"/>
      <c r="D1029" s="362"/>
      <c r="E1029" s="368" t="s">
        <v>235</v>
      </c>
      <c r="F1029" s="535"/>
      <c r="G1029" s="535"/>
      <c r="H1029" s="538"/>
      <c r="I1029" s="369">
        <f t="shared" si="149"/>
        <v>0</v>
      </c>
      <c r="J1029" s="369"/>
      <c r="K1029" s="369">
        <f>'RAB Pasang'!K1029*40%</f>
        <v>78860</v>
      </c>
      <c r="L1029" s="387">
        <f t="shared" si="150"/>
        <v>0</v>
      </c>
      <c r="M1029" s="387">
        <f t="shared" si="151"/>
        <v>0</v>
      </c>
      <c r="N1029" s="422">
        <f t="shared" si="152"/>
        <v>0</v>
      </c>
    </row>
    <row r="1030" spans="1:14" ht="13.2" customHeight="1" x14ac:dyDescent="0.3">
      <c r="A1030" s="365">
        <f t="shared" si="153"/>
        <v>23</v>
      </c>
      <c r="B1030" s="366" t="s">
        <v>2331</v>
      </c>
      <c r="C1030" s="362"/>
      <c r="D1030" s="362"/>
      <c r="E1030" s="368" t="s">
        <v>235</v>
      </c>
      <c r="F1030" s="538"/>
      <c r="G1030" s="538"/>
      <c r="H1030" s="535"/>
      <c r="I1030" s="369">
        <f t="shared" si="149"/>
        <v>0</v>
      </c>
      <c r="J1030" s="369"/>
      <c r="K1030" s="369">
        <f>'RAB Pasang'!K1030*40%</f>
        <v>78860</v>
      </c>
      <c r="L1030" s="387">
        <f t="shared" si="150"/>
        <v>0</v>
      </c>
      <c r="M1030" s="387">
        <f t="shared" si="151"/>
        <v>0</v>
      </c>
      <c r="N1030" s="422">
        <f t="shared" si="152"/>
        <v>0</v>
      </c>
    </row>
    <row r="1031" spans="1:14" ht="13.2" customHeight="1" x14ac:dyDescent="0.3">
      <c r="A1031" s="365">
        <f t="shared" si="153"/>
        <v>24</v>
      </c>
      <c r="B1031" s="366" t="s">
        <v>2332</v>
      </c>
      <c r="C1031" s="362"/>
      <c r="D1031" s="362"/>
      <c r="E1031" s="368" t="s">
        <v>235</v>
      </c>
      <c r="F1031" s="538"/>
      <c r="G1031" s="538"/>
      <c r="H1031" s="535"/>
      <c r="I1031" s="369">
        <f t="shared" si="149"/>
        <v>0</v>
      </c>
      <c r="J1031" s="369"/>
      <c r="K1031" s="369">
        <f>'RAB Pasang'!K1031*40%</f>
        <v>78860</v>
      </c>
      <c r="L1031" s="387">
        <f t="shared" si="150"/>
        <v>0</v>
      </c>
      <c r="M1031" s="387">
        <f t="shared" si="151"/>
        <v>0</v>
      </c>
      <c r="N1031" s="422">
        <f t="shared" si="152"/>
        <v>0</v>
      </c>
    </row>
    <row r="1032" spans="1:14" ht="13.2" customHeight="1" x14ac:dyDescent="0.3">
      <c r="A1032" s="365">
        <f t="shared" si="153"/>
        <v>25</v>
      </c>
      <c r="B1032" s="366" t="s">
        <v>1971</v>
      </c>
      <c r="C1032" s="362"/>
      <c r="D1032" s="362"/>
      <c r="E1032" s="368" t="s">
        <v>203</v>
      </c>
      <c r="F1032" s="538"/>
      <c r="G1032" s="535"/>
      <c r="H1032" s="538"/>
      <c r="I1032" s="369">
        <f t="shared" si="149"/>
        <v>0</v>
      </c>
      <c r="J1032" s="369"/>
      <c r="K1032" s="369">
        <f>'RAB Pasang'!K1032*40%</f>
        <v>260288</v>
      </c>
      <c r="L1032" s="385">
        <f t="shared" si="150"/>
        <v>0</v>
      </c>
      <c r="M1032" s="385">
        <f t="shared" si="151"/>
        <v>0</v>
      </c>
      <c r="N1032" s="388">
        <f t="shared" si="152"/>
        <v>0</v>
      </c>
    </row>
    <row r="1033" spans="1:14" ht="13.2" customHeight="1" x14ac:dyDescent="0.3">
      <c r="A1033" s="365">
        <f t="shared" si="153"/>
        <v>26</v>
      </c>
      <c r="B1033" s="366" t="s">
        <v>1972</v>
      </c>
      <c r="C1033" s="362"/>
      <c r="D1033" s="362"/>
      <c r="E1033" s="368" t="s">
        <v>203</v>
      </c>
      <c r="F1033" s="538"/>
      <c r="G1033" s="535"/>
      <c r="H1033" s="538"/>
      <c r="I1033" s="369">
        <f t="shared" si="149"/>
        <v>0</v>
      </c>
      <c r="J1033" s="369"/>
      <c r="K1033" s="369">
        <f>'RAB Pasang'!K1033*40%</f>
        <v>452284</v>
      </c>
      <c r="L1033" s="385">
        <f t="shared" si="150"/>
        <v>0</v>
      </c>
      <c r="M1033" s="385">
        <f t="shared" si="151"/>
        <v>0</v>
      </c>
      <c r="N1033" s="388">
        <f t="shared" si="152"/>
        <v>0</v>
      </c>
    </row>
    <row r="1034" spans="1:14" ht="13.2" customHeight="1" x14ac:dyDescent="0.3">
      <c r="A1034" s="365">
        <f t="shared" si="153"/>
        <v>27</v>
      </c>
      <c r="B1034" s="366" t="s">
        <v>1810</v>
      </c>
      <c r="C1034" s="362"/>
      <c r="D1034" s="362"/>
      <c r="E1034" s="368" t="s">
        <v>235</v>
      </c>
      <c r="F1034" s="538"/>
      <c r="G1034" s="538"/>
      <c r="H1034" s="538"/>
      <c r="I1034" s="369">
        <f t="shared" si="149"/>
        <v>0</v>
      </c>
      <c r="J1034" s="369"/>
      <c r="K1034" s="369"/>
      <c r="L1034" s="385">
        <f t="shared" si="150"/>
        <v>0</v>
      </c>
      <c r="M1034" s="385">
        <f t="shared" si="151"/>
        <v>0</v>
      </c>
      <c r="N1034" s="388">
        <f t="shared" si="152"/>
        <v>0</v>
      </c>
    </row>
    <row r="1035" spans="1:14" ht="13.2" customHeight="1" x14ac:dyDescent="0.3">
      <c r="A1035" s="365">
        <f t="shared" si="153"/>
        <v>28</v>
      </c>
      <c r="B1035" s="366" t="s">
        <v>1811</v>
      </c>
      <c r="C1035" s="362"/>
      <c r="D1035" s="362"/>
      <c r="E1035" s="368" t="s">
        <v>235</v>
      </c>
      <c r="F1035" s="538"/>
      <c r="G1035" s="538"/>
      <c r="H1035" s="538"/>
      <c r="I1035" s="369">
        <f t="shared" si="149"/>
        <v>0</v>
      </c>
      <c r="J1035" s="369"/>
      <c r="K1035" s="369"/>
      <c r="L1035" s="385">
        <f t="shared" si="150"/>
        <v>0</v>
      </c>
      <c r="M1035" s="385">
        <f t="shared" si="151"/>
        <v>0</v>
      </c>
      <c r="N1035" s="388">
        <f t="shared" si="152"/>
        <v>0</v>
      </c>
    </row>
    <row r="1036" spans="1:14" ht="13.2" customHeight="1" x14ac:dyDescent="0.3">
      <c r="A1036" s="365">
        <f t="shared" si="153"/>
        <v>29</v>
      </c>
      <c r="B1036" s="366" t="s">
        <v>1812</v>
      </c>
      <c r="C1036" s="362"/>
      <c r="D1036" s="362"/>
      <c r="E1036" s="368" t="s">
        <v>235</v>
      </c>
      <c r="F1036" s="538"/>
      <c r="G1036" s="538"/>
      <c r="H1036" s="538"/>
      <c r="I1036" s="369">
        <f t="shared" si="149"/>
        <v>0</v>
      </c>
      <c r="J1036" s="369"/>
      <c r="K1036" s="369"/>
      <c r="L1036" s="385">
        <f t="shared" si="150"/>
        <v>0</v>
      </c>
      <c r="M1036" s="385">
        <f t="shared" si="151"/>
        <v>0</v>
      </c>
      <c r="N1036" s="388">
        <f t="shared" si="152"/>
        <v>0</v>
      </c>
    </row>
    <row r="1037" spans="1:14" ht="13.2" customHeight="1" x14ac:dyDescent="0.3">
      <c r="A1037" s="365">
        <f t="shared" si="153"/>
        <v>30</v>
      </c>
      <c r="B1037" s="366" t="s">
        <v>1813</v>
      </c>
      <c r="C1037" s="362"/>
      <c r="D1037" s="362"/>
      <c r="E1037" s="368" t="s">
        <v>235</v>
      </c>
      <c r="F1037" s="538"/>
      <c r="G1037" s="538"/>
      <c r="H1037" s="538"/>
      <c r="I1037" s="369">
        <f t="shared" si="149"/>
        <v>0</v>
      </c>
      <c r="J1037" s="369"/>
      <c r="K1037" s="369"/>
      <c r="L1037" s="385">
        <f t="shared" si="150"/>
        <v>0</v>
      </c>
      <c r="M1037" s="385">
        <f t="shared" si="151"/>
        <v>0</v>
      </c>
      <c r="N1037" s="388">
        <f t="shared" si="152"/>
        <v>0</v>
      </c>
    </row>
    <row r="1038" spans="1:14" ht="13.2" customHeight="1" x14ac:dyDescent="0.3">
      <c r="A1038" s="365">
        <f t="shared" si="153"/>
        <v>31</v>
      </c>
      <c r="B1038" s="366" t="s">
        <v>1814</v>
      </c>
      <c r="C1038" s="362"/>
      <c r="D1038" s="362"/>
      <c r="E1038" s="368" t="s">
        <v>235</v>
      </c>
      <c r="F1038" s="538"/>
      <c r="G1038" s="538"/>
      <c r="H1038" s="538"/>
      <c r="I1038" s="369">
        <f t="shared" si="149"/>
        <v>0</v>
      </c>
      <c r="J1038" s="369"/>
      <c r="K1038" s="369"/>
      <c r="L1038" s="385">
        <f t="shared" si="150"/>
        <v>0</v>
      </c>
      <c r="M1038" s="385">
        <f t="shared" si="151"/>
        <v>0</v>
      </c>
      <c r="N1038" s="388">
        <f t="shared" si="152"/>
        <v>0</v>
      </c>
    </row>
    <row r="1039" spans="1:14" ht="13.2" customHeight="1" x14ac:dyDescent="0.3">
      <c r="A1039" s="365">
        <f t="shared" si="153"/>
        <v>32</v>
      </c>
      <c r="B1039" s="366" t="s">
        <v>1815</v>
      </c>
      <c r="C1039" s="362"/>
      <c r="D1039" s="362"/>
      <c r="E1039" s="368" t="s">
        <v>235</v>
      </c>
      <c r="F1039" s="538"/>
      <c r="G1039" s="538"/>
      <c r="H1039" s="538"/>
      <c r="I1039" s="369">
        <f t="shared" si="149"/>
        <v>0</v>
      </c>
      <c r="J1039" s="369"/>
      <c r="K1039" s="369"/>
      <c r="L1039" s="385">
        <f t="shared" si="150"/>
        <v>0</v>
      </c>
      <c r="M1039" s="385">
        <f t="shared" si="151"/>
        <v>0</v>
      </c>
      <c r="N1039" s="388">
        <f t="shared" si="152"/>
        <v>0</v>
      </c>
    </row>
    <row r="1040" spans="1:14" ht="13.2" customHeight="1" x14ac:dyDescent="0.3">
      <c r="A1040" s="365">
        <f t="shared" si="153"/>
        <v>33</v>
      </c>
      <c r="B1040" s="366" t="s">
        <v>1889</v>
      </c>
      <c r="C1040" s="362"/>
      <c r="D1040" s="362"/>
      <c r="E1040" s="368" t="s">
        <v>203</v>
      </c>
      <c r="F1040" s="538"/>
      <c r="G1040" s="538"/>
      <c r="H1040" s="538"/>
      <c r="I1040" s="369">
        <f t="shared" si="149"/>
        <v>0</v>
      </c>
      <c r="J1040" s="369"/>
      <c r="K1040" s="369"/>
      <c r="L1040" s="385">
        <f t="shared" si="150"/>
        <v>0</v>
      </c>
      <c r="M1040" s="385">
        <f t="shared" si="151"/>
        <v>0</v>
      </c>
      <c r="N1040" s="388">
        <f t="shared" si="152"/>
        <v>0</v>
      </c>
    </row>
    <row r="1041" spans="1:14" ht="13.2" customHeight="1" x14ac:dyDescent="0.3">
      <c r="A1041" s="365">
        <f t="shared" si="153"/>
        <v>34</v>
      </c>
      <c r="B1041" s="366" t="s">
        <v>1890</v>
      </c>
      <c r="C1041" s="362"/>
      <c r="D1041" s="362"/>
      <c r="E1041" s="368" t="s">
        <v>203</v>
      </c>
      <c r="F1041" s="538"/>
      <c r="G1041" s="538"/>
      <c r="H1041" s="538"/>
      <c r="I1041" s="369">
        <f t="shared" si="149"/>
        <v>0</v>
      </c>
      <c r="J1041" s="369"/>
      <c r="K1041" s="369"/>
      <c r="L1041" s="385">
        <f t="shared" si="150"/>
        <v>0</v>
      </c>
      <c r="M1041" s="385">
        <f t="shared" si="151"/>
        <v>0</v>
      </c>
      <c r="N1041" s="388">
        <f t="shared" si="152"/>
        <v>0</v>
      </c>
    </row>
    <row r="1042" spans="1:14" ht="13.2" customHeight="1" x14ac:dyDescent="0.3">
      <c r="A1042" s="365">
        <f t="shared" si="153"/>
        <v>35</v>
      </c>
      <c r="B1042" s="366" t="s">
        <v>1816</v>
      </c>
      <c r="C1042" s="362"/>
      <c r="D1042" s="362"/>
      <c r="E1042" s="368" t="s">
        <v>203</v>
      </c>
      <c r="F1042" s="538"/>
      <c r="G1042" s="538"/>
      <c r="H1042" s="538"/>
      <c r="I1042" s="369">
        <f t="shared" si="149"/>
        <v>0</v>
      </c>
      <c r="J1042" s="369"/>
      <c r="K1042" s="369"/>
      <c r="L1042" s="385">
        <f t="shared" si="150"/>
        <v>0</v>
      </c>
      <c r="M1042" s="385">
        <f t="shared" si="151"/>
        <v>0</v>
      </c>
      <c r="N1042" s="388">
        <f t="shared" si="152"/>
        <v>0</v>
      </c>
    </row>
    <row r="1043" spans="1:14" ht="13.2" customHeight="1" x14ac:dyDescent="0.3">
      <c r="A1043" s="365">
        <f t="shared" si="153"/>
        <v>36</v>
      </c>
      <c r="B1043" s="366" t="s">
        <v>1817</v>
      </c>
      <c r="C1043" s="362"/>
      <c r="D1043" s="362"/>
      <c r="E1043" s="368" t="s">
        <v>203</v>
      </c>
      <c r="F1043" s="538"/>
      <c r="G1043" s="538"/>
      <c r="H1043" s="538"/>
      <c r="I1043" s="369">
        <f t="shared" si="149"/>
        <v>0</v>
      </c>
      <c r="J1043" s="369"/>
      <c r="K1043" s="369"/>
      <c r="L1043" s="385">
        <f t="shared" si="150"/>
        <v>0</v>
      </c>
      <c r="M1043" s="385">
        <f t="shared" si="151"/>
        <v>0</v>
      </c>
      <c r="N1043" s="388">
        <f t="shared" si="152"/>
        <v>0</v>
      </c>
    </row>
    <row r="1044" spans="1:14" ht="13.2" customHeight="1" x14ac:dyDescent="0.3">
      <c r="A1044" s="365">
        <f t="shared" si="153"/>
        <v>37</v>
      </c>
      <c r="B1044" s="366" t="s">
        <v>1808</v>
      </c>
      <c r="C1044" s="362"/>
      <c r="D1044" s="362"/>
      <c r="E1044" s="368" t="s">
        <v>1888</v>
      </c>
      <c r="F1044" s="535"/>
      <c r="G1044" s="535"/>
      <c r="H1044" s="538"/>
      <c r="I1044" s="369">
        <f t="shared" si="149"/>
        <v>0</v>
      </c>
      <c r="J1044" s="369"/>
      <c r="K1044" s="369">
        <f>'RAB Pasang'!K1044</f>
        <v>161074.75</v>
      </c>
      <c r="L1044" s="385">
        <f t="shared" si="150"/>
        <v>0</v>
      </c>
      <c r="M1044" s="385">
        <f t="shared" si="151"/>
        <v>0</v>
      </c>
      <c r="N1044" s="388">
        <f t="shared" si="152"/>
        <v>0</v>
      </c>
    </row>
    <row r="1045" spans="1:14" ht="13.2" customHeight="1" x14ac:dyDescent="0.3">
      <c r="A1045" s="365">
        <f t="shared" si="153"/>
        <v>38</v>
      </c>
      <c r="B1045" s="366" t="s">
        <v>1809</v>
      </c>
      <c r="C1045" s="362"/>
      <c r="D1045" s="362"/>
      <c r="E1045" s="368" t="s">
        <v>1888</v>
      </c>
      <c r="F1045" s="535"/>
      <c r="G1045" s="535"/>
      <c r="H1045" s="538"/>
      <c r="I1045" s="369">
        <f t="shared" si="149"/>
        <v>0</v>
      </c>
      <c r="J1045" s="369"/>
      <c r="K1045" s="369">
        <f>'RAB Pasang'!K1045</f>
        <v>107380</v>
      </c>
      <c r="L1045" s="385">
        <f t="shared" si="150"/>
        <v>0</v>
      </c>
      <c r="M1045" s="385">
        <f t="shared" si="151"/>
        <v>0</v>
      </c>
      <c r="N1045" s="388">
        <f t="shared" si="152"/>
        <v>0</v>
      </c>
    </row>
    <row r="1046" spans="1:14" ht="13.2" customHeight="1" x14ac:dyDescent="0.3">
      <c r="A1046" s="365">
        <f t="shared" si="153"/>
        <v>39</v>
      </c>
      <c r="B1046" s="366" t="s">
        <v>1818</v>
      </c>
      <c r="C1046" s="362"/>
      <c r="D1046" s="362"/>
      <c r="E1046" s="368" t="s">
        <v>399</v>
      </c>
      <c r="F1046" s="538"/>
      <c r="G1046" s="535"/>
      <c r="H1046" s="538"/>
      <c r="I1046" s="369">
        <f t="shared" si="149"/>
        <v>0</v>
      </c>
      <c r="J1046" s="369"/>
      <c r="K1046" s="369">
        <f>'RAB Pasang'!K1046*40%</f>
        <v>64428</v>
      </c>
      <c r="L1046" s="385">
        <f t="shared" si="150"/>
        <v>0</v>
      </c>
      <c r="M1046" s="385">
        <f t="shared" si="151"/>
        <v>0</v>
      </c>
      <c r="N1046" s="388">
        <f t="shared" si="152"/>
        <v>0</v>
      </c>
    </row>
    <row r="1047" spans="1:14" ht="13.2" customHeight="1" x14ac:dyDescent="0.3">
      <c r="A1047" s="365">
        <f t="shared" si="153"/>
        <v>40</v>
      </c>
      <c r="B1047" s="366" t="s">
        <v>1891</v>
      </c>
      <c r="C1047" s="362"/>
      <c r="D1047" s="362"/>
      <c r="E1047" s="368" t="s">
        <v>1888</v>
      </c>
      <c r="F1047" s="538"/>
      <c r="G1047" s="538"/>
      <c r="H1047" s="538"/>
      <c r="I1047" s="369">
        <f t="shared" si="149"/>
        <v>0</v>
      </c>
      <c r="J1047" s="369"/>
      <c r="K1047" s="369"/>
      <c r="L1047" s="385">
        <f t="shared" si="150"/>
        <v>0</v>
      </c>
      <c r="M1047" s="385">
        <f t="shared" si="151"/>
        <v>0</v>
      </c>
      <c r="N1047" s="388">
        <f t="shared" si="152"/>
        <v>0</v>
      </c>
    </row>
    <row r="1048" spans="1:14" ht="13.2" customHeight="1" x14ac:dyDescent="0.3">
      <c r="A1048" s="365">
        <f t="shared" si="153"/>
        <v>41</v>
      </c>
      <c r="B1048" s="366" t="s">
        <v>1894</v>
      </c>
      <c r="C1048" s="362"/>
      <c r="D1048" s="362"/>
      <c r="E1048" s="368" t="s">
        <v>1639</v>
      </c>
      <c r="F1048" s="535"/>
      <c r="G1048" s="535"/>
      <c r="H1048" s="535"/>
      <c r="I1048" s="369">
        <f t="shared" si="149"/>
        <v>0</v>
      </c>
      <c r="J1048" s="369"/>
      <c r="K1048" s="369">
        <f>'RAB Pasang'!K1048*40%</f>
        <v>93320</v>
      </c>
      <c r="L1048" s="385">
        <f t="shared" si="150"/>
        <v>0</v>
      </c>
      <c r="M1048" s="385">
        <f t="shared" si="151"/>
        <v>0</v>
      </c>
      <c r="N1048" s="388">
        <f t="shared" si="152"/>
        <v>0</v>
      </c>
    </row>
    <row r="1049" spans="1:14" ht="13.2" customHeight="1" x14ac:dyDescent="0.3">
      <c r="A1049" s="365">
        <f t="shared" si="153"/>
        <v>42</v>
      </c>
      <c r="B1049" s="366" t="s">
        <v>1893</v>
      </c>
      <c r="C1049" s="362"/>
      <c r="D1049" s="362"/>
      <c r="E1049" s="368" t="s">
        <v>1639</v>
      </c>
      <c r="F1049" s="535"/>
      <c r="G1049" s="535"/>
      <c r="H1049" s="535"/>
      <c r="I1049" s="369">
        <f t="shared" si="149"/>
        <v>0</v>
      </c>
      <c r="J1049" s="369"/>
      <c r="K1049" s="369">
        <f>'RAB Pasang'!K1049*40%</f>
        <v>65720</v>
      </c>
      <c r="L1049" s="385">
        <f t="shared" si="150"/>
        <v>0</v>
      </c>
      <c r="M1049" s="385">
        <f t="shared" si="151"/>
        <v>0</v>
      </c>
      <c r="N1049" s="388">
        <f t="shared" si="152"/>
        <v>0</v>
      </c>
    </row>
    <row r="1050" spans="1:14" ht="13.2" customHeight="1" x14ac:dyDescent="0.3">
      <c r="A1050" s="365">
        <f t="shared" si="153"/>
        <v>43</v>
      </c>
      <c r="B1050" s="366" t="s">
        <v>1819</v>
      </c>
      <c r="C1050" s="362"/>
      <c r="D1050" s="362"/>
      <c r="E1050" s="368" t="s">
        <v>642</v>
      </c>
      <c r="F1050" s="529"/>
      <c r="G1050" s="534"/>
      <c r="H1050" s="534"/>
      <c r="I1050" s="461">
        <f t="shared" si="149"/>
        <v>0</v>
      </c>
      <c r="J1050" s="369"/>
      <c r="K1050" s="369">
        <f>'RAB Pasang'!K1050*40%</f>
        <v>525736</v>
      </c>
      <c r="L1050" s="385">
        <f t="shared" si="150"/>
        <v>0</v>
      </c>
      <c r="M1050" s="385">
        <f t="shared" si="151"/>
        <v>0</v>
      </c>
      <c r="N1050" s="388">
        <f t="shared" si="152"/>
        <v>0</v>
      </c>
    </row>
    <row r="1051" spans="1:14" ht="13.2" customHeight="1" x14ac:dyDescent="0.3">
      <c r="A1051" s="365">
        <f t="shared" si="153"/>
        <v>44</v>
      </c>
      <c r="B1051" s="366" t="s">
        <v>1820</v>
      </c>
      <c r="C1051" s="362"/>
      <c r="D1051" s="362"/>
      <c r="E1051" s="368" t="s">
        <v>642</v>
      </c>
      <c r="F1051" s="534"/>
      <c r="G1051" s="534"/>
      <c r="H1051" s="529"/>
      <c r="I1051" s="461">
        <f t="shared" si="149"/>
        <v>0</v>
      </c>
      <c r="J1051" s="369"/>
      <c r="K1051" s="369">
        <f>'RAB Pasang'!K1051*40%</f>
        <v>525736</v>
      </c>
      <c r="L1051" s="385">
        <f t="shared" si="150"/>
        <v>0</v>
      </c>
      <c r="M1051" s="385">
        <f t="shared" si="151"/>
        <v>0</v>
      </c>
      <c r="N1051" s="388">
        <f t="shared" si="152"/>
        <v>0</v>
      </c>
    </row>
    <row r="1052" spans="1:14" ht="13.2" customHeight="1" x14ac:dyDescent="0.3">
      <c r="A1052" s="365">
        <f t="shared" si="153"/>
        <v>45</v>
      </c>
      <c r="B1052" s="370" t="s">
        <v>1821</v>
      </c>
      <c r="C1052" s="371"/>
      <c r="D1052" s="371"/>
      <c r="E1052" s="367" t="s">
        <v>1896</v>
      </c>
      <c r="F1052" s="538"/>
      <c r="G1052" s="535"/>
      <c r="H1052" s="538"/>
      <c r="I1052" s="372">
        <f t="shared" si="149"/>
        <v>0</v>
      </c>
      <c r="J1052" s="372"/>
      <c r="K1052" s="369">
        <f>'RAB Pasang'!K1052*40%</f>
        <v>525736</v>
      </c>
      <c r="L1052" s="385">
        <f t="shared" si="150"/>
        <v>0</v>
      </c>
      <c r="M1052" s="385">
        <f t="shared" si="151"/>
        <v>0</v>
      </c>
      <c r="N1052" s="388">
        <f t="shared" si="152"/>
        <v>0</v>
      </c>
    </row>
    <row r="1053" spans="1:14" ht="13.2" customHeight="1" x14ac:dyDescent="0.3">
      <c r="A1053" s="365">
        <f t="shared" si="153"/>
        <v>46</v>
      </c>
      <c r="B1053" s="370" t="s">
        <v>1897</v>
      </c>
      <c r="C1053" s="371"/>
      <c r="D1053" s="371"/>
      <c r="E1053" s="367" t="s">
        <v>1639</v>
      </c>
      <c r="F1053" s="527"/>
      <c r="G1053" s="527"/>
      <c r="H1053" s="527"/>
      <c r="I1053" s="372">
        <f t="shared" si="149"/>
        <v>0</v>
      </c>
      <c r="J1053" s="372"/>
      <c r="K1053" s="369">
        <f>'RAB Pasang'!K1053*40%</f>
        <v>8872</v>
      </c>
      <c r="L1053" s="385">
        <f t="shared" si="150"/>
        <v>0</v>
      </c>
      <c r="M1053" s="385">
        <f t="shared" si="151"/>
        <v>0</v>
      </c>
      <c r="N1053" s="388">
        <f t="shared" si="152"/>
        <v>0</v>
      </c>
    </row>
    <row r="1054" spans="1:14" ht="13.2" customHeight="1" x14ac:dyDescent="0.3">
      <c r="A1054" s="365">
        <f t="shared" si="153"/>
        <v>47</v>
      </c>
      <c r="B1054" s="370" t="s">
        <v>1898</v>
      </c>
      <c r="C1054" s="371"/>
      <c r="D1054" s="371"/>
      <c r="E1054" s="367" t="s">
        <v>235</v>
      </c>
      <c r="F1054" s="539"/>
      <c r="G1054" s="539"/>
      <c r="H1054" s="539"/>
      <c r="I1054" s="372">
        <f t="shared" si="149"/>
        <v>0</v>
      </c>
      <c r="J1054" s="372"/>
      <c r="K1054" s="372"/>
      <c r="L1054" s="385">
        <f t="shared" si="150"/>
        <v>0</v>
      </c>
      <c r="M1054" s="385">
        <f t="shared" si="151"/>
        <v>0</v>
      </c>
      <c r="N1054" s="388">
        <f t="shared" si="152"/>
        <v>0</v>
      </c>
    </row>
    <row r="1055" spans="1:14" ht="13.2" customHeight="1" x14ac:dyDescent="0.3">
      <c r="A1055" s="365">
        <f t="shared" si="153"/>
        <v>48</v>
      </c>
      <c r="B1055" s="389" t="s">
        <v>1899</v>
      </c>
      <c r="C1055" s="390"/>
      <c r="D1055" s="390"/>
      <c r="E1055" s="391" t="s">
        <v>399</v>
      </c>
      <c r="F1055" s="577"/>
      <c r="G1055" s="577"/>
      <c r="H1055" s="577"/>
      <c r="I1055" s="409">
        <f t="shared" si="149"/>
        <v>0</v>
      </c>
      <c r="J1055" s="409"/>
      <c r="K1055" s="409"/>
      <c r="L1055" s="385">
        <f t="shared" si="150"/>
        <v>0</v>
      </c>
      <c r="M1055" s="385">
        <f t="shared" si="151"/>
        <v>0</v>
      </c>
      <c r="N1055" s="388">
        <f t="shared" si="152"/>
        <v>0</v>
      </c>
    </row>
    <row r="1056" spans="1:14" ht="14.4" customHeight="1" x14ac:dyDescent="0.3">
      <c r="A1056" s="485"/>
      <c r="B1056" s="486" t="s">
        <v>1823</v>
      </c>
      <c r="C1056" s="487"/>
      <c r="D1056" s="487"/>
      <c r="E1056" s="487"/>
      <c r="F1056" s="487"/>
      <c r="G1056" s="487"/>
      <c r="H1056" s="487"/>
      <c r="I1056" s="511"/>
      <c r="J1056" s="487"/>
      <c r="K1056" s="515"/>
      <c r="L1056" s="490">
        <f t="shared" ref="L1056:N1056" si="154">SUM(L1008:L1055)</f>
        <v>0</v>
      </c>
      <c r="M1056" s="490">
        <f t="shared" si="154"/>
        <v>0</v>
      </c>
      <c r="N1056" s="491">
        <f t="shared" si="154"/>
        <v>0</v>
      </c>
    </row>
    <row r="1057" spans="1:14" ht="13.2" customHeight="1" x14ac:dyDescent="0.3">
      <c r="A1057" s="365" t="s">
        <v>610</v>
      </c>
      <c r="B1057" s="370" t="s">
        <v>1981</v>
      </c>
      <c r="C1057" s="371"/>
      <c r="D1057" s="371"/>
      <c r="E1057" s="506"/>
      <c r="F1057" s="506"/>
      <c r="G1057" s="506"/>
      <c r="H1057" s="506"/>
      <c r="I1057" s="512"/>
      <c r="J1057" s="516"/>
      <c r="K1057" s="517"/>
      <c r="L1057" s="387"/>
      <c r="M1057" s="387"/>
      <c r="N1057" s="422"/>
    </row>
    <row r="1058" spans="1:14" ht="13.2" customHeight="1" x14ac:dyDescent="0.3">
      <c r="A1058" s="365" t="s">
        <v>611</v>
      </c>
      <c r="B1058" s="370" t="s">
        <v>1901</v>
      </c>
      <c r="C1058" s="371"/>
      <c r="D1058" s="371"/>
      <c r="E1058" s="506"/>
      <c r="F1058" s="506"/>
      <c r="G1058" s="506"/>
      <c r="H1058" s="506"/>
      <c r="I1058" s="513"/>
      <c r="J1058" s="516"/>
      <c r="K1058" s="517"/>
      <c r="L1058" s="387"/>
      <c r="M1058" s="387"/>
      <c r="N1058" s="422"/>
    </row>
    <row r="1059" spans="1:14" ht="13.2" customHeight="1" x14ac:dyDescent="0.3">
      <c r="A1059" s="365" t="s">
        <v>612</v>
      </c>
      <c r="B1059" s="370" t="s">
        <v>1902</v>
      </c>
      <c r="C1059" s="371"/>
      <c r="D1059" s="371"/>
      <c r="E1059" s="506"/>
      <c r="F1059" s="506"/>
      <c r="G1059" s="506"/>
      <c r="H1059" s="506"/>
      <c r="I1059" s="513"/>
      <c r="J1059" s="516"/>
      <c r="K1059" s="517"/>
      <c r="L1059" s="387"/>
      <c r="M1059" s="387"/>
      <c r="N1059" s="422"/>
    </row>
    <row r="1060" spans="1:14" ht="13.2" customHeight="1" x14ac:dyDescent="0.3">
      <c r="A1060" s="365" t="s">
        <v>613</v>
      </c>
      <c r="B1060" s="370" t="s">
        <v>1822</v>
      </c>
      <c r="C1060" s="371"/>
      <c r="D1060" s="371"/>
      <c r="E1060" s="506"/>
      <c r="F1060" s="506"/>
      <c r="G1060" s="506"/>
      <c r="H1060" s="506"/>
      <c r="I1060" s="513"/>
      <c r="J1060" s="516"/>
      <c r="K1060" s="517"/>
      <c r="L1060" s="387"/>
      <c r="M1060" s="387"/>
      <c r="N1060" s="422"/>
    </row>
    <row r="1061" spans="1:14" ht="13.2" customHeight="1" thickBot="1" x14ac:dyDescent="0.35">
      <c r="A1061" s="365" t="s">
        <v>614</v>
      </c>
      <c r="B1061" s="370" t="s">
        <v>1903</v>
      </c>
      <c r="C1061" s="371"/>
      <c r="D1061" s="371"/>
      <c r="E1061" s="507"/>
      <c r="F1061" s="507"/>
      <c r="G1061" s="507"/>
      <c r="H1061" s="507"/>
      <c r="I1061" s="514"/>
      <c r="J1061" s="518"/>
      <c r="K1061" s="519"/>
      <c r="L1061" s="433"/>
      <c r="M1061" s="433"/>
      <c r="N1061" s="476"/>
    </row>
    <row r="1062" spans="1:14" ht="13.2" customHeight="1" x14ac:dyDescent="0.3">
      <c r="A1062" s="589" t="s">
        <v>606</v>
      </c>
      <c r="B1062" s="434" t="str">
        <f>B125</f>
        <v>JUMLAH MATERIAL UTAMA  (A)</v>
      </c>
      <c r="C1062" s="434"/>
      <c r="D1062" s="434"/>
      <c r="E1062" s="434"/>
      <c r="F1062" s="434"/>
      <c r="G1062" s="434"/>
      <c r="H1062" s="434"/>
      <c r="I1062" s="434"/>
      <c r="J1062" s="434"/>
      <c r="K1062" s="435"/>
      <c r="L1062" s="436">
        <f>L125</f>
        <v>0</v>
      </c>
      <c r="M1062" s="436">
        <f>M125</f>
        <v>0</v>
      </c>
      <c r="N1062" s="437">
        <f>N125</f>
        <v>0</v>
      </c>
    </row>
    <row r="1063" spans="1:14" ht="13.2" customHeight="1" x14ac:dyDescent="0.3">
      <c r="A1063" s="590" t="s">
        <v>607</v>
      </c>
      <c r="B1063" s="438" t="str">
        <f>B264</f>
        <v>JUMLAH MATERIAL NON UTAMA  (B)</v>
      </c>
      <c r="C1063" s="438"/>
      <c r="D1063" s="438"/>
      <c r="E1063" s="438"/>
      <c r="F1063" s="438"/>
      <c r="G1063" s="438"/>
      <c r="H1063" s="438"/>
      <c r="I1063" s="438"/>
      <c r="J1063" s="438"/>
      <c r="K1063" s="439"/>
      <c r="L1063" s="440">
        <f>L264</f>
        <v>0</v>
      </c>
      <c r="M1063" s="440">
        <f>M264</f>
        <v>0</v>
      </c>
      <c r="N1063" s="441">
        <f>N264</f>
        <v>0</v>
      </c>
    </row>
    <row r="1064" spans="1:14" ht="13.2" customHeight="1" x14ac:dyDescent="0.3">
      <c r="A1064" s="590" t="s">
        <v>608</v>
      </c>
      <c r="B1064" s="438" t="str">
        <f>B539</f>
        <v>JUMLAH PEKERJAAN PERSIAPAN (C)</v>
      </c>
      <c r="C1064" s="438"/>
      <c r="D1064" s="438"/>
      <c r="E1064" s="438"/>
      <c r="F1064" s="438"/>
      <c r="G1064" s="438"/>
      <c r="H1064" s="438"/>
      <c r="I1064" s="438"/>
      <c r="J1064" s="438"/>
      <c r="K1064" s="439"/>
      <c r="L1064" s="440">
        <f>L539</f>
        <v>0</v>
      </c>
      <c r="M1064" s="440">
        <f>M539</f>
        <v>0</v>
      </c>
      <c r="N1064" s="441">
        <f>N539</f>
        <v>0</v>
      </c>
    </row>
    <row r="1065" spans="1:14" ht="13.2" customHeight="1" x14ac:dyDescent="0.3">
      <c r="A1065" s="590" t="s">
        <v>2351</v>
      </c>
      <c r="B1065" s="438" t="str">
        <f>B622</f>
        <v>JUMLAH KONSTRUKSI PENOPANG TIANG DAN KELENGKAPANNYA (D-I)</v>
      </c>
      <c r="C1065" s="438"/>
      <c r="D1065" s="438"/>
      <c r="E1065" s="438"/>
      <c r="F1065" s="438"/>
      <c r="G1065" s="438"/>
      <c r="H1065" s="438"/>
      <c r="I1065" s="438"/>
      <c r="J1065" s="438"/>
      <c r="K1065" s="439"/>
      <c r="L1065" s="440">
        <f>L622</f>
        <v>0</v>
      </c>
      <c r="M1065" s="440">
        <f>M622</f>
        <v>0</v>
      </c>
      <c r="N1065" s="441">
        <f>N622</f>
        <v>0</v>
      </c>
    </row>
    <row r="1066" spans="1:14" ht="13.2" customHeight="1" x14ac:dyDescent="0.3">
      <c r="A1066" s="590" t="s">
        <v>2352</v>
      </c>
      <c r="B1066" s="438" t="str">
        <f>B655</f>
        <v>JUMLAH KONSTRUKSI SALURAN UDARA TEGANGAN MENENGAH (SUTM) - (D-II)</v>
      </c>
      <c r="C1066" s="438"/>
      <c r="D1066" s="438"/>
      <c r="E1066" s="438"/>
      <c r="F1066" s="438"/>
      <c r="G1066" s="438"/>
      <c r="H1066" s="438"/>
      <c r="I1066" s="438"/>
      <c r="J1066" s="438"/>
      <c r="K1066" s="439"/>
      <c r="L1066" s="440">
        <f>L655</f>
        <v>0</v>
      </c>
      <c r="M1066" s="440">
        <f>M655</f>
        <v>0</v>
      </c>
      <c r="N1066" s="441">
        <f>N655</f>
        <v>0</v>
      </c>
    </row>
    <row r="1067" spans="1:14" ht="13.2" customHeight="1" x14ac:dyDescent="0.3">
      <c r="A1067" s="590" t="s">
        <v>2353</v>
      </c>
      <c r="B1067" s="438" t="str">
        <f>B743</f>
        <v>JUMLAH KONSTRUKSI SALURAN KABEL UDARA TEGANGAN MENENGAH (SKUTM) - (D-III)</v>
      </c>
      <c r="C1067" s="438"/>
      <c r="D1067" s="438"/>
      <c r="E1067" s="438"/>
      <c r="F1067" s="438"/>
      <c r="G1067" s="438"/>
      <c r="H1067" s="438"/>
      <c r="I1067" s="438"/>
      <c r="J1067" s="438"/>
      <c r="K1067" s="439"/>
      <c r="L1067" s="440">
        <f>L743</f>
        <v>0</v>
      </c>
      <c r="M1067" s="440">
        <f>M743</f>
        <v>0</v>
      </c>
      <c r="N1067" s="441">
        <f>N743</f>
        <v>0</v>
      </c>
    </row>
    <row r="1068" spans="1:14" ht="13.2" customHeight="1" x14ac:dyDescent="0.3">
      <c r="A1068" s="590" t="s">
        <v>2354</v>
      </c>
      <c r="B1068" s="438" t="str">
        <f>B770</f>
        <v>JUMLAH KONSTRUKSI SALURAN KABEL TANAH TEGANGAN MENENGAH (SKTM) - (D-IV)</v>
      </c>
      <c r="C1068" s="438"/>
      <c r="D1068" s="438"/>
      <c r="E1068" s="438"/>
      <c r="F1068" s="438"/>
      <c r="G1068" s="438"/>
      <c r="H1068" s="438"/>
      <c r="I1068" s="438"/>
      <c r="J1068" s="438"/>
      <c r="K1068" s="439"/>
      <c r="L1068" s="440">
        <f>L770</f>
        <v>0</v>
      </c>
      <c r="M1068" s="440">
        <f>M770</f>
        <v>0</v>
      </c>
      <c r="N1068" s="441">
        <f>N770</f>
        <v>0</v>
      </c>
    </row>
    <row r="1069" spans="1:14" ht="13.2" customHeight="1" x14ac:dyDescent="0.3">
      <c r="A1069" s="590" t="s">
        <v>2355</v>
      </c>
      <c r="B1069" s="438" t="str">
        <f>B882</f>
        <v>JUMLAH KONSTRUKSI GARDU DISTRIBUSI TEGANGAN MENENGAH  (D-V)</v>
      </c>
      <c r="C1069" s="438"/>
      <c r="D1069" s="438"/>
      <c r="E1069" s="438"/>
      <c r="F1069" s="438"/>
      <c r="G1069" s="438"/>
      <c r="H1069" s="438"/>
      <c r="I1069" s="438"/>
      <c r="J1069" s="438"/>
      <c r="K1069" s="439"/>
      <c r="L1069" s="440">
        <f>L882</f>
        <v>0</v>
      </c>
      <c r="M1069" s="440">
        <f t="shared" ref="M1069:N1069" si="155">M882</f>
        <v>0</v>
      </c>
      <c r="N1069" s="441">
        <f t="shared" si="155"/>
        <v>0</v>
      </c>
    </row>
    <row r="1070" spans="1:14" ht="13.2" customHeight="1" x14ac:dyDescent="0.3">
      <c r="A1070" s="590" t="s">
        <v>2356</v>
      </c>
      <c r="B1070" s="438" t="str">
        <f>B894</f>
        <v>JUMLAH KONSTRUKSI SALURAN KABEL UDARA TEGANGAN RENDAH (SKUTR)  (D-VI)</v>
      </c>
      <c r="C1070" s="438"/>
      <c r="D1070" s="438"/>
      <c r="E1070" s="438"/>
      <c r="F1070" s="438"/>
      <c r="G1070" s="438"/>
      <c r="H1070" s="438"/>
      <c r="I1070" s="438"/>
      <c r="J1070" s="438"/>
      <c r="K1070" s="439"/>
      <c r="L1070" s="440">
        <f>L894</f>
        <v>0</v>
      </c>
      <c r="M1070" s="440">
        <f t="shared" ref="M1070:N1070" si="156">M894</f>
        <v>0</v>
      </c>
      <c r="N1070" s="441">
        <f t="shared" si="156"/>
        <v>0</v>
      </c>
    </row>
    <row r="1071" spans="1:14" ht="13.2" customHeight="1" x14ac:dyDescent="0.3">
      <c r="A1071" s="590" t="s">
        <v>2357</v>
      </c>
      <c r="B1071" s="438" t="str">
        <f>B909</f>
        <v>JUMLAH KONSTRUKSI SALURAN KABEL TANAH TEGANGAN RENDAH (SKTR)  (D-VII)</v>
      </c>
      <c r="C1071" s="438"/>
      <c r="D1071" s="438"/>
      <c r="E1071" s="438"/>
      <c r="F1071" s="438"/>
      <c r="G1071" s="438"/>
      <c r="H1071" s="438"/>
      <c r="I1071" s="438"/>
      <c r="J1071" s="438"/>
      <c r="K1071" s="439"/>
      <c r="L1071" s="440">
        <f>L909</f>
        <v>0</v>
      </c>
      <c r="M1071" s="440">
        <f t="shared" ref="M1071:N1071" si="157">M909</f>
        <v>0</v>
      </c>
      <c r="N1071" s="441">
        <f t="shared" si="157"/>
        <v>0</v>
      </c>
    </row>
    <row r="1072" spans="1:14" ht="13.2" customHeight="1" x14ac:dyDescent="0.3">
      <c r="A1072" s="590" t="s">
        <v>2358</v>
      </c>
      <c r="B1072" s="438" t="str">
        <f>B932</f>
        <v>JUMLAH KONSTRUKSI SAMBUNGAN RUMAH (SR) DAN ALAT PEMBATAS &amp; PENGUKUR (APP)  (D-VIII)</v>
      </c>
      <c r="C1072" s="438"/>
      <c r="D1072" s="438"/>
      <c r="E1072" s="438"/>
      <c r="F1072" s="438"/>
      <c r="G1072" s="438"/>
      <c r="H1072" s="438"/>
      <c r="I1072" s="438"/>
      <c r="J1072" s="438"/>
      <c r="K1072" s="439"/>
      <c r="L1072" s="440">
        <f>L932</f>
        <v>0</v>
      </c>
      <c r="M1072" s="440">
        <f t="shared" ref="M1072:N1072" si="158">M932</f>
        <v>0</v>
      </c>
      <c r="N1072" s="441">
        <f t="shared" si="158"/>
        <v>0</v>
      </c>
    </row>
    <row r="1073" spans="1:14" ht="13.2" customHeight="1" x14ac:dyDescent="0.3">
      <c r="A1073" s="590" t="s">
        <v>2359</v>
      </c>
      <c r="B1073" s="438" t="str">
        <f>B983</f>
        <v>JUMLAH KONSTRUKSI PENTANAHAN (GROUNDING)  (D-IX)</v>
      </c>
      <c r="C1073" s="438"/>
      <c r="D1073" s="438"/>
      <c r="E1073" s="438"/>
      <c r="F1073" s="438"/>
      <c r="G1073" s="438"/>
      <c r="H1073" s="438"/>
      <c r="I1073" s="438"/>
      <c r="J1073" s="438"/>
      <c r="K1073" s="439"/>
      <c r="L1073" s="440">
        <f>L983</f>
        <v>0</v>
      </c>
      <c r="M1073" s="440">
        <f t="shared" ref="M1073:N1073" si="159">M983</f>
        <v>0</v>
      </c>
      <c r="N1073" s="441">
        <f t="shared" si="159"/>
        <v>0</v>
      </c>
    </row>
    <row r="1074" spans="1:14" ht="13.2" customHeight="1" x14ac:dyDescent="0.3">
      <c r="A1074" s="590" t="s">
        <v>615</v>
      </c>
      <c r="B1074" s="438" t="str">
        <f>B1005</f>
        <v>JUMLAH TERMINATING DAN JOINTING (E)</v>
      </c>
      <c r="C1074" s="438"/>
      <c r="D1074" s="438"/>
      <c r="E1074" s="438"/>
      <c r="F1074" s="438"/>
      <c r="G1074" s="438"/>
      <c r="H1074" s="438"/>
      <c r="I1074" s="438"/>
      <c r="J1074" s="438"/>
      <c r="K1074" s="439"/>
      <c r="L1074" s="440">
        <f>L1005</f>
        <v>0</v>
      </c>
      <c r="M1074" s="440">
        <f t="shared" ref="M1074:N1074" si="160">M1005</f>
        <v>0</v>
      </c>
      <c r="N1074" s="441">
        <f t="shared" si="160"/>
        <v>0</v>
      </c>
    </row>
    <row r="1075" spans="1:14" ht="13.2" customHeight="1" thickBot="1" x14ac:dyDescent="0.35">
      <c r="A1075" s="591" t="s">
        <v>616</v>
      </c>
      <c r="B1075" s="442" t="str">
        <f>B1056</f>
        <v>JUMLAH PEKERJAAN FINISHING (F)</v>
      </c>
      <c r="C1075" s="442"/>
      <c r="D1075" s="442"/>
      <c r="E1075" s="442"/>
      <c r="F1075" s="442"/>
      <c r="G1075" s="442"/>
      <c r="H1075" s="442"/>
      <c r="I1075" s="442"/>
      <c r="J1075" s="442"/>
      <c r="K1075" s="443"/>
      <c r="L1075" s="444">
        <f>L1056</f>
        <v>0</v>
      </c>
      <c r="M1075" s="444">
        <f t="shared" ref="M1075:N1075" si="161">M1056</f>
        <v>0</v>
      </c>
      <c r="N1075" s="445">
        <f t="shared" si="161"/>
        <v>0</v>
      </c>
    </row>
    <row r="1076" spans="1:14" ht="13.2" customHeight="1" x14ac:dyDescent="0.3">
      <c r="A1076" s="508"/>
      <c r="B1076" s="446" t="s">
        <v>1929</v>
      </c>
      <c r="C1076" s="446"/>
      <c r="D1076" s="446"/>
      <c r="E1076" s="446"/>
      <c r="F1076" s="446"/>
      <c r="G1076" s="446"/>
      <c r="H1076" s="446"/>
      <c r="I1076" s="446"/>
      <c r="J1076" s="446"/>
      <c r="K1076" s="447"/>
      <c r="L1076" s="448">
        <f>SUM(L1062:L1075)</f>
        <v>0</v>
      </c>
      <c r="M1076" s="448">
        <f t="shared" ref="M1076:N1076" si="162">SUM(M1062:M1075)</f>
        <v>0</v>
      </c>
      <c r="N1076" s="449">
        <f t="shared" si="162"/>
        <v>0</v>
      </c>
    </row>
    <row r="1077" spans="1:14" ht="13.2" customHeight="1" x14ac:dyDescent="0.3">
      <c r="A1077" s="509"/>
      <c r="B1077" s="450" t="s">
        <v>1926</v>
      </c>
      <c r="C1077" s="450"/>
      <c r="D1077" s="450"/>
      <c r="E1077" s="450"/>
      <c r="F1077" s="450"/>
      <c r="G1077" s="450"/>
      <c r="H1077" s="450"/>
      <c r="I1077" s="450"/>
      <c r="J1077" s="450"/>
      <c r="K1077" s="451"/>
      <c r="L1077" s="452">
        <f>(L1076*(11/12))</f>
        <v>0</v>
      </c>
      <c r="M1077" s="452">
        <f t="shared" ref="M1077:N1077" si="163">(M1076*(11/12))</f>
        <v>0</v>
      </c>
      <c r="N1077" s="453">
        <f t="shared" si="163"/>
        <v>0</v>
      </c>
    </row>
    <row r="1078" spans="1:14" ht="13.2" customHeight="1" x14ac:dyDescent="0.3">
      <c r="A1078" s="509"/>
      <c r="B1078" s="450" t="s">
        <v>1927</v>
      </c>
      <c r="C1078" s="450"/>
      <c r="D1078" s="450"/>
      <c r="E1078" s="450"/>
      <c r="F1078" s="450"/>
      <c r="G1078" s="450"/>
      <c r="H1078" s="450"/>
      <c r="I1078" s="450"/>
      <c r="J1078" s="450"/>
      <c r="K1078" s="451"/>
      <c r="L1078" s="452">
        <f>ROUND((12%*L1077),-1)</f>
        <v>0</v>
      </c>
      <c r="M1078" s="452">
        <f>ROUND((12%*M1077),-1)</f>
        <v>0</v>
      </c>
      <c r="N1078" s="453">
        <f>ROUND((12%*N1077),-1)</f>
        <v>0</v>
      </c>
    </row>
    <row r="1079" spans="1:14" ht="13.2" customHeight="1" thickBot="1" x14ac:dyDescent="0.35">
      <c r="A1079" s="510"/>
      <c r="B1079" s="454" t="s">
        <v>1928</v>
      </c>
      <c r="C1079" s="454"/>
      <c r="D1079" s="454"/>
      <c r="E1079" s="454"/>
      <c r="F1079" s="454"/>
      <c r="G1079" s="454"/>
      <c r="H1079" s="454"/>
      <c r="I1079" s="454"/>
      <c r="J1079" s="454"/>
      <c r="K1079" s="455"/>
      <c r="L1079" s="456">
        <f>ROUND((L1078+L1076),-3)</f>
        <v>0</v>
      </c>
      <c r="M1079" s="456">
        <f>ROUND((M1078+M1076),-3)</f>
        <v>0</v>
      </c>
      <c r="N1079" s="457">
        <f>ROUND((N1078+N1076),-3)</f>
        <v>0</v>
      </c>
    </row>
    <row r="1080" spans="1:14" ht="7.95" customHeight="1" x14ac:dyDescent="0.3">
      <c r="A1080" s="296"/>
      <c r="B1080" s="296"/>
      <c r="C1080" s="296"/>
      <c r="D1080" s="296"/>
      <c r="E1080" s="296"/>
      <c r="F1080" s="296"/>
      <c r="G1080" s="296"/>
      <c r="H1080" s="296"/>
      <c r="I1080" s="296"/>
      <c r="J1080" s="296"/>
      <c r="K1080" s="296"/>
      <c r="L1080" s="296"/>
      <c r="M1080" s="296"/>
      <c r="N1080" s="296"/>
    </row>
    <row r="1081" spans="1:14" x14ac:dyDescent="0.3">
      <c r="A1081" s="296"/>
      <c r="B1081" s="296"/>
      <c r="C1081" s="296"/>
      <c r="D1081" s="296"/>
      <c r="E1081" s="296"/>
      <c r="F1081" s="296"/>
      <c r="G1081" s="296"/>
      <c r="H1081" s="296"/>
      <c r="I1081" s="296"/>
      <c r="J1081" s="296"/>
      <c r="K1081" s="296"/>
      <c r="L1081" s="296"/>
      <c r="M1081" s="296"/>
      <c r="N1081" s="296"/>
    </row>
    <row r="1082" spans="1:14" x14ac:dyDescent="0.3">
      <c r="A1082" s="297" t="s">
        <v>2349</v>
      </c>
    </row>
  </sheetData>
  <mergeCells count="14">
    <mergeCell ref="N13:N14"/>
    <mergeCell ref="P13:R13"/>
    <mergeCell ref="S13:S14"/>
    <mergeCell ref="T13:T14"/>
    <mergeCell ref="F14:F15"/>
    <mergeCell ref="G14:G15"/>
    <mergeCell ref="H14:H15"/>
    <mergeCell ref="I14:I15"/>
    <mergeCell ref="L13:M13"/>
    <mergeCell ref="A13:A15"/>
    <mergeCell ref="B13:D15"/>
    <mergeCell ref="E13:E15"/>
    <mergeCell ref="F13:I13"/>
    <mergeCell ref="J13:K13"/>
  </mergeCells>
  <conditionalFormatting sqref="Q1:Q12 Q14:Q1048576">
    <cfRule type="containsText" dxfId="1" priority="2" operator="containsText" text="false">
      <formula>NOT(ISERROR(SEARCH("false",Q1)))</formula>
    </cfRule>
  </conditionalFormatting>
  <conditionalFormatting sqref="T1:T13 T15:T1048576">
    <cfRule type="containsText" dxfId="0" priority="1" operator="containsText" text="FALSE">
      <formula>NOT(ISERROR(SEARCH("FALSE",T1)))</formula>
    </cfRule>
  </conditionalFormatting>
  <pageMargins left="0.39370078740157483" right="0.39370078740157483" top="0.39370078740157483" bottom="0.39370078740157483" header="0.31496062992125984" footer="0.31496062992125984"/>
  <pageSetup paperSize="9" scale="51" orientation="portrait" horizontalDpi="0" verticalDpi="0" r:id="rId1"/>
  <headerFooter>
    <oddFooter>&amp;R1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D374-F327-4EE8-89F4-95B9F27443B1}">
  <sheetPr>
    <tabColor rgb="FFFFC000"/>
  </sheetPr>
  <dimension ref="A1:K875"/>
  <sheetViews>
    <sheetView topLeftCell="A837" zoomScaleNormal="100" zoomScaleSheetLayoutView="100" workbookViewId="0">
      <selection activeCell="K876" sqref="K876:K877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4" max="4" width="9.19921875" customWidth="1"/>
    <col min="7" max="7" width="25.8984375" customWidth="1"/>
    <col min="8" max="8" width="7.5" customWidth="1"/>
    <col min="9" max="9" width="8.59765625" customWidth="1"/>
    <col min="11" max="11" width="10.5" customWidth="1"/>
    <col min="13" max="13" width="13" bestFit="1" customWidth="1"/>
  </cols>
  <sheetData>
    <row r="1" spans="1:11" ht="14.4" x14ac:dyDescent="0.3">
      <c r="A1" s="655" t="s">
        <v>711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11" ht="14.4" x14ac:dyDescent="0.3">
      <c r="A2" s="655" t="s">
        <v>1446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</row>
    <row r="3" spans="1:11" ht="13.2" customHeight="1" thickBot="1" x14ac:dyDescent="0.3">
      <c r="J3" s="214" t="s">
        <v>708</v>
      </c>
      <c r="K3" s="290">
        <v>0.15</v>
      </c>
    </row>
    <row r="4" spans="1:11" ht="13.95" customHeight="1" x14ac:dyDescent="0.25">
      <c r="A4" s="656" t="s">
        <v>0</v>
      </c>
      <c r="B4" s="659" t="s">
        <v>597</v>
      </c>
      <c r="C4" s="660"/>
      <c r="D4" s="660"/>
      <c r="E4" s="660"/>
      <c r="F4" s="660"/>
      <c r="G4" s="661"/>
      <c r="H4" s="668" t="s">
        <v>2</v>
      </c>
      <c r="I4" s="668" t="s">
        <v>3</v>
      </c>
      <c r="J4" s="671" t="s">
        <v>712</v>
      </c>
      <c r="K4" s="672"/>
    </row>
    <row r="5" spans="1:11" ht="13.95" customHeight="1" x14ac:dyDescent="0.25">
      <c r="A5" s="657"/>
      <c r="B5" s="662"/>
      <c r="C5" s="663"/>
      <c r="D5" s="663"/>
      <c r="E5" s="663"/>
      <c r="F5" s="663"/>
      <c r="G5" s="664"/>
      <c r="H5" s="669"/>
      <c r="I5" s="669"/>
      <c r="J5" s="673" t="s">
        <v>598</v>
      </c>
      <c r="K5" s="674" t="s">
        <v>617</v>
      </c>
    </row>
    <row r="6" spans="1:11" ht="13.95" customHeight="1" thickBot="1" x14ac:dyDescent="0.3">
      <c r="A6" s="658"/>
      <c r="B6" s="665"/>
      <c r="C6" s="666"/>
      <c r="D6" s="666"/>
      <c r="E6" s="666"/>
      <c r="F6" s="666"/>
      <c r="G6" s="667"/>
      <c r="H6" s="670"/>
      <c r="I6" s="670"/>
      <c r="J6" s="670"/>
      <c r="K6" s="675"/>
    </row>
    <row r="7" spans="1:11" ht="14.1" customHeight="1" x14ac:dyDescent="0.25">
      <c r="A7" s="215">
        <v>1</v>
      </c>
      <c r="B7" s="651" t="s">
        <v>713</v>
      </c>
      <c r="C7" s="652"/>
      <c r="D7" s="216" t="s">
        <v>716</v>
      </c>
      <c r="E7" s="217"/>
      <c r="F7" s="218"/>
      <c r="G7" s="218"/>
      <c r="H7" s="219"/>
      <c r="I7" s="220"/>
      <c r="J7" s="221"/>
      <c r="K7" s="222"/>
    </row>
    <row r="8" spans="1:11" ht="13.2" customHeight="1" x14ac:dyDescent="0.25">
      <c r="A8" s="223"/>
      <c r="B8" s="224" t="s">
        <v>4</v>
      </c>
      <c r="C8" s="225" t="s">
        <v>718</v>
      </c>
      <c r="D8" s="226"/>
      <c r="E8" s="44"/>
      <c r="F8" s="227"/>
      <c r="G8" s="227"/>
      <c r="H8" s="228" t="s">
        <v>203</v>
      </c>
      <c r="I8" s="229">
        <v>1</v>
      </c>
      <c r="J8" s="60">
        <f>'Harga Satuan Dasar mat'!G22</f>
        <v>95500</v>
      </c>
      <c r="K8" s="230">
        <f>I8*J8</f>
        <v>95500</v>
      </c>
    </row>
    <row r="9" spans="1:11" ht="13.2" customHeight="1" x14ac:dyDescent="0.25">
      <c r="A9" s="223"/>
      <c r="B9" s="224" t="s">
        <v>30</v>
      </c>
      <c r="C9" s="225" t="s">
        <v>720</v>
      </c>
      <c r="D9" s="226"/>
      <c r="E9" s="44"/>
      <c r="F9" s="227"/>
      <c r="G9" s="227"/>
      <c r="H9" s="228" t="s">
        <v>203</v>
      </c>
      <c r="I9" s="229">
        <v>1</v>
      </c>
      <c r="J9" s="60">
        <f>'Harga Satuan Dasar mat'!G75</f>
        <v>164250</v>
      </c>
      <c r="K9" s="230">
        <f t="shared" ref="K9:K15" si="0">I9*J9</f>
        <v>164250</v>
      </c>
    </row>
    <row r="10" spans="1:11" ht="13.2" customHeight="1" x14ac:dyDescent="0.25">
      <c r="A10" s="223"/>
      <c r="B10" s="224" t="s">
        <v>57</v>
      </c>
      <c r="C10" s="225" t="s">
        <v>719</v>
      </c>
      <c r="D10" s="226"/>
      <c r="E10" s="44"/>
      <c r="F10" s="227"/>
      <c r="G10" s="227"/>
      <c r="H10" s="228" t="s">
        <v>203</v>
      </c>
      <c r="I10" s="229">
        <v>1</v>
      </c>
      <c r="J10" s="60">
        <f>'Harga Satuan Dasar mat'!G74</f>
        <v>156000</v>
      </c>
      <c r="K10" s="230">
        <f t="shared" si="0"/>
        <v>156000</v>
      </c>
    </row>
    <row r="11" spans="1:11" ht="13.2" customHeight="1" x14ac:dyDescent="0.25">
      <c r="A11" s="223"/>
      <c r="B11" s="224" t="s">
        <v>83</v>
      </c>
      <c r="C11" s="225" t="s">
        <v>721</v>
      </c>
      <c r="D11" s="226"/>
      <c r="E11" s="44"/>
      <c r="F11" s="227"/>
      <c r="G11" s="227"/>
      <c r="H11" s="228" t="s">
        <v>203</v>
      </c>
      <c r="I11" s="229">
        <v>1</v>
      </c>
      <c r="J11" s="60">
        <f>'Harga Satuan Dasar mat'!G79</f>
        <v>196500</v>
      </c>
      <c r="K11" s="230">
        <f t="shared" si="0"/>
        <v>196500</v>
      </c>
    </row>
    <row r="12" spans="1:11" ht="13.2" customHeight="1" x14ac:dyDescent="0.25">
      <c r="A12" s="223"/>
      <c r="B12" s="224" t="s">
        <v>110</v>
      </c>
      <c r="C12" s="225" t="s">
        <v>722</v>
      </c>
      <c r="D12" s="226"/>
      <c r="E12" s="44"/>
      <c r="F12" s="227"/>
      <c r="G12" s="227"/>
      <c r="H12" s="228" t="s">
        <v>203</v>
      </c>
      <c r="I12" s="229">
        <v>1</v>
      </c>
      <c r="J12" s="60">
        <f>'Harga Satuan Dasar mat'!G78</f>
        <v>189500</v>
      </c>
      <c r="K12" s="230">
        <f t="shared" si="0"/>
        <v>189500</v>
      </c>
    </row>
    <row r="13" spans="1:11" ht="13.2" customHeight="1" x14ac:dyDescent="0.25">
      <c r="A13" s="223"/>
      <c r="B13" s="224" t="s">
        <v>137</v>
      </c>
      <c r="C13" s="225" t="s">
        <v>1009</v>
      </c>
      <c r="D13" s="226"/>
      <c r="E13" s="44"/>
      <c r="F13" s="227"/>
      <c r="G13" s="227"/>
      <c r="H13" s="228" t="s">
        <v>235</v>
      </c>
      <c r="I13" s="229">
        <v>1</v>
      </c>
      <c r="J13" s="60">
        <f>'Harga Satuan Dasar mat'!G301</f>
        <v>253000</v>
      </c>
      <c r="K13" s="230">
        <f t="shared" si="0"/>
        <v>253000</v>
      </c>
    </row>
    <row r="14" spans="1:11" ht="13.2" customHeight="1" x14ac:dyDescent="0.25">
      <c r="A14" s="223"/>
      <c r="B14" s="224" t="s">
        <v>156</v>
      </c>
      <c r="C14" s="225" t="s">
        <v>1008</v>
      </c>
      <c r="D14" s="226"/>
      <c r="E14" s="44"/>
      <c r="F14" s="227"/>
      <c r="G14" s="227"/>
      <c r="H14" s="228" t="s">
        <v>235</v>
      </c>
      <c r="I14" s="229">
        <v>1</v>
      </c>
      <c r="J14" s="60">
        <f>'Harga Satuan Dasar mat'!G159</f>
        <v>95000</v>
      </c>
      <c r="K14" s="230">
        <f t="shared" si="0"/>
        <v>95000</v>
      </c>
    </row>
    <row r="15" spans="1:11" ht="13.2" customHeight="1" x14ac:dyDescent="0.25">
      <c r="A15" s="223"/>
      <c r="B15" s="224" t="s">
        <v>175</v>
      </c>
      <c r="C15" s="225" t="s">
        <v>979</v>
      </c>
      <c r="D15" s="226"/>
      <c r="E15" s="44"/>
      <c r="F15" s="227"/>
      <c r="G15" s="227"/>
      <c r="H15" s="228" t="s">
        <v>203</v>
      </c>
      <c r="I15" s="229">
        <v>13</v>
      </c>
      <c r="J15" s="60">
        <f>'Harga Satuan Dasar mat'!G252</f>
        <v>14000</v>
      </c>
      <c r="K15" s="230">
        <f t="shared" si="0"/>
        <v>182000</v>
      </c>
    </row>
    <row r="16" spans="1:11" ht="12.9" customHeight="1" x14ac:dyDescent="0.25">
      <c r="A16" s="58"/>
      <c r="B16" s="231"/>
      <c r="C16" s="232"/>
      <c r="D16" s="232"/>
      <c r="E16" s="232"/>
      <c r="F16" s="232"/>
      <c r="G16" s="233"/>
      <c r="H16" s="234" t="s">
        <v>715</v>
      </c>
      <c r="I16" s="235"/>
      <c r="J16" s="235"/>
      <c r="K16" s="236">
        <f>SUM(K8:K15)</f>
        <v>1331750</v>
      </c>
    </row>
    <row r="17" spans="1:11" ht="12.9" customHeight="1" x14ac:dyDescent="0.25">
      <c r="A17" s="58"/>
      <c r="B17" s="59"/>
      <c r="C17" s="56"/>
      <c r="D17" s="56"/>
      <c r="E17" s="56"/>
      <c r="F17" s="56"/>
      <c r="G17" s="237"/>
      <c r="H17" s="238" t="s">
        <v>603</v>
      </c>
      <c r="I17" s="239">
        <f>$K$3</f>
        <v>0.15</v>
      </c>
      <c r="J17" s="240"/>
      <c r="K17" s="241">
        <f>I17*K16</f>
        <v>199762.5</v>
      </c>
    </row>
    <row r="18" spans="1:11" ht="12.9" customHeight="1" x14ac:dyDescent="0.25">
      <c r="A18" s="58"/>
      <c r="B18" s="59"/>
      <c r="C18" s="56"/>
      <c r="D18" s="56"/>
      <c r="E18" s="56"/>
      <c r="F18" s="56"/>
      <c r="G18" s="237"/>
      <c r="H18" s="238" t="s">
        <v>604</v>
      </c>
      <c r="I18" s="226"/>
      <c r="J18" s="226"/>
      <c r="K18" s="241">
        <f>SUM(K16:K17)</f>
        <v>1531512.5</v>
      </c>
    </row>
    <row r="19" spans="1:11" ht="12.9" customHeight="1" thickBot="1" x14ac:dyDescent="0.3">
      <c r="A19" s="242"/>
      <c r="B19" s="243"/>
      <c r="C19" s="244"/>
      <c r="D19" s="244"/>
      <c r="E19" s="244"/>
      <c r="F19" s="244"/>
      <c r="G19" s="245"/>
      <c r="H19" s="246" t="s">
        <v>605</v>
      </c>
      <c r="I19" s="247"/>
      <c r="J19" s="247"/>
      <c r="K19" s="248">
        <f>ROUND(K18,-1)</f>
        <v>1531510</v>
      </c>
    </row>
    <row r="20" spans="1:11" ht="14.1" customHeight="1" x14ac:dyDescent="0.25">
      <c r="A20" s="215">
        <v>2</v>
      </c>
      <c r="B20" s="651" t="s">
        <v>713</v>
      </c>
      <c r="C20" s="652"/>
      <c r="D20" s="216" t="s">
        <v>728</v>
      </c>
      <c r="E20" s="217"/>
      <c r="F20" s="218"/>
      <c r="G20" s="218"/>
      <c r="H20" s="219"/>
      <c r="I20" s="220"/>
      <c r="J20" s="221"/>
      <c r="K20" s="222"/>
    </row>
    <row r="21" spans="1:11" ht="13.2" customHeight="1" x14ac:dyDescent="0.25">
      <c r="A21" s="223"/>
      <c r="B21" s="224" t="s">
        <v>4</v>
      </c>
      <c r="C21" s="225" t="s">
        <v>723</v>
      </c>
      <c r="D21" s="226"/>
      <c r="E21" s="44"/>
      <c r="F21" s="227"/>
      <c r="G21" s="227"/>
      <c r="H21" s="228" t="s">
        <v>203</v>
      </c>
      <c r="I21" s="229">
        <v>1</v>
      </c>
      <c r="J21" s="60">
        <f>'Harga Satuan Dasar mat'!G25</f>
        <v>110000</v>
      </c>
      <c r="K21" s="230">
        <f>I21*J21</f>
        <v>110000</v>
      </c>
    </row>
    <row r="22" spans="1:11" ht="13.2" customHeight="1" x14ac:dyDescent="0.25">
      <c r="A22" s="223"/>
      <c r="B22" s="224" t="s">
        <v>30</v>
      </c>
      <c r="C22" s="225" t="s">
        <v>724</v>
      </c>
      <c r="D22" s="226"/>
      <c r="E22" s="44"/>
      <c r="F22" s="227"/>
      <c r="G22" s="227"/>
      <c r="H22" s="228" t="s">
        <v>203</v>
      </c>
      <c r="I22" s="229">
        <v>1</v>
      </c>
      <c r="J22" s="60">
        <f>J12</f>
        <v>189500</v>
      </c>
      <c r="K22" s="230">
        <f t="shared" ref="K22:K28" si="1">I22*J22</f>
        <v>189500</v>
      </c>
    </row>
    <row r="23" spans="1:11" ht="13.2" customHeight="1" x14ac:dyDescent="0.25">
      <c r="A23" s="223"/>
      <c r="B23" s="224" t="s">
        <v>57</v>
      </c>
      <c r="C23" s="225" t="s">
        <v>725</v>
      </c>
      <c r="D23" s="226"/>
      <c r="E23" s="44"/>
      <c r="F23" s="227"/>
      <c r="G23" s="227"/>
      <c r="H23" s="228" t="s">
        <v>203</v>
      </c>
      <c r="I23" s="229">
        <v>1</v>
      </c>
      <c r="J23" s="60">
        <f>'Harga Satuan Dasar mat'!G77</f>
        <v>181000</v>
      </c>
      <c r="K23" s="230">
        <f t="shared" si="1"/>
        <v>181000</v>
      </c>
    </row>
    <row r="24" spans="1:11" ht="13.2" customHeight="1" x14ac:dyDescent="0.25">
      <c r="A24" s="223"/>
      <c r="B24" s="224" t="s">
        <v>83</v>
      </c>
      <c r="C24" s="225" t="s">
        <v>726</v>
      </c>
      <c r="D24" s="226"/>
      <c r="E24" s="44"/>
      <c r="F24" s="227"/>
      <c r="G24" s="227"/>
      <c r="H24" s="228" t="s">
        <v>203</v>
      </c>
      <c r="I24" s="229">
        <v>1</v>
      </c>
      <c r="J24" s="60">
        <f>'Harga Satuan Dasar mat'!G84</f>
        <v>239000</v>
      </c>
      <c r="K24" s="230">
        <f t="shared" si="1"/>
        <v>239000</v>
      </c>
    </row>
    <row r="25" spans="1:11" ht="13.2" customHeight="1" x14ac:dyDescent="0.25">
      <c r="A25" s="223"/>
      <c r="B25" s="224" t="s">
        <v>110</v>
      </c>
      <c r="C25" s="225" t="s">
        <v>727</v>
      </c>
      <c r="D25" s="226"/>
      <c r="E25" s="44"/>
      <c r="F25" s="227"/>
      <c r="G25" s="227"/>
      <c r="H25" s="228" t="s">
        <v>203</v>
      </c>
      <c r="I25" s="229">
        <v>1</v>
      </c>
      <c r="J25" s="60">
        <f>'Harga Satuan Dasar mat'!G83</f>
        <v>231500</v>
      </c>
      <c r="K25" s="230">
        <f t="shared" si="1"/>
        <v>231500</v>
      </c>
    </row>
    <row r="26" spans="1:11" ht="13.2" customHeight="1" x14ac:dyDescent="0.25">
      <c r="A26" s="223"/>
      <c r="B26" s="224" t="s">
        <v>137</v>
      </c>
      <c r="C26" s="225" t="s">
        <v>1007</v>
      </c>
      <c r="D26" s="226"/>
      <c r="E26" s="44"/>
      <c r="F26" s="227"/>
      <c r="G26" s="227"/>
      <c r="H26" s="228" t="s">
        <v>235</v>
      </c>
      <c r="I26" s="229">
        <v>1</v>
      </c>
      <c r="J26" s="60">
        <f>'Harga Satuan Dasar mat'!G322</f>
        <v>454000</v>
      </c>
      <c r="K26" s="230">
        <f t="shared" si="1"/>
        <v>454000</v>
      </c>
    </row>
    <row r="27" spans="1:11" ht="13.2" customHeight="1" x14ac:dyDescent="0.25">
      <c r="A27" s="223"/>
      <c r="B27" s="224" t="s">
        <v>156</v>
      </c>
      <c r="C27" s="225" t="s">
        <v>1008</v>
      </c>
      <c r="D27" s="226"/>
      <c r="E27" s="44"/>
      <c r="F27" s="227"/>
      <c r="G27" s="227"/>
      <c r="H27" s="228" t="s">
        <v>235</v>
      </c>
      <c r="I27" s="229">
        <v>1</v>
      </c>
      <c r="J27" s="60">
        <f>J14</f>
        <v>95000</v>
      </c>
      <c r="K27" s="230">
        <f t="shared" si="1"/>
        <v>95000</v>
      </c>
    </row>
    <row r="28" spans="1:11" ht="13.2" customHeight="1" x14ac:dyDescent="0.25">
      <c r="A28" s="223"/>
      <c r="B28" s="224" t="s">
        <v>175</v>
      </c>
      <c r="C28" s="225" t="s">
        <v>979</v>
      </c>
      <c r="D28" s="226"/>
      <c r="E28" s="44"/>
      <c r="F28" s="227"/>
      <c r="G28" s="227"/>
      <c r="H28" s="228" t="s">
        <v>203</v>
      </c>
      <c r="I28" s="229">
        <v>13</v>
      </c>
      <c r="J28" s="60">
        <f>J15</f>
        <v>14000</v>
      </c>
      <c r="K28" s="230">
        <f t="shared" si="1"/>
        <v>182000</v>
      </c>
    </row>
    <row r="29" spans="1:11" ht="12.9" customHeight="1" x14ac:dyDescent="0.25">
      <c r="A29" s="58"/>
      <c r="B29" s="231"/>
      <c r="C29" s="232"/>
      <c r="D29" s="232"/>
      <c r="E29" s="232"/>
      <c r="F29" s="232"/>
      <c r="G29" s="233"/>
      <c r="H29" s="234" t="s">
        <v>715</v>
      </c>
      <c r="I29" s="235"/>
      <c r="J29" s="235"/>
      <c r="K29" s="236">
        <f>SUM(K21:K28)</f>
        <v>1682000</v>
      </c>
    </row>
    <row r="30" spans="1:11" ht="12.9" customHeight="1" x14ac:dyDescent="0.25">
      <c r="A30" s="58"/>
      <c r="B30" s="59"/>
      <c r="C30" s="56"/>
      <c r="D30" s="56"/>
      <c r="E30" s="56"/>
      <c r="F30" s="56"/>
      <c r="G30" s="237"/>
      <c r="H30" s="238" t="s">
        <v>603</v>
      </c>
      <c r="I30" s="239">
        <f>$K$3</f>
        <v>0.15</v>
      </c>
      <c r="J30" s="240"/>
      <c r="K30" s="241">
        <f>I30*K29</f>
        <v>252300</v>
      </c>
    </row>
    <row r="31" spans="1:11" ht="12.9" customHeight="1" x14ac:dyDescent="0.25">
      <c r="A31" s="58"/>
      <c r="B31" s="59"/>
      <c r="C31" s="56"/>
      <c r="D31" s="56"/>
      <c r="E31" s="56"/>
      <c r="F31" s="56"/>
      <c r="G31" s="237"/>
      <c r="H31" s="238" t="s">
        <v>604</v>
      </c>
      <c r="I31" s="226"/>
      <c r="J31" s="226"/>
      <c r="K31" s="241">
        <f>SUM(K29:K30)</f>
        <v>1934300</v>
      </c>
    </row>
    <row r="32" spans="1:11" ht="12.9" customHeight="1" thickBot="1" x14ac:dyDescent="0.3">
      <c r="A32" s="242"/>
      <c r="B32" s="243"/>
      <c r="C32" s="244"/>
      <c r="D32" s="244"/>
      <c r="E32" s="244"/>
      <c r="F32" s="244"/>
      <c r="G32" s="245"/>
      <c r="H32" s="246" t="s">
        <v>605</v>
      </c>
      <c r="I32" s="247"/>
      <c r="J32" s="247"/>
      <c r="K32" s="248">
        <f>ROUND(K31,-1)</f>
        <v>1934300</v>
      </c>
    </row>
    <row r="33" spans="1:11" ht="14.1" customHeight="1" x14ac:dyDescent="0.25">
      <c r="A33" s="215">
        <v>3</v>
      </c>
      <c r="B33" s="651" t="s">
        <v>713</v>
      </c>
      <c r="C33" s="652"/>
      <c r="D33" s="216" t="s">
        <v>729</v>
      </c>
      <c r="E33" s="217"/>
      <c r="F33" s="218"/>
      <c r="G33" s="218"/>
      <c r="H33" s="219"/>
      <c r="I33" s="220"/>
      <c r="J33" s="221"/>
      <c r="K33" s="222"/>
    </row>
    <row r="34" spans="1:11" ht="13.2" customHeight="1" x14ac:dyDescent="0.25">
      <c r="A34" s="223"/>
      <c r="B34" s="224" t="s">
        <v>4</v>
      </c>
      <c r="C34" s="225" t="s">
        <v>723</v>
      </c>
      <c r="D34" s="226"/>
      <c r="E34" s="44"/>
      <c r="F34" s="227"/>
      <c r="G34" s="227"/>
      <c r="H34" s="228" t="s">
        <v>203</v>
      </c>
      <c r="I34" s="229">
        <v>1</v>
      </c>
      <c r="J34" s="60">
        <f t="shared" ref="J34:J41" si="2">J21</f>
        <v>110000</v>
      </c>
      <c r="K34" s="230">
        <f>I34*J34</f>
        <v>110000</v>
      </c>
    </row>
    <row r="35" spans="1:11" ht="13.2" customHeight="1" x14ac:dyDescent="0.25">
      <c r="A35" s="223"/>
      <c r="B35" s="224" t="s">
        <v>30</v>
      </c>
      <c r="C35" s="225" t="s">
        <v>724</v>
      </c>
      <c r="D35" s="226"/>
      <c r="E35" s="44"/>
      <c r="F35" s="227"/>
      <c r="G35" s="227"/>
      <c r="H35" s="228" t="s">
        <v>203</v>
      </c>
      <c r="I35" s="229">
        <v>1</v>
      </c>
      <c r="J35" s="60">
        <f t="shared" si="2"/>
        <v>189500</v>
      </c>
      <c r="K35" s="230">
        <f t="shared" ref="K35:K41" si="3">I35*J35</f>
        <v>189500</v>
      </c>
    </row>
    <row r="36" spans="1:11" ht="13.2" customHeight="1" x14ac:dyDescent="0.25">
      <c r="A36" s="223"/>
      <c r="B36" s="224" t="s">
        <v>57</v>
      </c>
      <c r="C36" s="225" t="s">
        <v>725</v>
      </c>
      <c r="D36" s="226"/>
      <c r="E36" s="44"/>
      <c r="F36" s="227"/>
      <c r="G36" s="227"/>
      <c r="H36" s="228" t="s">
        <v>203</v>
      </c>
      <c r="I36" s="229">
        <v>1</v>
      </c>
      <c r="J36" s="60">
        <f t="shared" si="2"/>
        <v>181000</v>
      </c>
      <c r="K36" s="230">
        <f t="shared" si="3"/>
        <v>181000</v>
      </c>
    </row>
    <row r="37" spans="1:11" ht="13.2" customHeight="1" x14ac:dyDescent="0.25">
      <c r="A37" s="223"/>
      <c r="B37" s="224" t="s">
        <v>83</v>
      </c>
      <c r="C37" s="225" t="s">
        <v>726</v>
      </c>
      <c r="D37" s="226"/>
      <c r="E37" s="44"/>
      <c r="F37" s="227"/>
      <c r="G37" s="227"/>
      <c r="H37" s="228" t="s">
        <v>203</v>
      </c>
      <c r="I37" s="229">
        <v>1</v>
      </c>
      <c r="J37" s="60">
        <f t="shared" si="2"/>
        <v>239000</v>
      </c>
      <c r="K37" s="230">
        <f t="shared" si="3"/>
        <v>239000</v>
      </c>
    </row>
    <row r="38" spans="1:11" ht="13.2" customHeight="1" x14ac:dyDescent="0.25">
      <c r="A38" s="223"/>
      <c r="B38" s="224" t="s">
        <v>110</v>
      </c>
      <c r="C38" s="225" t="s">
        <v>727</v>
      </c>
      <c r="D38" s="226"/>
      <c r="E38" s="44"/>
      <c r="F38" s="227"/>
      <c r="G38" s="227"/>
      <c r="H38" s="228" t="s">
        <v>203</v>
      </c>
      <c r="I38" s="229">
        <v>1</v>
      </c>
      <c r="J38" s="60">
        <f t="shared" si="2"/>
        <v>231500</v>
      </c>
      <c r="K38" s="230">
        <f t="shared" si="3"/>
        <v>231500</v>
      </c>
    </row>
    <row r="39" spans="1:11" ht="13.2" customHeight="1" x14ac:dyDescent="0.25">
      <c r="A39" s="223"/>
      <c r="B39" s="224" t="s">
        <v>137</v>
      </c>
      <c r="C39" s="225" t="s">
        <v>1007</v>
      </c>
      <c r="D39" s="226"/>
      <c r="E39" s="44"/>
      <c r="F39" s="227"/>
      <c r="G39" s="227"/>
      <c r="H39" s="228" t="s">
        <v>235</v>
      </c>
      <c r="I39" s="229">
        <v>1</v>
      </c>
      <c r="J39" s="60">
        <f t="shared" si="2"/>
        <v>454000</v>
      </c>
      <c r="K39" s="230">
        <f t="shared" si="3"/>
        <v>454000</v>
      </c>
    </row>
    <row r="40" spans="1:11" ht="13.2" customHeight="1" x14ac:dyDescent="0.25">
      <c r="A40" s="223"/>
      <c r="B40" s="224" t="s">
        <v>156</v>
      </c>
      <c r="C40" s="225" t="s">
        <v>1008</v>
      </c>
      <c r="D40" s="226"/>
      <c r="E40" s="44"/>
      <c r="F40" s="227"/>
      <c r="G40" s="227"/>
      <c r="H40" s="228" t="s">
        <v>235</v>
      </c>
      <c r="I40" s="229">
        <v>1</v>
      </c>
      <c r="J40" s="60">
        <f t="shared" si="2"/>
        <v>95000</v>
      </c>
      <c r="K40" s="230">
        <f t="shared" si="3"/>
        <v>95000</v>
      </c>
    </row>
    <row r="41" spans="1:11" ht="13.2" customHeight="1" x14ac:dyDescent="0.25">
      <c r="A41" s="223"/>
      <c r="B41" s="224" t="s">
        <v>175</v>
      </c>
      <c r="C41" s="225" t="s">
        <v>979</v>
      </c>
      <c r="D41" s="226"/>
      <c r="E41" s="44"/>
      <c r="F41" s="227"/>
      <c r="G41" s="227"/>
      <c r="H41" s="228" t="s">
        <v>203</v>
      </c>
      <c r="I41" s="229">
        <v>13</v>
      </c>
      <c r="J41" s="60">
        <f t="shared" si="2"/>
        <v>14000</v>
      </c>
      <c r="K41" s="230">
        <f t="shared" si="3"/>
        <v>182000</v>
      </c>
    </row>
    <row r="42" spans="1:11" ht="12.9" customHeight="1" x14ac:dyDescent="0.25">
      <c r="A42" s="58"/>
      <c r="B42" s="231"/>
      <c r="C42" s="232"/>
      <c r="D42" s="232"/>
      <c r="E42" s="232"/>
      <c r="F42" s="232"/>
      <c r="G42" s="233"/>
      <c r="H42" s="234" t="s">
        <v>715</v>
      </c>
      <c r="I42" s="235"/>
      <c r="J42" s="235"/>
      <c r="K42" s="236">
        <f>SUM(K34:K41)</f>
        <v>1682000</v>
      </c>
    </row>
    <row r="43" spans="1:11" ht="12.9" customHeight="1" x14ac:dyDescent="0.25">
      <c r="A43" s="58"/>
      <c r="B43" s="59"/>
      <c r="C43" s="56"/>
      <c r="D43" s="56"/>
      <c r="E43" s="56"/>
      <c r="F43" s="56"/>
      <c r="G43" s="237"/>
      <c r="H43" s="238" t="s">
        <v>603</v>
      </c>
      <c r="I43" s="239">
        <f>$K$3</f>
        <v>0.15</v>
      </c>
      <c r="J43" s="240"/>
      <c r="K43" s="241">
        <f>I43*K42</f>
        <v>252300</v>
      </c>
    </row>
    <row r="44" spans="1:11" ht="12.9" customHeight="1" x14ac:dyDescent="0.25">
      <c r="A44" s="58"/>
      <c r="B44" s="59"/>
      <c r="C44" s="56"/>
      <c r="D44" s="56"/>
      <c r="E44" s="56"/>
      <c r="F44" s="56"/>
      <c r="G44" s="237"/>
      <c r="H44" s="238" t="s">
        <v>604</v>
      </c>
      <c r="I44" s="226"/>
      <c r="J44" s="226"/>
      <c r="K44" s="241">
        <f>SUM(K42:K43)</f>
        <v>1934300</v>
      </c>
    </row>
    <row r="45" spans="1:11" ht="12.9" customHeight="1" thickBot="1" x14ac:dyDescent="0.3">
      <c r="A45" s="242"/>
      <c r="B45" s="243"/>
      <c r="C45" s="244"/>
      <c r="D45" s="244"/>
      <c r="E45" s="244"/>
      <c r="F45" s="244"/>
      <c r="G45" s="245"/>
      <c r="H45" s="246" t="s">
        <v>605</v>
      </c>
      <c r="I45" s="247"/>
      <c r="J45" s="247"/>
      <c r="K45" s="248">
        <f>ROUND(K44,-1)</f>
        <v>1934300</v>
      </c>
    </row>
    <row r="46" spans="1:11" ht="14.1" customHeight="1" x14ac:dyDescent="0.25">
      <c r="A46" s="215">
        <v>4</v>
      </c>
      <c r="B46" s="651" t="s">
        <v>713</v>
      </c>
      <c r="C46" s="652"/>
      <c r="D46" s="216" t="s">
        <v>754</v>
      </c>
      <c r="E46" s="217"/>
      <c r="F46" s="218"/>
      <c r="G46" s="218"/>
      <c r="H46" s="219"/>
      <c r="I46" s="249"/>
      <c r="J46" s="221"/>
      <c r="K46" s="222"/>
    </row>
    <row r="47" spans="1:11" ht="13.2" customHeight="1" x14ac:dyDescent="0.25">
      <c r="A47" s="223"/>
      <c r="B47" s="224" t="s">
        <v>4</v>
      </c>
      <c r="C47" s="225" t="s">
        <v>749</v>
      </c>
      <c r="D47" s="226"/>
      <c r="E47" s="44"/>
      <c r="F47" s="227"/>
      <c r="G47" s="227"/>
      <c r="H47" s="228" t="s">
        <v>203</v>
      </c>
      <c r="I47" s="229">
        <v>1</v>
      </c>
      <c r="J47" s="60">
        <f>'Harga Satuan Dasar mat'!G16</f>
        <v>65250</v>
      </c>
      <c r="K47" s="230">
        <f>I47*J47</f>
        <v>65250</v>
      </c>
    </row>
    <row r="48" spans="1:11" ht="13.2" customHeight="1" x14ac:dyDescent="0.25">
      <c r="A48" s="223"/>
      <c r="B48" s="224" t="s">
        <v>30</v>
      </c>
      <c r="C48" s="225" t="s">
        <v>750</v>
      </c>
      <c r="D48" s="226"/>
      <c r="E48" s="44"/>
      <c r="F48" s="227"/>
      <c r="G48" s="227"/>
      <c r="H48" s="228" t="s">
        <v>203</v>
      </c>
      <c r="I48" s="229">
        <v>1</v>
      </c>
      <c r="J48" s="60">
        <f>'Harga Satuan Dasar mat'!G68</f>
        <v>104750</v>
      </c>
      <c r="K48" s="230">
        <f t="shared" ref="K48:K54" si="4">I48*J48</f>
        <v>104750</v>
      </c>
    </row>
    <row r="49" spans="1:11" ht="13.2" customHeight="1" x14ac:dyDescent="0.25">
      <c r="A49" s="223"/>
      <c r="B49" s="224" t="s">
        <v>57</v>
      </c>
      <c r="C49" s="225" t="s">
        <v>751</v>
      </c>
      <c r="D49" s="226"/>
      <c r="E49" s="44"/>
      <c r="F49" s="227"/>
      <c r="G49" s="227"/>
      <c r="H49" s="228" t="s">
        <v>203</v>
      </c>
      <c r="I49" s="229">
        <v>1</v>
      </c>
      <c r="J49" s="60">
        <f>J48</f>
        <v>104750</v>
      </c>
      <c r="K49" s="230">
        <f t="shared" si="4"/>
        <v>104750</v>
      </c>
    </row>
    <row r="50" spans="1:11" ht="13.2" customHeight="1" x14ac:dyDescent="0.25">
      <c r="A50" s="223"/>
      <c r="B50" s="224" t="s">
        <v>83</v>
      </c>
      <c r="C50" s="225" t="s">
        <v>752</v>
      </c>
      <c r="D50" s="226"/>
      <c r="E50" s="44"/>
      <c r="F50" s="227"/>
      <c r="G50" s="227"/>
      <c r="H50" s="228" t="s">
        <v>203</v>
      </c>
      <c r="I50" s="229">
        <v>1</v>
      </c>
      <c r="J50" s="60">
        <f>'Harga Satuan Dasar mat'!G72</f>
        <v>138500</v>
      </c>
      <c r="K50" s="230">
        <f t="shared" si="4"/>
        <v>138500</v>
      </c>
    </row>
    <row r="51" spans="1:11" ht="13.2" customHeight="1" x14ac:dyDescent="0.25">
      <c r="A51" s="223"/>
      <c r="B51" s="224" t="s">
        <v>110</v>
      </c>
      <c r="C51" s="225" t="s">
        <v>753</v>
      </c>
      <c r="D51" s="226"/>
      <c r="E51" s="44"/>
      <c r="F51" s="227"/>
      <c r="G51" s="227"/>
      <c r="H51" s="228" t="s">
        <v>203</v>
      </c>
      <c r="I51" s="229">
        <v>1</v>
      </c>
      <c r="J51" s="60">
        <f>'Harga Satuan Dasar mat'!G70</f>
        <v>121500</v>
      </c>
      <c r="K51" s="230">
        <f t="shared" si="4"/>
        <v>121500</v>
      </c>
    </row>
    <row r="52" spans="1:11" ht="13.2" customHeight="1" x14ac:dyDescent="0.25">
      <c r="A52" s="223"/>
      <c r="B52" s="224" t="s">
        <v>137</v>
      </c>
      <c r="C52" s="225" t="s">
        <v>1006</v>
      </c>
      <c r="D52" s="226"/>
      <c r="E52" s="44"/>
      <c r="F52" s="227"/>
      <c r="G52" s="227"/>
      <c r="H52" s="228" t="s">
        <v>235</v>
      </c>
      <c r="I52" s="229">
        <v>1</v>
      </c>
      <c r="J52" s="60">
        <f>'Harga Satuan Dasar mat'!G301</f>
        <v>253000</v>
      </c>
      <c r="K52" s="230">
        <f t="shared" si="4"/>
        <v>253000</v>
      </c>
    </row>
    <row r="53" spans="1:11" ht="13.2" customHeight="1" x14ac:dyDescent="0.25">
      <c r="A53" s="223"/>
      <c r="B53" s="224" t="s">
        <v>156</v>
      </c>
      <c r="C53" s="225" t="s">
        <v>1008</v>
      </c>
      <c r="D53" s="226"/>
      <c r="E53" s="44"/>
      <c r="F53" s="227"/>
      <c r="G53" s="227"/>
      <c r="H53" s="228" t="s">
        <v>235</v>
      </c>
      <c r="I53" s="229">
        <v>1</v>
      </c>
      <c r="J53" s="60">
        <f>J40</f>
        <v>95000</v>
      </c>
      <c r="K53" s="230">
        <f t="shared" si="4"/>
        <v>95000</v>
      </c>
    </row>
    <row r="54" spans="1:11" ht="13.2" customHeight="1" x14ac:dyDescent="0.25">
      <c r="A54" s="223"/>
      <c r="B54" s="224" t="s">
        <v>175</v>
      </c>
      <c r="C54" s="225" t="s">
        <v>979</v>
      </c>
      <c r="D54" s="226"/>
      <c r="E54" s="44"/>
      <c r="F54" s="227"/>
      <c r="G54" s="227"/>
      <c r="H54" s="228" t="s">
        <v>203</v>
      </c>
      <c r="I54" s="229">
        <v>13</v>
      </c>
      <c r="J54" s="60">
        <f>J41</f>
        <v>14000</v>
      </c>
      <c r="K54" s="230">
        <f t="shared" si="4"/>
        <v>182000</v>
      </c>
    </row>
    <row r="55" spans="1:11" ht="12.9" customHeight="1" x14ac:dyDescent="0.25">
      <c r="A55" s="58"/>
      <c r="B55" s="231"/>
      <c r="C55" s="232"/>
      <c r="D55" s="232"/>
      <c r="E55" s="232"/>
      <c r="F55" s="232"/>
      <c r="G55" s="233"/>
      <c r="H55" s="234" t="s">
        <v>715</v>
      </c>
      <c r="I55" s="235"/>
      <c r="J55" s="235"/>
      <c r="K55" s="236">
        <f>SUM(K47:K54)</f>
        <v>1064750</v>
      </c>
    </row>
    <row r="56" spans="1:11" ht="12.9" customHeight="1" x14ac:dyDescent="0.25">
      <c r="A56" s="58"/>
      <c r="B56" s="59"/>
      <c r="C56" s="56"/>
      <c r="D56" s="56"/>
      <c r="E56" s="56"/>
      <c r="F56" s="56"/>
      <c r="G56" s="237"/>
      <c r="H56" s="238" t="s">
        <v>603</v>
      </c>
      <c r="I56" s="250">
        <f>$K$3</f>
        <v>0.15</v>
      </c>
      <c r="J56" s="251"/>
      <c r="K56" s="241">
        <f>I56*K55</f>
        <v>159712.5</v>
      </c>
    </row>
    <row r="57" spans="1:11" ht="12.9" customHeight="1" x14ac:dyDescent="0.25">
      <c r="A57" s="58"/>
      <c r="B57" s="59"/>
      <c r="C57" s="56"/>
      <c r="D57" s="56"/>
      <c r="E57" s="56"/>
      <c r="F57" s="56"/>
      <c r="G57" s="237"/>
      <c r="H57" s="238" t="s">
        <v>604</v>
      </c>
      <c r="I57" s="226"/>
      <c r="J57" s="226"/>
      <c r="K57" s="241">
        <f>SUM(K55:K56)</f>
        <v>1224462.5</v>
      </c>
    </row>
    <row r="58" spans="1:11" ht="12.9" customHeight="1" thickBot="1" x14ac:dyDescent="0.3">
      <c r="A58" s="242"/>
      <c r="B58" s="243"/>
      <c r="C58" s="244"/>
      <c r="D58" s="244"/>
      <c r="E58" s="244"/>
      <c r="F58" s="244"/>
      <c r="G58" s="245"/>
      <c r="H58" s="246" t="s">
        <v>605</v>
      </c>
      <c r="I58" s="247"/>
      <c r="J58" s="247"/>
      <c r="K58" s="248">
        <f>ROUND(K57,-1)</f>
        <v>1224460</v>
      </c>
    </row>
    <row r="59" spans="1:11" ht="14.1" customHeight="1" x14ac:dyDescent="0.25">
      <c r="A59" s="215">
        <v>5</v>
      </c>
      <c r="B59" s="651" t="s">
        <v>713</v>
      </c>
      <c r="C59" s="652"/>
      <c r="D59" s="216" t="s">
        <v>730</v>
      </c>
      <c r="E59" s="217"/>
      <c r="F59" s="218"/>
      <c r="G59" s="218"/>
      <c r="H59" s="219"/>
      <c r="I59" s="220"/>
      <c r="J59" s="221"/>
      <c r="K59" s="222"/>
    </row>
    <row r="60" spans="1:11" ht="13.2" customHeight="1" x14ac:dyDescent="0.25">
      <c r="A60" s="223"/>
      <c r="B60" s="224" t="s">
        <v>4</v>
      </c>
      <c r="C60" s="225" t="s">
        <v>731</v>
      </c>
      <c r="D60" s="226"/>
      <c r="E60" s="44"/>
      <c r="F60" s="227"/>
      <c r="G60" s="227"/>
      <c r="H60" s="228" t="s">
        <v>203</v>
      </c>
      <c r="I60" s="229">
        <v>1</v>
      </c>
      <c r="J60" s="60">
        <f>'Harga Satuan Dasar mat'!G18</f>
        <v>75000</v>
      </c>
      <c r="K60" s="230">
        <f>I60*J60</f>
        <v>75000</v>
      </c>
    </row>
    <row r="61" spans="1:11" ht="13.2" customHeight="1" x14ac:dyDescent="0.25">
      <c r="A61" s="223"/>
      <c r="B61" s="224" t="s">
        <v>30</v>
      </c>
      <c r="C61" s="225" t="s">
        <v>732</v>
      </c>
      <c r="D61" s="226"/>
      <c r="E61" s="44"/>
      <c r="F61" s="227"/>
      <c r="G61" s="227"/>
      <c r="H61" s="228" t="s">
        <v>203</v>
      </c>
      <c r="I61" s="229">
        <v>1</v>
      </c>
      <c r="J61" s="60">
        <f>'Harga Satuan Dasar mat'!G70</f>
        <v>121500</v>
      </c>
      <c r="K61" s="230">
        <f t="shared" ref="K61:K67" si="5">I61*J61</f>
        <v>121500</v>
      </c>
    </row>
    <row r="62" spans="1:11" ht="13.2" customHeight="1" x14ac:dyDescent="0.25">
      <c r="A62" s="223"/>
      <c r="B62" s="224" t="s">
        <v>57</v>
      </c>
      <c r="C62" s="225" t="s">
        <v>733</v>
      </c>
      <c r="D62" s="226"/>
      <c r="E62" s="44"/>
      <c r="F62" s="227"/>
      <c r="G62" s="227"/>
      <c r="H62" s="228" t="s">
        <v>203</v>
      </c>
      <c r="I62" s="229">
        <v>1</v>
      </c>
      <c r="J62" s="60">
        <f>J61</f>
        <v>121500</v>
      </c>
      <c r="K62" s="230">
        <f t="shared" si="5"/>
        <v>121500</v>
      </c>
    </row>
    <row r="63" spans="1:11" ht="13.2" customHeight="1" x14ac:dyDescent="0.25">
      <c r="A63" s="223"/>
      <c r="B63" s="224" t="s">
        <v>83</v>
      </c>
      <c r="C63" s="225" t="s">
        <v>734</v>
      </c>
      <c r="D63" s="226"/>
      <c r="E63" s="44"/>
      <c r="F63" s="227"/>
      <c r="G63" s="227"/>
      <c r="H63" s="228" t="s">
        <v>203</v>
      </c>
      <c r="I63" s="229">
        <v>1</v>
      </c>
      <c r="J63" s="60">
        <f>'Harga Satuan Dasar mat'!G76</f>
        <v>173000</v>
      </c>
      <c r="K63" s="230">
        <f t="shared" si="5"/>
        <v>173000</v>
      </c>
    </row>
    <row r="64" spans="1:11" ht="13.2" customHeight="1" x14ac:dyDescent="0.25">
      <c r="A64" s="223"/>
      <c r="B64" s="224" t="s">
        <v>110</v>
      </c>
      <c r="C64" s="225" t="s">
        <v>735</v>
      </c>
      <c r="D64" s="226"/>
      <c r="E64" s="44"/>
      <c r="F64" s="227"/>
      <c r="G64" s="227"/>
      <c r="H64" s="228" t="s">
        <v>203</v>
      </c>
      <c r="I64" s="229">
        <v>1</v>
      </c>
      <c r="J64" s="60">
        <f>'Harga Satuan Dasar mat'!G72</f>
        <v>138500</v>
      </c>
      <c r="K64" s="230">
        <f t="shared" si="5"/>
        <v>138500</v>
      </c>
    </row>
    <row r="65" spans="1:11" ht="13.2" customHeight="1" x14ac:dyDescent="0.25">
      <c r="A65" s="223"/>
      <c r="B65" s="224" t="s">
        <v>137</v>
      </c>
      <c r="C65" s="225" t="s">
        <v>990</v>
      </c>
      <c r="D65" s="226"/>
      <c r="E65" s="44"/>
      <c r="F65" s="227"/>
      <c r="G65" s="227"/>
      <c r="H65" s="228" t="s">
        <v>235</v>
      </c>
      <c r="I65" s="229">
        <v>1</v>
      </c>
      <c r="J65" s="60">
        <f>J52</f>
        <v>253000</v>
      </c>
      <c r="K65" s="230">
        <f t="shared" si="5"/>
        <v>253000</v>
      </c>
    </row>
    <row r="66" spans="1:11" ht="13.2" customHeight="1" x14ac:dyDescent="0.25">
      <c r="A66" s="223"/>
      <c r="B66" s="224" t="s">
        <v>156</v>
      </c>
      <c r="C66" s="225" t="s">
        <v>1008</v>
      </c>
      <c r="D66" s="226"/>
      <c r="E66" s="44"/>
      <c r="F66" s="227"/>
      <c r="G66" s="227"/>
      <c r="H66" s="228" t="s">
        <v>235</v>
      </c>
      <c r="I66" s="229">
        <v>1</v>
      </c>
      <c r="J66" s="60">
        <f>J53</f>
        <v>95000</v>
      </c>
      <c r="K66" s="230">
        <f t="shared" si="5"/>
        <v>95000</v>
      </c>
    </row>
    <row r="67" spans="1:11" ht="13.2" customHeight="1" x14ac:dyDescent="0.25">
      <c r="A67" s="223"/>
      <c r="B67" s="224" t="s">
        <v>175</v>
      </c>
      <c r="C67" s="225" t="s">
        <v>979</v>
      </c>
      <c r="D67" s="226"/>
      <c r="E67" s="44"/>
      <c r="F67" s="227"/>
      <c r="G67" s="227"/>
      <c r="H67" s="228" t="s">
        <v>203</v>
      </c>
      <c r="I67" s="229">
        <v>13</v>
      </c>
      <c r="J67" s="60">
        <f>J54</f>
        <v>14000</v>
      </c>
      <c r="K67" s="230">
        <f t="shared" si="5"/>
        <v>182000</v>
      </c>
    </row>
    <row r="68" spans="1:11" ht="12.9" customHeight="1" x14ac:dyDescent="0.25">
      <c r="A68" s="58"/>
      <c r="B68" s="231"/>
      <c r="C68" s="232"/>
      <c r="D68" s="232"/>
      <c r="E68" s="232"/>
      <c r="F68" s="232"/>
      <c r="G68" s="233"/>
      <c r="H68" s="234" t="s">
        <v>715</v>
      </c>
      <c r="I68" s="235"/>
      <c r="J68" s="235"/>
      <c r="K68" s="236">
        <f>SUM(K60:K67)</f>
        <v>1159500</v>
      </c>
    </row>
    <row r="69" spans="1:11" ht="12.9" customHeight="1" x14ac:dyDescent="0.25">
      <c r="A69" s="58"/>
      <c r="B69" s="59"/>
      <c r="C69" s="56"/>
      <c r="D69" s="56"/>
      <c r="E69" s="56"/>
      <c r="F69" s="56"/>
      <c r="G69" s="237"/>
      <c r="H69" s="238" t="s">
        <v>603</v>
      </c>
      <c r="I69" s="239">
        <f>$K$3</f>
        <v>0.15</v>
      </c>
      <c r="J69" s="240"/>
      <c r="K69" s="241">
        <f>I69*K68</f>
        <v>173925</v>
      </c>
    </row>
    <row r="70" spans="1:11" ht="12.9" customHeight="1" x14ac:dyDescent="0.25">
      <c r="A70" s="58"/>
      <c r="B70" s="59"/>
      <c r="C70" s="56"/>
      <c r="D70" s="56"/>
      <c r="E70" s="56"/>
      <c r="F70" s="56"/>
      <c r="G70" s="237"/>
      <c r="H70" s="238" t="s">
        <v>604</v>
      </c>
      <c r="I70" s="226"/>
      <c r="J70" s="226"/>
      <c r="K70" s="241">
        <f>SUM(K68:K69)</f>
        <v>1333425</v>
      </c>
    </row>
    <row r="71" spans="1:11" ht="12.9" customHeight="1" thickBot="1" x14ac:dyDescent="0.3">
      <c r="A71" s="242"/>
      <c r="B71" s="243"/>
      <c r="C71" s="244"/>
      <c r="D71" s="244"/>
      <c r="E71" s="244"/>
      <c r="F71" s="244"/>
      <c r="G71" s="245"/>
      <c r="H71" s="246" t="s">
        <v>605</v>
      </c>
      <c r="I71" s="247"/>
      <c r="J71" s="247"/>
      <c r="K71" s="248">
        <f>ROUND(K70,-1)</f>
        <v>1333430</v>
      </c>
    </row>
    <row r="72" spans="1:11" ht="14.1" customHeight="1" x14ac:dyDescent="0.25">
      <c r="A72" s="215">
        <v>6</v>
      </c>
      <c r="B72" s="651" t="s">
        <v>713</v>
      </c>
      <c r="C72" s="652"/>
      <c r="D72" s="216" t="s">
        <v>736</v>
      </c>
      <c r="E72" s="217"/>
      <c r="F72" s="218"/>
      <c r="G72" s="218"/>
      <c r="H72" s="219"/>
      <c r="I72" s="220"/>
      <c r="J72" s="221"/>
      <c r="K72" s="222"/>
    </row>
    <row r="73" spans="1:11" ht="13.2" customHeight="1" x14ac:dyDescent="0.25">
      <c r="A73" s="223"/>
      <c r="B73" s="224" t="s">
        <v>4</v>
      </c>
      <c r="C73" s="225" t="s">
        <v>731</v>
      </c>
      <c r="D73" s="226"/>
      <c r="E73" s="44"/>
      <c r="F73" s="227"/>
      <c r="G73" s="227"/>
      <c r="H73" s="228" t="s">
        <v>203</v>
      </c>
      <c r="I73" s="229">
        <v>1</v>
      </c>
      <c r="J73" s="60">
        <f>J60</f>
        <v>75000</v>
      </c>
      <c r="K73" s="230">
        <f>I73*J73</f>
        <v>75000</v>
      </c>
    </row>
    <row r="74" spans="1:11" ht="13.2" customHeight="1" x14ac:dyDescent="0.25">
      <c r="A74" s="223"/>
      <c r="B74" s="224" t="s">
        <v>30</v>
      </c>
      <c r="C74" s="225" t="s">
        <v>732</v>
      </c>
      <c r="D74" s="226"/>
      <c r="E74" s="44"/>
      <c r="F74" s="227"/>
      <c r="G74" s="227"/>
      <c r="H74" s="228" t="s">
        <v>203</v>
      </c>
      <c r="I74" s="229">
        <v>1</v>
      </c>
      <c r="J74" s="60">
        <f>J61</f>
        <v>121500</v>
      </c>
      <c r="K74" s="230">
        <f t="shared" ref="K74:K80" si="6">I74*J74</f>
        <v>121500</v>
      </c>
    </row>
    <row r="75" spans="1:11" ht="13.2" customHeight="1" x14ac:dyDescent="0.25">
      <c r="A75" s="223"/>
      <c r="B75" s="224" t="s">
        <v>57</v>
      </c>
      <c r="C75" s="225" t="s">
        <v>733</v>
      </c>
      <c r="D75" s="226"/>
      <c r="E75" s="44"/>
      <c r="F75" s="227"/>
      <c r="G75" s="227"/>
      <c r="H75" s="228" t="s">
        <v>203</v>
      </c>
      <c r="I75" s="229">
        <v>1</v>
      </c>
      <c r="J75" s="60">
        <f>J62</f>
        <v>121500</v>
      </c>
      <c r="K75" s="230">
        <f t="shared" si="6"/>
        <v>121500</v>
      </c>
    </row>
    <row r="76" spans="1:11" ht="13.2" customHeight="1" x14ac:dyDescent="0.25">
      <c r="A76" s="223"/>
      <c r="B76" s="224" t="s">
        <v>83</v>
      </c>
      <c r="C76" s="225" t="s">
        <v>734</v>
      </c>
      <c r="D76" s="226"/>
      <c r="E76" s="44"/>
      <c r="F76" s="227"/>
      <c r="G76" s="227"/>
      <c r="H76" s="228" t="s">
        <v>203</v>
      </c>
      <c r="I76" s="229">
        <v>1</v>
      </c>
      <c r="J76" s="60">
        <f>J63</f>
        <v>173000</v>
      </c>
      <c r="K76" s="230">
        <f t="shared" si="6"/>
        <v>173000</v>
      </c>
    </row>
    <row r="77" spans="1:11" ht="13.2" customHeight="1" x14ac:dyDescent="0.25">
      <c r="A77" s="223"/>
      <c r="B77" s="224" t="s">
        <v>110</v>
      </c>
      <c r="C77" s="225" t="s">
        <v>737</v>
      </c>
      <c r="D77" s="226"/>
      <c r="E77" s="44"/>
      <c r="F77" s="227"/>
      <c r="G77" s="227"/>
      <c r="H77" s="228" t="s">
        <v>203</v>
      </c>
      <c r="I77" s="229">
        <v>1</v>
      </c>
      <c r="J77" s="60">
        <f>'Harga Satuan Dasar mat'!G74</f>
        <v>156000</v>
      </c>
      <c r="K77" s="230">
        <f t="shared" si="6"/>
        <v>156000</v>
      </c>
    </row>
    <row r="78" spans="1:11" ht="13.2" customHeight="1" x14ac:dyDescent="0.25">
      <c r="A78" s="223"/>
      <c r="B78" s="224" t="s">
        <v>137</v>
      </c>
      <c r="C78" s="225" t="s">
        <v>990</v>
      </c>
      <c r="D78" s="226"/>
      <c r="E78" s="44"/>
      <c r="F78" s="227"/>
      <c r="G78" s="227"/>
      <c r="H78" s="228" t="s">
        <v>235</v>
      </c>
      <c r="I78" s="229">
        <v>1</v>
      </c>
      <c r="J78" s="60">
        <f>J65</f>
        <v>253000</v>
      </c>
      <c r="K78" s="230">
        <f t="shared" si="6"/>
        <v>253000</v>
      </c>
    </row>
    <row r="79" spans="1:11" ht="13.2" customHeight="1" x14ac:dyDescent="0.25">
      <c r="A79" s="223"/>
      <c r="B79" s="224" t="s">
        <v>156</v>
      </c>
      <c r="C79" s="225" t="s">
        <v>1008</v>
      </c>
      <c r="D79" s="226"/>
      <c r="E79" s="44"/>
      <c r="F79" s="227"/>
      <c r="G79" s="227"/>
      <c r="H79" s="228" t="s">
        <v>235</v>
      </c>
      <c r="I79" s="229">
        <v>1</v>
      </c>
      <c r="J79" s="60">
        <f>J66</f>
        <v>95000</v>
      </c>
      <c r="K79" s="230">
        <f t="shared" si="6"/>
        <v>95000</v>
      </c>
    </row>
    <row r="80" spans="1:11" ht="13.2" customHeight="1" x14ac:dyDescent="0.25">
      <c r="A80" s="223"/>
      <c r="B80" s="224" t="s">
        <v>175</v>
      </c>
      <c r="C80" s="225" t="s">
        <v>979</v>
      </c>
      <c r="D80" s="226"/>
      <c r="E80" s="44"/>
      <c r="F80" s="227"/>
      <c r="G80" s="227"/>
      <c r="H80" s="228" t="s">
        <v>203</v>
      </c>
      <c r="I80" s="229">
        <v>13</v>
      </c>
      <c r="J80" s="60">
        <f>J67</f>
        <v>14000</v>
      </c>
      <c r="K80" s="230">
        <f t="shared" si="6"/>
        <v>182000</v>
      </c>
    </row>
    <row r="81" spans="1:11" ht="12.9" customHeight="1" x14ac:dyDescent="0.25">
      <c r="A81" s="58"/>
      <c r="B81" s="231"/>
      <c r="C81" s="232"/>
      <c r="D81" s="232"/>
      <c r="E81" s="232"/>
      <c r="F81" s="232"/>
      <c r="G81" s="233"/>
      <c r="H81" s="234" t="s">
        <v>715</v>
      </c>
      <c r="I81" s="235"/>
      <c r="J81" s="235"/>
      <c r="K81" s="236">
        <f>SUM(K73:K80)</f>
        <v>1177000</v>
      </c>
    </row>
    <row r="82" spans="1:11" ht="12.9" customHeight="1" x14ac:dyDescent="0.25">
      <c r="A82" s="58"/>
      <c r="B82" s="59"/>
      <c r="C82" s="56"/>
      <c r="D82" s="56"/>
      <c r="E82" s="56"/>
      <c r="F82" s="56"/>
      <c r="G82" s="237"/>
      <c r="H82" s="238" t="s">
        <v>603</v>
      </c>
      <c r="I82" s="239">
        <f>$K$3</f>
        <v>0.15</v>
      </c>
      <c r="J82" s="240"/>
      <c r="K82" s="241">
        <f>I82*K81</f>
        <v>176550</v>
      </c>
    </row>
    <row r="83" spans="1:11" ht="12.9" customHeight="1" x14ac:dyDescent="0.25">
      <c r="A83" s="58"/>
      <c r="B83" s="59"/>
      <c r="C83" s="56"/>
      <c r="D83" s="56"/>
      <c r="E83" s="56"/>
      <c r="F83" s="56"/>
      <c r="G83" s="237"/>
      <c r="H83" s="238" t="s">
        <v>604</v>
      </c>
      <c r="I83" s="226"/>
      <c r="J83" s="226"/>
      <c r="K83" s="241">
        <f>SUM(K81:K82)</f>
        <v>1353550</v>
      </c>
    </row>
    <row r="84" spans="1:11" ht="12.9" customHeight="1" thickBot="1" x14ac:dyDescent="0.3">
      <c r="A84" s="242"/>
      <c r="B84" s="243"/>
      <c r="C84" s="244"/>
      <c r="D84" s="244"/>
      <c r="E84" s="244"/>
      <c r="F84" s="244"/>
      <c r="G84" s="245"/>
      <c r="H84" s="246" t="s">
        <v>605</v>
      </c>
      <c r="I84" s="247"/>
      <c r="J84" s="247"/>
      <c r="K84" s="248">
        <f>ROUND(K83,-1)</f>
        <v>1353550</v>
      </c>
    </row>
    <row r="85" spans="1:11" ht="14.1" customHeight="1" x14ac:dyDescent="0.25">
      <c r="A85" s="215">
        <v>7</v>
      </c>
      <c r="B85" s="651" t="s">
        <v>713</v>
      </c>
      <c r="C85" s="652"/>
      <c r="D85" s="216" t="s">
        <v>738</v>
      </c>
      <c r="E85" s="217"/>
      <c r="F85" s="218"/>
      <c r="G85" s="218"/>
      <c r="H85" s="219"/>
      <c r="I85" s="220"/>
      <c r="J85" s="221"/>
      <c r="K85" s="222"/>
    </row>
    <row r="86" spans="1:11" ht="13.2" customHeight="1" x14ac:dyDescent="0.25">
      <c r="A86" s="223"/>
      <c r="B86" s="224" t="s">
        <v>4</v>
      </c>
      <c r="C86" s="225" t="s">
        <v>739</v>
      </c>
      <c r="D86" s="226"/>
      <c r="E86" s="44"/>
      <c r="F86" s="227"/>
      <c r="G86" s="227"/>
      <c r="H86" s="228" t="s">
        <v>203</v>
      </c>
      <c r="I86" s="229">
        <v>1</v>
      </c>
      <c r="J86" s="60">
        <f>'Harga Satuan Dasar mat'!G20</f>
        <v>85000</v>
      </c>
      <c r="K86" s="230">
        <f>I86*J86</f>
        <v>85000</v>
      </c>
    </row>
    <row r="87" spans="1:11" ht="13.2" customHeight="1" x14ac:dyDescent="0.25">
      <c r="A87" s="223"/>
      <c r="B87" s="224" t="s">
        <v>30</v>
      </c>
      <c r="C87" s="225" t="s">
        <v>740</v>
      </c>
      <c r="D87" s="226"/>
      <c r="E87" s="44"/>
      <c r="F87" s="227"/>
      <c r="G87" s="227"/>
      <c r="H87" s="228" t="s">
        <v>203</v>
      </c>
      <c r="I87" s="229">
        <v>1</v>
      </c>
      <c r="J87" s="60">
        <f>'Harga Satuan Dasar mat'!G72</f>
        <v>138500</v>
      </c>
      <c r="K87" s="230">
        <f t="shared" ref="K87:K93" si="7">I87*J87</f>
        <v>138500</v>
      </c>
    </row>
    <row r="88" spans="1:11" ht="13.2" customHeight="1" x14ac:dyDescent="0.25">
      <c r="A88" s="223"/>
      <c r="B88" s="224" t="s">
        <v>57</v>
      </c>
      <c r="C88" s="225" t="s">
        <v>741</v>
      </c>
      <c r="D88" s="226"/>
      <c r="E88" s="44"/>
      <c r="F88" s="227"/>
      <c r="G88" s="227"/>
      <c r="H88" s="228" t="s">
        <v>203</v>
      </c>
      <c r="I88" s="229">
        <v>1</v>
      </c>
      <c r="J88" s="60">
        <f>J87</f>
        <v>138500</v>
      </c>
      <c r="K88" s="230">
        <f t="shared" si="7"/>
        <v>138500</v>
      </c>
    </row>
    <row r="89" spans="1:11" ht="13.2" customHeight="1" x14ac:dyDescent="0.25">
      <c r="A89" s="223"/>
      <c r="B89" s="224" t="s">
        <v>83</v>
      </c>
      <c r="C89" s="225" t="s">
        <v>742</v>
      </c>
      <c r="D89" s="226"/>
      <c r="E89" s="44"/>
      <c r="F89" s="227"/>
      <c r="G89" s="227"/>
      <c r="H89" s="228" t="s">
        <v>203</v>
      </c>
      <c r="I89" s="229">
        <v>1</v>
      </c>
      <c r="J89" s="60">
        <f>'Harga Satuan Dasar mat'!G78</f>
        <v>189500</v>
      </c>
      <c r="K89" s="230">
        <f t="shared" si="7"/>
        <v>189500</v>
      </c>
    </row>
    <row r="90" spans="1:11" ht="13.2" customHeight="1" x14ac:dyDescent="0.25">
      <c r="A90" s="223"/>
      <c r="B90" s="224" t="s">
        <v>110</v>
      </c>
      <c r="C90" s="225" t="s">
        <v>743</v>
      </c>
      <c r="D90" s="226"/>
      <c r="E90" s="44"/>
      <c r="F90" s="227"/>
      <c r="G90" s="227"/>
      <c r="H90" s="228" t="s">
        <v>203</v>
      </c>
      <c r="I90" s="229">
        <v>1</v>
      </c>
      <c r="J90" s="60">
        <f>'Harga Satuan Dasar mat'!G76</f>
        <v>173000</v>
      </c>
      <c r="K90" s="230">
        <f t="shared" si="7"/>
        <v>173000</v>
      </c>
    </row>
    <row r="91" spans="1:11" ht="13.2" customHeight="1" x14ac:dyDescent="0.25">
      <c r="A91" s="223"/>
      <c r="B91" s="224" t="s">
        <v>137</v>
      </c>
      <c r="C91" s="225" t="s">
        <v>1007</v>
      </c>
      <c r="D91" s="226"/>
      <c r="E91" s="44"/>
      <c r="F91" s="227"/>
      <c r="G91" s="227"/>
      <c r="H91" s="228" t="s">
        <v>235</v>
      </c>
      <c r="I91" s="229">
        <v>1</v>
      </c>
      <c r="J91" s="60">
        <f>J26</f>
        <v>454000</v>
      </c>
      <c r="K91" s="230">
        <f t="shared" si="7"/>
        <v>454000</v>
      </c>
    </row>
    <row r="92" spans="1:11" ht="13.2" customHeight="1" x14ac:dyDescent="0.25">
      <c r="A92" s="223"/>
      <c r="B92" s="224" t="s">
        <v>156</v>
      </c>
      <c r="C92" s="225" t="s">
        <v>1008</v>
      </c>
      <c r="D92" s="226"/>
      <c r="E92" s="44"/>
      <c r="F92" s="227"/>
      <c r="G92" s="227"/>
      <c r="H92" s="228" t="s">
        <v>235</v>
      </c>
      <c r="I92" s="229">
        <v>1</v>
      </c>
      <c r="J92" s="60">
        <f>J79</f>
        <v>95000</v>
      </c>
      <c r="K92" s="230">
        <f t="shared" si="7"/>
        <v>95000</v>
      </c>
    </row>
    <row r="93" spans="1:11" ht="13.2" customHeight="1" x14ac:dyDescent="0.25">
      <c r="A93" s="223"/>
      <c r="B93" s="224" t="s">
        <v>175</v>
      </c>
      <c r="C93" s="225" t="s">
        <v>979</v>
      </c>
      <c r="D93" s="226"/>
      <c r="E93" s="44"/>
      <c r="F93" s="227"/>
      <c r="G93" s="227"/>
      <c r="H93" s="228" t="s">
        <v>203</v>
      </c>
      <c r="I93" s="229">
        <v>13</v>
      </c>
      <c r="J93" s="60">
        <f>J80</f>
        <v>14000</v>
      </c>
      <c r="K93" s="230">
        <f t="shared" si="7"/>
        <v>182000</v>
      </c>
    </row>
    <row r="94" spans="1:11" ht="12.9" customHeight="1" x14ac:dyDescent="0.25">
      <c r="A94" s="58"/>
      <c r="B94" s="231"/>
      <c r="C94" s="232"/>
      <c r="D94" s="232"/>
      <c r="E94" s="232"/>
      <c r="F94" s="232"/>
      <c r="G94" s="233"/>
      <c r="H94" s="234" t="s">
        <v>715</v>
      </c>
      <c r="I94" s="235"/>
      <c r="J94" s="235"/>
      <c r="K94" s="236">
        <f>SUM(K86:K93)</f>
        <v>1455500</v>
      </c>
    </row>
    <row r="95" spans="1:11" ht="12.9" customHeight="1" x14ac:dyDescent="0.25">
      <c r="A95" s="58"/>
      <c r="B95" s="59"/>
      <c r="C95" s="56"/>
      <c r="D95" s="56"/>
      <c r="E95" s="56"/>
      <c r="F95" s="56"/>
      <c r="G95" s="237"/>
      <c r="H95" s="238" t="s">
        <v>603</v>
      </c>
      <c r="I95" s="239">
        <f>$K$3</f>
        <v>0.15</v>
      </c>
      <c r="J95" s="240"/>
      <c r="K95" s="241">
        <f>I95*K94</f>
        <v>218325</v>
      </c>
    </row>
    <row r="96" spans="1:11" ht="12.9" customHeight="1" x14ac:dyDescent="0.25">
      <c r="A96" s="58"/>
      <c r="B96" s="59"/>
      <c r="C96" s="56"/>
      <c r="D96" s="56"/>
      <c r="E96" s="56"/>
      <c r="F96" s="56"/>
      <c r="G96" s="237"/>
      <c r="H96" s="238" t="s">
        <v>604</v>
      </c>
      <c r="I96" s="226"/>
      <c r="J96" s="226"/>
      <c r="K96" s="241">
        <f>SUM(K94:K95)</f>
        <v>1673825</v>
      </c>
    </row>
    <row r="97" spans="1:11" ht="12.9" customHeight="1" thickBot="1" x14ac:dyDescent="0.3">
      <c r="A97" s="242"/>
      <c r="B97" s="243"/>
      <c r="C97" s="244"/>
      <c r="D97" s="244"/>
      <c r="E97" s="244"/>
      <c r="F97" s="244"/>
      <c r="G97" s="245"/>
      <c r="H97" s="246" t="s">
        <v>605</v>
      </c>
      <c r="I97" s="247"/>
      <c r="J97" s="247"/>
      <c r="K97" s="248">
        <f>ROUND(K96,-1)</f>
        <v>1673830</v>
      </c>
    </row>
    <row r="98" spans="1:11" ht="14.1" customHeight="1" x14ac:dyDescent="0.25">
      <c r="A98" s="215">
        <v>8</v>
      </c>
      <c r="B98" s="651" t="s">
        <v>713</v>
      </c>
      <c r="C98" s="652"/>
      <c r="D98" s="216" t="s">
        <v>746</v>
      </c>
      <c r="E98" s="217"/>
      <c r="F98" s="218"/>
      <c r="G98" s="218"/>
      <c r="H98" s="219"/>
      <c r="I98" s="220"/>
      <c r="J98" s="221"/>
      <c r="K98" s="222"/>
    </row>
    <row r="99" spans="1:11" ht="13.2" customHeight="1" x14ac:dyDescent="0.25">
      <c r="A99" s="223"/>
      <c r="B99" s="224" t="s">
        <v>4</v>
      </c>
      <c r="C99" s="225" t="s">
        <v>718</v>
      </c>
      <c r="D99" s="226"/>
      <c r="E99" s="44"/>
      <c r="F99" s="227"/>
      <c r="G99" s="227"/>
      <c r="H99" s="228" t="s">
        <v>203</v>
      </c>
      <c r="I99" s="229">
        <v>1</v>
      </c>
      <c r="J99" s="60">
        <f>'Harga Satuan Dasar mat'!G22</f>
        <v>95500</v>
      </c>
      <c r="K99" s="230">
        <f>I99*J99</f>
        <v>95500</v>
      </c>
    </row>
    <row r="100" spans="1:11" ht="13.2" customHeight="1" x14ac:dyDescent="0.25">
      <c r="A100" s="223"/>
      <c r="B100" s="224" t="s">
        <v>30</v>
      </c>
      <c r="C100" s="225" t="s">
        <v>744</v>
      </c>
      <c r="D100" s="226"/>
      <c r="E100" s="44"/>
      <c r="F100" s="227"/>
      <c r="G100" s="227"/>
      <c r="H100" s="228" t="s">
        <v>203</v>
      </c>
      <c r="I100" s="229">
        <v>1</v>
      </c>
      <c r="J100" s="60">
        <f>'Harga Satuan Dasar mat'!G74</f>
        <v>156000</v>
      </c>
      <c r="K100" s="230">
        <f t="shared" ref="K100:K106" si="8">I100*J100</f>
        <v>156000</v>
      </c>
    </row>
    <row r="101" spans="1:11" ht="13.2" customHeight="1" x14ac:dyDescent="0.25">
      <c r="A101" s="223"/>
      <c r="B101" s="224" t="s">
        <v>57</v>
      </c>
      <c r="C101" s="225" t="s">
        <v>719</v>
      </c>
      <c r="D101" s="226"/>
      <c r="E101" s="44"/>
      <c r="F101" s="227"/>
      <c r="G101" s="227"/>
      <c r="H101" s="228" t="s">
        <v>203</v>
      </c>
      <c r="I101" s="229">
        <v>1</v>
      </c>
      <c r="J101" s="60">
        <f>J100</f>
        <v>156000</v>
      </c>
      <c r="K101" s="230">
        <f t="shared" si="8"/>
        <v>156000</v>
      </c>
    </row>
    <row r="102" spans="1:11" ht="13.2" customHeight="1" x14ac:dyDescent="0.25">
      <c r="A102" s="223"/>
      <c r="B102" s="224" t="s">
        <v>83</v>
      </c>
      <c r="C102" s="225" t="s">
        <v>745</v>
      </c>
      <c r="D102" s="226"/>
      <c r="E102" s="44"/>
      <c r="F102" s="227"/>
      <c r="G102" s="227"/>
      <c r="H102" s="228" t="s">
        <v>203</v>
      </c>
      <c r="I102" s="229">
        <v>1</v>
      </c>
      <c r="J102" s="60">
        <f>'Harga Satuan Dasar mat'!G82</f>
        <v>221000</v>
      </c>
      <c r="K102" s="230">
        <f t="shared" si="8"/>
        <v>221000</v>
      </c>
    </row>
    <row r="103" spans="1:11" ht="13.2" customHeight="1" x14ac:dyDescent="0.25">
      <c r="A103" s="223"/>
      <c r="B103" s="224" t="s">
        <v>110</v>
      </c>
      <c r="C103" s="225" t="s">
        <v>722</v>
      </c>
      <c r="D103" s="226"/>
      <c r="E103" s="44"/>
      <c r="F103" s="227"/>
      <c r="G103" s="227"/>
      <c r="H103" s="228" t="s">
        <v>203</v>
      </c>
      <c r="I103" s="229">
        <v>1</v>
      </c>
      <c r="J103" s="60">
        <f>'Harga Satuan Dasar mat'!G78</f>
        <v>189500</v>
      </c>
      <c r="K103" s="230">
        <f t="shared" si="8"/>
        <v>189500</v>
      </c>
    </row>
    <row r="104" spans="1:11" ht="13.2" customHeight="1" x14ac:dyDescent="0.25">
      <c r="A104" s="223"/>
      <c r="B104" s="224" t="s">
        <v>137</v>
      </c>
      <c r="C104" s="225" t="s">
        <v>1007</v>
      </c>
      <c r="D104" s="226"/>
      <c r="E104" s="44"/>
      <c r="F104" s="227"/>
      <c r="G104" s="227"/>
      <c r="H104" s="228" t="s">
        <v>235</v>
      </c>
      <c r="I104" s="229">
        <v>1</v>
      </c>
      <c r="J104" s="60">
        <f>J91</f>
        <v>454000</v>
      </c>
      <c r="K104" s="230">
        <f t="shared" si="8"/>
        <v>454000</v>
      </c>
    </row>
    <row r="105" spans="1:11" ht="13.2" customHeight="1" x14ac:dyDescent="0.25">
      <c r="A105" s="223"/>
      <c r="B105" s="224" t="s">
        <v>156</v>
      </c>
      <c r="C105" s="225" t="s">
        <v>1008</v>
      </c>
      <c r="D105" s="226"/>
      <c r="E105" s="44"/>
      <c r="F105" s="227"/>
      <c r="G105" s="227"/>
      <c r="H105" s="228" t="s">
        <v>235</v>
      </c>
      <c r="I105" s="229">
        <v>1</v>
      </c>
      <c r="J105" s="60">
        <f>J92</f>
        <v>95000</v>
      </c>
      <c r="K105" s="230">
        <f t="shared" si="8"/>
        <v>95000</v>
      </c>
    </row>
    <row r="106" spans="1:11" ht="13.2" customHeight="1" x14ac:dyDescent="0.25">
      <c r="A106" s="223"/>
      <c r="B106" s="224" t="s">
        <v>175</v>
      </c>
      <c r="C106" s="225" t="s">
        <v>979</v>
      </c>
      <c r="D106" s="226"/>
      <c r="E106" s="44"/>
      <c r="F106" s="227"/>
      <c r="G106" s="227"/>
      <c r="H106" s="228" t="s">
        <v>203</v>
      </c>
      <c r="I106" s="229">
        <v>13</v>
      </c>
      <c r="J106" s="60">
        <f>J93</f>
        <v>14000</v>
      </c>
      <c r="K106" s="230">
        <f t="shared" si="8"/>
        <v>182000</v>
      </c>
    </row>
    <row r="107" spans="1:11" ht="12.9" customHeight="1" x14ac:dyDescent="0.25">
      <c r="A107" s="58"/>
      <c r="B107" s="231"/>
      <c r="C107" s="232"/>
      <c r="D107" s="232"/>
      <c r="E107" s="232"/>
      <c r="F107" s="232"/>
      <c r="G107" s="233"/>
      <c r="H107" s="234" t="s">
        <v>715</v>
      </c>
      <c r="I107" s="235"/>
      <c r="J107" s="235"/>
      <c r="K107" s="236">
        <f>SUM(K99:K106)</f>
        <v>1549000</v>
      </c>
    </row>
    <row r="108" spans="1:11" ht="12.9" customHeight="1" x14ac:dyDescent="0.25">
      <c r="A108" s="58"/>
      <c r="B108" s="59"/>
      <c r="C108" s="56"/>
      <c r="D108" s="56"/>
      <c r="E108" s="56"/>
      <c r="F108" s="56"/>
      <c r="G108" s="237"/>
      <c r="H108" s="238" t="s">
        <v>603</v>
      </c>
      <c r="I108" s="239">
        <f>$K$3</f>
        <v>0.15</v>
      </c>
      <c r="J108" s="240"/>
      <c r="K108" s="241">
        <f>I108*K107</f>
        <v>232350</v>
      </c>
    </row>
    <row r="109" spans="1:11" ht="12.9" customHeight="1" x14ac:dyDescent="0.25">
      <c r="A109" s="58"/>
      <c r="B109" s="59"/>
      <c r="C109" s="56"/>
      <c r="D109" s="56"/>
      <c r="E109" s="56"/>
      <c r="F109" s="56"/>
      <c r="G109" s="237"/>
      <c r="H109" s="238" t="s">
        <v>604</v>
      </c>
      <c r="I109" s="226"/>
      <c r="J109" s="226"/>
      <c r="K109" s="241">
        <f>SUM(K107:K108)</f>
        <v>1781350</v>
      </c>
    </row>
    <row r="110" spans="1:11" ht="12.9" customHeight="1" thickBot="1" x14ac:dyDescent="0.3">
      <c r="A110" s="242"/>
      <c r="B110" s="243"/>
      <c r="C110" s="244"/>
      <c r="D110" s="244"/>
      <c r="E110" s="244"/>
      <c r="F110" s="244"/>
      <c r="G110" s="245"/>
      <c r="H110" s="246" t="s">
        <v>605</v>
      </c>
      <c r="I110" s="247"/>
      <c r="J110" s="247"/>
      <c r="K110" s="248">
        <f>ROUND(K109,-1)</f>
        <v>1781350</v>
      </c>
    </row>
    <row r="111" spans="1:11" ht="14.1" customHeight="1" x14ac:dyDescent="0.25">
      <c r="A111" s="215">
        <v>9</v>
      </c>
      <c r="B111" s="651" t="s">
        <v>713</v>
      </c>
      <c r="C111" s="652"/>
      <c r="D111" s="216" t="s">
        <v>747</v>
      </c>
      <c r="E111" s="217"/>
      <c r="F111" s="218"/>
      <c r="G111" s="218"/>
      <c r="H111" s="219"/>
      <c r="I111" s="220"/>
      <c r="J111" s="221"/>
      <c r="K111" s="222"/>
    </row>
    <row r="112" spans="1:11" ht="13.2" customHeight="1" x14ac:dyDescent="0.25">
      <c r="A112" s="223"/>
      <c r="B112" s="224" t="s">
        <v>4</v>
      </c>
      <c r="C112" s="225" t="s">
        <v>991</v>
      </c>
      <c r="D112" s="226"/>
      <c r="E112" s="44"/>
      <c r="F112" s="227"/>
      <c r="G112" s="227"/>
      <c r="H112" s="228" t="s">
        <v>203</v>
      </c>
      <c r="I112" s="229">
        <v>1</v>
      </c>
      <c r="J112" s="60">
        <f>'Harga Satuan Dasar mat'!G26</f>
        <v>115000</v>
      </c>
      <c r="K112" s="230">
        <f>I112*J112</f>
        <v>115000</v>
      </c>
    </row>
    <row r="113" spans="1:11" ht="13.2" customHeight="1" x14ac:dyDescent="0.25">
      <c r="A113" s="223"/>
      <c r="B113" s="224" t="s">
        <v>30</v>
      </c>
      <c r="C113" s="225" t="s">
        <v>724</v>
      </c>
      <c r="D113" s="226"/>
      <c r="E113" s="44"/>
      <c r="F113" s="227"/>
      <c r="G113" s="227"/>
      <c r="H113" s="228" t="s">
        <v>203</v>
      </c>
      <c r="I113" s="229">
        <v>1</v>
      </c>
      <c r="J113" s="60">
        <f>'Harga Satuan Dasar mat'!G78</f>
        <v>189500</v>
      </c>
      <c r="K113" s="230">
        <f t="shared" ref="K113:K119" si="9">I113*J113</f>
        <v>189500</v>
      </c>
    </row>
    <row r="114" spans="1:11" ht="13.2" customHeight="1" x14ac:dyDescent="0.25">
      <c r="A114" s="223"/>
      <c r="B114" s="224" t="s">
        <v>57</v>
      </c>
      <c r="C114" s="225" t="s">
        <v>992</v>
      </c>
      <c r="D114" s="226"/>
      <c r="E114" s="44"/>
      <c r="F114" s="227"/>
      <c r="G114" s="227"/>
      <c r="H114" s="228" t="s">
        <v>203</v>
      </c>
      <c r="I114" s="229">
        <v>1</v>
      </c>
      <c r="J114" s="60">
        <f>J113</f>
        <v>189500</v>
      </c>
      <c r="K114" s="230">
        <f t="shared" si="9"/>
        <v>189500</v>
      </c>
    </row>
    <row r="115" spans="1:11" ht="13.2" customHeight="1" x14ac:dyDescent="0.25">
      <c r="A115" s="223"/>
      <c r="B115" s="224" t="s">
        <v>83</v>
      </c>
      <c r="C115" s="225" t="s">
        <v>748</v>
      </c>
      <c r="D115" s="226"/>
      <c r="E115" s="44"/>
      <c r="F115" s="227"/>
      <c r="G115" s="227"/>
      <c r="H115" s="228" t="s">
        <v>203</v>
      </c>
      <c r="I115" s="229">
        <v>1</v>
      </c>
      <c r="J115" s="60">
        <f>'Harga Satuan Dasar mat'!G86</f>
        <v>254500</v>
      </c>
      <c r="K115" s="230">
        <f t="shared" si="9"/>
        <v>254500</v>
      </c>
    </row>
    <row r="116" spans="1:11" ht="13.2" customHeight="1" x14ac:dyDescent="0.25">
      <c r="A116" s="223"/>
      <c r="B116" s="224" t="s">
        <v>110</v>
      </c>
      <c r="C116" s="225" t="s">
        <v>993</v>
      </c>
      <c r="D116" s="226"/>
      <c r="E116" s="44"/>
      <c r="F116" s="227"/>
      <c r="G116" s="227"/>
      <c r="H116" s="228" t="s">
        <v>203</v>
      </c>
      <c r="I116" s="229">
        <v>1</v>
      </c>
      <c r="J116" s="60">
        <f>'Harga Satuan Dasar mat'!G82</f>
        <v>221000</v>
      </c>
      <c r="K116" s="230">
        <f t="shared" si="9"/>
        <v>221000</v>
      </c>
    </row>
    <row r="117" spans="1:11" ht="13.2" customHeight="1" x14ac:dyDescent="0.25">
      <c r="A117" s="223"/>
      <c r="B117" s="224" t="s">
        <v>137</v>
      </c>
      <c r="C117" s="225" t="s">
        <v>1007</v>
      </c>
      <c r="D117" s="226"/>
      <c r="E117" s="44"/>
      <c r="F117" s="227"/>
      <c r="G117" s="227"/>
      <c r="H117" s="228" t="s">
        <v>235</v>
      </c>
      <c r="I117" s="229">
        <v>1</v>
      </c>
      <c r="J117" s="60">
        <f>J104</f>
        <v>454000</v>
      </c>
      <c r="K117" s="230">
        <f t="shared" si="9"/>
        <v>454000</v>
      </c>
    </row>
    <row r="118" spans="1:11" ht="13.2" customHeight="1" x14ac:dyDescent="0.25">
      <c r="A118" s="223"/>
      <c r="B118" s="224" t="s">
        <v>156</v>
      </c>
      <c r="C118" s="225" t="s">
        <v>1008</v>
      </c>
      <c r="D118" s="226"/>
      <c r="E118" s="44"/>
      <c r="F118" s="227"/>
      <c r="G118" s="227"/>
      <c r="H118" s="228" t="s">
        <v>235</v>
      </c>
      <c r="I118" s="229">
        <v>1</v>
      </c>
      <c r="J118" s="60">
        <f>J105</f>
        <v>95000</v>
      </c>
      <c r="K118" s="230">
        <f t="shared" si="9"/>
        <v>95000</v>
      </c>
    </row>
    <row r="119" spans="1:11" ht="13.2" customHeight="1" x14ac:dyDescent="0.25">
      <c r="A119" s="223"/>
      <c r="B119" s="224" t="s">
        <v>175</v>
      </c>
      <c r="C119" s="225" t="s">
        <v>979</v>
      </c>
      <c r="D119" s="226"/>
      <c r="E119" s="44"/>
      <c r="F119" s="227"/>
      <c r="G119" s="227"/>
      <c r="H119" s="228" t="s">
        <v>203</v>
      </c>
      <c r="I119" s="229">
        <v>13</v>
      </c>
      <c r="J119" s="60">
        <f>J106</f>
        <v>14000</v>
      </c>
      <c r="K119" s="230">
        <f t="shared" si="9"/>
        <v>182000</v>
      </c>
    </row>
    <row r="120" spans="1:11" ht="12.9" customHeight="1" x14ac:dyDescent="0.25">
      <c r="A120" s="58"/>
      <c r="B120" s="231"/>
      <c r="C120" s="232"/>
      <c r="D120" s="232"/>
      <c r="E120" s="232"/>
      <c r="F120" s="232"/>
      <c r="G120" s="233"/>
      <c r="H120" s="234" t="s">
        <v>715</v>
      </c>
      <c r="I120" s="235"/>
      <c r="J120" s="235"/>
      <c r="K120" s="236">
        <f>SUM(K112:K119)</f>
        <v>1700500</v>
      </c>
    </row>
    <row r="121" spans="1:11" ht="12.9" customHeight="1" x14ac:dyDescent="0.25">
      <c r="A121" s="58"/>
      <c r="B121" s="59"/>
      <c r="C121" s="56"/>
      <c r="D121" s="56"/>
      <c r="E121" s="56"/>
      <c r="F121" s="56"/>
      <c r="G121" s="237"/>
      <c r="H121" s="238" t="s">
        <v>603</v>
      </c>
      <c r="I121" s="239">
        <f>$K$3</f>
        <v>0.15</v>
      </c>
      <c r="J121" s="240"/>
      <c r="K121" s="241">
        <f>I121*K120</f>
        <v>255075</v>
      </c>
    </row>
    <row r="122" spans="1:11" ht="12.9" customHeight="1" x14ac:dyDescent="0.25">
      <c r="A122" s="58"/>
      <c r="B122" s="59"/>
      <c r="C122" s="56"/>
      <c r="D122" s="56"/>
      <c r="E122" s="56"/>
      <c r="F122" s="56"/>
      <c r="G122" s="237"/>
      <c r="H122" s="238" t="s">
        <v>604</v>
      </c>
      <c r="I122" s="226"/>
      <c r="J122" s="226"/>
      <c r="K122" s="241">
        <f>SUM(K120:K121)</f>
        <v>1955575</v>
      </c>
    </row>
    <row r="123" spans="1:11" ht="12.9" customHeight="1" thickBot="1" x14ac:dyDescent="0.3">
      <c r="A123" s="242"/>
      <c r="B123" s="243"/>
      <c r="C123" s="244"/>
      <c r="D123" s="244"/>
      <c r="E123" s="244"/>
      <c r="F123" s="244"/>
      <c r="G123" s="245"/>
      <c r="H123" s="246" t="s">
        <v>605</v>
      </c>
      <c r="I123" s="247"/>
      <c r="J123" s="247"/>
      <c r="K123" s="248">
        <f>ROUND(K122,-1)</f>
        <v>1955580</v>
      </c>
    </row>
    <row r="124" spans="1:11" ht="14.1" customHeight="1" x14ac:dyDescent="0.25">
      <c r="A124" s="215">
        <v>10</v>
      </c>
      <c r="B124" s="651" t="s">
        <v>713</v>
      </c>
      <c r="C124" s="652"/>
      <c r="D124" s="216" t="s">
        <v>844</v>
      </c>
      <c r="E124" s="217"/>
      <c r="F124" s="218"/>
      <c r="G124" s="218"/>
      <c r="H124" s="219"/>
      <c r="I124" s="220"/>
      <c r="J124" s="221"/>
      <c r="K124" s="222"/>
    </row>
    <row r="125" spans="1:11" ht="13.2" customHeight="1" x14ac:dyDescent="0.25">
      <c r="A125" s="223"/>
      <c r="B125" s="224" t="s">
        <v>4</v>
      </c>
      <c r="C125" s="225" t="s">
        <v>755</v>
      </c>
      <c r="D125" s="226"/>
      <c r="E125" s="44"/>
      <c r="F125" s="227"/>
      <c r="G125" s="227"/>
      <c r="H125" s="228" t="s">
        <v>264</v>
      </c>
      <c r="I125" s="252">
        <v>15</v>
      </c>
      <c r="J125" s="60">
        <f>'Harga Satuan Dasar mat'!G366</f>
        <v>33700</v>
      </c>
      <c r="K125" s="230">
        <f>I125*J125</f>
        <v>505500</v>
      </c>
    </row>
    <row r="126" spans="1:11" ht="13.2" customHeight="1" x14ac:dyDescent="0.25">
      <c r="A126" s="223"/>
      <c r="B126" s="224" t="s">
        <v>30</v>
      </c>
      <c r="C126" s="225" t="s">
        <v>761</v>
      </c>
      <c r="D126" s="226"/>
      <c r="E126" s="44"/>
      <c r="F126" s="227"/>
      <c r="G126" s="227"/>
      <c r="H126" s="228" t="s">
        <v>203</v>
      </c>
      <c r="I126" s="253">
        <v>1</v>
      </c>
      <c r="J126" s="60">
        <f>'Harga Satuan Dasar mat'!G78</f>
        <v>189500</v>
      </c>
      <c r="K126" s="230">
        <f t="shared" ref="K126:K134" si="10">I126*J126</f>
        <v>189500</v>
      </c>
    </row>
    <row r="127" spans="1:11" ht="13.2" customHeight="1" x14ac:dyDescent="0.25">
      <c r="A127" s="223"/>
      <c r="B127" s="224" t="s">
        <v>57</v>
      </c>
      <c r="C127" s="225" t="s">
        <v>714</v>
      </c>
      <c r="D127" s="226"/>
      <c r="E127" s="44"/>
      <c r="F127" s="227"/>
      <c r="G127" s="227"/>
      <c r="H127" s="228" t="s">
        <v>203</v>
      </c>
      <c r="I127" s="253">
        <v>2</v>
      </c>
      <c r="J127" s="60">
        <f>J119</f>
        <v>14000</v>
      </c>
      <c r="K127" s="230">
        <f t="shared" si="10"/>
        <v>28000</v>
      </c>
    </row>
    <row r="128" spans="1:11" ht="13.2" customHeight="1" x14ac:dyDescent="0.25">
      <c r="A128" s="223"/>
      <c r="B128" s="224" t="s">
        <v>83</v>
      </c>
      <c r="C128" s="225" t="s">
        <v>984</v>
      </c>
      <c r="D128" s="226"/>
      <c r="E128" s="44"/>
      <c r="F128" s="227"/>
      <c r="G128" s="227"/>
      <c r="H128" s="228" t="s">
        <v>203</v>
      </c>
      <c r="I128" s="253">
        <v>1</v>
      </c>
      <c r="J128" s="254">
        <f>'Harga Satuan Dasar mat'!G390</f>
        <v>175000</v>
      </c>
      <c r="K128" s="230">
        <f t="shared" si="10"/>
        <v>175000</v>
      </c>
    </row>
    <row r="129" spans="1:11" ht="13.2" customHeight="1" x14ac:dyDescent="0.25">
      <c r="A129" s="223"/>
      <c r="B129" s="224" t="s">
        <v>110</v>
      </c>
      <c r="C129" s="225" t="s">
        <v>985</v>
      </c>
      <c r="D129" s="226"/>
      <c r="E129" s="44"/>
      <c r="F129" s="227"/>
      <c r="G129" s="227"/>
      <c r="H129" s="228" t="s">
        <v>203</v>
      </c>
      <c r="I129" s="253">
        <v>1</v>
      </c>
      <c r="J129" s="60">
        <f>'Harga Satuan Dasar mat'!G412</f>
        <v>105000</v>
      </c>
      <c r="K129" s="230">
        <f t="shared" si="10"/>
        <v>105000</v>
      </c>
    </row>
    <row r="130" spans="1:11" ht="13.2" customHeight="1" x14ac:dyDescent="0.25">
      <c r="A130" s="223"/>
      <c r="B130" s="224" t="s">
        <v>137</v>
      </c>
      <c r="C130" s="225" t="s">
        <v>764</v>
      </c>
      <c r="D130" s="226"/>
      <c r="E130" s="44"/>
      <c r="F130" s="227"/>
      <c r="G130" s="227"/>
      <c r="H130" s="228" t="s">
        <v>203</v>
      </c>
      <c r="I130" s="253">
        <v>2</v>
      </c>
      <c r="J130" s="60">
        <f>'Harga Satuan Dasar mat'!G392</f>
        <v>112000</v>
      </c>
      <c r="K130" s="230">
        <f t="shared" si="10"/>
        <v>224000</v>
      </c>
    </row>
    <row r="131" spans="1:11" ht="13.2" customHeight="1" x14ac:dyDescent="0.25">
      <c r="A131" s="223"/>
      <c r="B131" s="224" t="s">
        <v>156</v>
      </c>
      <c r="C131" s="225" t="s">
        <v>757</v>
      </c>
      <c r="D131" s="226"/>
      <c r="E131" s="44"/>
      <c r="F131" s="227"/>
      <c r="G131" s="227"/>
      <c r="H131" s="228" t="s">
        <v>203</v>
      </c>
      <c r="I131" s="253">
        <v>4</v>
      </c>
      <c r="J131" s="60">
        <f>'Harga Satuan Dasar mat'!G376</f>
        <v>41000</v>
      </c>
      <c r="K131" s="230">
        <f t="shared" si="10"/>
        <v>164000</v>
      </c>
    </row>
    <row r="132" spans="1:11" ht="13.2" customHeight="1" x14ac:dyDescent="0.25">
      <c r="A132" s="223"/>
      <c r="B132" s="224" t="s">
        <v>175</v>
      </c>
      <c r="C132" s="225" t="s">
        <v>1010</v>
      </c>
      <c r="D132" s="226"/>
      <c r="E132" s="44"/>
      <c r="F132" s="227"/>
      <c r="G132" s="227"/>
      <c r="H132" s="228" t="s">
        <v>235</v>
      </c>
      <c r="I132" s="253">
        <v>1</v>
      </c>
      <c r="J132" s="60">
        <f>'Harga Satuan Dasar mat'!G403</f>
        <v>140500</v>
      </c>
      <c r="K132" s="230">
        <f t="shared" si="10"/>
        <v>140500</v>
      </c>
    </row>
    <row r="133" spans="1:11" ht="13.2" customHeight="1" x14ac:dyDescent="0.25">
      <c r="A133" s="223"/>
      <c r="B133" s="224" t="s">
        <v>177</v>
      </c>
      <c r="C133" s="225" t="s">
        <v>758</v>
      </c>
      <c r="D133" s="226"/>
      <c r="E133" s="44"/>
      <c r="F133" s="227"/>
      <c r="G133" s="227"/>
      <c r="H133" s="228" t="s">
        <v>203</v>
      </c>
      <c r="I133" s="253">
        <v>1</v>
      </c>
      <c r="J133" s="60">
        <f>'Harga Satuan Dasar mat'!G740</f>
        <v>92700</v>
      </c>
      <c r="K133" s="230">
        <f t="shared" si="10"/>
        <v>92700</v>
      </c>
    </row>
    <row r="134" spans="1:11" ht="13.2" customHeight="1" x14ac:dyDescent="0.25">
      <c r="A134" s="223"/>
      <c r="B134" s="224" t="s">
        <v>197</v>
      </c>
      <c r="C134" s="225" t="s">
        <v>759</v>
      </c>
      <c r="D134" s="226"/>
      <c r="E134" s="44"/>
      <c r="F134" s="227"/>
      <c r="G134" s="227"/>
      <c r="H134" s="228" t="s">
        <v>203</v>
      </c>
      <c r="I134" s="253">
        <v>1</v>
      </c>
      <c r="J134" s="255">
        <f>'Harga Satuan Dasar mat'!G410</f>
        <v>39000</v>
      </c>
      <c r="K134" s="230">
        <f t="shared" si="10"/>
        <v>39000</v>
      </c>
    </row>
    <row r="135" spans="1:11" ht="12.9" customHeight="1" x14ac:dyDescent="0.25">
      <c r="A135" s="58"/>
      <c r="B135" s="231"/>
      <c r="C135" s="232"/>
      <c r="D135" s="232"/>
      <c r="E135" s="232"/>
      <c r="F135" s="232"/>
      <c r="G135" s="233"/>
      <c r="H135" s="234" t="s">
        <v>715</v>
      </c>
      <c r="I135" s="235"/>
      <c r="J135" s="235"/>
      <c r="K135" s="236">
        <f>SUM(K125:K134)</f>
        <v>1663200</v>
      </c>
    </row>
    <row r="136" spans="1:11" ht="12.9" customHeight="1" x14ac:dyDescent="0.25">
      <c r="A136" s="58"/>
      <c r="B136" s="59"/>
      <c r="C136" s="56"/>
      <c r="D136" s="56"/>
      <c r="E136" s="56"/>
      <c r="F136" s="56"/>
      <c r="G136" s="237"/>
      <c r="H136" s="238" t="s">
        <v>603</v>
      </c>
      <c r="I136" s="239">
        <f>$K$3</f>
        <v>0.15</v>
      </c>
      <c r="J136" s="240"/>
      <c r="K136" s="241">
        <f>I136*K135</f>
        <v>249480</v>
      </c>
    </row>
    <row r="137" spans="1:11" ht="12.9" customHeight="1" x14ac:dyDescent="0.25">
      <c r="A137" s="58"/>
      <c r="B137" s="59"/>
      <c r="C137" s="56"/>
      <c r="D137" s="56"/>
      <c r="E137" s="56"/>
      <c r="F137" s="56"/>
      <c r="G137" s="237"/>
      <c r="H137" s="238" t="s">
        <v>604</v>
      </c>
      <c r="I137" s="226"/>
      <c r="J137" s="226"/>
      <c r="K137" s="241">
        <f>SUM(K135:K136)</f>
        <v>1912680</v>
      </c>
    </row>
    <row r="138" spans="1:11" ht="12.9" customHeight="1" thickBot="1" x14ac:dyDescent="0.3">
      <c r="A138" s="242"/>
      <c r="B138" s="243"/>
      <c r="C138" s="244"/>
      <c r="D138" s="244"/>
      <c r="E138" s="244"/>
      <c r="F138" s="244"/>
      <c r="G138" s="245"/>
      <c r="H138" s="246" t="s">
        <v>605</v>
      </c>
      <c r="I138" s="247"/>
      <c r="J138" s="247"/>
      <c r="K138" s="248">
        <f>ROUND(K137,-1)</f>
        <v>1912680</v>
      </c>
    </row>
    <row r="139" spans="1:11" ht="14.1" customHeight="1" x14ac:dyDescent="0.25">
      <c r="A139" s="215">
        <v>11</v>
      </c>
      <c r="B139" s="651" t="s">
        <v>713</v>
      </c>
      <c r="C139" s="652"/>
      <c r="D139" s="216" t="s">
        <v>845</v>
      </c>
      <c r="E139" s="217"/>
      <c r="F139" s="218"/>
      <c r="G139" s="218"/>
      <c r="H139" s="219"/>
      <c r="I139" s="220"/>
      <c r="J139" s="221"/>
      <c r="K139" s="222"/>
    </row>
    <row r="140" spans="1:11" ht="13.2" customHeight="1" x14ac:dyDescent="0.25">
      <c r="A140" s="223"/>
      <c r="B140" s="224" t="s">
        <v>4</v>
      </c>
      <c r="C140" s="225" t="s">
        <v>755</v>
      </c>
      <c r="D140" s="226"/>
      <c r="E140" s="44"/>
      <c r="F140" s="227"/>
      <c r="G140" s="227"/>
      <c r="H140" s="228" t="s">
        <v>264</v>
      </c>
      <c r="I140" s="252">
        <v>14</v>
      </c>
      <c r="J140" s="60">
        <f>J125</f>
        <v>33700</v>
      </c>
      <c r="K140" s="230">
        <f>I140*J140</f>
        <v>471800</v>
      </c>
    </row>
    <row r="141" spans="1:11" ht="13.2" customHeight="1" x14ac:dyDescent="0.25">
      <c r="A141" s="223"/>
      <c r="B141" s="224" t="s">
        <v>30</v>
      </c>
      <c r="C141" s="225" t="s">
        <v>761</v>
      </c>
      <c r="D141" s="226"/>
      <c r="E141" s="44"/>
      <c r="F141" s="227"/>
      <c r="G141" s="227"/>
      <c r="H141" s="228" t="s">
        <v>203</v>
      </c>
      <c r="I141" s="253">
        <v>1</v>
      </c>
      <c r="J141" s="60">
        <f t="shared" ref="J141:J149" si="11">J126</f>
        <v>189500</v>
      </c>
      <c r="K141" s="230">
        <f t="shared" ref="K141:K149" si="12">I141*J141</f>
        <v>189500</v>
      </c>
    </row>
    <row r="142" spans="1:11" ht="13.2" customHeight="1" x14ac:dyDescent="0.25">
      <c r="A142" s="223"/>
      <c r="B142" s="224" t="s">
        <v>57</v>
      </c>
      <c r="C142" s="225" t="s">
        <v>714</v>
      </c>
      <c r="D142" s="226"/>
      <c r="E142" s="44"/>
      <c r="F142" s="227"/>
      <c r="G142" s="227"/>
      <c r="H142" s="228" t="s">
        <v>203</v>
      </c>
      <c r="I142" s="253">
        <v>2</v>
      </c>
      <c r="J142" s="60">
        <f>J106</f>
        <v>14000</v>
      </c>
      <c r="K142" s="230">
        <f t="shared" si="12"/>
        <v>28000</v>
      </c>
    </row>
    <row r="143" spans="1:11" ht="13.2" customHeight="1" x14ac:dyDescent="0.25">
      <c r="A143" s="223"/>
      <c r="B143" s="224" t="s">
        <v>83</v>
      </c>
      <c r="C143" s="225" t="s">
        <v>986</v>
      </c>
      <c r="D143" s="226"/>
      <c r="E143" s="44"/>
      <c r="F143" s="227"/>
      <c r="G143" s="227"/>
      <c r="H143" s="228" t="s">
        <v>203</v>
      </c>
      <c r="I143" s="253">
        <v>1</v>
      </c>
      <c r="J143" s="60">
        <f t="shared" si="11"/>
        <v>175000</v>
      </c>
      <c r="K143" s="230">
        <f t="shared" si="12"/>
        <v>175000</v>
      </c>
    </row>
    <row r="144" spans="1:11" ht="13.2" customHeight="1" x14ac:dyDescent="0.25">
      <c r="A144" s="223"/>
      <c r="B144" s="224" t="s">
        <v>110</v>
      </c>
      <c r="C144" s="225" t="s">
        <v>756</v>
      </c>
      <c r="D144" s="226"/>
      <c r="E144" s="44"/>
      <c r="F144" s="227"/>
      <c r="G144" s="227"/>
      <c r="H144" s="228" t="s">
        <v>203</v>
      </c>
      <c r="I144" s="253">
        <v>1</v>
      </c>
      <c r="J144" s="60">
        <f t="shared" si="11"/>
        <v>105000</v>
      </c>
      <c r="K144" s="230">
        <f t="shared" si="12"/>
        <v>105000</v>
      </c>
    </row>
    <row r="145" spans="1:11" ht="13.2" customHeight="1" x14ac:dyDescent="0.25">
      <c r="A145" s="223"/>
      <c r="B145" s="224" t="s">
        <v>137</v>
      </c>
      <c r="C145" s="225" t="s">
        <v>764</v>
      </c>
      <c r="D145" s="226"/>
      <c r="E145" s="44"/>
      <c r="F145" s="227"/>
      <c r="G145" s="227"/>
      <c r="H145" s="228" t="s">
        <v>203</v>
      </c>
      <c r="I145" s="253">
        <v>2</v>
      </c>
      <c r="J145" s="60">
        <f>J130</f>
        <v>112000</v>
      </c>
      <c r="K145" s="230">
        <f t="shared" si="12"/>
        <v>224000</v>
      </c>
    </row>
    <row r="146" spans="1:11" ht="13.2" customHeight="1" x14ac:dyDescent="0.25">
      <c r="A146" s="223"/>
      <c r="B146" s="224" t="s">
        <v>156</v>
      </c>
      <c r="C146" s="225" t="s">
        <v>757</v>
      </c>
      <c r="D146" s="226"/>
      <c r="E146" s="44"/>
      <c r="F146" s="227"/>
      <c r="G146" s="227"/>
      <c r="H146" s="228" t="s">
        <v>203</v>
      </c>
      <c r="I146" s="253">
        <v>4</v>
      </c>
      <c r="J146" s="60">
        <f t="shared" si="11"/>
        <v>41000</v>
      </c>
      <c r="K146" s="230">
        <f t="shared" si="12"/>
        <v>164000</v>
      </c>
    </row>
    <row r="147" spans="1:11" ht="13.2" customHeight="1" x14ac:dyDescent="0.25">
      <c r="A147" s="223"/>
      <c r="B147" s="224" t="s">
        <v>175</v>
      </c>
      <c r="C147" s="225" t="s">
        <v>1010</v>
      </c>
      <c r="D147" s="226"/>
      <c r="E147" s="44"/>
      <c r="F147" s="227"/>
      <c r="G147" s="227"/>
      <c r="H147" s="228" t="s">
        <v>235</v>
      </c>
      <c r="I147" s="253">
        <v>1</v>
      </c>
      <c r="J147" s="60">
        <f t="shared" si="11"/>
        <v>140500</v>
      </c>
      <c r="K147" s="230">
        <f t="shared" si="12"/>
        <v>140500</v>
      </c>
    </row>
    <row r="148" spans="1:11" ht="13.2" customHeight="1" x14ac:dyDescent="0.25">
      <c r="A148" s="223"/>
      <c r="B148" s="224" t="s">
        <v>177</v>
      </c>
      <c r="C148" s="225" t="s">
        <v>758</v>
      </c>
      <c r="D148" s="226"/>
      <c r="E148" s="44"/>
      <c r="F148" s="227"/>
      <c r="G148" s="227"/>
      <c r="H148" s="228" t="s">
        <v>203</v>
      </c>
      <c r="I148" s="253">
        <v>1</v>
      </c>
      <c r="J148" s="60">
        <f t="shared" si="11"/>
        <v>92700</v>
      </c>
      <c r="K148" s="230">
        <f t="shared" si="12"/>
        <v>92700</v>
      </c>
    </row>
    <row r="149" spans="1:11" ht="13.2" customHeight="1" x14ac:dyDescent="0.25">
      <c r="A149" s="223"/>
      <c r="B149" s="224" t="s">
        <v>197</v>
      </c>
      <c r="C149" s="225" t="s">
        <v>759</v>
      </c>
      <c r="D149" s="226"/>
      <c r="E149" s="44"/>
      <c r="F149" s="227"/>
      <c r="G149" s="227"/>
      <c r="H149" s="228" t="s">
        <v>203</v>
      </c>
      <c r="I149" s="253">
        <v>1</v>
      </c>
      <c r="J149" s="60">
        <f t="shared" si="11"/>
        <v>39000</v>
      </c>
      <c r="K149" s="230">
        <f t="shared" si="12"/>
        <v>39000</v>
      </c>
    </row>
    <row r="150" spans="1:11" ht="12.9" customHeight="1" x14ac:dyDescent="0.25">
      <c r="A150" s="58"/>
      <c r="B150" s="231"/>
      <c r="C150" s="232"/>
      <c r="D150" s="232"/>
      <c r="E150" s="232"/>
      <c r="F150" s="232"/>
      <c r="G150" s="233"/>
      <c r="H150" s="234" t="s">
        <v>715</v>
      </c>
      <c r="I150" s="235"/>
      <c r="J150" s="235"/>
      <c r="K150" s="236">
        <f>SUM(K140:K149)</f>
        <v>1629500</v>
      </c>
    </row>
    <row r="151" spans="1:11" ht="12.9" customHeight="1" x14ac:dyDescent="0.25">
      <c r="A151" s="58"/>
      <c r="B151" s="59"/>
      <c r="C151" s="56"/>
      <c r="D151" s="56"/>
      <c r="E151" s="56"/>
      <c r="F151" s="56"/>
      <c r="G151" s="237"/>
      <c r="H151" s="238" t="s">
        <v>603</v>
      </c>
      <c r="I151" s="239">
        <f>$K$3</f>
        <v>0.15</v>
      </c>
      <c r="J151" s="240"/>
      <c r="K151" s="241">
        <f>I151*K150</f>
        <v>244425</v>
      </c>
    </row>
    <row r="152" spans="1:11" ht="12.9" customHeight="1" x14ac:dyDescent="0.25">
      <c r="A152" s="58"/>
      <c r="B152" s="59"/>
      <c r="C152" s="56"/>
      <c r="D152" s="56"/>
      <c r="E152" s="56"/>
      <c r="F152" s="56"/>
      <c r="G152" s="237"/>
      <c r="H152" s="238" t="s">
        <v>604</v>
      </c>
      <c r="I152" s="226"/>
      <c r="J152" s="226"/>
      <c r="K152" s="241">
        <f>SUM(K150:K151)</f>
        <v>1873925</v>
      </c>
    </row>
    <row r="153" spans="1:11" ht="12.9" customHeight="1" thickBot="1" x14ac:dyDescent="0.3">
      <c r="A153" s="242"/>
      <c r="B153" s="243"/>
      <c r="C153" s="244"/>
      <c r="D153" s="244"/>
      <c r="E153" s="244"/>
      <c r="F153" s="244"/>
      <c r="G153" s="245"/>
      <c r="H153" s="246" t="s">
        <v>605</v>
      </c>
      <c r="I153" s="247"/>
      <c r="J153" s="247"/>
      <c r="K153" s="248">
        <f>ROUND(K152,-1)</f>
        <v>1873930</v>
      </c>
    </row>
    <row r="154" spans="1:11" ht="14.1" customHeight="1" x14ac:dyDescent="0.25">
      <c r="A154" s="215">
        <v>12</v>
      </c>
      <c r="B154" s="651" t="s">
        <v>713</v>
      </c>
      <c r="C154" s="652"/>
      <c r="D154" s="216" t="s">
        <v>846</v>
      </c>
      <c r="E154" s="217"/>
      <c r="F154" s="218"/>
      <c r="G154" s="218"/>
      <c r="H154" s="219"/>
      <c r="I154" s="220"/>
      <c r="J154" s="221"/>
      <c r="K154" s="222"/>
    </row>
    <row r="155" spans="1:11" ht="13.2" customHeight="1" x14ac:dyDescent="0.25">
      <c r="A155" s="223"/>
      <c r="B155" s="224" t="s">
        <v>4</v>
      </c>
      <c r="C155" s="225" t="s">
        <v>755</v>
      </c>
      <c r="D155" s="226"/>
      <c r="E155" s="44"/>
      <c r="F155" s="227"/>
      <c r="G155" s="227"/>
      <c r="H155" s="228" t="s">
        <v>264</v>
      </c>
      <c r="I155" s="252">
        <v>13</v>
      </c>
      <c r="J155" s="60">
        <f>J140</f>
        <v>33700</v>
      </c>
      <c r="K155" s="230">
        <f>I155*J155</f>
        <v>438100</v>
      </c>
    </row>
    <row r="156" spans="1:11" ht="13.2" customHeight="1" x14ac:dyDescent="0.25">
      <c r="A156" s="223"/>
      <c r="B156" s="224" t="s">
        <v>30</v>
      </c>
      <c r="C156" s="225" t="s">
        <v>761</v>
      </c>
      <c r="D156" s="226"/>
      <c r="E156" s="44"/>
      <c r="F156" s="227"/>
      <c r="G156" s="227"/>
      <c r="H156" s="228" t="s">
        <v>203</v>
      </c>
      <c r="I156" s="253">
        <v>1</v>
      </c>
      <c r="J156" s="60">
        <f t="shared" ref="J156:J164" si="13">J141</f>
        <v>189500</v>
      </c>
      <c r="K156" s="230">
        <f t="shared" ref="K156:K164" si="14">I156*J156</f>
        <v>189500</v>
      </c>
    </row>
    <row r="157" spans="1:11" ht="13.2" customHeight="1" x14ac:dyDescent="0.25">
      <c r="A157" s="223"/>
      <c r="B157" s="224" t="s">
        <v>57</v>
      </c>
      <c r="C157" s="225" t="s">
        <v>714</v>
      </c>
      <c r="D157" s="226"/>
      <c r="E157" s="44"/>
      <c r="F157" s="227"/>
      <c r="G157" s="227"/>
      <c r="H157" s="228" t="s">
        <v>203</v>
      </c>
      <c r="I157" s="253">
        <v>2</v>
      </c>
      <c r="J157" s="60">
        <f t="shared" si="13"/>
        <v>14000</v>
      </c>
      <c r="K157" s="230">
        <f t="shared" si="14"/>
        <v>28000</v>
      </c>
    </row>
    <row r="158" spans="1:11" ht="13.2" customHeight="1" x14ac:dyDescent="0.25">
      <c r="A158" s="223"/>
      <c r="B158" s="224" t="s">
        <v>83</v>
      </c>
      <c r="C158" s="225" t="s">
        <v>841</v>
      </c>
      <c r="D158" s="226"/>
      <c r="E158" s="44"/>
      <c r="F158" s="227"/>
      <c r="G158" s="227"/>
      <c r="H158" s="228" t="s">
        <v>203</v>
      </c>
      <c r="I158" s="253">
        <v>1</v>
      </c>
      <c r="J158" s="60">
        <f t="shared" si="13"/>
        <v>175000</v>
      </c>
      <c r="K158" s="230">
        <f t="shared" si="14"/>
        <v>175000</v>
      </c>
    </row>
    <row r="159" spans="1:11" ht="13.2" customHeight="1" x14ac:dyDescent="0.25">
      <c r="A159" s="223"/>
      <c r="B159" s="224" t="s">
        <v>110</v>
      </c>
      <c r="C159" s="225" t="s">
        <v>756</v>
      </c>
      <c r="D159" s="226"/>
      <c r="E159" s="44"/>
      <c r="F159" s="227"/>
      <c r="G159" s="227"/>
      <c r="H159" s="228" t="s">
        <v>203</v>
      </c>
      <c r="I159" s="253">
        <v>1</v>
      </c>
      <c r="J159" s="60">
        <f t="shared" si="13"/>
        <v>105000</v>
      </c>
      <c r="K159" s="230">
        <f t="shared" si="14"/>
        <v>105000</v>
      </c>
    </row>
    <row r="160" spans="1:11" ht="13.2" customHeight="1" x14ac:dyDescent="0.25">
      <c r="A160" s="223"/>
      <c r="B160" s="224" t="s">
        <v>137</v>
      </c>
      <c r="C160" s="225" t="s">
        <v>764</v>
      </c>
      <c r="D160" s="226"/>
      <c r="E160" s="44"/>
      <c r="F160" s="227"/>
      <c r="G160" s="227"/>
      <c r="H160" s="228" t="s">
        <v>203</v>
      </c>
      <c r="I160" s="253">
        <v>2</v>
      </c>
      <c r="J160" s="60">
        <f>J145</f>
        <v>112000</v>
      </c>
      <c r="K160" s="230">
        <f t="shared" si="14"/>
        <v>224000</v>
      </c>
    </row>
    <row r="161" spans="1:11" ht="13.2" customHeight="1" x14ac:dyDescent="0.25">
      <c r="A161" s="223"/>
      <c r="B161" s="224" t="s">
        <v>156</v>
      </c>
      <c r="C161" s="225" t="s">
        <v>757</v>
      </c>
      <c r="D161" s="226"/>
      <c r="E161" s="44"/>
      <c r="F161" s="227"/>
      <c r="G161" s="227"/>
      <c r="H161" s="228" t="s">
        <v>203</v>
      </c>
      <c r="I161" s="253">
        <v>4</v>
      </c>
      <c r="J161" s="60">
        <f t="shared" si="13"/>
        <v>41000</v>
      </c>
      <c r="K161" s="230">
        <f t="shared" si="14"/>
        <v>164000</v>
      </c>
    </row>
    <row r="162" spans="1:11" ht="13.2" customHeight="1" x14ac:dyDescent="0.25">
      <c r="A162" s="223"/>
      <c r="B162" s="224" t="s">
        <v>175</v>
      </c>
      <c r="C162" s="225" t="s">
        <v>1010</v>
      </c>
      <c r="D162" s="226"/>
      <c r="E162" s="44"/>
      <c r="F162" s="227"/>
      <c r="G162" s="227"/>
      <c r="H162" s="228" t="s">
        <v>235</v>
      </c>
      <c r="I162" s="253">
        <v>1</v>
      </c>
      <c r="J162" s="60">
        <f t="shared" si="13"/>
        <v>140500</v>
      </c>
      <c r="K162" s="230">
        <f t="shared" si="14"/>
        <v>140500</v>
      </c>
    </row>
    <row r="163" spans="1:11" ht="13.2" customHeight="1" x14ac:dyDescent="0.25">
      <c r="A163" s="223"/>
      <c r="B163" s="224" t="s">
        <v>177</v>
      </c>
      <c r="C163" s="225" t="s">
        <v>758</v>
      </c>
      <c r="D163" s="226"/>
      <c r="E163" s="44"/>
      <c r="F163" s="227"/>
      <c r="G163" s="227"/>
      <c r="H163" s="228" t="s">
        <v>203</v>
      </c>
      <c r="I163" s="253">
        <v>1</v>
      </c>
      <c r="J163" s="60">
        <f t="shared" si="13"/>
        <v>92700</v>
      </c>
      <c r="K163" s="230">
        <f t="shared" si="14"/>
        <v>92700</v>
      </c>
    </row>
    <row r="164" spans="1:11" ht="13.2" customHeight="1" x14ac:dyDescent="0.25">
      <c r="A164" s="223"/>
      <c r="B164" s="224" t="s">
        <v>197</v>
      </c>
      <c r="C164" s="225" t="s">
        <v>759</v>
      </c>
      <c r="D164" s="226"/>
      <c r="E164" s="44"/>
      <c r="F164" s="227"/>
      <c r="G164" s="227"/>
      <c r="H164" s="228" t="s">
        <v>203</v>
      </c>
      <c r="I164" s="253">
        <v>1</v>
      </c>
      <c r="J164" s="60">
        <f t="shared" si="13"/>
        <v>39000</v>
      </c>
      <c r="K164" s="230">
        <f t="shared" si="14"/>
        <v>39000</v>
      </c>
    </row>
    <row r="165" spans="1:11" ht="12.9" customHeight="1" x14ac:dyDescent="0.25">
      <c r="A165" s="58"/>
      <c r="B165" s="231"/>
      <c r="C165" s="232"/>
      <c r="D165" s="232"/>
      <c r="E165" s="232"/>
      <c r="F165" s="232"/>
      <c r="G165" s="233"/>
      <c r="H165" s="234" t="s">
        <v>715</v>
      </c>
      <c r="I165" s="235"/>
      <c r="J165" s="235"/>
      <c r="K165" s="236">
        <f>SUM(K155:K164)</f>
        <v>1595800</v>
      </c>
    </row>
    <row r="166" spans="1:11" ht="12.9" customHeight="1" x14ac:dyDescent="0.25">
      <c r="A166" s="58"/>
      <c r="B166" s="59"/>
      <c r="C166" s="56"/>
      <c r="D166" s="56"/>
      <c r="E166" s="56"/>
      <c r="F166" s="56"/>
      <c r="G166" s="237"/>
      <c r="H166" s="238" t="s">
        <v>603</v>
      </c>
      <c r="I166" s="239">
        <f>$K$3</f>
        <v>0.15</v>
      </c>
      <c r="J166" s="240"/>
      <c r="K166" s="241">
        <f>I166*K165</f>
        <v>239370</v>
      </c>
    </row>
    <row r="167" spans="1:11" ht="12.9" customHeight="1" x14ac:dyDescent="0.25">
      <c r="A167" s="58"/>
      <c r="B167" s="59"/>
      <c r="C167" s="56"/>
      <c r="D167" s="56"/>
      <c r="E167" s="56"/>
      <c r="F167" s="56"/>
      <c r="G167" s="237"/>
      <c r="H167" s="238" t="s">
        <v>604</v>
      </c>
      <c r="I167" s="226"/>
      <c r="J167" s="226"/>
      <c r="K167" s="241">
        <f>SUM(K165:K166)</f>
        <v>1835170</v>
      </c>
    </row>
    <row r="168" spans="1:11" ht="12.9" customHeight="1" thickBot="1" x14ac:dyDescent="0.3">
      <c r="A168" s="242"/>
      <c r="B168" s="243"/>
      <c r="C168" s="244"/>
      <c r="D168" s="244"/>
      <c r="E168" s="244"/>
      <c r="F168" s="244"/>
      <c r="G168" s="245"/>
      <c r="H168" s="246" t="s">
        <v>605</v>
      </c>
      <c r="I168" s="247"/>
      <c r="J168" s="247"/>
      <c r="K168" s="248">
        <f>ROUND(K167,-1)</f>
        <v>1835170</v>
      </c>
    </row>
    <row r="169" spans="1:11" ht="14.1" customHeight="1" x14ac:dyDescent="0.25">
      <c r="A169" s="215">
        <v>13</v>
      </c>
      <c r="B169" s="651" t="s">
        <v>713</v>
      </c>
      <c r="C169" s="652"/>
      <c r="D169" s="216" t="s">
        <v>847</v>
      </c>
      <c r="E169" s="217"/>
      <c r="F169" s="218"/>
      <c r="G169" s="218"/>
      <c r="H169" s="219"/>
      <c r="I169" s="220"/>
      <c r="J169" s="221"/>
      <c r="K169" s="222"/>
    </row>
    <row r="170" spans="1:11" ht="13.2" customHeight="1" x14ac:dyDescent="0.25">
      <c r="A170" s="223"/>
      <c r="B170" s="224" t="s">
        <v>4</v>
      </c>
      <c r="C170" s="225" t="s">
        <v>755</v>
      </c>
      <c r="D170" s="226"/>
      <c r="E170" s="44"/>
      <c r="F170" s="227"/>
      <c r="G170" s="227"/>
      <c r="H170" s="228" t="s">
        <v>264</v>
      </c>
      <c r="I170" s="252">
        <v>10</v>
      </c>
      <c r="J170" s="60">
        <f>J155</f>
        <v>33700</v>
      </c>
      <c r="K170" s="230">
        <f>I170*J170</f>
        <v>337000</v>
      </c>
    </row>
    <row r="171" spans="1:11" ht="13.2" customHeight="1" x14ac:dyDescent="0.25">
      <c r="A171" s="223"/>
      <c r="B171" s="224" t="s">
        <v>30</v>
      </c>
      <c r="C171" s="225" t="s">
        <v>760</v>
      </c>
      <c r="D171" s="226"/>
      <c r="E171" s="44"/>
      <c r="F171" s="227"/>
      <c r="G171" s="227"/>
      <c r="H171" s="228" t="s">
        <v>203</v>
      </c>
      <c r="I171" s="253">
        <v>1</v>
      </c>
      <c r="J171" s="60">
        <f>'Harga Satuan Dasar mat'!G74</f>
        <v>156000</v>
      </c>
      <c r="K171" s="230">
        <f t="shared" ref="K171:K179" si="15">I171*J171</f>
        <v>156000</v>
      </c>
    </row>
    <row r="172" spans="1:11" ht="13.2" customHeight="1" x14ac:dyDescent="0.25">
      <c r="A172" s="223"/>
      <c r="B172" s="224" t="s">
        <v>57</v>
      </c>
      <c r="C172" s="225" t="s">
        <v>714</v>
      </c>
      <c r="D172" s="226"/>
      <c r="E172" s="44"/>
      <c r="F172" s="227"/>
      <c r="G172" s="227"/>
      <c r="H172" s="228" t="s">
        <v>203</v>
      </c>
      <c r="I172" s="253">
        <v>2</v>
      </c>
      <c r="J172" s="60">
        <f t="shared" ref="J172:J179" si="16">J157</f>
        <v>14000</v>
      </c>
      <c r="K172" s="230">
        <f t="shared" si="15"/>
        <v>28000</v>
      </c>
    </row>
    <row r="173" spans="1:11" ht="13.2" customHeight="1" x14ac:dyDescent="0.25">
      <c r="A173" s="223"/>
      <c r="B173" s="224" t="s">
        <v>83</v>
      </c>
      <c r="C173" s="225" t="s">
        <v>987</v>
      </c>
      <c r="D173" s="226"/>
      <c r="E173" s="44"/>
      <c r="F173" s="227"/>
      <c r="G173" s="227"/>
      <c r="H173" s="228" t="s">
        <v>203</v>
      </c>
      <c r="I173" s="253">
        <v>1</v>
      </c>
      <c r="J173" s="60">
        <f>'Harga Satuan Dasar mat'!G389</f>
        <v>100000</v>
      </c>
      <c r="K173" s="230">
        <f t="shared" si="15"/>
        <v>100000</v>
      </c>
    </row>
    <row r="174" spans="1:11" ht="13.2" customHeight="1" x14ac:dyDescent="0.25">
      <c r="A174" s="223"/>
      <c r="B174" s="224" t="s">
        <v>110</v>
      </c>
      <c r="C174" s="225" t="s">
        <v>857</v>
      </c>
      <c r="D174" s="226"/>
      <c r="E174" s="44"/>
      <c r="F174" s="227"/>
      <c r="G174" s="227"/>
      <c r="H174" s="228" t="s">
        <v>203</v>
      </c>
      <c r="I174" s="253">
        <v>1</v>
      </c>
      <c r="J174" s="60">
        <f>'Harga Satuan Dasar mat'!G413</f>
        <v>85000</v>
      </c>
      <c r="K174" s="230">
        <f t="shared" si="15"/>
        <v>85000</v>
      </c>
    </row>
    <row r="175" spans="1:11" ht="13.2" customHeight="1" x14ac:dyDescent="0.25">
      <c r="A175" s="223"/>
      <c r="B175" s="224" t="s">
        <v>137</v>
      </c>
      <c r="C175" s="225" t="s">
        <v>764</v>
      </c>
      <c r="D175" s="226"/>
      <c r="E175" s="44"/>
      <c r="F175" s="227"/>
      <c r="G175" s="227"/>
      <c r="H175" s="228" t="s">
        <v>203</v>
      </c>
      <c r="I175" s="253">
        <v>2</v>
      </c>
      <c r="J175" s="60">
        <f>J160</f>
        <v>112000</v>
      </c>
      <c r="K175" s="230">
        <f t="shared" si="15"/>
        <v>224000</v>
      </c>
    </row>
    <row r="176" spans="1:11" ht="13.2" customHeight="1" x14ac:dyDescent="0.25">
      <c r="A176" s="223"/>
      <c r="B176" s="224" t="s">
        <v>156</v>
      </c>
      <c r="C176" s="225" t="s">
        <v>757</v>
      </c>
      <c r="D176" s="226"/>
      <c r="E176" s="44"/>
      <c r="F176" s="227"/>
      <c r="G176" s="227"/>
      <c r="H176" s="228" t="s">
        <v>203</v>
      </c>
      <c r="I176" s="253">
        <v>4</v>
      </c>
      <c r="J176" s="60">
        <f t="shared" si="16"/>
        <v>41000</v>
      </c>
      <c r="K176" s="230">
        <f t="shared" si="15"/>
        <v>164000</v>
      </c>
    </row>
    <row r="177" spans="1:11" ht="13.2" customHeight="1" x14ac:dyDescent="0.25">
      <c r="A177" s="223"/>
      <c r="B177" s="224" t="s">
        <v>175</v>
      </c>
      <c r="C177" s="225" t="s">
        <v>1011</v>
      </c>
      <c r="D177" s="226"/>
      <c r="E177" s="44"/>
      <c r="F177" s="227"/>
      <c r="G177" s="227"/>
      <c r="H177" s="228" t="s">
        <v>235</v>
      </c>
      <c r="I177" s="253">
        <v>1</v>
      </c>
      <c r="J177" s="60">
        <f>'Harga Satuan Dasar mat'!G404</f>
        <v>125000</v>
      </c>
      <c r="K177" s="230">
        <f t="shared" si="15"/>
        <v>125000</v>
      </c>
    </row>
    <row r="178" spans="1:11" ht="13.2" customHeight="1" x14ac:dyDescent="0.25">
      <c r="A178" s="223"/>
      <c r="B178" s="224" t="s">
        <v>177</v>
      </c>
      <c r="C178" s="225" t="s">
        <v>758</v>
      </c>
      <c r="D178" s="226"/>
      <c r="E178" s="44"/>
      <c r="F178" s="227"/>
      <c r="G178" s="227"/>
      <c r="H178" s="228" t="s">
        <v>203</v>
      </c>
      <c r="I178" s="253">
        <v>1</v>
      </c>
      <c r="J178" s="60">
        <f t="shared" si="16"/>
        <v>92700</v>
      </c>
      <c r="K178" s="230">
        <f t="shared" si="15"/>
        <v>92700</v>
      </c>
    </row>
    <row r="179" spans="1:11" ht="13.2" customHeight="1" x14ac:dyDescent="0.25">
      <c r="A179" s="223"/>
      <c r="B179" s="224" t="s">
        <v>197</v>
      </c>
      <c r="C179" s="225" t="s">
        <v>759</v>
      </c>
      <c r="D179" s="226"/>
      <c r="E179" s="44"/>
      <c r="F179" s="227"/>
      <c r="G179" s="227"/>
      <c r="H179" s="228" t="s">
        <v>203</v>
      </c>
      <c r="I179" s="253">
        <v>1</v>
      </c>
      <c r="J179" s="60">
        <f t="shared" si="16"/>
        <v>39000</v>
      </c>
      <c r="K179" s="230">
        <f t="shared" si="15"/>
        <v>39000</v>
      </c>
    </row>
    <row r="180" spans="1:11" ht="12.9" customHeight="1" x14ac:dyDescent="0.25">
      <c r="A180" s="58"/>
      <c r="B180" s="231"/>
      <c r="C180" s="232"/>
      <c r="D180" s="232"/>
      <c r="E180" s="232"/>
      <c r="F180" s="232"/>
      <c r="G180" s="233"/>
      <c r="H180" s="234" t="s">
        <v>715</v>
      </c>
      <c r="I180" s="235"/>
      <c r="J180" s="235"/>
      <c r="K180" s="236">
        <f>SUM(K170:K179)</f>
        <v>1350700</v>
      </c>
    </row>
    <row r="181" spans="1:11" ht="12.9" customHeight="1" x14ac:dyDescent="0.25">
      <c r="A181" s="58"/>
      <c r="B181" s="59"/>
      <c r="C181" s="56"/>
      <c r="D181" s="56"/>
      <c r="E181" s="56"/>
      <c r="F181" s="56"/>
      <c r="G181" s="237"/>
      <c r="H181" s="238" t="s">
        <v>603</v>
      </c>
      <c r="I181" s="239">
        <f>$K$3</f>
        <v>0.15</v>
      </c>
      <c r="J181" s="240"/>
      <c r="K181" s="241">
        <f>I181*K180</f>
        <v>202605</v>
      </c>
    </row>
    <row r="182" spans="1:11" ht="12.9" customHeight="1" x14ac:dyDescent="0.25">
      <c r="A182" s="58"/>
      <c r="B182" s="59"/>
      <c r="C182" s="56"/>
      <c r="D182" s="56"/>
      <c r="E182" s="56"/>
      <c r="F182" s="56"/>
      <c r="G182" s="237"/>
      <c r="H182" s="238" t="s">
        <v>604</v>
      </c>
      <c r="I182" s="226"/>
      <c r="J182" s="226"/>
      <c r="K182" s="241">
        <f>SUM(K180:K181)</f>
        <v>1553305</v>
      </c>
    </row>
    <row r="183" spans="1:11" ht="12.9" customHeight="1" thickBot="1" x14ac:dyDescent="0.3">
      <c r="A183" s="242"/>
      <c r="B183" s="243"/>
      <c r="C183" s="244"/>
      <c r="D183" s="244"/>
      <c r="E183" s="244"/>
      <c r="F183" s="244"/>
      <c r="G183" s="245"/>
      <c r="H183" s="246" t="s">
        <v>605</v>
      </c>
      <c r="I183" s="247"/>
      <c r="J183" s="247"/>
      <c r="K183" s="248">
        <f>ROUND(K182,-1)</f>
        <v>1553310</v>
      </c>
    </row>
    <row r="184" spans="1:11" ht="14.1" customHeight="1" x14ac:dyDescent="0.25">
      <c r="A184" s="215">
        <v>14</v>
      </c>
      <c r="B184" s="651" t="s">
        <v>713</v>
      </c>
      <c r="C184" s="652"/>
      <c r="D184" s="216" t="s">
        <v>848</v>
      </c>
      <c r="E184" s="217"/>
      <c r="F184" s="218"/>
      <c r="G184" s="218"/>
      <c r="H184" s="219"/>
      <c r="I184" s="220"/>
      <c r="J184" s="221"/>
      <c r="K184" s="222"/>
    </row>
    <row r="185" spans="1:11" ht="13.2" customHeight="1" x14ac:dyDescent="0.25">
      <c r="A185" s="223"/>
      <c r="B185" s="224" t="s">
        <v>4</v>
      </c>
      <c r="C185" s="225" t="s">
        <v>755</v>
      </c>
      <c r="D185" s="226"/>
      <c r="E185" s="44"/>
      <c r="F185" s="227"/>
      <c r="G185" s="227"/>
      <c r="H185" s="228" t="s">
        <v>264</v>
      </c>
      <c r="I185" s="252">
        <v>15</v>
      </c>
      <c r="J185" s="60">
        <f>J125</f>
        <v>33700</v>
      </c>
      <c r="K185" s="230">
        <f>I185*J185</f>
        <v>505500</v>
      </c>
    </row>
    <row r="186" spans="1:11" ht="13.2" customHeight="1" x14ac:dyDescent="0.25">
      <c r="A186" s="223"/>
      <c r="B186" s="224" t="s">
        <v>30</v>
      </c>
      <c r="C186" s="225" t="s">
        <v>761</v>
      </c>
      <c r="D186" s="226"/>
      <c r="E186" s="44"/>
      <c r="F186" s="227"/>
      <c r="G186" s="227"/>
      <c r="H186" s="228" t="s">
        <v>203</v>
      </c>
      <c r="I186" s="253">
        <v>1</v>
      </c>
      <c r="J186" s="60">
        <f>J126</f>
        <v>189500</v>
      </c>
      <c r="K186" s="230">
        <f t="shared" ref="K186:K194" si="17">I186*J186</f>
        <v>189500</v>
      </c>
    </row>
    <row r="187" spans="1:11" ht="13.2" customHeight="1" x14ac:dyDescent="0.25">
      <c r="A187" s="223"/>
      <c r="B187" s="224" t="s">
        <v>57</v>
      </c>
      <c r="C187" s="225" t="s">
        <v>714</v>
      </c>
      <c r="D187" s="226"/>
      <c r="E187" s="44"/>
      <c r="F187" s="227"/>
      <c r="G187" s="227"/>
      <c r="H187" s="228" t="s">
        <v>203</v>
      </c>
      <c r="I187" s="253">
        <v>2</v>
      </c>
      <c r="J187" s="60">
        <f>J127</f>
        <v>14000</v>
      </c>
      <c r="K187" s="230">
        <f t="shared" si="17"/>
        <v>28000</v>
      </c>
    </row>
    <row r="188" spans="1:11" ht="13.2" customHeight="1" x14ac:dyDescent="0.25">
      <c r="A188" s="223"/>
      <c r="B188" s="224" t="s">
        <v>83</v>
      </c>
      <c r="C188" s="225" t="s">
        <v>986</v>
      </c>
      <c r="D188" s="226"/>
      <c r="E188" s="44"/>
      <c r="F188" s="227"/>
      <c r="G188" s="227"/>
      <c r="H188" s="228" t="s">
        <v>203</v>
      </c>
      <c r="I188" s="253">
        <v>1</v>
      </c>
      <c r="J188" s="60">
        <f>J128</f>
        <v>175000</v>
      </c>
      <c r="K188" s="230">
        <f t="shared" si="17"/>
        <v>175000</v>
      </c>
    </row>
    <row r="189" spans="1:11" ht="13.2" customHeight="1" x14ac:dyDescent="0.25">
      <c r="A189" s="223"/>
      <c r="B189" s="224" t="s">
        <v>110</v>
      </c>
      <c r="C189" s="225" t="s">
        <v>756</v>
      </c>
      <c r="D189" s="226"/>
      <c r="E189" s="44"/>
      <c r="F189" s="227"/>
      <c r="G189" s="227"/>
      <c r="H189" s="228" t="s">
        <v>203</v>
      </c>
      <c r="I189" s="253">
        <v>1</v>
      </c>
      <c r="J189" s="60">
        <f>J129</f>
        <v>105000</v>
      </c>
      <c r="K189" s="230">
        <f t="shared" si="17"/>
        <v>105000</v>
      </c>
    </row>
    <row r="190" spans="1:11" ht="13.2" customHeight="1" x14ac:dyDescent="0.25">
      <c r="A190" s="223"/>
      <c r="B190" s="224" t="s">
        <v>137</v>
      </c>
      <c r="C190" s="225" t="s">
        <v>764</v>
      </c>
      <c r="D190" s="226"/>
      <c r="E190" s="44"/>
      <c r="F190" s="227"/>
      <c r="G190" s="227"/>
      <c r="H190" s="228" t="s">
        <v>203</v>
      </c>
      <c r="I190" s="253">
        <v>2</v>
      </c>
      <c r="J190" s="60">
        <f>J175</f>
        <v>112000</v>
      </c>
      <c r="K190" s="230">
        <f t="shared" si="17"/>
        <v>224000</v>
      </c>
    </row>
    <row r="191" spans="1:11" ht="13.2" customHeight="1" x14ac:dyDescent="0.25">
      <c r="A191" s="223"/>
      <c r="B191" s="224" t="s">
        <v>156</v>
      </c>
      <c r="C191" s="225" t="s">
        <v>757</v>
      </c>
      <c r="D191" s="226"/>
      <c r="E191" s="44"/>
      <c r="F191" s="227"/>
      <c r="G191" s="227"/>
      <c r="H191" s="228" t="s">
        <v>203</v>
      </c>
      <c r="I191" s="253">
        <v>4</v>
      </c>
      <c r="J191" s="60">
        <f>J131</f>
        <v>41000</v>
      </c>
      <c r="K191" s="230">
        <f t="shared" si="17"/>
        <v>164000</v>
      </c>
    </row>
    <row r="192" spans="1:11" ht="13.2" customHeight="1" x14ac:dyDescent="0.25">
      <c r="A192" s="223"/>
      <c r="B192" s="224" t="s">
        <v>175</v>
      </c>
      <c r="C192" s="225" t="s">
        <v>1010</v>
      </c>
      <c r="D192" s="226"/>
      <c r="E192" s="44"/>
      <c r="F192" s="227"/>
      <c r="G192" s="227"/>
      <c r="H192" s="228" t="s">
        <v>235</v>
      </c>
      <c r="I192" s="253">
        <v>1</v>
      </c>
      <c r="J192" s="60">
        <f>J132</f>
        <v>140500</v>
      </c>
      <c r="K192" s="230">
        <f t="shared" si="17"/>
        <v>140500</v>
      </c>
    </row>
    <row r="193" spans="1:11" ht="13.2" customHeight="1" x14ac:dyDescent="0.25">
      <c r="A193" s="223"/>
      <c r="B193" s="224" t="s">
        <v>177</v>
      </c>
      <c r="C193" s="225" t="s">
        <v>758</v>
      </c>
      <c r="D193" s="226"/>
      <c r="E193" s="44"/>
      <c r="F193" s="227"/>
      <c r="G193" s="227"/>
      <c r="H193" s="228" t="s">
        <v>203</v>
      </c>
      <c r="I193" s="253">
        <v>1</v>
      </c>
      <c r="J193" s="60">
        <f>J133</f>
        <v>92700</v>
      </c>
      <c r="K193" s="230">
        <f t="shared" si="17"/>
        <v>92700</v>
      </c>
    </row>
    <row r="194" spans="1:11" ht="13.2" customHeight="1" x14ac:dyDescent="0.25">
      <c r="A194" s="223"/>
      <c r="B194" s="224" t="s">
        <v>197</v>
      </c>
      <c r="C194" s="225" t="s">
        <v>759</v>
      </c>
      <c r="D194" s="226"/>
      <c r="E194" s="44"/>
      <c r="F194" s="227"/>
      <c r="G194" s="227"/>
      <c r="H194" s="228" t="s">
        <v>203</v>
      </c>
      <c r="I194" s="253">
        <v>1</v>
      </c>
      <c r="J194" s="60">
        <f>J134</f>
        <v>39000</v>
      </c>
      <c r="K194" s="230">
        <f t="shared" si="17"/>
        <v>39000</v>
      </c>
    </row>
    <row r="195" spans="1:11" ht="12.9" customHeight="1" x14ac:dyDescent="0.25">
      <c r="A195" s="58"/>
      <c r="B195" s="231"/>
      <c r="C195" s="232"/>
      <c r="D195" s="232"/>
      <c r="E195" s="232"/>
      <c r="F195" s="232"/>
      <c r="G195" s="233"/>
      <c r="H195" s="234" t="s">
        <v>715</v>
      </c>
      <c r="I195" s="235"/>
      <c r="J195" s="235"/>
      <c r="K195" s="236">
        <f>SUM(K185:K194)</f>
        <v>1663200</v>
      </c>
    </row>
    <row r="196" spans="1:11" ht="12.9" customHeight="1" x14ac:dyDescent="0.25">
      <c r="A196" s="58"/>
      <c r="B196" s="59"/>
      <c r="C196" s="56"/>
      <c r="D196" s="56"/>
      <c r="E196" s="56"/>
      <c r="F196" s="56"/>
      <c r="G196" s="237"/>
      <c r="H196" s="238" t="s">
        <v>603</v>
      </c>
      <c r="I196" s="239">
        <f>$K$3</f>
        <v>0.15</v>
      </c>
      <c r="J196" s="240"/>
      <c r="K196" s="241">
        <f>I196*K195</f>
        <v>249480</v>
      </c>
    </row>
    <row r="197" spans="1:11" ht="12.9" customHeight="1" x14ac:dyDescent="0.25">
      <c r="A197" s="58"/>
      <c r="B197" s="59"/>
      <c r="C197" s="56"/>
      <c r="D197" s="56"/>
      <c r="E197" s="56"/>
      <c r="F197" s="56"/>
      <c r="G197" s="237"/>
      <c r="H197" s="238" t="s">
        <v>604</v>
      </c>
      <c r="I197" s="226"/>
      <c r="J197" s="226"/>
      <c r="K197" s="241">
        <f>SUM(K195:K196)</f>
        <v>1912680</v>
      </c>
    </row>
    <row r="198" spans="1:11" ht="12.9" customHeight="1" thickBot="1" x14ac:dyDescent="0.3">
      <c r="A198" s="242"/>
      <c r="B198" s="243"/>
      <c r="C198" s="244"/>
      <c r="D198" s="244"/>
      <c r="E198" s="244"/>
      <c r="F198" s="244"/>
      <c r="G198" s="245"/>
      <c r="H198" s="246" t="s">
        <v>605</v>
      </c>
      <c r="I198" s="247"/>
      <c r="J198" s="247"/>
      <c r="K198" s="248">
        <f>ROUND(K197,-1)</f>
        <v>1912680</v>
      </c>
    </row>
    <row r="199" spans="1:11" ht="14.1" customHeight="1" x14ac:dyDescent="0.25">
      <c r="A199" s="215">
        <v>15</v>
      </c>
      <c r="B199" s="651" t="s">
        <v>713</v>
      </c>
      <c r="C199" s="652"/>
      <c r="D199" s="216" t="s">
        <v>850</v>
      </c>
      <c r="E199" s="217"/>
      <c r="F199" s="218"/>
      <c r="G199" s="218"/>
      <c r="H199" s="219"/>
      <c r="I199" s="220"/>
      <c r="J199" s="221"/>
      <c r="K199" s="222"/>
    </row>
    <row r="200" spans="1:11" ht="13.2" customHeight="1" x14ac:dyDescent="0.25">
      <c r="A200" s="223"/>
      <c r="B200" s="224" t="s">
        <v>4</v>
      </c>
      <c r="C200" s="225" t="s">
        <v>755</v>
      </c>
      <c r="D200" s="226"/>
      <c r="E200" s="44"/>
      <c r="F200" s="227"/>
      <c r="G200" s="227"/>
      <c r="H200" s="228" t="s">
        <v>264</v>
      </c>
      <c r="I200" s="252">
        <v>14</v>
      </c>
      <c r="J200" s="60">
        <f>J140</f>
        <v>33700</v>
      </c>
      <c r="K200" s="230">
        <f>I200*J200</f>
        <v>471800</v>
      </c>
    </row>
    <row r="201" spans="1:11" ht="13.2" customHeight="1" x14ac:dyDescent="0.25">
      <c r="A201" s="223"/>
      <c r="B201" s="224" t="s">
        <v>30</v>
      </c>
      <c r="C201" s="225" t="s">
        <v>760</v>
      </c>
      <c r="D201" s="226"/>
      <c r="E201" s="44"/>
      <c r="F201" s="227"/>
      <c r="G201" s="227"/>
      <c r="H201" s="228" t="s">
        <v>203</v>
      </c>
      <c r="I201" s="253">
        <v>1</v>
      </c>
      <c r="J201" s="60">
        <f>'Harga Satuan Dasar mat'!G74</f>
        <v>156000</v>
      </c>
      <c r="K201" s="230">
        <f t="shared" ref="K201:K209" si="18">I201*J201</f>
        <v>156000</v>
      </c>
    </row>
    <row r="202" spans="1:11" ht="13.2" customHeight="1" x14ac:dyDescent="0.25">
      <c r="A202" s="223"/>
      <c r="B202" s="224" t="s">
        <v>57</v>
      </c>
      <c r="C202" s="225" t="s">
        <v>714</v>
      </c>
      <c r="D202" s="226"/>
      <c r="E202" s="44"/>
      <c r="F202" s="227"/>
      <c r="G202" s="227"/>
      <c r="H202" s="228" t="s">
        <v>203</v>
      </c>
      <c r="I202" s="253">
        <v>2</v>
      </c>
      <c r="J202" s="60">
        <f>J142</f>
        <v>14000</v>
      </c>
      <c r="K202" s="230">
        <f t="shared" si="18"/>
        <v>28000</v>
      </c>
    </row>
    <row r="203" spans="1:11" ht="13.2" customHeight="1" x14ac:dyDescent="0.25">
      <c r="A203" s="223"/>
      <c r="B203" s="224" t="s">
        <v>83</v>
      </c>
      <c r="C203" s="225" t="s">
        <v>988</v>
      </c>
      <c r="D203" s="226"/>
      <c r="E203" s="44"/>
      <c r="F203" s="227"/>
      <c r="G203" s="227"/>
      <c r="H203" s="228" t="s">
        <v>203</v>
      </c>
      <c r="I203" s="253">
        <v>1</v>
      </c>
      <c r="J203" s="60">
        <f>J143</f>
        <v>175000</v>
      </c>
      <c r="K203" s="230">
        <f t="shared" si="18"/>
        <v>175000</v>
      </c>
    </row>
    <row r="204" spans="1:11" ht="13.2" customHeight="1" x14ac:dyDescent="0.25">
      <c r="A204" s="223"/>
      <c r="B204" s="224" t="s">
        <v>110</v>
      </c>
      <c r="C204" s="225" t="s">
        <v>756</v>
      </c>
      <c r="D204" s="226"/>
      <c r="E204" s="44"/>
      <c r="F204" s="227"/>
      <c r="G204" s="227"/>
      <c r="H204" s="228" t="s">
        <v>203</v>
      </c>
      <c r="I204" s="253">
        <v>1</v>
      </c>
      <c r="J204" s="60">
        <f>J144</f>
        <v>105000</v>
      </c>
      <c r="K204" s="230">
        <f t="shared" si="18"/>
        <v>105000</v>
      </c>
    </row>
    <row r="205" spans="1:11" ht="13.2" customHeight="1" x14ac:dyDescent="0.25">
      <c r="A205" s="223"/>
      <c r="B205" s="224" t="s">
        <v>137</v>
      </c>
      <c r="C205" s="225" t="s">
        <v>764</v>
      </c>
      <c r="D205" s="226"/>
      <c r="E205" s="44"/>
      <c r="F205" s="227"/>
      <c r="G205" s="227"/>
      <c r="H205" s="228" t="s">
        <v>203</v>
      </c>
      <c r="I205" s="253">
        <v>2</v>
      </c>
      <c r="J205" s="60">
        <f>J190</f>
        <v>112000</v>
      </c>
      <c r="K205" s="230">
        <f t="shared" si="18"/>
        <v>224000</v>
      </c>
    </row>
    <row r="206" spans="1:11" ht="13.2" customHeight="1" x14ac:dyDescent="0.25">
      <c r="A206" s="223"/>
      <c r="B206" s="224" t="s">
        <v>156</v>
      </c>
      <c r="C206" s="225" t="s">
        <v>757</v>
      </c>
      <c r="D206" s="226"/>
      <c r="E206" s="44"/>
      <c r="F206" s="227"/>
      <c r="G206" s="227"/>
      <c r="H206" s="228" t="s">
        <v>203</v>
      </c>
      <c r="I206" s="253">
        <v>4</v>
      </c>
      <c r="J206" s="60">
        <f>J146</f>
        <v>41000</v>
      </c>
      <c r="K206" s="230">
        <f t="shared" si="18"/>
        <v>164000</v>
      </c>
    </row>
    <row r="207" spans="1:11" ht="13.2" customHeight="1" x14ac:dyDescent="0.25">
      <c r="A207" s="223"/>
      <c r="B207" s="224" t="s">
        <v>175</v>
      </c>
      <c r="C207" s="225" t="s">
        <v>1010</v>
      </c>
      <c r="D207" s="226"/>
      <c r="E207" s="44"/>
      <c r="F207" s="227"/>
      <c r="G207" s="227"/>
      <c r="H207" s="228" t="s">
        <v>235</v>
      </c>
      <c r="I207" s="253">
        <v>1</v>
      </c>
      <c r="J207" s="60">
        <f>J147</f>
        <v>140500</v>
      </c>
      <c r="K207" s="230">
        <f t="shared" si="18"/>
        <v>140500</v>
      </c>
    </row>
    <row r="208" spans="1:11" ht="13.2" customHeight="1" x14ac:dyDescent="0.25">
      <c r="A208" s="223"/>
      <c r="B208" s="224" t="s">
        <v>177</v>
      </c>
      <c r="C208" s="225" t="s">
        <v>758</v>
      </c>
      <c r="D208" s="226"/>
      <c r="E208" s="44"/>
      <c r="F208" s="227"/>
      <c r="G208" s="227"/>
      <c r="H208" s="228" t="s">
        <v>203</v>
      </c>
      <c r="I208" s="253">
        <v>1</v>
      </c>
      <c r="J208" s="60">
        <f>J148</f>
        <v>92700</v>
      </c>
      <c r="K208" s="230">
        <f t="shared" si="18"/>
        <v>92700</v>
      </c>
    </row>
    <row r="209" spans="1:11" ht="13.2" customHeight="1" x14ac:dyDescent="0.25">
      <c r="A209" s="223"/>
      <c r="B209" s="224" t="s">
        <v>197</v>
      </c>
      <c r="C209" s="225" t="s">
        <v>759</v>
      </c>
      <c r="D209" s="226"/>
      <c r="E209" s="44"/>
      <c r="F209" s="227"/>
      <c r="G209" s="227"/>
      <c r="H209" s="228" t="s">
        <v>203</v>
      </c>
      <c r="I209" s="253">
        <v>1</v>
      </c>
      <c r="J209" s="60">
        <f>J149</f>
        <v>39000</v>
      </c>
      <c r="K209" s="230">
        <f t="shared" si="18"/>
        <v>39000</v>
      </c>
    </row>
    <row r="210" spans="1:11" ht="12.9" customHeight="1" x14ac:dyDescent="0.25">
      <c r="A210" s="58"/>
      <c r="B210" s="231"/>
      <c r="C210" s="232"/>
      <c r="D210" s="232"/>
      <c r="E210" s="232"/>
      <c r="F210" s="232"/>
      <c r="G210" s="233"/>
      <c r="H210" s="234" t="s">
        <v>715</v>
      </c>
      <c r="I210" s="235"/>
      <c r="J210" s="235"/>
      <c r="K210" s="236">
        <f>SUM(K200:K209)</f>
        <v>1596000</v>
      </c>
    </row>
    <row r="211" spans="1:11" ht="12.9" customHeight="1" x14ac:dyDescent="0.25">
      <c r="A211" s="58"/>
      <c r="B211" s="59"/>
      <c r="C211" s="56"/>
      <c r="D211" s="56"/>
      <c r="E211" s="56"/>
      <c r="F211" s="56"/>
      <c r="G211" s="237"/>
      <c r="H211" s="238" t="s">
        <v>603</v>
      </c>
      <c r="I211" s="239">
        <f>$K$3</f>
        <v>0.15</v>
      </c>
      <c r="J211" s="240"/>
      <c r="K211" s="241">
        <f>I211*K210</f>
        <v>239400</v>
      </c>
    </row>
    <row r="212" spans="1:11" ht="12.9" customHeight="1" x14ac:dyDescent="0.25">
      <c r="A212" s="58"/>
      <c r="B212" s="59"/>
      <c r="C212" s="56"/>
      <c r="D212" s="56"/>
      <c r="E212" s="56"/>
      <c r="F212" s="56"/>
      <c r="G212" s="237"/>
      <c r="H212" s="238" t="s">
        <v>604</v>
      </c>
      <c r="I212" s="226"/>
      <c r="J212" s="226"/>
      <c r="K212" s="241">
        <f>SUM(K210:K211)</f>
        <v>1835400</v>
      </c>
    </row>
    <row r="213" spans="1:11" ht="12.9" customHeight="1" thickBot="1" x14ac:dyDescent="0.3">
      <c r="A213" s="242"/>
      <c r="B213" s="243"/>
      <c r="C213" s="244"/>
      <c r="D213" s="244"/>
      <c r="E213" s="244"/>
      <c r="F213" s="244"/>
      <c r="G213" s="245"/>
      <c r="H213" s="246" t="s">
        <v>605</v>
      </c>
      <c r="I213" s="247"/>
      <c r="J213" s="247"/>
      <c r="K213" s="248">
        <f>ROUND(K212,-1)</f>
        <v>1835400</v>
      </c>
    </row>
    <row r="214" spans="1:11" ht="14.1" customHeight="1" x14ac:dyDescent="0.25">
      <c r="A214" s="215">
        <v>16</v>
      </c>
      <c r="B214" s="651" t="s">
        <v>713</v>
      </c>
      <c r="C214" s="652"/>
      <c r="D214" s="216" t="s">
        <v>851</v>
      </c>
      <c r="E214" s="217"/>
      <c r="F214" s="218"/>
      <c r="G214" s="218"/>
      <c r="H214" s="219"/>
      <c r="I214" s="220"/>
      <c r="J214" s="221"/>
      <c r="K214" s="222"/>
    </row>
    <row r="215" spans="1:11" ht="13.2" customHeight="1" x14ac:dyDescent="0.25">
      <c r="A215" s="223"/>
      <c r="B215" s="224" t="s">
        <v>4</v>
      </c>
      <c r="C215" s="225" t="s">
        <v>755</v>
      </c>
      <c r="D215" s="226"/>
      <c r="E215" s="44"/>
      <c r="F215" s="227"/>
      <c r="G215" s="227"/>
      <c r="H215" s="228" t="s">
        <v>264</v>
      </c>
      <c r="I215" s="252">
        <v>13</v>
      </c>
      <c r="J215" s="60">
        <f>J155</f>
        <v>33700</v>
      </c>
      <c r="K215" s="230">
        <f>I215*J215</f>
        <v>438100</v>
      </c>
    </row>
    <row r="216" spans="1:11" ht="13.2" customHeight="1" x14ac:dyDescent="0.25">
      <c r="A216" s="223"/>
      <c r="B216" s="224" t="s">
        <v>30</v>
      </c>
      <c r="C216" s="225" t="s">
        <v>760</v>
      </c>
      <c r="D216" s="226"/>
      <c r="E216" s="44"/>
      <c r="F216" s="227"/>
      <c r="G216" s="227"/>
      <c r="H216" s="228" t="s">
        <v>203</v>
      </c>
      <c r="I216" s="253">
        <v>1</v>
      </c>
      <c r="J216" s="60">
        <f>'Harga Satuan Dasar mat'!G74</f>
        <v>156000</v>
      </c>
      <c r="K216" s="230">
        <f t="shared" ref="K216:K224" si="19">I216*J216</f>
        <v>156000</v>
      </c>
    </row>
    <row r="217" spans="1:11" ht="13.2" customHeight="1" x14ac:dyDescent="0.25">
      <c r="A217" s="223"/>
      <c r="B217" s="224" t="s">
        <v>57</v>
      </c>
      <c r="C217" s="225" t="s">
        <v>714</v>
      </c>
      <c r="D217" s="226"/>
      <c r="E217" s="44"/>
      <c r="F217" s="227"/>
      <c r="G217" s="227"/>
      <c r="H217" s="228" t="s">
        <v>203</v>
      </c>
      <c r="I217" s="253">
        <v>2</v>
      </c>
      <c r="J217" s="60">
        <f>J157</f>
        <v>14000</v>
      </c>
      <c r="K217" s="230">
        <f t="shared" si="19"/>
        <v>28000</v>
      </c>
    </row>
    <row r="218" spans="1:11" ht="13.2" customHeight="1" x14ac:dyDescent="0.25">
      <c r="A218" s="223"/>
      <c r="B218" s="224" t="s">
        <v>83</v>
      </c>
      <c r="C218" s="225" t="s">
        <v>989</v>
      </c>
      <c r="D218" s="226"/>
      <c r="E218" s="44"/>
      <c r="F218" s="227"/>
      <c r="G218" s="227"/>
      <c r="H218" s="228" t="s">
        <v>203</v>
      </c>
      <c r="I218" s="253">
        <v>1</v>
      </c>
      <c r="J218" s="60">
        <f>J158</f>
        <v>175000</v>
      </c>
      <c r="K218" s="230">
        <f t="shared" si="19"/>
        <v>175000</v>
      </c>
    </row>
    <row r="219" spans="1:11" ht="13.2" customHeight="1" x14ac:dyDescent="0.25">
      <c r="A219" s="223"/>
      <c r="B219" s="224" t="s">
        <v>110</v>
      </c>
      <c r="C219" s="225" t="s">
        <v>756</v>
      </c>
      <c r="D219" s="226"/>
      <c r="E219" s="44"/>
      <c r="F219" s="227"/>
      <c r="G219" s="227"/>
      <c r="H219" s="228" t="s">
        <v>203</v>
      </c>
      <c r="I219" s="253">
        <v>1</v>
      </c>
      <c r="J219" s="60">
        <f>J159</f>
        <v>105000</v>
      </c>
      <c r="K219" s="230">
        <f t="shared" si="19"/>
        <v>105000</v>
      </c>
    </row>
    <row r="220" spans="1:11" ht="13.2" customHeight="1" x14ac:dyDescent="0.25">
      <c r="A220" s="223"/>
      <c r="B220" s="224" t="s">
        <v>137</v>
      </c>
      <c r="C220" s="225" t="s">
        <v>764</v>
      </c>
      <c r="D220" s="226"/>
      <c r="E220" s="44"/>
      <c r="F220" s="227"/>
      <c r="G220" s="227"/>
      <c r="H220" s="228" t="s">
        <v>203</v>
      </c>
      <c r="I220" s="253">
        <v>2</v>
      </c>
      <c r="J220" s="60">
        <f>J205</f>
        <v>112000</v>
      </c>
      <c r="K220" s="230">
        <f t="shared" si="19"/>
        <v>224000</v>
      </c>
    </row>
    <row r="221" spans="1:11" ht="13.2" customHeight="1" x14ac:dyDescent="0.25">
      <c r="A221" s="223"/>
      <c r="B221" s="224" t="s">
        <v>156</v>
      </c>
      <c r="C221" s="225" t="s">
        <v>757</v>
      </c>
      <c r="D221" s="226"/>
      <c r="E221" s="44"/>
      <c r="F221" s="227"/>
      <c r="G221" s="227"/>
      <c r="H221" s="228" t="s">
        <v>203</v>
      </c>
      <c r="I221" s="253">
        <v>4</v>
      </c>
      <c r="J221" s="60">
        <f>J161</f>
        <v>41000</v>
      </c>
      <c r="K221" s="230">
        <f t="shared" si="19"/>
        <v>164000</v>
      </c>
    </row>
    <row r="222" spans="1:11" ht="13.2" customHeight="1" x14ac:dyDescent="0.25">
      <c r="A222" s="223"/>
      <c r="B222" s="224" t="s">
        <v>175</v>
      </c>
      <c r="C222" s="225" t="s">
        <v>1010</v>
      </c>
      <c r="D222" s="226"/>
      <c r="E222" s="44"/>
      <c r="F222" s="227"/>
      <c r="G222" s="227"/>
      <c r="H222" s="228" t="s">
        <v>235</v>
      </c>
      <c r="I222" s="253">
        <v>1</v>
      </c>
      <c r="J222" s="60">
        <f>J162</f>
        <v>140500</v>
      </c>
      <c r="K222" s="230">
        <f t="shared" si="19"/>
        <v>140500</v>
      </c>
    </row>
    <row r="223" spans="1:11" ht="13.2" customHeight="1" x14ac:dyDescent="0.25">
      <c r="A223" s="223"/>
      <c r="B223" s="224" t="s">
        <v>177</v>
      </c>
      <c r="C223" s="225" t="s">
        <v>758</v>
      </c>
      <c r="D223" s="226"/>
      <c r="E223" s="44"/>
      <c r="F223" s="227"/>
      <c r="G223" s="227"/>
      <c r="H223" s="228" t="s">
        <v>203</v>
      </c>
      <c r="I223" s="253">
        <v>1</v>
      </c>
      <c r="J223" s="60">
        <f>J163</f>
        <v>92700</v>
      </c>
      <c r="K223" s="230">
        <f t="shared" si="19"/>
        <v>92700</v>
      </c>
    </row>
    <row r="224" spans="1:11" ht="13.2" customHeight="1" x14ac:dyDescent="0.25">
      <c r="A224" s="223"/>
      <c r="B224" s="224" t="s">
        <v>197</v>
      </c>
      <c r="C224" s="225" t="s">
        <v>759</v>
      </c>
      <c r="D224" s="226"/>
      <c r="E224" s="44"/>
      <c r="F224" s="227"/>
      <c r="G224" s="227"/>
      <c r="H224" s="228" t="s">
        <v>203</v>
      </c>
      <c r="I224" s="253">
        <v>1</v>
      </c>
      <c r="J224" s="60">
        <f>J164</f>
        <v>39000</v>
      </c>
      <c r="K224" s="230">
        <f t="shared" si="19"/>
        <v>39000</v>
      </c>
    </row>
    <row r="225" spans="1:11" ht="12.9" customHeight="1" x14ac:dyDescent="0.25">
      <c r="A225" s="58"/>
      <c r="B225" s="231"/>
      <c r="C225" s="232"/>
      <c r="D225" s="232"/>
      <c r="E225" s="232"/>
      <c r="F225" s="232"/>
      <c r="G225" s="233"/>
      <c r="H225" s="234" t="s">
        <v>715</v>
      </c>
      <c r="I225" s="235"/>
      <c r="J225" s="235"/>
      <c r="K225" s="236">
        <f>SUM(K215:K224)</f>
        <v>1562300</v>
      </c>
    </row>
    <row r="226" spans="1:11" ht="12.9" customHeight="1" x14ac:dyDescent="0.25">
      <c r="A226" s="58"/>
      <c r="B226" s="59"/>
      <c r="C226" s="56"/>
      <c r="D226" s="56"/>
      <c r="E226" s="56"/>
      <c r="F226" s="56"/>
      <c r="G226" s="237"/>
      <c r="H226" s="238" t="s">
        <v>603</v>
      </c>
      <c r="I226" s="239">
        <f>$K$3</f>
        <v>0.15</v>
      </c>
      <c r="J226" s="240"/>
      <c r="K226" s="241">
        <f>I226*K225</f>
        <v>234345</v>
      </c>
    </row>
    <row r="227" spans="1:11" ht="12.9" customHeight="1" x14ac:dyDescent="0.25">
      <c r="A227" s="58"/>
      <c r="B227" s="59"/>
      <c r="C227" s="56"/>
      <c r="D227" s="56"/>
      <c r="E227" s="56"/>
      <c r="F227" s="56"/>
      <c r="G227" s="237"/>
      <c r="H227" s="238" t="s">
        <v>604</v>
      </c>
      <c r="I227" s="226"/>
      <c r="J227" s="226"/>
      <c r="K227" s="241">
        <f>SUM(K225:K226)</f>
        <v>1796645</v>
      </c>
    </row>
    <row r="228" spans="1:11" ht="12.9" customHeight="1" thickBot="1" x14ac:dyDescent="0.3">
      <c r="A228" s="242"/>
      <c r="B228" s="243"/>
      <c r="C228" s="244"/>
      <c r="D228" s="244"/>
      <c r="E228" s="244"/>
      <c r="F228" s="244"/>
      <c r="G228" s="245"/>
      <c r="H228" s="246" t="s">
        <v>605</v>
      </c>
      <c r="I228" s="247"/>
      <c r="J228" s="247"/>
      <c r="K228" s="248">
        <f>ROUND(K227,-1)</f>
        <v>1796650</v>
      </c>
    </row>
    <row r="229" spans="1:11" ht="14.1" customHeight="1" x14ac:dyDescent="0.25">
      <c r="A229" s="215">
        <v>17</v>
      </c>
      <c r="B229" s="651" t="s">
        <v>713</v>
      </c>
      <c r="C229" s="652"/>
      <c r="D229" s="216" t="s">
        <v>852</v>
      </c>
      <c r="E229" s="217"/>
      <c r="F229" s="218"/>
      <c r="G229" s="218"/>
      <c r="H229" s="219"/>
      <c r="I229" s="220"/>
      <c r="J229" s="221"/>
      <c r="K229" s="222"/>
    </row>
    <row r="230" spans="1:11" ht="13.2" customHeight="1" x14ac:dyDescent="0.25">
      <c r="A230" s="223"/>
      <c r="B230" s="224" t="s">
        <v>4</v>
      </c>
      <c r="C230" s="225" t="s">
        <v>755</v>
      </c>
      <c r="D230" s="226"/>
      <c r="E230" s="44"/>
      <c r="F230" s="227"/>
      <c r="G230" s="227"/>
      <c r="H230" s="228" t="s">
        <v>264</v>
      </c>
      <c r="I230" s="252">
        <v>13</v>
      </c>
      <c r="J230" s="60">
        <f>J155</f>
        <v>33700</v>
      </c>
      <c r="K230" s="230">
        <f>I230*J230</f>
        <v>438100</v>
      </c>
    </row>
    <row r="231" spans="1:11" ht="13.2" customHeight="1" x14ac:dyDescent="0.25">
      <c r="A231" s="223"/>
      <c r="B231" s="224" t="s">
        <v>30</v>
      </c>
      <c r="C231" s="225" t="s">
        <v>762</v>
      </c>
      <c r="D231" s="226"/>
      <c r="E231" s="44"/>
      <c r="F231" s="227"/>
      <c r="G231" s="227"/>
      <c r="H231" s="228" t="s">
        <v>203</v>
      </c>
      <c r="I231" s="253">
        <v>1</v>
      </c>
      <c r="J231" s="60">
        <f>'Harga Satuan Dasar mat'!G72</f>
        <v>138500</v>
      </c>
      <c r="K231" s="230">
        <f t="shared" ref="K231:K239" si="20">I231*J231</f>
        <v>138500</v>
      </c>
    </row>
    <row r="232" spans="1:11" ht="13.2" customHeight="1" x14ac:dyDescent="0.25">
      <c r="A232" s="223"/>
      <c r="B232" s="224" t="s">
        <v>57</v>
      </c>
      <c r="C232" s="225" t="s">
        <v>714</v>
      </c>
      <c r="D232" s="226"/>
      <c r="E232" s="44"/>
      <c r="F232" s="227"/>
      <c r="G232" s="227"/>
      <c r="H232" s="228" t="s">
        <v>203</v>
      </c>
      <c r="I232" s="253">
        <v>2</v>
      </c>
      <c r="J232" s="60">
        <f>J157</f>
        <v>14000</v>
      </c>
      <c r="K232" s="230">
        <f t="shared" si="20"/>
        <v>28000</v>
      </c>
    </row>
    <row r="233" spans="1:11" ht="13.2" customHeight="1" x14ac:dyDescent="0.25">
      <c r="A233" s="223"/>
      <c r="B233" s="224" t="s">
        <v>83</v>
      </c>
      <c r="C233" s="225" t="s">
        <v>989</v>
      </c>
      <c r="D233" s="226"/>
      <c r="E233" s="44"/>
      <c r="F233" s="227"/>
      <c r="G233" s="227"/>
      <c r="H233" s="228" t="s">
        <v>203</v>
      </c>
      <c r="I233" s="253">
        <v>1</v>
      </c>
      <c r="J233" s="60">
        <f>J158</f>
        <v>175000</v>
      </c>
      <c r="K233" s="230">
        <f t="shared" si="20"/>
        <v>175000</v>
      </c>
    </row>
    <row r="234" spans="1:11" ht="13.2" customHeight="1" x14ac:dyDescent="0.25">
      <c r="A234" s="223"/>
      <c r="B234" s="224" t="s">
        <v>110</v>
      </c>
      <c r="C234" s="225" t="s">
        <v>756</v>
      </c>
      <c r="D234" s="226"/>
      <c r="E234" s="44"/>
      <c r="F234" s="227"/>
      <c r="G234" s="227"/>
      <c r="H234" s="228" t="s">
        <v>203</v>
      </c>
      <c r="I234" s="253">
        <v>1</v>
      </c>
      <c r="J234" s="60">
        <f>J159</f>
        <v>105000</v>
      </c>
      <c r="K234" s="230">
        <f t="shared" si="20"/>
        <v>105000</v>
      </c>
    </row>
    <row r="235" spans="1:11" ht="13.2" customHeight="1" x14ac:dyDescent="0.25">
      <c r="A235" s="223"/>
      <c r="B235" s="224" t="s">
        <v>137</v>
      </c>
      <c r="C235" s="225" t="s">
        <v>764</v>
      </c>
      <c r="D235" s="226"/>
      <c r="E235" s="44"/>
      <c r="F235" s="227"/>
      <c r="G235" s="227"/>
      <c r="H235" s="228" t="s">
        <v>203</v>
      </c>
      <c r="I235" s="253">
        <v>2</v>
      </c>
      <c r="J235" s="60">
        <f>J220</f>
        <v>112000</v>
      </c>
      <c r="K235" s="230">
        <f t="shared" si="20"/>
        <v>224000</v>
      </c>
    </row>
    <row r="236" spans="1:11" ht="13.2" customHeight="1" x14ac:dyDescent="0.25">
      <c r="A236" s="223"/>
      <c r="B236" s="224" t="s">
        <v>156</v>
      </c>
      <c r="C236" s="225" t="s">
        <v>757</v>
      </c>
      <c r="D236" s="226"/>
      <c r="E236" s="44"/>
      <c r="F236" s="227"/>
      <c r="G236" s="227"/>
      <c r="H236" s="228" t="s">
        <v>203</v>
      </c>
      <c r="I236" s="253">
        <v>4</v>
      </c>
      <c r="J236" s="60">
        <f>J161</f>
        <v>41000</v>
      </c>
      <c r="K236" s="230">
        <f t="shared" si="20"/>
        <v>164000</v>
      </c>
    </row>
    <row r="237" spans="1:11" ht="13.2" customHeight="1" x14ac:dyDescent="0.25">
      <c r="A237" s="223"/>
      <c r="B237" s="224" t="s">
        <v>175</v>
      </c>
      <c r="C237" s="225" t="s">
        <v>1010</v>
      </c>
      <c r="D237" s="226"/>
      <c r="E237" s="44"/>
      <c r="F237" s="227"/>
      <c r="G237" s="227"/>
      <c r="H237" s="228" t="s">
        <v>235</v>
      </c>
      <c r="I237" s="253">
        <v>1</v>
      </c>
      <c r="J237" s="60">
        <f>J162</f>
        <v>140500</v>
      </c>
      <c r="K237" s="230">
        <f t="shared" si="20"/>
        <v>140500</v>
      </c>
    </row>
    <row r="238" spans="1:11" ht="13.2" customHeight="1" x14ac:dyDescent="0.25">
      <c r="A238" s="223"/>
      <c r="B238" s="224" t="s">
        <v>177</v>
      </c>
      <c r="C238" s="225" t="s">
        <v>758</v>
      </c>
      <c r="D238" s="226"/>
      <c r="E238" s="44"/>
      <c r="F238" s="227"/>
      <c r="G238" s="227"/>
      <c r="H238" s="228" t="s">
        <v>203</v>
      </c>
      <c r="I238" s="253">
        <v>1</v>
      </c>
      <c r="J238" s="60">
        <f>J163</f>
        <v>92700</v>
      </c>
      <c r="K238" s="230">
        <f t="shared" si="20"/>
        <v>92700</v>
      </c>
    </row>
    <row r="239" spans="1:11" ht="13.2" customHeight="1" x14ac:dyDescent="0.25">
      <c r="A239" s="223"/>
      <c r="B239" s="224" t="s">
        <v>197</v>
      </c>
      <c r="C239" s="225" t="s">
        <v>759</v>
      </c>
      <c r="D239" s="226"/>
      <c r="E239" s="44"/>
      <c r="F239" s="227"/>
      <c r="G239" s="227"/>
      <c r="H239" s="228" t="s">
        <v>203</v>
      </c>
      <c r="I239" s="253">
        <v>1</v>
      </c>
      <c r="J239" s="60">
        <f>J164</f>
        <v>39000</v>
      </c>
      <c r="K239" s="230">
        <f t="shared" si="20"/>
        <v>39000</v>
      </c>
    </row>
    <row r="240" spans="1:11" ht="12.9" customHeight="1" x14ac:dyDescent="0.25">
      <c r="A240" s="58"/>
      <c r="B240" s="231"/>
      <c r="C240" s="232"/>
      <c r="D240" s="232"/>
      <c r="E240" s="232"/>
      <c r="F240" s="232"/>
      <c r="G240" s="233"/>
      <c r="H240" s="234" t="s">
        <v>715</v>
      </c>
      <c r="I240" s="235"/>
      <c r="J240" s="235"/>
      <c r="K240" s="236">
        <f>SUM(K230:K239)</f>
        <v>1544800</v>
      </c>
    </row>
    <row r="241" spans="1:11" ht="12.9" customHeight="1" x14ac:dyDescent="0.25">
      <c r="A241" s="58"/>
      <c r="B241" s="59"/>
      <c r="C241" s="56"/>
      <c r="D241" s="56"/>
      <c r="E241" s="56"/>
      <c r="F241" s="56"/>
      <c r="G241" s="237"/>
      <c r="H241" s="238" t="s">
        <v>603</v>
      </c>
      <c r="I241" s="239">
        <f>$K$3</f>
        <v>0.15</v>
      </c>
      <c r="J241" s="240"/>
      <c r="K241" s="241">
        <f>I241*K240</f>
        <v>231720</v>
      </c>
    </row>
    <row r="242" spans="1:11" ht="12.9" customHeight="1" x14ac:dyDescent="0.25">
      <c r="A242" s="58"/>
      <c r="B242" s="59"/>
      <c r="C242" s="56"/>
      <c r="D242" s="56"/>
      <c r="E242" s="56"/>
      <c r="F242" s="56"/>
      <c r="G242" s="237"/>
      <c r="H242" s="238" t="s">
        <v>604</v>
      </c>
      <c r="I242" s="226"/>
      <c r="J242" s="226"/>
      <c r="K242" s="241">
        <f>SUM(K240:K241)</f>
        <v>1776520</v>
      </c>
    </row>
    <row r="243" spans="1:11" ht="12.9" customHeight="1" thickBot="1" x14ac:dyDescent="0.3">
      <c r="A243" s="242"/>
      <c r="B243" s="243"/>
      <c r="C243" s="244"/>
      <c r="D243" s="244"/>
      <c r="E243" s="244"/>
      <c r="F243" s="244"/>
      <c r="G243" s="245"/>
      <c r="H243" s="246" t="s">
        <v>605</v>
      </c>
      <c r="I243" s="247"/>
      <c r="J243" s="247"/>
      <c r="K243" s="248">
        <f>ROUND(K242,-1)</f>
        <v>1776520</v>
      </c>
    </row>
    <row r="244" spans="1:11" ht="14.1" customHeight="1" x14ac:dyDescent="0.25">
      <c r="A244" s="215">
        <v>18</v>
      </c>
      <c r="B244" s="651" t="s">
        <v>713</v>
      </c>
      <c r="C244" s="652"/>
      <c r="D244" s="216" t="s">
        <v>853</v>
      </c>
      <c r="E244" s="217"/>
      <c r="F244" s="218"/>
      <c r="G244" s="218"/>
      <c r="H244" s="219"/>
      <c r="I244" s="220"/>
      <c r="J244" s="221"/>
      <c r="K244" s="222"/>
    </row>
    <row r="245" spans="1:11" ht="13.2" customHeight="1" x14ac:dyDescent="0.25">
      <c r="A245" s="223"/>
      <c r="B245" s="224" t="s">
        <v>4</v>
      </c>
      <c r="C245" s="225" t="s">
        <v>755</v>
      </c>
      <c r="D245" s="226"/>
      <c r="E245" s="44"/>
      <c r="F245" s="227"/>
      <c r="G245" s="227"/>
      <c r="H245" s="228" t="s">
        <v>264</v>
      </c>
      <c r="I245" s="252">
        <v>12</v>
      </c>
      <c r="J245" s="60">
        <f>J230</f>
        <v>33700</v>
      </c>
      <c r="K245" s="230">
        <f>I245*J245</f>
        <v>404400</v>
      </c>
    </row>
    <row r="246" spans="1:11" ht="13.2" customHeight="1" x14ac:dyDescent="0.25">
      <c r="A246" s="223"/>
      <c r="B246" s="224" t="s">
        <v>30</v>
      </c>
      <c r="C246" s="225" t="s">
        <v>763</v>
      </c>
      <c r="D246" s="226"/>
      <c r="E246" s="44"/>
      <c r="F246" s="227"/>
      <c r="G246" s="227"/>
      <c r="H246" s="228" t="s">
        <v>203</v>
      </c>
      <c r="I246" s="253">
        <v>1</v>
      </c>
      <c r="J246" s="60">
        <f>'Harga Satuan Dasar mat'!G70</f>
        <v>121500</v>
      </c>
      <c r="K246" s="230">
        <f t="shared" ref="K246:K254" si="21">I246*J246</f>
        <v>121500</v>
      </c>
    </row>
    <row r="247" spans="1:11" ht="13.2" customHeight="1" x14ac:dyDescent="0.25">
      <c r="A247" s="223"/>
      <c r="B247" s="224" t="s">
        <v>57</v>
      </c>
      <c r="C247" s="225" t="s">
        <v>714</v>
      </c>
      <c r="D247" s="226"/>
      <c r="E247" s="44"/>
      <c r="F247" s="227"/>
      <c r="G247" s="227"/>
      <c r="H247" s="228" t="s">
        <v>203</v>
      </c>
      <c r="I247" s="253">
        <v>2</v>
      </c>
      <c r="J247" s="60">
        <f>J172</f>
        <v>14000</v>
      </c>
      <c r="K247" s="230">
        <f t="shared" si="21"/>
        <v>28000</v>
      </c>
    </row>
    <row r="248" spans="1:11" ht="13.2" customHeight="1" x14ac:dyDescent="0.25">
      <c r="A248" s="223"/>
      <c r="B248" s="224" t="s">
        <v>83</v>
      </c>
      <c r="C248" s="225" t="s">
        <v>842</v>
      </c>
      <c r="D248" s="226"/>
      <c r="E248" s="44"/>
      <c r="F248" s="227"/>
      <c r="G248" s="227"/>
      <c r="H248" s="228" t="s">
        <v>203</v>
      </c>
      <c r="I248" s="253">
        <v>1</v>
      </c>
      <c r="J248" s="60">
        <f>'Harga Satuan Dasar mat'!G389</f>
        <v>100000</v>
      </c>
      <c r="K248" s="230">
        <f t="shared" si="21"/>
        <v>100000</v>
      </c>
    </row>
    <row r="249" spans="1:11" ht="13.2" customHeight="1" x14ac:dyDescent="0.25">
      <c r="A249" s="223"/>
      <c r="B249" s="224" t="s">
        <v>110</v>
      </c>
      <c r="C249" s="225" t="s">
        <v>856</v>
      </c>
      <c r="D249" s="226"/>
      <c r="E249" s="44"/>
      <c r="F249" s="227"/>
      <c r="G249" s="227"/>
      <c r="H249" s="228" t="s">
        <v>203</v>
      </c>
      <c r="I249" s="253">
        <v>1</v>
      </c>
      <c r="J249" s="60">
        <f>'Harga Satuan Dasar mat'!G413</f>
        <v>85000</v>
      </c>
      <c r="K249" s="230">
        <f t="shared" si="21"/>
        <v>85000</v>
      </c>
    </row>
    <row r="250" spans="1:11" ht="13.2" customHeight="1" x14ac:dyDescent="0.25">
      <c r="A250" s="223"/>
      <c r="B250" s="224" t="s">
        <v>137</v>
      </c>
      <c r="C250" s="225" t="s">
        <v>764</v>
      </c>
      <c r="D250" s="226"/>
      <c r="E250" s="44"/>
      <c r="F250" s="227"/>
      <c r="G250" s="227"/>
      <c r="H250" s="228" t="s">
        <v>203</v>
      </c>
      <c r="I250" s="253">
        <v>2</v>
      </c>
      <c r="J250" s="60">
        <f>J235</f>
        <v>112000</v>
      </c>
      <c r="K250" s="230">
        <f t="shared" si="21"/>
        <v>224000</v>
      </c>
    </row>
    <row r="251" spans="1:11" ht="13.2" customHeight="1" x14ac:dyDescent="0.25">
      <c r="A251" s="223"/>
      <c r="B251" s="224" t="s">
        <v>156</v>
      </c>
      <c r="C251" s="225" t="s">
        <v>757</v>
      </c>
      <c r="D251" s="226"/>
      <c r="E251" s="44"/>
      <c r="F251" s="227"/>
      <c r="G251" s="227"/>
      <c r="H251" s="228" t="s">
        <v>203</v>
      </c>
      <c r="I251" s="253">
        <v>4</v>
      </c>
      <c r="J251" s="60">
        <f>J176</f>
        <v>41000</v>
      </c>
      <c r="K251" s="230">
        <f t="shared" si="21"/>
        <v>164000</v>
      </c>
    </row>
    <row r="252" spans="1:11" ht="13.2" customHeight="1" x14ac:dyDescent="0.25">
      <c r="A252" s="223"/>
      <c r="B252" s="224" t="s">
        <v>175</v>
      </c>
      <c r="C252" s="225" t="s">
        <v>1012</v>
      </c>
      <c r="D252" s="226"/>
      <c r="E252" s="44"/>
      <c r="F252" s="227"/>
      <c r="G252" s="227"/>
      <c r="H252" s="228" t="s">
        <v>235</v>
      </c>
      <c r="I252" s="253">
        <v>1</v>
      </c>
      <c r="J252" s="60">
        <f>'Harga Satuan Dasar mat'!G404</f>
        <v>125000</v>
      </c>
      <c r="K252" s="230">
        <f t="shared" si="21"/>
        <v>125000</v>
      </c>
    </row>
    <row r="253" spans="1:11" ht="13.2" customHeight="1" x14ac:dyDescent="0.25">
      <c r="A253" s="223"/>
      <c r="B253" s="224" t="s">
        <v>177</v>
      </c>
      <c r="C253" s="225" t="s">
        <v>758</v>
      </c>
      <c r="D253" s="226"/>
      <c r="E253" s="44"/>
      <c r="F253" s="227"/>
      <c r="G253" s="227"/>
      <c r="H253" s="228" t="s">
        <v>203</v>
      </c>
      <c r="I253" s="253">
        <v>1</v>
      </c>
      <c r="J253" s="60">
        <f>J178</f>
        <v>92700</v>
      </c>
      <c r="K253" s="230">
        <f t="shared" si="21"/>
        <v>92700</v>
      </c>
    </row>
    <row r="254" spans="1:11" ht="13.2" customHeight="1" x14ac:dyDescent="0.25">
      <c r="A254" s="223"/>
      <c r="B254" s="224" t="s">
        <v>197</v>
      </c>
      <c r="C254" s="225" t="s">
        <v>759</v>
      </c>
      <c r="D254" s="226"/>
      <c r="E254" s="44"/>
      <c r="F254" s="227"/>
      <c r="G254" s="227"/>
      <c r="H254" s="228" t="s">
        <v>203</v>
      </c>
      <c r="I254" s="253">
        <v>1</v>
      </c>
      <c r="J254" s="60">
        <f>J179</f>
        <v>39000</v>
      </c>
      <c r="K254" s="230">
        <f t="shared" si="21"/>
        <v>39000</v>
      </c>
    </row>
    <row r="255" spans="1:11" ht="12.9" customHeight="1" x14ac:dyDescent="0.25">
      <c r="A255" s="58"/>
      <c r="B255" s="231"/>
      <c r="C255" s="232"/>
      <c r="D255" s="232"/>
      <c r="E255" s="232"/>
      <c r="F255" s="232"/>
      <c r="G255" s="233"/>
      <c r="H255" s="234" t="s">
        <v>715</v>
      </c>
      <c r="I255" s="235"/>
      <c r="J255" s="235"/>
      <c r="K255" s="236">
        <f>SUM(K245:K254)</f>
        <v>1383600</v>
      </c>
    </row>
    <row r="256" spans="1:11" ht="12.9" customHeight="1" x14ac:dyDescent="0.25">
      <c r="A256" s="58"/>
      <c r="B256" s="59"/>
      <c r="C256" s="56"/>
      <c r="D256" s="56"/>
      <c r="E256" s="56"/>
      <c r="F256" s="56"/>
      <c r="G256" s="237"/>
      <c r="H256" s="238" t="s">
        <v>603</v>
      </c>
      <c r="I256" s="239">
        <f>$K$3</f>
        <v>0.15</v>
      </c>
      <c r="J256" s="240"/>
      <c r="K256" s="241">
        <f>I256*K255</f>
        <v>207540</v>
      </c>
    </row>
    <row r="257" spans="1:11" ht="12.9" customHeight="1" x14ac:dyDescent="0.25">
      <c r="A257" s="58"/>
      <c r="B257" s="59"/>
      <c r="C257" s="56"/>
      <c r="D257" s="56"/>
      <c r="E257" s="56"/>
      <c r="F257" s="56"/>
      <c r="G257" s="237"/>
      <c r="H257" s="238" t="s">
        <v>604</v>
      </c>
      <c r="I257" s="226"/>
      <c r="J257" s="226"/>
      <c r="K257" s="241">
        <f>SUM(K255:K256)</f>
        <v>1591140</v>
      </c>
    </row>
    <row r="258" spans="1:11" ht="12.9" customHeight="1" thickBot="1" x14ac:dyDescent="0.3">
      <c r="A258" s="242"/>
      <c r="B258" s="243"/>
      <c r="C258" s="244"/>
      <c r="D258" s="244"/>
      <c r="E258" s="244"/>
      <c r="F258" s="244"/>
      <c r="G258" s="245"/>
      <c r="H258" s="246" t="s">
        <v>605</v>
      </c>
      <c r="I258" s="247"/>
      <c r="J258" s="247"/>
      <c r="K258" s="248">
        <f>ROUND(K257,-1)</f>
        <v>1591140</v>
      </c>
    </row>
    <row r="259" spans="1:11" ht="14.1" customHeight="1" x14ac:dyDescent="0.25">
      <c r="A259" s="215">
        <v>19</v>
      </c>
      <c r="B259" s="651" t="s">
        <v>713</v>
      </c>
      <c r="C259" s="652"/>
      <c r="D259" s="216" t="s">
        <v>854</v>
      </c>
      <c r="E259" s="217"/>
      <c r="F259" s="218"/>
      <c r="G259" s="218"/>
      <c r="H259" s="219"/>
      <c r="I259" s="220"/>
      <c r="J259" s="221"/>
      <c r="K259" s="222"/>
    </row>
    <row r="260" spans="1:11" ht="13.2" customHeight="1" x14ac:dyDescent="0.25">
      <c r="A260" s="223"/>
      <c r="B260" s="224" t="s">
        <v>4</v>
      </c>
      <c r="C260" s="225" t="s">
        <v>755</v>
      </c>
      <c r="D260" s="226"/>
      <c r="E260" s="44"/>
      <c r="F260" s="227"/>
      <c r="G260" s="227"/>
      <c r="H260" s="228" t="s">
        <v>264</v>
      </c>
      <c r="I260" s="252">
        <v>10</v>
      </c>
      <c r="J260" s="60">
        <f>J245</f>
        <v>33700</v>
      </c>
      <c r="K260" s="230">
        <f>I260*J260</f>
        <v>337000</v>
      </c>
    </row>
    <row r="261" spans="1:11" ht="13.2" customHeight="1" x14ac:dyDescent="0.25">
      <c r="A261" s="223"/>
      <c r="B261" s="224" t="s">
        <v>30</v>
      </c>
      <c r="C261" s="225" t="s">
        <v>763</v>
      </c>
      <c r="D261" s="226"/>
      <c r="E261" s="44"/>
      <c r="F261" s="227"/>
      <c r="G261" s="227"/>
      <c r="H261" s="228" t="s">
        <v>203</v>
      </c>
      <c r="I261" s="253">
        <v>1</v>
      </c>
      <c r="J261" s="60">
        <f t="shared" ref="J261:J269" si="22">J246</f>
        <v>121500</v>
      </c>
      <c r="K261" s="230">
        <f t="shared" ref="K261:K269" si="23">I261*J261</f>
        <v>121500</v>
      </c>
    </row>
    <row r="262" spans="1:11" ht="13.2" customHeight="1" x14ac:dyDescent="0.25">
      <c r="A262" s="223"/>
      <c r="B262" s="224" t="s">
        <v>57</v>
      </c>
      <c r="C262" s="225" t="s">
        <v>714</v>
      </c>
      <c r="D262" s="226"/>
      <c r="E262" s="44"/>
      <c r="F262" s="227"/>
      <c r="G262" s="227"/>
      <c r="H262" s="228" t="s">
        <v>203</v>
      </c>
      <c r="I262" s="253">
        <v>2</v>
      </c>
      <c r="J262" s="60">
        <f t="shared" si="22"/>
        <v>14000</v>
      </c>
      <c r="K262" s="230">
        <f t="shared" si="23"/>
        <v>28000</v>
      </c>
    </row>
    <row r="263" spans="1:11" ht="13.2" customHeight="1" x14ac:dyDescent="0.25">
      <c r="A263" s="223"/>
      <c r="B263" s="224" t="s">
        <v>83</v>
      </c>
      <c r="C263" s="225" t="s">
        <v>842</v>
      </c>
      <c r="D263" s="226"/>
      <c r="E263" s="44"/>
      <c r="F263" s="227"/>
      <c r="G263" s="227"/>
      <c r="H263" s="228" t="s">
        <v>203</v>
      </c>
      <c r="I263" s="253">
        <v>1</v>
      </c>
      <c r="J263" s="60">
        <f t="shared" si="22"/>
        <v>100000</v>
      </c>
      <c r="K263" s="230">
        <f t="shared" si="23"/>
        <v>100000</v>
      </c>
    </row>
    <row r="264" spans="1:11" ht="13.2" customHeight="1" x14ac:dyDescent="0.25">
      <c r="A264" s="223"/>
      <c r="B264" s="224" t="s">
        <v>110</v>
      </c>
      <c r="C264" s="225" t="s">
        <v>856</v>
      </c>
      <c r="D264" s="226"/>
      <c r="E264" s="44"/>
      <c r="F264" s="227"/>
      <c r="G264" s="227"/>
      <c r="H264" s="228" t="s">
        <v>203</v>
      </c>
      <c r="I264" s="253">
        <v>1</v>
      </c>
      <c r="J264" s="60">
        <f t="shared" si="22"/>
        <v>85000</v>
      </c>
      <c r="K264" s="230">
        <f t="shared" si="23"/>
        <v>85000</v>
      </c>
    </row>
    <row r="265" spans="1:11" ht="13.2" customHeight="1" x14ac:dyDescent="0.25">
      <c r="A265" s="223"/>
      <c r="B265" s="224" t="s">
        <v>137</v>
      </c>
      <c r="C265" s="225" t="s">
        <v>764</v>
      </c>
      <c r="D265" s="226"/>
      <c r="E265" s="44"/>
      <c r="F265" s="227"/>
      <c r="G265" s="227"/>
      <c r="H265" s="228" t="s">
        <v>203</v>
      </c>
      <c r="I265" s="253">
        <v>2</v>
      </c>
      <c r="J265" s="60">
        <f t="shared" si="22"/>
        <v>112000</v>
      </c>
      <c r="K265" s="230">
        <f t="shared" si="23"/>
        <v>224000</v>
      </c>
    </row>
    <row r="266" spans="1:11" ht="13.2" customHeight="1" x14ac:dyDescent="0.25">
      <c r="A266" s="223"/>
      <c r="B266" s="224" t="s">
        <v>156</v>
      </c>
      <c r="C266" s="225" t="s">
        <v>757</v>
      </c>
      <c r="D266" s="226"/>
      <c r="E266" s="44"/>
      <c r="F266" s="227"/>
      <c r="G266" s="227"/>
      <c r="H266" s="228" t="s">
        <v>203</v>
      </c>
      <c r="I266" s="253">
        <v>4</v>
      </c>
      <c r="J266" s="60">
        <f t="shared" si="22"/>
        <v>41000</v>
      </c>
      <c r="K266" s="230">
        <f t="shared" si="23"/>
        <v>164000</v>
      </c>
    </row>
    <row r="267" spans="1:11" ht="13.2" customHeight="1" x14ac:dyDescent="0.25">
      <c r="A267" s="223"/>
      <c r="B267" s="224" t="s">
        <v>175</v>
      </c>
      <c r="C267" s="225" t="s">
        <v>1012</v>
      </c>
      <c r="D267" s="226"/>
      <c r="E267" s="44"/>
      <c r="F267" s="227"/>
      <c r="G267" s="227"/>
      <c r="H267" s="228" t="s">
        <v>235</v>
      </c>
      <c r="I267" s="253">
        <v>1</v>
      </c>
      <c r="J267" s="60">
        <f t="shared" si="22"/>
        <v>125000</v>
      </c>
      <c r="K267" s="230">
        <f t="shared" si="23"/>
        <v>125000</v>
      </c>
    </row>
    <row r="268" spans="1:11" ht="13.2" customHeight="1" x14ac:dyDescent="0.25">
      <c r="A268" s="223"/>
      <c r="B268" s="224" t="s">
        <v>177</v>
      </c>
      <c r="C268" s="225" t="s">
        <v>758</v>
      </c>
      <c r="D268" s="226"/>
      <c r="E268" s="44"/>
      <c r="F268" s="227"/>
      <c r="G268" s="227"/>
      <c r="H268" s="228" t="s">
        <v>203</v>
      </c>
      <c r="I268" s="253">
        <v>1</v>
      </c>
      <c r="J268" s="60">
        <f t="shared" si="22"/>
        <v>92700</v>
      </c>
      <c r="K268" s="230">
        <f t="shared" si="23"/>
        <v>92700</v>
      </c>
    </row>
    <row r="269" spans="1:11" ht="13.2" customHeight="1" x14ac:dyDescent="0.25">
      <c r="A269" s="223"/>
      <c r="B269" s="224" t="s">
        <v>197</v>
      </c>
      <c r="C269" s="225" t="s">
        <v>759</v>
      </c>
      <c r="D269" s="226"/>
      <c r="E269" s="44"/>
      <c r="F269" s="227"/>
      <c r="G269" s="227"/>
      <c r="H269" s="228" t="s">
        <v>203</v>
      </c>
      <c r="I269" s="253">
        <v>1</v>
      </c>
      <c r="J269" s="60">
        <f t="shared" si="22"/>
        <v>39000</v>
      </c>
      <c r="K269" s="230">
        <f t="shared" si="23"/>
        <v>39000</v>
      </c>
    </row>
    <row r="270" spans="1:11" ht="12.9" customHeight="1" x14ac:dyDescent="0.25">
      <c r="A270" s="58"/>
      <c r="B270" s="231"/>
      <c r="C270" s="232"/>
      <c r="D270" s="232"/>
      <c r="E270" s="232"/>
      <c r="F270" s="232"/>
      <c r="G270" s="233"/>
      <c r="H270" s="234" t="s">
        <v>715</v>
      </c>
      <c r="I270" s="235"/>
      <c r="J270" s="235"/>
      <c r="K270" s="236">
        <f>SUM(K260:K269)</f>
        <v>1316200</v>
      </c>
    </row>
    <row r="271" spans="1:11" ht="12.9" customHeight="1" x14ac:dyDescent="0.25">
      <c r="A271" s="58"/>
      <c r="B271" s="59"/>
      <c r="C271" s="56"/>
      <c r="D271" s="56"/>
      <c r="E271" s="56"/>
      <c r="F271" s="56"/>
      <c r="G271" s="237"/>
      <c r="H271" s="238" t="s">
        <v>603</v>
      </c>
      <c r="I271" s="239">
        <f>$K$3</f>
        <v>0.15</v>
      </c>
      <c r="J271" s="240"/>
      <c r="K271" s="241">
        <f>I271*K270</f>
        <v>197430</v>
      </c>
    </row>
    <row r="272" spans="1:11" ht="12.9" customHeight="1" x14ac:dyDescent="0.25">
      <c r="A272" s="58"/>
      <c r="B272" s="59"/>
      <c r="C272" s="56"/>
      <c r="D272" s="56"/>
      <c r="E272" s="56"/>
      <c r="F272" s="56"/>
      <c r="G272" s="237"/>
      <c r="H272" s="238" t="s">
        <v>604</v>
      </c>
      <c r="I272" s="226"/>
      <c r="J272" s="226"/>
      <c r="K272" s="241">
        <f>SUM(K270:K271)</f>
        <v>1513630</v>
      </c>
    </row>
    <row r="273" spans="1:11" ht="12.9" customHeight="1" thickBot="1" x14ac:dyDescent="0.3">
      <c r="A273" s="242"/>
      <c r="B273" s="243"/>
      <c r="C273" s="244"/>
      <c r="D273" s="244"/>
      <c r="E273" s="244"/>
      <c r="F273" s="244"/>
      <c r="G273" s="245"/>
      <c r="H273" s="246" t="s">
        <v>605</v>
      </c>
      <c r="I273" s="247"/>
      <c r="J273" s="247"/>
      <c r="K273" s="248">
        <f>ROUND(K272,-1)</f>
        <v>1513630</v>
      </c>
    </row>
    <row r="274" spans="1:11" ht="14.1" customHeight="1" x14ac:dyDescent="0.25">
      <c r="A274" s="215">
        <v>20</v>
      </c>
      <c r="B274" s="651" t="s">
        <v>713</v>
      </c>
      <c r="C274" s="652"/>
      <c r="D274" s="216" t="s">
        <v>855</v>
      </c>
      <c r="E274" s="217"/>
      <c r="F274" s="218"/>
      <c r="G274" s="218"/>
      <c r="H274" s="219"/>
      <c r="I274" s="220"/>
      <c r="J274" s="221"/>
      <c r="K274" s="222"/>
    </row>
    <row r="275" spans="1:11" ht="13.2" customHeight="1" x14ac:dyDescent="0.25">
      <c r="A275" s="223"/>
      <c r="B275" s="224" t="s">
        <v>4</v>
      </c>
      <c r="C275" s="225" t="s">
        <v>755</v>
      </c>
      <c r="D275" s="226"/>
      <c r="E275" s="44"/>
      <c r="F275" s="227"/>
      <c r="G275" s="227"/>
      <c r="H275" s="228" t="s">
        <v>264</v>
      </c>
      <c r="I275" s="252">
        <v>10</v>
      </c>
      <c r="J275" s="60">
        <f>J260</f>
        <v>33700</v>
      </c>
      <c r="K275" s="230">
        <f>I275*J275</f>
        <v>337000</v>
      </c>
    </row>
    <row r="276" spans="1:11" ht="13.2" customHeight="1" x14ac:dyDescent="0.25">
      <c r="A276" s="223"/>
      <c r="B276" s="224" t="s">
        <v>30</v>
      </c>
      <c r="C276" s="225" t="s">
        <v>765</v>
      </c>
      <c r="D276" s="226"/>
      <c r="E276" s="44"/>
      <c r="F276" s="227"/>
      <c r="G276" s="227"/>
      <c r="H276" s="228" t="s">
        <v>203</v>
      </c>
      <c r="I276" s="253">
        <v>1</v>
      </c>
      <c r="J276" s="60">
        <f>'Harga Satuan Dasar mat'!G68</f>
        <v>104750</v>
      </c>
      <c r="K276" s="230">
        <f t="shared" ref="K276:K284" si="24">I276*J276</f>
        <v>104750</v>
      </c>
    </row>
    <row r="277" spans="1:11" ht="13.2" customHeight="1" x14ac:dyDescent="0.25">
      <c r="A277" s="223"/>
      <c r="B277" s="224" t="s">
        <v>57</v>
      </c>
      <c r="C277" s="225" t="s">
        <v>714</v>
      </c>
      <c r="D277" s="226"/>
      <c r="E277" s="44"/>
      <c r="F277" s="227"/>
      <c r="G277" s="227"/>
      <c r="H277" s="228" t="s">
        <v>203</v>
      </c>
      <c r="I277" s="253">
        <v>2</v>
      </c>
      <c r="J277" s="60">
        <f t="shared" ref="J277:J284" si="25">J262</f>
        <v>14000</v>
      </c>
      <c r="K277" s="230">
        <f t="shared" si="24"/>
        <v>28000</v>
      </c>
    </row>
    <row r="278" spans="1:11" ht="13.2" customHeight="1" x14ac:dyDescent="0.25">
      <c r="A278" s="223"/>
      <c r="B278" s="224" t="s">
        <v>83</v>
      </c>
      <c r="C278" s="225" t="s">
        <v>842</v>
      </c>
      <c r="D278" s="226"/>
      <c r="E278" s="44"/>
      <c r="F278" s="227"/>
      <c r="G278" s="227"/>
      <c r="H278" s="228" t="s">
        <v>203</v>
      </c>
      <c r="I278" s="253">
        <v>1</v>
      </c>
      <c r="J278" s="60">
        <f t="shared" si="25"/>
        <v>100000</v>
      </c>
      <c r="K278" s="230">
        <f t="shared" si="24"/>
        <v>100000</v>
      </c>
    </row>
    <row r="279" spans="1:11" ht="13.2" customHeight="1" x14ac:dyDescent="0.25">
      <c r="A279" s="223"/>
      <c r="B279" s="224" t="s">
        <v>110</v>
      </c>
      <c r="C279" s="225" t="s">
        <v>856</v>
      </c>
      <c r="D279" s="226"/>
      <c r="E279" s="44"/>
      <c r="F279" s="227"/>
      <c r="G279" s="227"/>
      <c r="H279" s="228" t="s">
        <v>203</v>
      </c>
      <c r="I279" s="253">
        <v>1</v>
      </c>
      <c r="J279" s="60">
        <f t="shared" si="25"/>
        <v>85000</v>
      </c>
      <c r="K279" s="230">
        <f t="shared" si="24"/>
        <v>85000</v>
      </c>
    </row>
    <row r="280" spans="1:11" ht="13.2" customHeight="1" x14ac:dyDescent="0.25">
      <c r="A280" s="223"/>
      <c r="B280" s="224" t="s">
        <v>137</v>
      </c>
      <c r="C280" s="225" t="s">
        <v>764</v>
      </c>
      <c r="D280" s="226"/>
      <c r="E280" s="44"/>
      <c r="F280" s="227"/>
      <c r="G280" s="227"/>
      <c r="H280" s="228" t="s">
        <v>203</v>
      </c>
      <c r="I280" s="253">
        <v>2</v>
      </c>
      <c r="J280" s="60">
        <f t="shared" si="25"/>
        <v>112000</v>
      </c>
      <c r="K280" s="230">
        <f t="shared" si="24"/>
        <v>224000</v>
      </c>
    </row>
    <row r="281" spans="1:11" ht="13.2" customHeight="1" x14ac:dyDescent="0.25">
      <c r="A281" s="223"/>
      <c r="B281" s="224" t="s">
        <v>156</v>
      </c>
      <c r="C281" s="225" t="s">
        <v>757</v>
      </c>
      <c r="D281" s="226"/>
      <c r="E281" s="44"/>
      <c r="F281" s="227"/>
      <c r="G281" s="227"/>
      <c r="H281" s="228" t="s">
        <v>203</v>
      </c>
      <c r="I281" s="253">
        <v>4</v>
      </c>
      <c r="J281" s="60">
        <f t="shared" si="25"/>
        <v>41000</v>
      </c>
      <c r="K281" s="230">
        <f t="shared" si="24"/>
        <v>164000</v>
      </c>
    </row>
    <row r="282" spans="1:11" ht="13.2" customHeight="1" x14ac:dyDescent="0.25">
      <c r="A282" s="223"/>
      <c r="B282" s="224" t="s">
        <v>175</v>
      </c>
      <c r="C282" s="225" t="s">
        <v>1012</v>
      </c>
      <c r="D282" s="226"/>
      <c r="E282" s="44"/>
      <c r="F282" s="227"/>
      <c r="G282" s="227"/>
      <c r="H282" s="228" t="s">
        <v>235</v>
      </c>
      <c r="I282" s="253">
        <v>1</v>
      </c>
      <c r="J282" s="60">
        <f t="shared" si="25"/>
        <v>125000</v>
      </c>
      <c r="K282" s="230">
        <f t="shared" si="24"/>
        <v>125000</v>
      </c>
    </row>
    <row r="283" spans="1:11" ht="13.2" customHeight="1" x14ac:dyDescent="0.25">
      <c r="A283" s="223"/>
      <c r="B283" s="224" t="s">
        <v>177</v>
      </c>
      <c r="C283" s="225" t="s">
        <v>758</v>
      </c>
      <c r="D283" s="226"/>
      <c r="E283" s="44"/>
      <c r="F283" s="227"/>
      <c r="G283" s="227"/>
      <c r="H283" s="228" t="s">
        <v>203</v>
      </c>
      <c r="I283" s="253">
        <v>1</v>
      </c>
      <c r="J283" s="60">
        <f t="shared" si="25"/>
        <v>92700</v>
      </c>
      <c r="K283" s="230">
        <f t="shared" si="24"/>
        <v>92700</v>
      </c>
    </row>
    <row r="284" spans="1:11" ht="13.2" customHeight="1" x14ac:dyDescent="0.25">
      <c r="A284" s="223"/>
      <c r="B284" s="224" t="s">
        <v>197</v>
      </c>
      <c r="C284" s="225" t="s">
        <v>759</v>
      </c>
      <c r="D284" s="226"/>
      <c r="E284" s="44"/>
      <c r="F284" s="227"/>
      <c r="G284" s="227"/>
      <c r="H284" s="228" t="s">
        <v>203</v>
      </c>
      <c r="I284" s="253">
        <v>1</v>
      </c>
      <c r="J284" s="60">
        <f t="shared" si="25"/>
        <v>39000</v>
      </c>
      <c r="K284" s="230">
        <f t="shared" si="24"/>
        <v>39000</v>
      </c>
    </row>
    <row r="285" spans="1:11" ht="12.9" customHeight="1" x14ac:dyDescent="0.25">
      <c r="A285" s="58"/>
      <c r="B285" s="231"/>
      <c r="C285" s="232"/>
      <c r="D285" s="232"/>
      <c r="E285" s="232"/>
      <c r="F285" s="232"/>
      <c r="G285" s="233"/>
      <c r="H285" s="234" t="s">
        <v>715</v>
      </c>
      <c r="I285" s="235"/>
      <c r="J285" s="235"/>
      <c r="K285" s="236">
        <f>SUM(K275:K284)</f>
        <v>1299450</v>
      </c>
    </row>
    <row r="286" spans="1:11" ht="12.9" customHeight="1" x14ac:dyDescent="0.25">
      <c r="A286" s="58"/>
      <c r="B286" s="59"/>
      <c r="C286" s="56"/>
      <c r="D286" s="56"/>
      <c r="E286" s="56"/>
      <c r="F286" s="56"/>
      <c r="G286" s="237"/>
      <c r="H286" s="238" t="s">
        <v>603</v>
      </c>
      <c r="I286" s="239">
        <f>$K$3</f>
        <v>0.15</v>
      </c>
      <c r="J286" s="240"/>
      <c r="K286" s="241">
        <f>I286*K285</f>
        <v>194917.5</v>
      </c>
    </row>
    <row r="287" spans="1:11" ht="12.9" customHeight="1" x14ac:dyDescent="0.25">
      <c r="A287" s="58"/>
      <c r="B287" s="59"/>
      <c r="C287" s="56"/>
      <c r="D287" s="56"/>
      <c r="E287" s="56"/>
      <c r="F287" s="56"/>
      <c r="G287" s="237"/>
      <c r="H287" s="238" t="s">
        <v>604</v>
      </c>
      <c r="I287" s="226"/>
      <c r="J287" s="226"/>
      <c r="K287" s="241">
        <f>SUM(K285:K286)</f>
        <v>1494367.5</v>
      </c>
    </row>
    <row r="288" spans="1:11" ht="12.9" customHeight="1" thickBot="1" x14ac:dyDescent="0.3">
      <c r="A288" s="242"/>
      <c r="B288" s="243"/>
      <c r="C288" s="244"/>
      <c r="D288" s="244"/>
      <c r="E288" s="244"/>
      <c r="F288" s="244"/>
      <c r="G288" s="245"/>
      <c r="H288" s="246" t="s">
        <v>605</v>
      </c>
      <c r="I288" s="247"/>
      <c r="J288" s="247"/>
      <c r="K288" s="248">
        <f>ROUND(K287,-1)</f>
        <v>1494370</v>
      </c>
    </row>
    <row r="289" spans="1:11" ht="14.1" customHeight="1" x14ac:dyDescent="0.25">
      <c r="A289" s="215">
        <v>21</v>
      </c>
      <c r="B289" s="651" t="s">
        <v>713</v>
      </c>
      <c r="C289" s="652"/>
      <c r="D289" s="216" t="s">
        <v>859</v>
      </c>
      <c r="E289" s="217"/>
      <c r="F289" s="218"/>
      <c r="G289" s="218"/>
      <c r="H289" s="219"/>
      <c r="I289" s="220"/>
      <c r="J289" s="221"/>
      <c r="K289" s="222"/>
    </row>
    <row r="290" spans="1:11" ht="13.2" customHeight="1" x14ac:dyDescent="0.25">
      <c r="A290" s="223"/>
      <c r="B290" s="224" t="s">
        <v>4</v>
      </c>
      <c r="C290" s="225" t="s">
        <v>755</v>
      </c>
      <c r="D290" s="226"/>
      <c r="E290" s="44"/>
      <c r="F290" s="227"/>
      <c r="G290" s="227"/>
      <c r="H290" s="228" t="s">
        <v>264</v>
      </c>
      <c r="I290" s="252">
        <v>9</v>
      </c>
      <c r="J290" s="60">
        <f>J275</f>
        <v>33700</v>
      </c>
      <c r="K290" s="230">
        <f>I290*J290</f>
        <v>303300</v>
      </c>
    </row>
    <row r="291" spans="1:11" ht="13.2" customHeight="1" x14ac:dyDescent="0.25">
      <c r="A291" s="223"/>
      <c r="B291" s="224" t="s">
        <v>30</v>
      </c>
      <c r="C291" s="225" t="s">
        <v>765</v>
      </c>
      <c r="D291" s="226"/>
      <c r="E291" s="44"/>
      <c r="F291" s="227"/>
      <c r="G291" s="227"/>
      <c r="H291" s="228" t="s">
        <v>203</v>
      </c>
      <c r="I291" s="253">
        <v>1</v>
      </c>
      <c r="J291" s="60">
        <f t="shared" ref="J291:J299" si="26">J276</f>
        <v>104750</v>
      </c>
      <c r="K291" s="230">
        <f t="shared" ref="K291:K299" si="27">I291*J291</f>
        <v>104750</v>
      </c>
    </row>
    <row r="292" spans="1:11" ht="13.2" customHeight="1" x14ac:dyDescent="0.25">
      <c r="A292" s="223"/>
      <c r="B292" s="224" t="s">
        <v>57</v>
      </c>
      <c r="C292" s="225" t="s">
        <v>714</v>
      </c>
      <c r="D292" s="226"/>
      <c r="E292" s="44"/>
      <c r="F292" s="227"/>
      <c r="G292" s="227"/>
      <c r="H292" s="228" t="s">
        <v>203</v>
      </c>
      <c r="I292" s="253">
        <v>2</v>
      </c>
      <c r="J292" s="60">
        <f t="shared" si="26"/>
        <v>14000</v>
      </c>
      <c r="K292" s="230">
        <f t="shared" si="27"/>
        <v>28000</v>
      </c>
    </row>
    <row r="293" spans="1:11" ht="13.2" customHeight="1" x14ac:dyDescent="0.25">
      <c r="A293" s="223"/>
      <c r="B293" s="224" t="s">
        <v>83</v>
      </c>
      <c r="C293" s="225" t="s">
        <v>842</v>
      </c>
      <c r="D293" s="226"/>
      <c r="E293" s="44"/>
      <c r="F293" s="227"/>
      <c r="G293" s="227"/>
      <c r="H293" s="228" t="s">
        <v>203</v>
      </c>
      <c r="I293" s="253">
        <v>1</v>
      </c>
      <c r="J293" s="60">
        <f t="shared" si="26"/>
        <v>100000</v>
      </c>
      <c r="K293" s="230">
        <f t="shared" si="27"/>
        <v>100000</v>
      </c>
    </row>
    <row r="294" spans="1:11" ht="13.2" customHeight="1" x14ac:dyDescent="0.25">
      <c r="A294" s="223"/>
      <c r="B294" s="224" t="s">
        <v>110</v>
      </c>
      <c r="C294" s="225" t="s">
        <v>856</v>
      </c>
      <c r="D294" s="226"/>
      <c r="E294" s="44"/>
      <c r="F294" s="227"/>
      <c r="G294" s="227"/>
      <c r="H294" s="228" t="s">
        <v>203</v>
      </c>
      <c r="I294" s="253">
        <v>1</v>
      </c>
      <c r="J294" s="60">
        <f t="shared" si="26"/>
        <v>85000</v>
      </c>
      <c r="K294" s="230">
        <f t="shared" si="27"/>
        <v>85000</v>
      </c>
    </row>
    <row r="295" spans="1:11" ht="13.2" customHeight="1" x14ac:dyDescent="0.25">
      <c r="A295" s="223"/>
      <c r="B295" s="224" t="s">
        <v>137</v>
      </c>
      <c r="C295" s="225" t="s">
        <v>764</v>
      </c>
      <c r="D295" s="226"/>
      <c r="E295" s="44"/>
      <c r="F295" s="227"/>
      <c r="G295" s="227"/>
      <c r="H295" s="228" t="s">
        <v>203</v>
      </c>
      <c r="I295" s="253">
        <v>2</v>
      </c>
      <c r="J295" s="60">
        <f t="shared" si="26"/>
        <v>112000</v>
      </c>
      <c r="K295" s="230">
        <f t="shared" si="27"/>
        <v>224000</v>
      </c>
    </row>
    <row r="296" spans="1:11" ht="13.2" customHeight="1" x14ac:dyDescent="0.25">
      <c r="A296" s="223"/>
      <c r="B296" s="224" t="s">
        <v>156</v>
      </c>
      <c r="C296" s="225" t="s">
        <v>757</v>
      </c>
      <c r="D296" s="226"/>
      <c r="E296" s="44"/>
      <c r="F296" s="227"/>
      <c r="G296" s="227"/>
      <c r="H296" s="228" t="s">
        <v>203</v>
      </c>
      <c r="I296" s="253">
        <v>4</v>
      </c>
      <c r="J296" s="60">
        <f t="shared" si="26"/>
        <v>41000</v>
      </c>
      <c r="K296" s="230">
        <f t="shared" si="27"/>
        <v>164000</v>
      </c>
    </row>
    <row r="297" spans="1:11" ht="13.2" customHeight="1" x14ac:dyDescent="0.25">
      <c r="A297" s="223"/>
      <c r="B297" s="224" t="s">
        <v>175</v>
      </c>
      <c r="C297" s="225" t="s">
        <v>1013</v>
      </c>
      <c r="D297" s="226"/>
      <c r="E297" s="44"/>
      <c r="F297" s="227"/>
      <c r="G297" s="227"/>
      <c r="H297" s="228" t="s">
        <v>235</v>
      </c>
      <c r="I297" s="253">
        <v>1</v>
      </c>
      <c r="J297" s="60">
        <f>'Harga Satuan Dasar mat'!G405</f>
        <v>105000</v>
      </c>
      <c r="K297" s="230">
        <f t="shared" si="27"/>
        <v>105000</v>
      </c>
    </row>
    <row r="298" spans="1:11" ht="13.2" customHeight="1" x14ac:dyDescent="0.25">
      <c r="A298" s="223"/>
      <c r="B298" s="224" t="s">
        <v>177</v>
      </c>
      <c r="C298" s="225" t="s">
        <v>758</v>
      </c>
      <c r="D298" s="226"/>
      <c r="E298" s="44"/>
      <c r="F298" s="227"/>
      <c r="G298" s="227"/>
      <c r="H298" s="228" t="s">
        <v>203</v>
      </c>
      <c r="I298" s="253">
        <v>1</v>
      </c>
      <c r="J298" s="60">
        <f t="shared" si="26"/>
        <v>92700</v>
      </c>
      <c r="K298" s="230">
        <f t="shared" si="27"/>
        <v>92700</v>
      </c>
    </row>
    <row r="299" spans="1:11" ht="13.2" customHeight="1" x14ac:dyDescent="0.25">
      <c r="A299" s="223"/>
      <c r="B299" s="224" t="s">
        <v>197</v>
      </c>
      <c r="C299" s="225" t="s">
        <v>759</v>
      </c>
      <c r="D299" s="226"/>
      <c r="E299" s="44"/>
      <c r="F299" s="227"/>
      <c r="G299" s="227"/>
      <c r="H299" s="228" t="s">
        <v>203</v>
      </c>
      <c r="I299" s="253">
        <v>1</v>
      </c>
      <c r="J299" s="60">
        <f t="shared" si="26"/>
        <v>39000</v>
      </c>
      <c r="K299" s="230">
        <f t="shared" si="27"/>
        <v>39000</v>
      </c>
    </row>
    <row r="300" spans="1:11" ht="12.9" customHeight="1" x14ac:dyDescent="0.25">
      <c r="A300" s="58"/>
      <c r="B300" s="231"/>
      <c r="C300" s="232"/>
      <c r="D300" s="232"/>
      <c r="E300" s="232"/>
      <c r="F300" s="232"/>
      <c r="G300" s="233"/>
      <c r="H300" s="234" t="s">
        <v>715</v>
      </c>
      <c r="I300" s="235"/>
      <c r="J300" s="235"/>
      <c r="K300" s="236">
        <f>SUM(K290:K299)</f>
        <v>1245750</v>
      </c>
    </row>
    <row r="301" spans="1:11" ht="12.9" customHeight="1" x14ac:dyDescent="0.25">
      <c r="A301" s="58"/>
      <c r="B301" s="59"/>
      <c r="C301" s="56"/>
      <c r="D301" s="56"/>
      <c r="E301" s="56"/>
      <c r="F301" s="56"/>
      <c r="G301" s="237"/>
      <c r="H301" s="238" t="s">
        <v>603</v>
      </c>
      <c r="I301" s="239">
        <f>$K$3</f>
        <v>0.15</v>
      </c>
      <c r="J301" s="240"/>
      <c r="K301" s="241">
        <f>I301*K300</f>
        <v>186862.5</v>
      </c>
    </row>
    <row r="302" spans="1:11" ht="12.9" customHeight="1" x14ac:dyDescent="0.25">
      <c r="A302" s="58"/>
      <c r="B302" s="59"/>
      <c r="C302" s="56"/>
      <c r="D302" s="56"/>
      <c r="E302" s="56"/>
      <c r="F302" s="56"/>
      <c r="G302" s="237"/>
      <c r="H302" s="238" t="s">
        <v>604</v>
      </c>
      <c r="I302" s="226"/>
      <c r="J302" s="226"/>
      <c r="K302" s="241">
        <f>SUM(K300:K301)</f>
        <v>1432612.5</v>
      </c>
    </row>
    <row r="303" spans="1:11" ht="12.9" customHeight="1" thickBot="1" x14ac:dyDescent="0.3">
      <c r="A303" s="242"/>
      <c r="B303" s="243"/>
      <c r="C303" s="244"/>
      <c r="D303" s="244"/>
      <c r="E303" s="244"/>
      <c r="F303" s="244"/>
      <c r="G303" s="245"/>
      <c r="H303" s="246" t="s">
        <v>605</v>
      </c>
      <c r="I303" s="247"/>
      <c r="J303" s="247"/>
      <c r="K303" s="248">
        <f>ROUND(K302,-1)</f>
        <v>1432610</v>
      </c>
    </row>
    <row r="304" spans="1:11" ht="14.1" customHeight="1" x14ac:dyDescent="0.25">
      <c r="A304" s="215">
        <v>22</v>
      </c>
      <c r="B304" s="651" t="s">
        <v>713</v>
      </c>
      <c r="C304" s="652"/>
      <c r="D304" s="216" t="s">
        <v>858</v>
      </c>
      <c r="E304" s="217"/>
      <c r="F304" s="218"/>
      <c r="G304" s="218"/>
      <c r="H304" s="219"/>
      <c r="I304" s="220"/>
      <c r="J304" s="221"/>
      <c r="K304" s="222"/>
    </row>
    <row r="305" spans="1:11" ht="13.2" customHeight="1" x14ac:dyDescent="0.25">
      <c r="A305" s="223"/>
      <c r="B305" s="224" t="s">
        <v>4</v>
      </c>
      <c r="C305" s="225" t="s">
        <v>755</v>
      </c>
      <c r="D305" s="226"/>
      <c r="E305" s="44"/>
      <c r="F305" s="227"/>
      <c r="G305" s="227"/>
      <c r="H305" s="228" t="s">
        <v>264</v>
      </c>
      <c r="I305" s="252">
        <v>14</v>
      </c>
      <c r="J305" s="60">
        <f>'Harga Satuan Dasar mat'!G366</f>
        <v>33700</v>
      </c>
      <c r="K305" s="230">
        <f>I305*J305</f>
        <v>471800</v>
      </c>
    </row>
    <row r="306" spans="1:11" ht="13.2" customHeight="1" x14ac:dyDescent="0.25">
      <c r="A306" s="223"/>
      <c r="B306" s="224" t="s">
        <v>30</v>
      </c>
      <c r="C306" s="225" t="s">
        <v>767</v>
      </c>
      <c r="D306" s="226"/>
      <c r="E306" s="44"/>
      <c r="F306" s="227"/>
      <c r="G306" s="227"/>
      <c r="H306" s="228" t="s">
        <v>203</v>
      </c>
      <c r="I306" s="253">
        <v>1</v>
      </c>
      <c r="J306" s="60">
        <f>'Harga Satuan Dasar mat'!G78</f>
        <v>189500</v>
      </c>
      <c r="K306" s="230">
        <f t="shared" ref="K306:K316" si="28">I306*J306</f>
        <v>189500</v>
      </c>
    </row>
    <row r="307" spans="1:11" ht="13.2" customHeight="1" x14ac:dyDescent="0.25">
      <c r="A307" s="223"/>
      <c r="B307" s="224" t="s">
        <v>57</v>
      </c>
      <c r="C307" s="225" t="s">
        <v>768</v>
      </c>
      <c r="D307" s="226"/>
      <c r="E307" s="44"/>
      <c r="F307" s="227"/>
      <c r="G307" s="227"/>
      <c r="H307" s="228" t="s">
        <v>203</v>
      </c>
      <c r="I307" s="253">
        <v>1</v>
      </c>
      <c r="J307" s="60">
        <f>'Harga Satuan Dasar mat'!G82</f>
        <v>221000</v>
      </c>
      <c r="K307" s="230">
        <f t="shared" si="28"/>
        <v>221000</v>
      </c>
    </row>
    <row r="308" spans="1:11" ht="13.2" customHeight="1" x14ac:dyDescent="0.25">
      <c r="A308" s="223"/>
      <c r="B308" s="224" t="s">
        <v>83</v>
      </c>
      <c r="C308" s="225" t="s">
        <v>714</v>
      </c>
      <c r="D308" s="226"/>
      <c r="E308" s="44"/>
      <c r="F308" s="227"/>
      <c r="G308" s="227"/>
      <c r="H308" s="228" t="s">
        <v>203</v>
      </c>
      <c r="I308" s="253">
        <v>5</v>
      </c>
      <c r="J308" s="60">
        <f>J292</f>
        <v>14000</v>
      </c>
      <c r="K308" s="230">
        <f t="shared" si="28"/>
        <v>70000</v>
      </c>
    </row>
    <row r="309" spans="1:11" ht="13.2" customHeight="1" x14ac:dyDescent="0.25">
      <c r="A309" s="223"/>
      <c r="B309" s="224" t="s">
        <v>110</v>
      </c>
      <c r="C309" s="225" t="s">
        <v>841</v>
      </c>
      <c r="D309" s="226"/>
      <c r="E309" s="44"/>
      <c r="F309" s="227"/>
      <c r="G309" s="227"/>
      <c r="H309" s="228" t="s">
        <v>203</v>
      </c>
      <c r="I309" s="253">
        <v>1</v>
      </c>
      <c r="J309" s="60">
        <f>J233</f>
        <v>175000</v>
      </c>
      <c r="K309" s="230">
        <f t="shared" si="28"/>
        <v>175000</v>
      </c>
    </row>
    <row r="310" spans="1:11" ht="13.2" customHeight="1" x14ac:dyDescent="0.25">
      <c r="A310" s="223"/>
      <c r="B310" s="224" t="s">
        <v>137</v>
      </c>
      <c r="C310" s="225" t="s">
        <v>756</v>
      </c>
      <c r="D310" s="226"/>
      <c r="E310" s="44"/>
      <c r="F310" s="227"/>
      <c r="G310" s="227"/>
      <c r="H310" s="228" t="s">
        <v>203</v>
      </c>
      <c r="I310" s="253">
        <v>1</v>
      </c>
      <c r="J310" s="60">
        <f>J234</f>
        <v>105000</v>
      </c>
      <c r="K310" s="230">
        <f t="shared" si="28"/>
        <v>105000</v>
      </c>
    </row>
    <row r="311" spans="1:11" ht="13.2" customHeight="1" x14ac:dyDescent="0.25">
      <c r="A311" s="223"/>
      <c r="B311" s="224" t="s">
        <v>156</v>
      </c>
      <c r="C311" s="225" t="s">
        <v>764</v>
      </c>
      <c r="D311" s="226"/>
      <c r="E311" s="44"/>
      <c r="F311" s="227"/>
      <c r="G311" s="227"/>
      <c r="H311" s="228" t="s">
        <v>203</v>
      </c>
      <c r="I311" s="253">
        <v>4</v>
      </c>
      <c r="J311" s="60">
        <f>J235</f>
        <v>112000</v>
      </c>
      <c r="K311" s="230">
        <f t="shared" si="28"/>
        <v>448000</v>
      </c>
    </row>
    <row r="312" spans="1:11" ht="13.2" customHeight="1" x14ac:dyDescent="0.25">
      <c r="A312" s="223"/>
      <c r="B312" s="224" t="s">
        <v>175</v>
      </c>
      <c r="C312" s="225" t="s">
        <v>757</v>
      </c>
      <c r="D312" s="226"/>
      <c r="E312" s="44"/>
      <c r="F312" s="227"/>
      <c r="G312" s="227"/>
      <c r="H312" s="228" t="s">
        <v>203</v>
      </c>
      <c r="I312" s="253">
        <v>6</v>
      </c>
      <c r="J312" s="60">
        <f>J236</f>
        <v>41000</v>
      </c>
      <c r="K312" s="230">
        <f t="shared" si="28"/>
        <v>246000</v>
      </c>
    </row>
    <row r="313" spans="1:11" ht="13.2" customHeight="1" x14ac:dyDescent="0.25">
      <c r="A313" s="223"/>
      <c r="B313" s="224" t="s">
        <v>177</v>
      </c>
      <c r="C313" s="225" t="s">
        <v>1014</v>
      </c>
      <c r="D313" s="226"/>
      <c r="E313" s="44"/>
      <c r="F313" s="227"/>
      <c r="G313" s="227"/>
      <c r="H313" s="228" t="s">
        <v>235</v>
      </c>
      <c r="I313" s="253">
        <v>1</v>
      </c>
      <c r="J313" s="60">
        <f>'Harga Satuan Dasar mat'!G404</f>
        <v>125000</v>
      </c>
      <c r="K313" s="230">
        <f t="shared" si="28"/>
        <v>125000</v>
      </c>
    </row>
    <row r="314" spans="1:11" ht="13.2" customHeight="1" x14ac:dyDescent="0.25">
      <c r="A314" s="223"/>
      <c r="B314" s="224" t="s">
        <v>197</v>
      </c>
      <c r="C314" s="225" t="s">
        <v>758</v>
      </c>
      <c r="D314" s="226"/>
      <c r="E314" s="44"/>
      <c r="F314" s="227"/>
      <c r="G314" s="227"/>
      <c r="H314" s="228" t="s">
        <v>203</v>
      </c>
      <c r="I314" s="253">
        <v>1</v>
      </c>
      <c r="J314" s="60">
        <f>J238</f>
        <v>92700</v>
      </c>
      <c r="K314" s="230">
        <f t="shared" si="28"/>
        <v>92700</v>
      </c>
    </row>
    <row r="315" spans="1:11" ht="13.2" customHeight="1" x14ac:dyDescent="0.25">
      <c r="A315" s="223"/>
      <c r="B315" s="224" t="s">
        <v>198</v>
      </c>
      <c r="C315" s="225" t="s">
        <v>759</v>
      </c>
      <c r="D315" s="226"/>
      <c r="E315" s="44"/>
      <c r="F315" s="227"/>
      <c r="G315" s="227"/>
      <c r="H315" s="228" t="s">
        <v>203</v>
      </c>
      <c r="I315" s="253">
        <v>1</v>
      </c>
      <c r="J315" s="60">
        <f>J239</f>
        <v>39000</v>
      </c>
      <c r="K315" s="230">
        <f t="shared" si="28"/>
        <v>39000</v>
      </c>
    </row>
    <row r="316" spans="1:11" ht="13.2" customHeight="1" x14ac:dyDescent="0.25">
      <c r="A316" s="223"/>
      <c r="B316" s="256" t="s">
        <v>200</v>
      </c>
      <c r="C316" s="257" t="s">
        <v>994</v>
      </c>
      <c r="D316" s="57"/>
      <c r="E316" s="258"/>
      <c r="F316" s="259"/>
      <c r="G316" s="259"/>
      <c r="H316" s="260" t="s">
        <v>235</v>
      </c>
      <c r="I316" s="261">
        <v>1</v>
      </c>
      <c r="J316" s="262">
        <f>'Harga Satuan Dasar mat'!G301</f>
        <v>253000</v>
      </c>
      <c r="K316" s="230">
        <f t="shared" si="28"/>
        <v>253000</v>
      </c>
    </row>
    <row r="317" spans="1:11" ht="12.9" customHeight="1" x14ac:dyDescent="0.25">
      <c r="A317" s="58"/>
      <c r="B317" s="231"/>
      <c r="C317" s="232"/>
      <c r="D317" s="232"/>
      <c r="E317" s="232"/>
      <c r="F317" s="232"/>
      <c r="G317" s="233"/>
      <c r="H317" s="234" t="s">
        <v>715</v>
      </c>
      <c r="I317" s="235"/>
      <c r="J317" s="235"/>
      <c r="K317" s="236">
        <f>SUM(K305:K316)</f>
        <v>2436000</v>
      </c>
    </row>
    <row r="318" spans="1:11" ht="12.9" customHeight="1" x14ac:dyDescent="0.25">
      <c r="A318" s="58"/>
      <c r="B318" s="59"/>
      <c r="C318" s="56"/>
      <c r="D318" s="56"/>
      <c r="E318" s="56"/>
      <c r="F318" s="56"/>
      <c r="G318" s="237"/>
      <c r="H318" s="238" t="s">
        <v>603</v>
      </c>
      <c r="I318" s="239">
        <f>$K$3</f>
        <v>0.15</v>
      </c>
      <c r="J318" s="240"/>
      <c r="K318" s="241">
        <f>I318*K317</f>
        <v>365400</v>
      </c>
    </row>
    <row r="319" spans="1:11" ht="12.9" customHeight="1" x14ac:dyDescent="0.25">
      <c r="A319" s="58"/>
      <c r="B319" s="59"/>
      <c r="C319" s="56"/>
      <c r="D319" s="56"/>
      <c r="E319" s="56"/>
      <c r="F319" s="56"/>
      <c r="G319" s="237"/>
      <c r="H319" s="238" t="s">
        <v>604</v>
      </c>
      <c r="I319" s="226"/>
      <c r="J319" s="226"/>
      <c r="K319" s="241">
        <f>SUM(K317:K318)</f>
        <v>2801400</v>
      </c>
    </row>
    <row r="320" spans="1:11" ht="12.9" customHeight="1" thickBot="1" x14ac:dyDescent="0.3">
      <c r="A320" s="242"/>
      <c r="B320" s="243"/>
      <c r="C320" s="244"/>
      <c r="D320" s="244"/>
      <c r="E320" s="244"/>
      <c r="F320" s="244"/>
      <c r="G320" s="245"/>
      <c r="H320" s="246" t="s">
        <v>605</v>
      </c>
      <c r="I320" s="247"/>
      <c r="J320" s="247"/>
      <c r="K320" s="248">
        <f>ROUND(K319,-1)</f>
        <v>2801400</v>
      </c>
    </row>
    <row r="321" spans="1:11" ht="14.1" customHeight="1" x14ac:dyDescent="0.25">
      <c r="A321" s="215">
        <v>23</v>
      </c>
      <c r="B321" s="651" t="s">
        <v>713</v>
      </c>
      <c r="C321" s="652"/>
      <c r="D321" s="216" t="s">
        <v>860</v>
      </c>
      <c r="E321" s="217"/>
      <c r="F321" s="218"/>
      <c r="G321" s="218"/>
      <c r="H321" s="219"/>
      <c r="I321" s="220"/>
      <c r="J321" s="221"/>
      <c r="K321" s="222"/>
    </row>
    <row r="322" spans="1:11" ht="13.2" customHeight="1" x14ac:dyDescent="0.25">
      <c r="A322" s="223"/>
      <c r="B322" s="224" t="s">
        <v>4</v>
      </c>
      <c r="C322" s="225" t="s">
        <v>755</v>
      </c>
      <c r="D322" s="226"/>
      <c r="E322" s="44"/>
      <c r="F322" s="227"/>
      <c r="G322" s="227"/>
      <c r="H322" s="228" t="s">
        <v>264</v>
      </c>
      <c r="I322" s="252">
        <v>13</v>
      </c>
      <c r="J322" s="60">
        <f>J305</f>
        <v>33700</v>
      </c>
      <c r="K322" s="230">
        <f>I322*J322</f>
        <v>438100</v>
      </c>
    </row>
    <row r="323" spans="1:11" ht="13.2" customHeight="1" x14ac:dyDescent="0.25">
      <c r="A323" s="223"/>
      <c r="B323" s="224" t="s">
        <v>30</v>
      </c>
      <c r="C323" s="225" t="s">
        <v>761</v>
      </c>
      <c r="D323" s="226"/>
      <c r="E323" s="44"/>
      <c r="F323" s="227"/>
      <c r="G323" s="227"/>
      <c r="H323" s="228" t="s">
        <v>203</v>
      </c>
      <c r="I323" s="253">
        <v>1</v>
      </c>
      <c r="J323" s="60">
        <f t="shared" ref="J323:J332" si="29">J306</f>
        <v>189500</v>
      </c>
      <c r="K323" s="230">
        <f t="shared" ref="K323:K333" si="30">I323*J323</f>
        <v>189500</v>
      </c>
    </row>
    <row r="324" spans="1:11" ht="13.2" customHeight="1" x14ac:dyDescent="0.25">
      <c r="A324" s="223"/>
      <c r="B324" s="224" t="s">
        <v>57</v>
      </c>
      <c r="C324" s="225" t="s">
        <v>768</v>
      </c>
      <c r="D324" s="226"/>
      <c r="E324" s="44"/>
      <c r="F324" s="227"/>
      <c r="G324" s="227"/>
      <c r="H324" s="228" t="s">
        <v>203</v>
      </c>
      <c r="I324" s="253">
        <v>1</v>
      </c>
      <c r="J324" s="60">
        <f t="shared" si="29"/>
        <v>221000</v>
      </c>
      <c r="K324" s="230">
        <f t="shared" si="30"/>
        <v>221000</v>
      </c>
    </row>
    <row r="325" spans="1:11" ht="13.2" customHeight="1" x14ac:dyDescent="0.25">
      <c r="A325" s="223"/>
      <c r="B325" s="224" t="s">
        <v>83</v>
      </c>
      <c r="C325" s="225" t="s">
        <v>714</v>
      </c>
      <c r="D325" s="226"/>
      <c r="E325" s="44"/>
      <c r="F325" s="227"/>
      <c r="G325" s="227"/>
      <c r="H325" s="228" t="s">
        <v>203</v>
      </c>
      <c r="I325" s="253">
        <v>5</v>
      </c>
      <c r="J325" s="60">
        <f>J292</f>
        <v>14000</v>
      </c>
      <c r="K325" s="230">
        <f t="shared" si="30"/>
        <v>70000</v>
      </c>
    </row>
    <row r="326" spans="1:11" ht="13.2" customHeight="1" x14ac:dyDescent="0.25">
      <c r="A326" s="223"/>
      <c r="B326" s="224" t="s">
        <v>110</v>
      </c>
      <c r="C326" s="225" t="s">
        <v>841</v>
      </c>
      <c r="D326" s="226"/>
      <c r="E326" s="44"/>
      <c r="F326" s="227"/>
      <c r="G326" s="227"/>
      <c r="H326" s="228" t="s">
        <v>203</v>
      </c>
      <c r="I326" s="253">
        <v>1</v>
      </c>
      <c r="J326" s="60">
        <f t="shared" si="29"/>
        <v>175000</v>
      </c>
      <c r="K326" s="230">
        <f t="shared" si="30"/>
        <v>175000</v>
      </c>
    </row>
    <row r="327" spans="1:11" ht="13.2" customHeight="1" x14ac:dyDescent="0.25">
      <c r="A327" s="223"/>
      <c r="B327" s="224" t="s">
        <v>137</v>
      </c>
      <c r="C327" s="225" t="s">
        <v>756</v>
      </c>
      <c r="D327" s="226"/>
      <c r="E327" s="44"/>
      <c r="F327" s="227"/>
      <c r="G327" s="227"/>
      <c r="H327" s="228" t="s">
        <v>203</v>
      </c>
      <c r="I327" s="253">
        <v>1</v>
      </c>
      <c r="J327" s="60">
        <f t="shared" si="29"/>
        <v>105000</v>
      </c>
      <c r="K327" s="230">
        <f t="shared" si="30"/>
        <v>105000</v>
      </c>
    </row>
    <row r="328" spans="1:11" ht="13.2" customHeight="1" x14ac:dyDescent="0.25">
      <c r="A328" s="223"/>
      <c r="B328" s="224" t="s">
        <v>156</v>
      </c>
      <c r="C328" s="225" t="s">
        <v>764</v>
      </c>
      <c r="D328" s="226"/>
      <c r="E328" s="44"/>
      <c r="F328" s="227"/>
      <c r="G328" s="227"/>
      <c r="H328" s="228" t="s">
        <v>203</v>
      </c>
      <c r="I328" s="253">
        <v>4</v>
      </c>
      <c r="J328" s="60">
        <f t="shared" si="29"/>
        <v>112000</v>
      </c>
      <c r="K328" s="230">
        <f t="shared" si="30"/>
        <v>448000</v>
      </c>
    </row>
    <row r="329" spans="1:11" ht="13.2" customHeight="1" x14ac:dyDescent="0.25">
      <c r="A329" s="223"/>
      <c r="B329" s="224" t="s">
        <v>175</v>
      </c>
      <c r="C329" s="225" t="s">
        <v>757</v>
      </c>
      <c r="D329" s="226"/>
      <c r="E329" s="44"/>
      <c r="F329" s="227"/>
      <c r="G329" s="227"/>
      <c r="H329" s="228" t="s">
        <v>203</v>
      </c>
      <c r="I329" s="253">
        <v>6</v>
      </c>
      <c r="J329" s="60">
        <f t="shared" si="29"/>
        <v>41000</v>
      </c>
      <c r="K329" s="230">
        <f t="shared" si="30"/>
        <v>246000</v>
      </c>
    </row>
    <row r="330" spans="1:11" ht="13.2" customHeight="1" x14ac:dyDescent="0.25">
      <c r="A330" s="223"/>
      <c r="B330" s="224" t="s">
        <v>177</v>
      </c>
      <c r="C330" s="225" t="s">
        <v>1014</v>
      </c>
      <c r="D330" s="226"/>
      <c r="E330" s="44"/>
      <c r="F330" s="227"/>
      <c r="G330" s="227"/>
      <c r="H330" s="228" t="s">
        <v>235</v>
      </c>
      <c r="I330" s="253">
        <v>1</v>
      </c>
      <c r="J330" s="60">
        <f t="shared" si="29"/>
        <v>125000</v>
      </c>
      <c r="K330" s="230">
        <f t="shared" si="30"/>
        <v>125000</v>
      </c>
    </row>
    <row r="331" spans="1:11" ht="13.2" customHeight="1" x14ac:dyDescent="0.25">
      <c r="A331" s="223"/>
      <c r="B331" s="224" t="s">
        <v>197</v>
      </c>
      <c r="C331" s="225" t="s">
        <v>758</v>
      </c>
      <c r="D331" s="226"/>
      <c r="E331" s="44"/>
      <c r="F331" s="227"/>
      <c r="G331" s="227"/>
      <c r="H331" s="228" t="s">
        <v>203</v>
      </c>
      <c r="I331" s="253">
        <v>1</v>
      </c>
      <c r="J331" s="60">
        <f t="shared" si="29"/>
        <v>92700</v>
      </c>
      <c r="K331" s="230">
        <f t="shared" si="30"/>
        <v>92700</v>
      </c>
    </row>
    <row r="332" spans="1:11" ht="13.2" customHeight="1" x14ac:dyDescent="0.25">
      <c r="A332" s="223"/>
      <c r="B332" s="224" t="s">
        <v>198</v>
      </c>
      <c r="C332" s="225" t="s">
        <v>759</v>
      </c>
      <c r="D332" s="226"/>
      <c r="E332" s="44"/>
      <c r="F332" s="227"/>
      <c r="G332" s="227"/>
      <c r="H332" s="228" t="s">
        <v>203</v>
      </c>
      <c r="I332" s="253">
        <v>1</v>
      </c>
      <c r="J332" s="60">
        <f t="shared" si="29"/>
        <v>39000</v>
      </c>
      <c r="K332" s="230">
        <f t="shared" si="30"/>
        <v>39000</v>
      </c>
    </row>
    <row r="333" spans="1:11" ht="13.2" customHeight="1" x14ac:dyDescent="0.25">
      <c r="A333" s="223"/>
      <c r="B333" s="256" t="s">
        <v>200</v>
      </c>
      <c r="C333" s="257" t="s">
        <v>994</v>
      </c>
      <c r="D333" s="57"/>
      <c r="E333" s="258"/>
      <c r="F333" s="259"/>
      <c r="G333" s="259"/>
      <c r="H333" s="260" t="s">
        <v>235</v>
      </c>
      <c r="I333" s="261">
        <v>1</v>
      </c>
      <c r="J333" s="60">
        <f>J316</f>
        <v>253000</v>
      </c>
      <c r="K333" s="230">
        <f t="shared" si="30"/>
        <v>253000</v>
      </c>
    </row>
    <row r="334" spans="1:11" ht="12.9" customHeight="1" x14ac:dyDescent="0.25">
      <c r="A334" s="58"/>
      <c r="B334" s="231"/>
      <c r="C334" s="232"/>
      <c r="D334" s="232"/>
      <c r="E334" s="232"/>
      <c r="F334" s="232"/>
      <c r="G334" s="233"/>
      <c r="H334" s="234" t="s">
        <v>715</v>
      </c>
      <c r="I334" s="235"/>
      <c r="J334" s="235"/>
      <c r="K334" s="236">
        <f>SUM(K322:K333)</f>
        <v>2402300</v>
      </c>
    </row>
    <row r="335" spans="1:11" ht="12.9" customHeight="1" x14ac:dyDescent="0.25">
      <c r="A335" s="58"/>
      <c r="B335" s="59"/>
      <c r="C335" s="56"/>
      <c r="D335" s="56"/>
      <c r="E335" s="56"/>
      <c r="F335" s="56"/>
      <c r="G335" s="237"/>
      <c r="H335" s="238" t="s">
        <v>603</v>
      </c>
      <c r="I335" s="239">
        <f>$K$3</f>
        <v>0.15</v>
      </c>
      <c r="J335" s="240"/>
      <c r="K335" s="241">
        <f>I335*K334</f>
        <v>360345</v>
      </c>
    </row>
    <row r="336" spans="1:11" ht="12.9" customHeight="1" x14ac:dyDescent="0.25">
      <c r="A336" s="58"/>
      <c r="B336" s="59"/>
      <c r="C336" s="56"/>
      <c r="D336" s="56"/>
      <c r="E336" s="56"/>
      <c r="F336" s="56"/>
      <c r="G336" s="237"/>
      <c r="H336" s="238" t="s">
        <v>604</v>
      </c>
      <c r="I336" s="226"/>
      <c r="J336" s="226"/>
      <c r="K336" s="241">
        <f>SUM(K334:K335)</f>
        <v>2762645</v>
      </c>
    </row>
    <row r="337" spans="1:11" ht="12.9" customHeight="1" thickBot="1" x14ac:dyDescent="0.3">
      <c r="A337" s="242"/>
      <c r="B337" s="243"/>
      <c r="C337" s="244"/>
      <c r="D337" s="244"/>
      <c r="E337" s="244"/>
      <c r="F337" s="244"/>
      <c r="G337" s="245"/>
      <c r="H337" s="246" t="s">
        <v>605</v>
      </c>
      <c r="I337" s="247"/>
      <c r="J337" s="247"/>
      <c r="K337" s="248">
        <f>ROUND(K336,-1)</f>
        <v>2762650</v>
      </c>
    </row>
    <row r="338" spans="1:11" ht="14.1" customHeight="1" x14ac:dyDescent="0.25">
      <c r="A338" s="215">
        <v>24</v>
      </c>
      <c r="B338" s="651" t="s">
        <v>713</v>
      </c>
      <c r="C338" s="652"/>
      <c r="D338" s="216" t="s">
        <v>861</v>
      </c>
      <c r="E338" s="217"/>
      <c r="F338" s="218"/>
      <c r="G338" s="218"/>
      <c r="H338" s="219"/>
      <c r="I338" s="220"/>
      <c r="J338" s="221"/>
      <c r="K338" s="222"/>
    </row>
    <row r="339" spans="1:11" ht="13.2" customHeight="1" x14ac:dyDescent="0.25">
      <c r="A339" s="223"/>
      <c r="B339" s="224" t="s">
        <v>4</v>
      </c>
      <c r="C339" s="225" t="s">
        <v>755</v>
      </c>
      <c r="D339" s="226"/>
      <c r="E339" s="44"/>
      <c r="F339" s="227"/>
      <c r="G339" s="227"/>
      <c r="H339" s="228" t="s">
        <v>264</v>
      </c>
      <c r="I339" s="252">
        <v>12</v>
      </c>
      <c r="J339" s="60">
        <f>J322</f>
        <v>33700</v>
      </c>
      <c r="K339" s="230">
        <f>I339*J339</f>
        <v>404400</v>
      </c>
    </row>
    <row r="340" spans="1:11" ht="13.2" customHeight="1" x14ac:dyDescent="0.25">
      <c r="A340" s="223"/>
      <c r="B340" s="224" t="s">
        <v>30</v>
      </c>
      <c r="C340" s="225" t="s">
        <v>761</v>
      </c>
      <c r="D340" s="226"/>
      <c r="E340" s="44"/>
      <c r="F340" s="227"/>
      <c r="G340" s="227"/>
      <c r="H340" s="228" t="s">
        <v>203</v>
      </c>
      <c r="I340" s="253">
        <v>1</v>
      </c>
      <c r="J340" s="60">
        <f t="shared" ref="J340:J349" si="31">J323</f>
        <v>189500</v>
      </c>
      <c r="K340" s="230">
        <f t="shared" ref="K340:K350" si="32">I340*J340</f>
        <v>189500</v>
      </c>
    </row>
    <row r="341" spans="1:11" ht="13.2" customHeight="1" x14ac:dyDescent="0.25">
      <c r="A341" s="223"/>
      <c r="B341" s="224" t="s">
        <v>57</v>
      </c>
      <c r="C341" s="225" t="s">
        <v>768</v>
      </c>
      <c r="D341" s="226"/>
      <c r="E341" s="44"/>
      <c r="F341" s="227"/>
      <c r="G341" s="227"/>
      <c r="H341" s="228" t="s">
        <v>203</v>
      </c>
      <c r="I341" s="253">
        <v>1</v>
      </c>
      <c r="J341" s="60">
        <f t="shared" si="31"/>
        <v>221000</v>
      </c>
      <c r="K341" s="230">
        <f t="shared" si="32"/>
        <v>221000</v>
      </c>
    </row>
    <row r="342" spans="1:11" ht="13.2" customHeight="1" x14ac:dyDescent="0.25">
      <c r="A342" s="223"/>
      <c r="B342" s="224" t="s">
        <v>83</v>
      </c>
      <c r="C342" s="225" t="s">
        <v>714</v>
      </c>
      <c r="D342" s="226"/>
      <c r="E342" s="44"/>
      <c r="F342" s="227"/>
      <c r="G342" s="227"/>
      <c r="H342" s="228" t="s">
        <v>203</v>
      </c>
      <c r="I342" s="253">
        <v>5</v>
      </c>
      <c r="J342" s="60">
        <f t="shared" si="31"/>
        <v>14000</v>
      </c>
      <c r="K342" s="230">
        <f t="shared" si="32"/>
        <v>70000</v>
      </c>
    </row>
    <row r="343" spans="1:11" ht="13.2" customHeight="1" x14ac:dyDescent="0.25">
      <c r="A343" s="223"/>
      <c r="B343" s="224" t="s">
        <v>110</v>
      </c>
      <c r="C343" s="225" t="s">
        <v>841</v>
      </c>
      <c r="D343" s="226"/>
      <c r="E343" s="44"/>
      <c r="F343" s="227"/>
      <c r="G343" s="227"/>
      <c r="H343" s="228" t="s">
        <v>203</v>
      </c>
      <c r="I343" s="253">
        <v>1</v>
      </c>
      <c r="J343" s="60">
        <f t="shared" si="31"/>
        <v>175000</v>
      </c>
      <c r="K343" s="230">
        <f t="shared" si="32"/>
        <v>175000</v>
      </c>
    </row>
    <row r="344" spans="1:11" ht="13.2" customHeight="1" x14ac:dyDescent="0.25">
      <c r="A344" s="223"/>
      <c r="B344" s="224" t="s">
        <v>137</v>
      </c>
      <c r="C344" s="225" t="s">
        <v>756</v>
      </c>
      <c r="D344" s="226"/>
      <c r="E344" s="44"/>
      <c r="F344" s="227"/>
      <c r="G344" s="227"/>
      <c r="H344" s="228" t="s">
        <v>203</v>
      </c>
      <c r="I344" s="253">
        <v>1</v>
      </c>
      <c r="J344" s="60">
        <f t="shared" si="31"/>
        <v>105000</v>
      </c>
      <c r="K344" s="230">
        <f t="shared" si="32"/>
        <v>105000</v>
      </c>
    </row>
    <row r="345" spans="1:11" ht="13.2" customHeight="1" x14ac:dyDescent="0.25">
      <c r="A345" s="223"/>
      <c r="B345" s="224" t="s">
        <v>156</v>
      </c>
      <c r="C345" s="225" t="s">
        <v>764</v>
      </c>
      <c r="D345" s="226"/>
      <c r="E345" s="44"/>
      <c r="F345" s="227"/>
      <c r="G345" s="227"/>
      <c r="H345" s="228" t="s">
        <v>203</v>
      </c>
      <c r="I345" s="253">
        <v>4</v>
      </c>
      <c r="J345" s="60">
        <f t="shared" si="31"/>
        <v>112000</v>
      </c>
      <c r="K345" s="230">
        <f t="shared" si="32"/>
        <v>448000</v>
      </c>
    </row>
    <row r="346" spans="1:11" ht="13.2" customHeight="1" x14ac:dyDescent="0.25">
      <c r="A346" s="223"/>
      <c r="B346" s="224" t="s">
        <v>175</v>
      </c>
      <c r="C346" s="225" t="s">
        <v>757</v>
      </c>
      <c r="D346" s="226"/>
      <c r="E346" s="44"/>
      <c r="F346" s="227"/>
      <c r="G346" s="227"/>
      <c r="H346" s="228" t="s">
        <v>203</v>
      </c>
      <c r="I346" s="253">
        <v>6</v>
      </c>
      <c r="J346" s="60">
        <f t="shared" si="31"/>
        <v>41000</v>
      </c>
      <c r="K346" s="230">
        <f t="shared" si="32"/>
        <v>246000</v>
      </c>
    </row>
    <row r="347" spans="1:11" ht="13.2" customHeight="1" x14ac:dyDescent="0.25">
      <c r="A347" s="223"/>
      <c r="B347" s="224" t="s">
        <v>177</v>
      </c>
      <c r="C347" s="225" t="s">
        <v>1014</v>
      </c>
      <c r="D347" s="226"/>
      <c r="E347" s="44"/>
      <c r="F347" s="227"/>
      <c r="G347" s="227"/>
      <c r="H347" s="228" t="s">
        <v>235</v>
      </c>
      <c r="I347" s="253">
        <v>1</v>
      </c>
      <c r="J347" s="60">
        <f t="shared" si="31"/>
        <v>125000</v>
      </c>
      <c r="K347" s="230">
        <f t="shared" si="32"/>
        <v>125000</v>
      </c>
    </row>
    <row r="348" spans="1:11" ht="13.2" customHeight="1" x14ac:dyDescent="0.25">
      <c r="A348" s="223"/>
      <c r="B348" s="224" t="s">
        <v>197</v>
      </c>
      <c r="C348" s="225" t="s">
        <v>758</v>
      </c>
      <c r="D348" s="226"/>
      <c r="E348" s="44"/>
      <c r="F348" s="227"/>
      <c r="G348" s="227"/>
      <c r="H348" s="228" t="s">
        <v>203</v>
      </c>
      <c r="I348" s="253">
        <v>1</v>
      </c>
      <c r="J348" s="60">
        <f t="shared" si="31"/>
        <v>92700</v>
      </c>
      <c r="K348" s="230">
        <f t="shared" si="32"/>
        <v>92700</v>
      </c>
    </row>
    <row r="349" spans="1:11" ht="13.2" customHeight="1" x14ac:dyDescent="0.25">
      <c r="A349" s="223"/>
      <c r="B349" s="224" t="s">
        <v>198</v>
      </c>
      <c r="C349" s="225" t="s">
        <v>759</v>
      </c>
      <c r="D349" s="226"/>
      <c r="E349" s="44"/>
      <c r="F349" s="227"/>
      <c r="G349" s="227"/>
      <c r="H349" s="228" t="s">
        <v>203</v>
      </c>
      <c r="I349" s="253">
        <v>1</v>
      </c>
      <c r="J349" s="60">
        <f t="shared" si="31"/>
        <v>39000</v>
      </c>
      <c r="K349" s="230">
        <f t="shared" si="32"/>
        <v>39000</v>
      </c>
    </row>
    <row r="350" spans="1:11" ht="13.2" customHeight="1" x14ac:dyDescent="0.25">
      <c r="A350" s="223"/>
      <c r="B350" s="256" t="s">
        <v>200</v>
      </c>
      <c r="C350" s="257" t="s">
        <v>994</v>
      </c>
      <c r="D350" s="57"/>
      <c r="E350" s="258"/>
      <c r="F350" s="259"/>
      <c r="G350" s="259"/>
      <c r="H350" s="260" t="s">
        <v>235</v>
      </c>
      <c r="I350" s="261">
        <v>1</v>
      </c>
      <c r="J350" s="60">
        <f>J333</f>
        <v>253000</v>
      </c>
      <c r="K350" s="230">
        <f t="shared" si="32"/>
        <v>253000</v>
      </c>
    </row>
    <row r="351" spans="1:11" ht="12.9" customHeight="1" x14ac:dyDescent="0.25">
      <c r="A351" s="58"/>
      <c r="B351" s="231"/>
      <c r="C351" s="232"/>
      <c r="D351" s="232"/>
      <c r="E351" s="232"/>
      <c r="F351" s="232"/>
      <c r="G351" s="233"/>
      <c r="H351" s="234" t="s">
        <v>715</v>
      </c>
      <c r="I351" s="235"/>
      <c r="J351" s="235"/>
      <c r="K351" s="236">
        <f>SUM(K339:K350)</f>
        <v>2368600</v>
      </c>
    </row>
    <row r="352" spans="1:11" ht="12.9" customHeight="1" x14ac:dyDescent="0.25">
      <c r="A352" s="58"/>
      <c r="B352" s="59"/>
      <c r="C352" s="56"/>
      <c r="D352" s="56"/>
      <c r="E352" s="56"/>
      <c r="F352" s="56"/>
      <c r="G352" s="237"/>
      <c r="H352" s="238" t="s">
        <v>603</v>
      </c>
      <c r="I352" s="239">
        <f>$K$3</f>
        <v>0.15</v>
      </c>
      <c r="J352" s="240"/>
      <c r="K352" s="241">
        <f>I352*K351</f>
        <v>355290</v>
      </c>
    </row>
    <row r="353" spans="1:11" ht="12.9" customHeight="1" x14ac:dyDescent="0.25">
      <c r="A353" s="58"/>
      <c r="B353" s="59"/>
      <c r="C353" s="56"/>
      <c r="D353" s="56"/>
      <c r="E353" s="56"/>
      <c r="F353" s="56"/>
      <c r="G353" s="237"/>
      <c r="H353" s="238" t="s">
        <v>604</v>
      </c>
      <c r="I353" s="226"/>
      <c r="J353" s="226"/>
      <c r="K353" s="241">
        <f>SUM(K351:K352)</f>
        <v>2723890</v>
      </c>
    </row>
    <row r="354" spans="1:11" ht="12.9" customHeight="1" thickBot="1" x14ac:dyDescent="0.3">
      <c r="A354" s="242"/>
      <c r="B354" s="243"/>
      <c r="C354" s="244"/>
      <c r="D354" s="244"/>
      <c r="E354" s="244"/>
      <c r="F354" s="244"/>
      <c r="G354" s="245"/>
      <c r="H354" s="246" t="s">
        <v>605</v>
      </c>
      <c r="I354" s="247"/>
      <c r="J354" s="247"/>
      <c r="K354" s="248">
        <f>ROUND(K353,-1)</f>
        <v>2723890</v>
      </c>
    </row>
    <row r="355" spans="1:11" ht="14.1" customHeight="1" x14ac:dyDescent="0.25">
      <c r="A355" s="215">
        <v>25</v>
      </c>
      <c r="B355" s="651" t="s">
        <v>713</v>
      </c>
      <c r="C355" s="652"/>
      <c r="D355" s="216" t="s">
        <v>862</v>
      </c>
      <c r="E355" s="217"/>
      <c r="F355" s="218"/>
      <c r="G355" s="218"/>
      <c r="H355" s="219"/>
      <c r="I355" s="220"/>
      <c r="J355" s="221"/>
      <c r="K355" s="222"/>
    </row>
    <row r="356" spans="1:11" ht="13.2" customHeight="1" x14ac:dyDescent="0.25">
      <c r="A356" s="223"/>
      <c r="B356" s="224" t="s">
        <v>4</v>
      </c>
      <c r="C356" s="225" t="s">
        <v>755</v>
      </c>
      <c r="D356" s="226"/>
      <c r="E356" s="44"/>
      <c r="F356" s="227"/>
      <c r="G356" s="227"/>
      <c r="H356" s="228" t="s">
        <v>264</v>
      </c>
      <c r="I356" s="252">
        <v>10</v>
      </c>
      <c r="J356" s="60">
        <f>J339</f>
        <v>33700</v>
      </c>
      <c r="K356" s="230">
        <f>I356*J356</f>
        <v>337000</v>
      </c>
    </row>
    <row r="357" spans="1:11" ht="13.2" customHeight="1" x14ac:dyDescent="0.25">
      <c r="A357" s="223"/>
      <c r="B357" s="224" t="s">
        <v>30</v>
      </c>
      <c r="C357" s="225" t="s">
        <v>760</v>
      </c>
      <c r="D357" s="226"/>
      <c r="E357" s="44"/>
      <c r="F357" s="227"/>
      <c r="G357" s="227"/>
      <c r="H357" s="228" t="s">
        <v>203</v>
      </c>
      <c r="I357" s="253">
        <v>1</v>
      </c>
      <c r="J357" s="60">
        <f>'Harga Satuan Dasar mat'!G74</f>
        <v>156000</v>
      </c>
      <c r="K357" s="230">
        <f t="shared" ref="K357:K367" si="33">I357*J357</f>
        <v>156000</v>
      </c>
    </row>
    <row r="358" spans="1:11" ht="13.2" customHeight="1" x14ac:dyDescent="0.25">
      <c r="A358" s="223"/>
      <c r="B358" s="224" t="s">
        <v>57</v>
      </c>
      <c r="C358" s="225" t="s">
        <v>769</v>
      </c>
      <c r="D358" s="226"/>
      <c r="E358" s="44"/>
      <c r="F358" s="227"/>
      <c r="G358" s="227"/>
      <c r="H358" s="228" t="s">
        <v>203</v>
      </c>
      <c r="I358" s="253">
        <v>1</v>
      </c>
      <c r="J358" s="60">
        <f>'Harga Satuan Dasar mat'!G77</f>
        <v>181000</v>
      </c>
      <c r="K358" s="230">
        <f t="shared" si="33"/>
        <v>181000</v>
      </c>
    </row>
    <row r="359" spans="1:11" ht="13.2" customHeight="1" x14ac:dyDescent="0.25">
      <c r="A359" s="223"/>
      <c r="B359" s="224" t="s">
        <v>83</v>
      </c>
      <c r="C359" s="225" t="s">
        <v>714</v>
      </c>
      <c r="D359" s="226"/>
      <c r="E359" s="44"/>
      <c r="F359" s="227"/>
      <c r="G359" s="227"/>
      <c r="H359" s="228" t="s">
        <v>203</v>
      </c>
      <c r="I359" s="253">
        <v>5</v>
      </c>
      <c r="J359" s="60">
        <f t="shared" ref="J359:J366" si="34">J342</f>
        <v>14000</v>
      </c>
      <c r="K359" s="230">
        <f t="shared" si="33"/>
        <v>70000</v>
      </c>
    </row>
    <row r="360" spans="1:11" ht="13.2" customHeight="1" x14ac:dyDescent="0.25">
      <c r="A360" s="223"/>
      <c r="B360" s="224" t="s">
        <v>110</v>
      </c>
      <c r="C360" s="225" t="s">
        <v>863</v>
      </c>
      <c r="D360" s="226"/>
      <c r="E360" s="44"/>
      <c r="F360" s="227"/>
      <c r="G360" s="227"/>
      <c r="H360" s="228" t="s">
        <v>203</v>
      </c>
      <c r="I360" s="253">
        <v>1</v>
      </c>
      <c r="J360" s="60">
        <f>J278</f>
        <v>100000</v>
      </c>
      <c r="K360" s="230">
        <f t="shared" si="33"/>
        <v>100000</v>
      </c>
    </row>
    <row r="361" spans="1:11" ht="13.2" customHeight="1" x14ac:dyDescent="0.25">
      <c r="A361" s="223"/>
      <c r="B361" s="224" t="s">
        <v>137</v>
      </c>
      <c r="C361" s="225" t="s">
        <v>864</v>
      </c>
      <c r="D361" s="226"/>
      <c r="E361" s="44"/>
      <c r="F361" s="227"/>
      <c r="G361" s="227"/>
      <c r="H361" s="228" t="s">
        <v>203</v>
      </c>
      <c r="I361" s="253">
        <v>1</v>
      </c>
      <c r="J361" s="60">
        <f>J264</f>
        <v>85000</v>
      </c>
      <c r="K361" s="230">
        <f t="shared" si="33"/>
        <v>85000</v>
      </c>
    </row>
    <row r="362" spans="1:11" ht="13.2" customHeight="1" x14ac:dyDescent="0.25">
      <c r="A362" s="223"/>
      <c r="B362" s="224" t="s">
        <v>156</v>
      </c>
      <c r="C362" s="225" t="s">
        <v>764</v>
      </c>
      <c r="D362" s="226"/>
      <c r="E362" s="44"/>
      <c r="F362" s="227"/>
      <c r="G362" s="227"/>
      <c r="H362" s="228" t="s">
        <v>203</v>
      </c>
      <c r="I362" s="253">
        <v>4</v>
      </c>
      <c r="J362" s="60">
        <f t="shared" si="34"/>
        <v>112000</v>
      </c>
      <c r="K362" s="230">
        <f t="shared" si="33"/>
        <v>448000</v>
      </c>
    </row>
    <row r="363" spans="1:11" ht="13.2" customHeight="1" x14ac:dyDescent="0.25">
      <c r="A363" s="223"/>
      <c r="B363" s="224" t="s">
        <v>175</v>
      </c>
      <c r="C363" s="225" t="s">
        <v>757</v>
      </c>
      <c r="D363" s="226"/>
      <c r="E363" s="44"/>
      <c r="F363" s="227"/>
      <c r="G363" s="227"/>
      <c r="H363" s="228" t="s">
        <v>203</v>
      </c>
      <c r="I363" s="253">
        <v>6</v>
      </c>
      <c r="J363" s="60">
        <f t="shared" si="34"/>
        <v>41000</v>
      </c>
      <c r="K363" s="230">
        <f t="shared" si="33"/>
        <v>246000</v>
      </c>
    </row>
    <row r="364" spans="1:11" ht="13.2" customHeight="1" x14ac:dyDescent="0.25">
      <c r="A364" s="223"/>
      <c r="B364" s="224" t="s">
        <v>177</v>
      </c>
      <c r="C364" s="225" t="s">
        <v>770</v>
      </c>
      <c r="D364" s="226"/>
      <c r="E364" s="44"/>
      <c r="F364" s="227"/>
      <c r="G364" s="227"/>
      <c r="H364" s="228" t="s">
        <v>235</v>
      </c>
      <c r="I364" s="253">
        <v>1</v>
      </c>
      <c r="J364" s="60">
        <f>'Harga Satuan Dasar mat'!G405</f>
        <v>105000</v>
      </c>
      <c r="K364" s="230">
        <f t="shared" si="33"/>
        <v>105000</v>
      </c>
    </row>
    <row r="365" spans="1:11" ht="13.2" customHeight="1" x14ac:dyDescent="0.25">
      <c r="A365" s="223"/>
      <c r="B365" s="224" t="s">
        <v>197</v>
      </c>
      <c r="C365" s="225" t="s">
        <v>758</v>
      </c>
      <c r="D365" s="226"/>
      <c r="E365" s="44"/>
      <c r="F365" s="227"/>
      <c r="G365" s="227"/>
      <c r="H365" s="228" t="s">
        <v>203</v>
      </c>
      <c r="I365" s="253">
        <v>1</v>
      </c>
      <c r="J365" s="60">
        <f t="shared" si="34"/>
        <v>92700</v>
      </c>
      <c r="K365" s="230">
        <f t="shared" si="33"/>
        <v>92700</v>
      </c>
    </row>
    <row r="366" spans="1:11" ht="13.2" customHeight="1" x14ac:dyDescent="0.25">
      <c r="A366" s="223"/>
      <c r="B366" s="224" t="s">
        <v>198</v>
      </c>
      <c r="C366" s="225" t="s">
        <v>759</v>
      </c>
      <c r="D366" s="226"/>
      <c r="E366" s="44"/>
      <c r="F366" s="227"/>
      <c r="G366" s="227"/>
      <c r="H366" s="228" t="s">
        <v>203</v>
      </c>
      <c r="I366" s="253">
        <v>1</v>
      </c>
      <c r="J366" s="60">
        <f t="shared" si="34"/>
        <v>39000</v>
      </c>
      <c r="K366" s="230">
        <f t="shared" si="33"/>
        <v>39000</v>
      </c>
    </row>
    <row r="367" spans="1:11" ht="13.2" customHeight="1" x14ac:dyDescent="0.25">
      <c r="A367" s="223"/>
      <c r="B367" s="256" t="s">
        <v>200</v>
      </c>
      <c r="C367" s="257" t="s">
        <v>994</v>
      </c>
      <c r="D367" s="57"/>
      <c r="E367" s="258"/>
      <c r="F367" s="259"/>
      <c r="G367" s="259"/>
      <c r="H367" s="260" t="s">
        <v>235</v>
      </c>
      <c r="I367" s="261">
        <v>1</v>
      </c>
      <c r="J367" s="60">
        <f>J350</f>
        <v>253000</v>
      </c>
      <c r="K367" s="230">
        <f t="shared" si="33"/>
        <v>253000</v>
      </c>
    </row>
    <row r="368" spans="1:11" ht="12.9" customHeight="1" x14ac:dyDescent="0.25">
      <c r="A368" s="58"/>
      <c r="B368" s="231"/>
      <c r="C368" s="232"/>
      <c r="D368" s="232"/>
      <c r="E368" s="232"/>
      <c r="F368" s="232"/>
      <c r="G368" s="233"/>
      <c r="H368" s="234" t="s">
        <v>715</v>
      </c>
      <c r="I368" s="235"/>
      <c r="J368" s="235"/>
      <c r="K368" s="236">
        <f>SUM(K356:K367)</f>
        <v>2112700</v>
      </c>
    </row>
    <row r="369" spans="1:11" ht="12.9" customHeight="1" x14ac:dyDescent="0.25">
      <c r="A369" s="58"/>
      <c r="B369" s="59"/>
      <c r="C369" s="56"/>
      <c r="D369" s="56"/>
      <c r="E369" s="56"/>
      <c r="F369" s="56"/>
      <c r="G369" s="237"/>
      <c r="H369" s="238" t="s">
        <v>603</v>
      </c>
      <c r="I369" s="239">
        <f>$K$3</f>
        <v>0.15</v>
      </c>
      <c r="J369" s="240"/>
      <c r="K369" s="241">
        <f>I369*K368</f>
        <v>316905</v>
      </c>
    </row>
    <row r="370" spans="1:11" ht="12.9" customHeight="1" x14ac:dyDescent="0.25">
      <c r="A370" s="58"/>
      <c r="B370" s="59"/>
      <c r="C370" s="56"/>
      <c r="D370" s="56"/>
      <c r="E370" s="56"/>
      <c r="F370" s="56"/>
      <c r="G370" s="237"/>
      <c r="H370" s="238" t="s">
        <v>604</v>
      </c>
      <c r="I370" s="226"/>
      <c r="J370" s="226"/>
      <c r="K370" s="241">
        <f>SUM(K368:K369)</f>
        <v>2429605</v>
      </c>
    </row>
    <row r="371" spans="1:11" ht="12.9" customHeight="1" thickBot="1" x14ac:dyDescent="0.3">
      <c r="A371" s="242"/>
      <c r="B371" s="243"/>
      <c r="C371" s="244"/>
      <c r="D371" s="244"/>
      <c r="E371" s="244"/>
      <c r="F371" s="244"/>
      <c r="G371" s="245"/>
      <c r="H371" s="246" t="s">
        <v>605</v>
      </c>
      <c r="I371" s="247"/>
      <c r="J371" s="247"/>
      <c r="K371" s="248">
        <f>ROUND(K370,-1)</f>
        <v>2429610</v>
      </c>
    </row>
    <row r="372" spans="1:11" ht="14.1" customHeight="1" x14ac:dyDescent="0.25">
      <c r="A372" s="215">
        <v>26</v>
      </c>
      <c r="B372" s="651" t="s">
        <v>713</v>
      </c>
      <c r="C372" s="652"/>
      <c r="D372" s="216" t="s">
        <v>865</v>
      </c>
      <c r="E372" s="217"/>
      <c r="F372" s="218"/>
      <c r="G372" s="218"/>
      <c r="H372" s="219"/>
      <c r="I372" s="220"/>
      <c r="J372" s="221"/>
      <c r="K372" s="222"/>
    </row>
    <row r="373" spans="1:11" ht="13.2" customHeight="1" x14ac:dyDescent="0.25">
      <c r="A373" s="223"/>
      <c r="B373" s="224" t="s">
        <v>4</v>
      </c>
      <c r="C373" s="225" t="s">
        <v>755</v>
      </c>
      <c r="D373" s="226"/>
      <c r="E373" s="44"/>
      <c r="F373" s="227"/>
      <c r="G373" s="227"/>
      <c r="H373" s="228" t="s">
        <v>264</v>
      </c>
      <c r="I373" s="252">
        <v>14</v>
      </c>
      <c r="J373" s="60">
        <f>J356</f>
        <v>33700</v>
      </c>
      <c r="K373" s="230">
        <f>I373*J373</f>
        <v>471800</v>
      </c>
    </row>
    <row r="374" spans="1:11" ht="13.2" customHeight="1" x14ac:dyDescent="0.25">
      <c r="A374" s="223"/>
      <c r="B374" s="224" t="s">
        <v>30</v>
      </c>
      <c r="C374" s="225" t="s">
        <v>771</v>
      </c>
      <c r="D374" s="226"/>
      <c r="E374" s="44"/>
      <c r="F374" s="227"/>
      <c r="G374" s="227"/>
      <c r="H374" s="228" t="s">
        <v>203</v>
      </c>
      <c r="I374" s="253">
        <v>1</v>
      </c>
      <c r="J374" s="60">
        <f>'Harga Satuan Dasar mat'!G78</f>
        <v>189500</v>
      </c>
      <c r="K374" s="230">
        <f t="shared" ref="K374:K384" si="35">I374*J374</f>
        <v>189500</v>
      </c>
    </row>
    <row r="375" spans="1:11" ht="13.2" customHeight="1" x14ac:dyDescent="0.25">
      <c r="A375" s="223"/>
      <c r="B375" s="224" t="s">
        <v>57</v>
      </c>
      <c r="C375" s="225" t="s">
        <v>768</v>
      </c>
      <c r="D375" s="226"/>
      <c r="E375" s="44"/>
      <c r="F375" s="227"/>
      <c r="G375" s="227"/>
      <c r="H375" s="228" t="s">
        <v>203</v>
      </c>
      <c r="I375" s="253">
        <v>1</v>
      </c>
      <c r="J375" s="60">
        <f>'Harga Satuan Dasar mat'!G82</f>
        <v>221000</v>
      </c>
      <c r="K375" s="230">
        <f t="shared" si="35"/>
        <v>221000</v>
      </c>
    </row>
    <row r="376" spans="1:11" ht="13.2" customHeight="1" x14ac:dyDescent="0.25">
      <c r="A376" s="223"/>
      <c r="B376" s="224" t="s">
        <v>83</v>
      </c>
      <c r="C376" s="225" t="s">
        <v>714</v>
      </c>
      <c r="D376" s="226"/>
      <c r="E376" s="44"/>
      <c r="F376" s="227"/>
      <c r="G376" s="227"/>
      <c r="H376" s="228" t="s">
        <v>203</v>
      </c>
      <c r="I376" s="253">
        <v>5</v>
      </c>
      <c r="J376" s="60">
        <f>J308</f>
        <v>14000</v>
      </c>
      <c r="K376" s="230">
        <f t="shared" si="35"/>
        <v>70000</v>
      </c>
    </row>
    <row r="377" spans="1:11" ht="13.2" customHeight="1" x14ac:dyDescent="0.25">
      <c r="A377" s="223"/>
      <c r="B377" s="224" t="s">
        <v>110</v>
      </c>
      <c r="C377" s="225" t="s">
        <v>866</v>
      </c>
      <c r="D377" s="226"/>
      <c r="E377" s="44"/>
      <c r="F377" s="227"/>
      <c r="G377" s="227"/>
      <c r="H377" s="228" t="s">
        <v>203</v>
      </c>
      <c r="I377" s="253">
        <v>1</v>
      </c>
      <c r="J377" s="60">
        <f>J309</f>
        <v>175000</v>
      </c>
      <c r="K377" s="230">
        <f t="shared" si="35"/>
        <v>175000</v>
      </c>
    </row>
    <row r="378" spans="1:11" ht="13.2" customHeight="1" x14ac:dyDescent="0.25">
      <c r="A378" s="223"/>
      <c r="B378" s="224" t="s">
        <v>137</v>
      </c>
      <c r="C378" s="225" t="s">
        <v>756</v>
      </c>
      <c r="D378" s="226"/>
      <c r="E378" s="44"/>
      <c r="F378" s="227"/>
      <c r="G378" s="227"/>
      <c r="H378" s="228" t="s">
        <v>203</v>
      </c>
      <c r="I378" s="253">
        <v>1</v>
      </c>
      <c r="J378" s="60">
        <f>J327</f>
        <v>105000</v>
      </c>
      <c r="K378" s="230">
        <f t="shared" si="35"/>
        <v>105000</v>
      </c>
    </row>
    <row r="379" spans="1:11" ht="13.2" customHeight="1" x14ac:dyDescent="0.25">
      <c r="A379" s="223"/>
      <c r="B379" s="224" t="s">
        <v>156</v>
      </c>
      <c r="C379" s="225" t="s">
        <v>764</v>
      </c>
      <c r="D379" s="226"/>
      <c r="E379" s="44"/>
      <c r="F379" s="227"/>
      <c r="G379" s="227"/>
      <c r="H379" s="228" t="s">
        <v>203</v>
      </c>
      <c r="I379" s="253">
        <v>4</v>
      </c>
      <c r="J379" s="60">
        <f>J328</f>
        <v>112000</v>
      </c>
      <c r="K379" s="230">
        <f t="shared" si="35"/>
        <v>448000</v>
      </c>
    </row>
    <row r="380" spans="1:11" ht="13.2" customHeight="1" x14ac:dyDescent="0.25">
      <c r="A380" s="223"/>
      <c r="B380" s="224" t="s">
        <v>175</v>
      </c>
      <c r="C380" s="225" t="s">
        <v>757</v>
      </c>
      <c r="D380" s="226"/>
      <c r="E380" s="44"/>
      <c r="F380" s="227"/>
      <c r="G380" s="227"/>
      <c r="H380" s="228" t="s">
        <v>203</v>
      </c>
      <c r="I380" s="253">
        <v>6</v>
      </c>
      <c r="J380" s="60">
        <f>J312</f>
        <v>41000</v>
      </c>
      <c r="K380" s="230">
        <f t="shared" si="35"/>
        <v>246000</v>
      </c>
    </row>
    <row r="381" spans="1:11" ht="13.2" customHeight="1" x14ac:dyDescent="0.25">
      <c r="A381" s="223"/>
      <c r="B381" s="224" t="s">
        <v>177</v>
      </c>
      <c r="C381" s="225" t="s">
        <v>1014</v>
      </c>
      <c r="D381" s="226"/>
      <c r="E381" s="44"/>
      <c r="F381" s="227"/>
      <c r="G381" s="227"/>
      <c r="H381" s="228" t="s">
        <v>235</v>
      </c>
      <c r="I381" s="253">
        <v>1</v>
      </c>
      <c r="J381" s="60">
        <f>J313</f>
        <v>125000</v>
      </c>
      <c r="K381" s="230">
        <f t="shared" si="35"/>
        <v>125000</v>
      </c>
    </row>
    <row r="382" spans="1:11" ht="13.2" customHeight="1" x14ac:dyDescent="0.25">
      <c r="A382" s="223"/>
      <c r="B382" s="224" t="s">
        <v>197</v>
      </c>
      <c r="C382" s="225" t="s">
        <v>758</v>
      </c>
      <c r="D382" s="226"/>
      <c r="E382" s="44"/>
      <c r="F382" s="227"/>
      <c r="G382" s="227"/>
      <c r="H382" s="228" t="s">
        <v>203</v>
      </c>
      <c r="I382" s="253">
        <v>1</v>
      </c>
      <c r="J382" s="60">
        <f>J314</f>
        <v>92700</v>
      </c>
      <c r="K382" s="230">
        <f t="shared" si="35"/>
        <v>92700</v>
      </c>
    </row>
    <row r="383" spans="1:11" ht="13.2" customHeight="1" x14ac:dyDescent="0.25">
      <c r="A383" s="223"/>
      <c r="B383" s="224" t="s">
        <v>198</v>
      </c>
      <c r="C383" s="225" t="s">
        <v>759</v>
      </c>
      <c r="D383" s="226"/>
      <c r="E383" s="44"/>
      <c r="F383" s="227"/>
      <c r="G383" s="227"/>
      <c r="H383" s="228" t="s">
        <v>203</v>
      </c>
      <c r="I383" s="253">
        <v>1</v>
      </c>
      <c r="J383" s="60">
        <f>J315</f>
        <v>39000</v>
      </c>
      <c r="K383" s="230">
        <f t="shared" si="35"/>
        <v>39000</v>
      </c>
    </row>
    <row r="384" spans="1:11" ht="13.2" customHeight="1" x14ac:dyDescent="0.25">
      <c r="A384" s="223"/>
      <c r="B384" s="256" t="s">
        <v>200</v>
      </c>
      <c r="C384" s="257" t="s">
        <v>994</v>
      </c>
      <c r="D384" s="57"/>
      <c r="E384" s="258"/>
      <c r="F384" s="259"/>
      <c r="G384" s="259"/>
      <c r="H384" s="260" t="s">
        <v>235</v>
      </c>
      <c r="I384" s="261">
        <v>1</v>
      </c>
      <c r="J384" s="60">
        <f>J316</f>
        <v>253000</v>
      </c>
      <c r="K384" s="230">
        <f t="shared" si="35"/>
        <v>253000</v>
      </c>
    </row>
    <row r="385" spans="1:11" ht="12.9" customHeight="1" x14ac:dyDescent="0.25">
      <c r="A385" s="58"/>
      <c r="B385" s="231"/>
      <c r="C385" s="232"/>
      <c r="D385" s="232"/>
      <c r="E385" s="232"/>
      <c r="F385" s="232"/>
      <c r="G385" s="233"/>
      <c r="H385" s="234" t="s">
        <v>715</v>
      </c>
      <c r="I385" s="235"/>
      <c r="J385" s="235"/>
      <c r="K385" s="236">
        <f>SUM(K373:K384)</f>
        <v>2436000</v>
      </c>
    </row>
    <row r="386" spans="1:11" ht="12.9" customHeight="1" x14ac:dyDescent="0.25">
      <c r="A386" s="58"/>
      <c r="B386" s="59"/>
      <c r="C386" s="56"/>
      <c r="D386" s="56"/>
      <c r="E386" s="56"/>
      <c r="F386" s="56"/>
      <c r="G386" s="237"/>
      <c r="H386" s="238" t="s">
        <v>603</v>
      </c>
      <c r="I386" s="239">
        <f>$K$3</f>
        <v>0.15</v>
      </c>
      <c r="J386" s="240"/>
      <c r="K386" s="241">
        <f>I386*K385</f>
        <v>365400</v>
      </c>
    </row>
    <row r="387" spans="1:11" ht="12.9" customHeight="1" x14ac:dyDescent="0.25">
      <c r="A387" s="58"/>
      <c r="B387" s="59"/>
      <c r="C387" s="56"/>
      <c r="D387" s="56"/>
      <c r="E387" s="56"/>
      <c r="F387" s="56"/>
      <c r="G387" s="237"/>
      <c r="H387" s="238" t="s">
        <v>604</v>
      </c>
      <c r="I387" s="226"/>
      <c r="J387" s="226"/>
      <c r="K387" s="241">
        <f>SUM(K385:K386)</f>
        <v>2801400</v>
      </c>
    </row>
    <row r="388" spans="1:11" ht="12.9" customHeight="1" thickBot="1" x14ac:dyDescent="0.3">
      <c r="A388" s="242"/>
      <c r="B388" s="243"/>
      <c r="C388" s="244"/>
      <c r="D388" s="244"/>
      <c r="E388" s="244"/>
      <c r="F388" s="244"/>
      <c r="G388" s="245"/>
      <c r="H388" s="246" t="s">
        <v>605</v>
      </c>
      <c r="I388" s="247"/>
      <c r="J388" s="247"/>
      <c r="K388" s="248">
        <f>ROUND(K387,-1)</f>
        <v>2801400</v>
      </c>
    </row>
    <row r="389" spans="1:11" ht="14.1" customHeight="1" x14ac:dyDescent="0.25">
      <c r="A389" s="215">
        <v>27</v>
      </c>
      <c r="B389" s="651" t="s">
        <v>713</v>
      </c>
      <c r="C389" s="652"/>
      <c r="D389" s="216" t="s">
        <v>867</v>
      </c>
      <c r="E389" s="217"/>
      <c r="F389" s="218"/>
      <c r="G389" s="218"/>
      <c r="H389" s="219"/>
      <c r="I389" s="220"/>
      <c r="J389" s="221"/>
      <c r="K389" s="222"/>
    </row>
    <row r="390" spans="1:11" ht="13.2" customHeight="1" x14ac:dyDescent="0.25">
      <c r="A390" s="223"/>
      <c r="B390" s="224" t="s">
        <v>4</v>
      </c>
      <c r="C390" s="225" t="s">
        <v>755</v>
      </c>
      <c r="D390" s="226"/>
      <c r="E390" s="44"/>
      <c r="F390" s="227"/>
      <c r="G390" s="227"/>
      <c r="H390" s="228" t="s">
        <v>264</v>
      </c>
      <c r="I390" s="252">
        <v>13</v>
      </c>
      <c r="J390" s="60">
        <f>J373</f>
        <v>33700</v>
      </c>
      <c r="K390" s="230">
        <f>I390*J390</f>
        <v>438100</v>
      </c>
    </row>
    <row r="391" spans="1:11" ht="13.2" customHeight="1" x14ac:dyDescent="0.25">
      <c r="A391" s="223"/>
      <c r="B391" s="224" t="s">
        <v>30</v>
      </c>
      <c r="C391" s="225" t="s">
        <v>760</v>
      </c>
      <c r="D391" s="226"/>
      <c r="E391" s="44"/>
      <c r="F391" s="227"/>
      <c r="G391" s="227"/>
      <c r="H391" s="228" t="s">
        <v>203</v>
      </c>
      <c r="I391" s="253">
        <v>1</v>
      </c>
      <c r="J391" s="60">
        <f>'Harga Satuan Dasar mat'!G74</f>
        <v>156000</v>
      </c>
      <c r="K391" s="230">
        <f t="shared" ref="K391:K401" si="36">I391*J391</f>
        <v>156000</v>
      </c>
    </row>
    <row r="392" spans="1:11" ht="13.2" customHeight="1" x14ac:dyDescent="0.25">
      <c r="A392" s="223"/>
      <c r="B392" s="224" t="s">
        <v>57</v>
      </c>
      <c r="C392" s="225" t="s">
        <v>772</v>
      </c>
      <c r="D392" s="226"/>
      <c r="E392" s="44"/>
      <c r="F392" s="227"/>
      <c r="G392" s="227"/>
      <c r="H392" s="228" t="s">
        <v>203</v>
      </c>
      <c r="I392" s="253">
        <v>1</v>
      </c>
      <c r="J392" s="60">
        <f>'Harga Satuan Dasar mat'!G78</f>
        <v>189500</v>
      </c>
      <c r="K392" s="230">
        <f t="shared" si="36"/>
        <v>189500</v>
      </c>
    </row>
    <row r="393" spans="1:11" ht="13.2" customHeight="1" x14ac:dyDescent="0.25">
      <c r="A393" s="223"/>
      <c r="B393" s="224" t="s">
        <v>83</v>
      </c>
      <c r="C393" s="225" t="s">
        <v>714</v>
      </c>
      <c r="D393" s="226"/>
      <c r="E393" s="44"/>
      <c r="F393" s="227"/>
      <c r="G393" s="227"/>
      <c r="H393" s="228" t="s">
        <v>203</v>
      </c>
      <c r="I393" s="253">
        <v>5</v>
      </c>
      <c r="J393" s="60">
        <f>J359</f>
        <v>14000</v>
      </c>
      <c r="K393" s="230">
        <f t="shared" si="36"/>
        <v>70000</v>
      </c>
    </row>
    <row r="394" spans="1:11" ht="13.2" customHeight="1" x14ac:dyDescent="0.25">
      <c r="A394" s="223"/>
      <c r="B394" s="224" t="s">
        <v>110</v>
      </c>
      <c r="C394" s="225" t="s">
        <v>866</v>
      </c>
      <c r="D394" s="226"/>
      <c r="E394" s="44"/>
      <c r="F394" s="227"/>
      <c r="G394" s="227"/>
      <c r="H394" s="228" t="s">
        <v>203</v>
      </c>
      <c r="I394" s="253">
        <v>1</v>
      </c>
      <c r="J394" s="60">
        <f t="shared" ref="J394:J401" si="37">J377</f>
        <v>175000</v>
      </c>
      <c r="K394" s="230">
        <f t="shared" si="36"/>
        <v>175000</v>
      </c>
    </row>
    <row r="395" spans="1:11" ht="13.2" customHeight="1" x14ac:dyDescent="0.25">
      <c r="A395" s="223"/>
      <c r="B395" s="224" t="s">
        <v>137</v>
      </c>
      <c r="C395" s="225" t="s">
        <v>756</v>
      </c>
      <c r="D395" s="226"/>
      <c r="E395" s="44"/>
      <c r="F395" s="227"/>
      <c r="G395" s="227"/>
      <c r="H395" s="228" t="s">
        <v>203</v>
      </c>
      <c r="I395" s="253">
        <v>1</v>
      </c>
      <c r="J395" s="60">
        <f t="shared" si="37"/>
        <v>105000</v>
      </c>
      <c r="K395" s="230">
        <f t="shared" si="36"/>
        <v>105000</v>
      </c>
    </row>
    <row r="396" spans="1:11" ht="13.2" customHeight="1" x14ac:dyDescent="0.25">
      <c r="A396" s="223"/>
      <c r="B396" s="224" t="s">
        <v>156</v>
      </c>
      <c r="C396" s="225" t="s">
        <v>764</v>
      </c>
      <c r="D396" s="226"/>
      <c r="E396" s="44"/>
      <c r="F396" s="227"/>
      <c r="G396" s="227"/>
      <c r="H396" s="228" t="s">
        <v>203</v>
      </c>
      <c r="I396" s="253">
        <v>4</v>
      </c>
      <c r="J396" s="60">
        <f t="shared" si="37"/>
        <v>112000</v>
      </c>
      <c r="K396" s="230">
        <f t="shared" si="36"/>
        <v>448000</v>
      </c>
    </row>
    <row r="397" spans="1:11" ht="13.2" customHeight="1" x14ac:dyDescent="0.25">
      <c r="A397" s="223"/>
      <c r="B397" s="224" t="s">
        <v>175</v>
      </c>
      <c r="C397" s="225" t="s">
        <v>757</v>
      </c>
      <c r="D397" s="226"/>
      <c r="E397" s="44"/>
      <c r="F397" s="227"/>
      <c r="G397" s="227"/>
      <c r="H397" s="228" t="s">
        <v>203</v>
      </c>
      <c r="I397" s="253">
        <v>6</v>
      </c>
      <c r="J397" s="60">
        <f t="shared" si="37"/>
        <v>41000</v>
      </c>
      <c r="K397" s="230">
        <f t="shared" si="36"/>
        <v>246000</v>
      </c>
    </row>
    <row r="398" spans="1:11" ht="13.2" customHeight="1" x14ac:dyDescent="0.25">
      <c r="A398" s="223"/>
      <c r="B398" s="224" t="s">
        <v>177</v>
      </c>
      <c r="C398" s="225" t="s">
        <v>1014</v>
      </c>
      <c r="D398" s="226"/>
      <c r="E398" s="44"/>
      <c r="F398" s="227"/>
      <c r="G398" s="227"/>
      <c r="H398" s="228" t="s">
        <v>235</v>
      </c>
      <c r="I398" s="253">
        <v>1</v>
      </c>
      <c r="J398" s="60">
        <f t="shared" si="37"/>
        <v>125000</v>
      </c>
      <c r="K398" s="230">
        <f t="shared" si="36"/>
        <v>125000</v>
      </c>
    </row>
    <row r="399" spans="1:11" ht="13.2" customHeight="1" x14ac:dyDescent="0.25">
      <c r="A399" s="223"/>
      <c r="B399" s="224" t="s">
        <v>197</v>
      </c>
      <c r="C399" s="225" t="s">
        <v>758</v>
      </c>
      <c r="D399" s="226"/>
      <c r="E399" s="44"/>
      <c r="F399" s="227"/>
      <c r="G399" s="227"/>
      <c r="H399" s="228" t="s">
        <v>203</v>
      </c>
      <c r="I399" s="253">
        <v>1</v>
      </c>
      <c r="J399" s="60">
        <f t="shared" si="37"/>
        <v>92700</v>
      </c>
      <c r="K399" s="230">
        <f t="shared" si="36"/>
        <v>92700</v>
      </c>
    </row>
    <row r="400" spans="1:11" ht="13.2" customHeight="1" x14ac:dyDescent="0.25">
      <c r="A400" s="223"/>
      <c r="B400" s="224" t="s">
        <v>198</v>
      </c>
      <c r="C400" s="225" t="s">
        <v>759</v>
      </c>
      <c r="D400" s="226"/>
      <c r="E400" s="44"/>
      <c r="F400" s="227"/>
      <c r="G400" s="227"/>
      <c r="H400" s="228" t="s">
        <v>203</v>
      </c>
      <c r="I400" s="253">
        <v>1</v>
      </c>
      <c r="J400" s="60">
        <f t="shared" si="37"/>
        <v>39000</v>
      </c>
      <c r="K400" s="230">
        <f t="shared" si="36"/>
        <v>39000</v>
      </c>
    </row>
    <row r="401" spans="1:11" ht="13.2" customHeight="1" x14ac:dyDescent="0.25">
      <c r="A401" s="223"/>
      <c r="B401" s="256" t="s">
        <v>200</v>
      </c>
      <c r="C401" s="257" t="s">
        <v>994</v>
      </c>
      <c r="D401" s="57"/>
      <c r="E401" s="258"/>
      <c r="F401" s="259"/>
      <c r="G401" s="259"/>
      <c r="H401" s="260" t="s">
        <v>235</v>
      </c>
      <c r="I401" s="261">
        <v>1</v>
      </c>
      <c r="J401" s="60">
        <f t="shared" si="37"/>
        <v>253000</v>
      </c>
      <c r="K401" s="230">
        <f t="shared" si="36"/>
        <v>253000</v>
      </c>
    </row>
    <row r="402" spans="1:11" ht="12.9" customHeight="1" x14ac:dyDescent="0.25">
      <c r="A402" s="58"/>
      <c r="B402" s="231"/>
      <c r="C402" s="232"/>
      <c r="D402" s="232"/>
      <c r="E402" s="232"/>
      <c r="F402" s="232"/>
      <c r="G402" s="233"/>
      <c r="H402" s="234" t="s">
        <v>715</v>
      </c>
      <c r="I402" s="235"/>
      <c r="J402" s="235"/>
      <c r="K402" s="236">
        <f>SUM(K390:K401)</f>
        <v>2337300</v>
      </c>
    </row>
    <row r="403" spans="1:11" ht="12.9" customHeight="1" x14ac:dyDescent="0.25">
      <c r="A403" s="58"/>
      <c r="B403" s="59"/>
      <c r="C403" s="56"/>
      <c r="D403" s="56"/>
      <c r="E403" s="56"/>
      <c r="F403" s="56"/>
      <c r="G403" s="237"/>
      <c r="H403" s="238" t="s">
        <v>603</v>
      </c>
      <c r="I403" s="239">
        <f>$K$3</f>
        <v>0.15</v>
      </c>
      <c r="J403" s="240"/>
      <c r="K403" s="241">
        <f>I403*K402</f>
        <v>350595</v>
      </c>
    </row>
    <row r="404" spans="1:11" ht="12.9" customHeight="1" x14ac:dyDescent="0.25">
      <c r="A404" s="58"/>
      <c r="B404" s="59"/>
      <c r="C404" s="56"/>
      <c r="D404" s="56"/>
      <c r="E404" s="56"/>
      <c r="F404" s="56"/>
      <c r="G404" s="237"/>
      <c r="H404" s="238" t="s">
        <v>604</v>
      </c>
      <c r="I404" s="226"/>
      <c r="J404" s="226"/>
      <c r="K404" s="241">
        <f>SUM(K402:K403)</f>
        <v>2687895</v>
      </c>
    </row>
    <row r="405" spans="1:11" ht="12.9" customHeight="1" thickBot="1" x14ac:dyDescent="0.3">
      <c r="A405" s="242"/>
      <c r="B405" s="243"/>
      <c r="C405" s="244"/>
      <c r="D405" s="244"/>
      <c r="E405" s="244"/>
      <c r="F405" s="244"/>
      <c r="G405" s="245"/>
      <c r="H405" s="246" t="s">
        <v>605</v>
      </c>
      <c r="I405" s="247"/>
      <c r="J405" s="247"/>
      <c r="K405" s="248">
        <f>ROUND(K404,-1)</f>
        <v>2687900</v>
      </c>
    </row>
    <row r="406" spans="1:11" ht="14.1" customHeight="1" x14ac:dyDescent="0.25">
      <c r="A406" s="215">
        <v>28</v>
      </c>
      <c r="B406" s="651" t="s">
        <v>713</v>
      </c>
      <c r="C406" s="652"/>
      <c r="D406" s="216" t="s">
        <v>868</v>
      </c>
      <c r="E406" s="217"/>
      <c r="F406" s="218"/>
      <c r="G406" s="218"/>
      <c r="H406" s="219"/>
      <c r="I406" s="220"/>
      <c r="J406" s="221"/>
      <c r="K406" s="222"/>
    </row>
    <row r="407" spans="1:11" ht="13.2" customHeight="1" x14ac:dyDescent="0.25">
      <c r="A407" s="223"/>
      <c r="B407" s="224" t="s">
        <v>4</v>
      </c>
      <c r="C407" s="225" t="s">
        <v>755</v>
      </c>
      <c r="D407" s="226"/>
      <c r="E407" s="44"/>
      <c r="F407" s="227"/>
      <c r="G407" s="227"/>
      <c r="H407" s="228" t="s">
        <v>264</v>
      </c>
      <c r="I407" s="252">
        <v>12</v>
      </c>
      <c r="J407" s="60">
        <f>J390</f>
        <v>33700</v>
      </c>
      <c r="K407" s="230">
        <f>I407*J407</f>
        <v>404400</v>
      </c>
    </row>
    <row r="408" spans="1:11" ht="13.2" customHeight="1" x14ac:dyDescent="0.25">
      <c r="A408" s="223"/>
      <c r="B408" s="224" t="s">
        <v>30</v>
      </c>
      <c r="C408" s="225" t="s">
        <v>760</v>
      </c>
      <c r="D408" s="226"/>
      <c r="E408" s="44"/>
      <c r="F408" s="227"/>
      <c r="G408" s="227"/>
      <c r="H408" s="228" t="s">
        <v>203</v>
      </c>
      <c r="I408" s="253">
        <v>1</v>
      </c>
      <c r="J408" s="60">
        <f t="shared" ref="J408:J418" si="38">J391</f>
        <v>156000</v>
      </c>
      <c r="K408" s="230">
        <f t="shared" ref="K408:K418" si="39">I408*J408</f>
        <v>156000</v>
      </c>
    </row>
    <row r="409" spans="1:11" ht="13.2" customHeight="1" x14ac:dyDescent="0.25">
      <c r="A409" s="223"/>
      <c r="B409" s="224" t="s">
        <v>57</v>
      </c>
      <c r="C409" s="225" t="s">
        <v>772</v>
      </c>
      <c r="D409" s="226"/>
      <c r="E409" s="44"/>
      <c r="F409" s="227"/>
      <c r="G409" s="227"/>
      <c r="H409" s="228" t="s">
        <v>203</v>
      </c>
      <c r="I409" s="253">
        <v>1</v>
      </c>
      <c r="J409" s="60">
        <f t="shared" si="38"/>
        <v>189500</v>
      </c>
      <c r="K409" s="230">
        <f t="shared" si="39"/>
        <v>189500</v>
      </c>
    </row>
    <row r="410" spans="1:11" ht="13.2" customHeight="1" x14ac:dyDescent="0.25">
      <c r="A410" s="223"/>
      <c r="B410" s="224" t="s">
        <v>83</v>
      </c>
      <c r="C410" s="225" t="s">
        <v>714</v>
      </c>
      <c r="D410" s="226"/>
      <c r="E410" s="44"/>
      <c r="F410" s="227"/>
      <c r="G410" s="227"/>
      <c r="H410" s="228" t="s">
        <v>203</v>
      </c>
      <c r="I410" s="253">
        <v>5</v>
      </c>
      <c r="J410" s="60">
        <f t="shared" si="38"/>
        <v>14000</v>
      </c>
      <c r="K410" s="230">
        <f t="shared" si="39"/>
        <v>70000</v>
      </c>
    </row>
    <row r="411" spans="1:11" ht="13.2" customHeight="1" x14ac:dyDescent="0.25">
      <c r="A411" s="223"/>
      <c r="B411" s="224" t="s">
        <v>110</v>
      </c>
      <c r="C411" s="225" t="s">
        <v>866</v>
      </c>
      <c r="D411" s="226"/>
      <c r="E411" s="44"/>
      <c r="F411" s="227"/>
      <c r="G411" s="227"/>
      <c r="H411" s="228" t="s">
        <v>203</v>
      </c>
      <c r="I411" s="253">
        <v>1</v>
      </c>
      <c r="J411" s="60">
        <f t="shared" si="38"/>
        <v>175000</v>
      </c>
      <c r="K411" s="230">
        <f t="shared" si="39"/>
        <v>175000</v>
      </c>
    </row>
    <row r="412" spans="1:11" ht="13.2" customHeight="1" x14ac:dyDescent="0.25">
      <c r="A412" s="223"/>
      <c r="B412" s="224" t="s">
        <v>137</v>
      </c>
      <c r="C412" s="225" t="s">
        <v>756</v>
      </c>
      <c r="D412" s="226"/>
      <c r="E412" s="44"/>
      <c r="F412" s="227"/>
      <c r="G412" s="227"/>
      <c r="H412" s="228" t="s">
        <v>203</v>
      </c>
      <c r="I412" s="253">
        <v>1</v>
      </c>
      <c r="J412" s="60">
        <f t="shared" si="38"/>
        <v>105000</v>
      </c>
      <c r="K412" s="230">
        <f t="shared" si="39"/>
        <v>105000</v>
      </c>
    </row>
    <row r="413" spans="1:11" ht="13.2" customHeight="1" x14ac:dyDescent="0.25">
      <c r="A413" s="223"/>
      <c r="B413" s="224" t="s">
        <v>156</v>
      </c>
      <c r="C413" s="225" t="s">
        <v>764</v>
      </c>
      <c r="D413" s="226"/>
      <c r="E413" s="44"/>
      <c r="F413" s="227"/>
      <c r="G413" s="227"/>
      <c r="H413" s="228" t="s">
        <v>203</v>
      </c>
      <c r="I413" s="253">
        <v>4</v>
      </c>
      <c r="J413" s="60">
        <f t="shared" si="38"/>
        <v>112000</v>
      </c>
      <c r="K413" s="230">
        <f t="shared" si="39"/>
        <v>448000</v>
      </c>
    </row>
    <row r="414" spans="1:11" ht="13.2" customHeight="1" x14ac:dyDescent="0.25">
      <c r="A414" s="223"/>
      <c r="B414" s="224" t="s">
        <v>175</v>
      </c>
      <c r="C414" s="225" t="s">
        <v>757</v>
      </c>
      <c r="D414" s="226"/>
      <c r="E414" s="44"/>
      <c r="F414" s="227"/>
      <c r="G414" s="227"/>
      <c r="H414" s="228" t="s">
        <v>203</v>
      </c>
      <c r="I414" s="253">
        <v>6</v>
      </c>
      <c r="J414" s="60">
        <f t="shared" si="38"/>
        <v>41000</v>
      </c>
      <c r="K414" s="230">
        <f t="shared" si="39"/>
        <v>246000</v>
      </c>
    </row>
    <row r="415" spans="1:11" ht="13.2" customHeight="1" x14ac:dyDescent="0.25">
      <c r="A415" s="223"/>
      <c r="B415" s="224" t="s">
        <v>177</v>
      </c>
      <c r="C415" s="225" t="s">
        <v>1014</v>
      </c>
      <c r="D415" s="226"/>
      <c r="E415" s="44"/>
      <c r="F415" s="227"/>
      <c r="G415" s="227"/>
      <c r="H415" s="228" t="s">
        <v>235</v>
      </c>
      <c r="I415" s="253">
        <v>1</v>
      </c>
      <c r="J415" s="60">
        <f t="shared" si="38"/>
        <v>125000</v>
      </c>
      <c r="K415" s="230">
        <f t="shared" si="39"/>
        <v>125000</v>
      </c>
    </row>
    <row r="416" spans="1:11" ht="13.2" customHeight="1" x14ac:dyDescent="0.25">
      <c r="A416" s="223"/>
      <c r="B416" s="224" t="s">
        <v>197</v>
      </c>
      <c r="C416" s="225" t="s">
        <v>758</v>
      </c>
      <c r="D416" s="226"/>
      <c r="E416" s="44"/>
      <c r="F416" s="227"/>
      <c r="G416" s="227"/>
      <c r="H416" s="228" t="s">
        <v>203</v>
      </c>
      <c r="I416" s="253">
        <v>1</v>
      </c>
      <c r="J416" s="60">
        <f t="shared" si="38"/>
        <v>92700</v>
      </c>
      <c r="K416" s="230">
        <f t="shared" si="39"/>
        <v>92700</v>
      </c>
    </row>
    <row r="417" spans="1:11" ht="13.2" customHeight="1" x14ac:dyDescent="0.25">
      <c r="A417" s="223"/>
      <c r="B417" s="224" t="s">
        <v>198</v>
      </c>
      <c r="C417" s="225" t="s">
        <v>759</v>
      </c>
      <c r="D417" s="226"/>
      <c r="E417" s="44"/>
      <c r="F417" s="227"/>
      <c r="G417" s="227"/>
      <c r="H417" s="228" t="s">
        <v>203</v>
      </c>
      <c r="I417" s="253">
        <v>1</v>
      </c>
      <c r="J417" s="60">
        <f t="shared" si="38"/>
        <v>39000</v>
      </c>
      <c r="K417" s="230">
        <f t="shared" si="39"/>
        <v>39000</v>
      </c>
    </row>
    <row r="418" spans="1:11" ht="13.2" customHeight="1" x14ac:dyDescent="0.25">
      <c r="A418" s="223"/>
      <c r="B418" s="256" t="s">
        <v>200</v>
      </c>
      <c r="C418" s="257" t="s">
        <v>994</v>
      </c>
      <c r="D418" s="57"/>
      <c r="E418" s="258"/>
      <c r="F418" s="259"/>
      <c r="G418" s="259"/>
      <c r="H418" s="260" t="s">
        <v>235</v>
      </c>
      <c r="I418" s="261">
        <v>1</v>
      </c>
      <c r="J418" s="60">
        <f t="shared" si="38"/>
        <v>253000</v>
      </c>
      <c r="K418" s="230">
        <f t="shared" si="39"/>
        <v>253000</v>
      </c>
    </row>
    <row r="419" spans="1:11" ht="12.9" customHeight="1" x14ac:dyDescent="0.25">
      <c r="A419" s="58"/>
      <c r="B419" s="231"/>
      <c r="C419" s="232"/>
      <c r="D419" s="232"/>
      <c r="E419" s="232"/>
      <c r="F419" s="232"/>
      <c r="G419" s="233"/>
      <c r="H419" s="234" t="s">
        <v>715</v>
      </c>
      <c r="I419" s="235"/>
      <c r="J419" s="235"/>
      <c r="K419" s="236">
        <f>SUM(K407:K418)</f>
        <v>2303600</v>
      </c>
    </row>
    <row r="420" spans="1:11" ht="12.9" customHeight="1" x14ac:dyDescent="0.25">
      <c r="A420" s="58"/>
      <c r="B420" s="59"/>
      <c r="C420" s="56"/>
      <c r="D420" s="56"/>
      <c r="E420" s="56"/>
      <c r="F420" s="56"/>
      <c r="G420" s="237"/>
      <c r="H420" s="238" t="s">
        <v>603</v>
      </c>
      <c r="I420" s="239">
        <f>$K$3</f>
        <v>0.15</v>
      </c>
      <c r="J420" s="240"/>
      <c r="K420" s="241">
        <f>I420*K419</f>
        <v>345540</v>
      </c>
    </row>
    <row r="421" spans="1:11" ht="12.9" customHeight="1" x14ac:dyDescent="0.25">
      <c r="A421" s="58"/>
      <c r="B421" s="59"/>
      <c r="C421" s="56"/>
      <c r="D421" s="56"/>
      <c r="E421" s="56"/>
      <c r="F421" s="56"/>
      <c r="G421" s="237"/>
      <c r="H421" s="238" t="s">
        <v>604</v>
      </c>
      <c r="I421" s="226"/>
      <c r="J421" s="226"/>
      <c r="K421" s="241">
        <f>SUM(K419:K420)</f>
        <v>2649140</v>
      </c>
    </row>
    <row r="422" spans="1:11" ht="12.9" customHeight="1" thickBot="1" x14ac:dyDescent="0.3">
      <c r="A422" s="242"/>
      <c r="B422" s="243"/>
      <c r="C422" s="244"/>
      <c r="D422" s="244"/>
      <c r="E422" s="244"/>
      <c r="F422" s="244"/>
      <c r="G422" s="245"/>
      <c r="H422" s="246" t="s">
        <v>605</v>
      </c>
      <c r="I422" s="247"/>
      <c r="J422" s="247"/>
      <c r="K422" s="248">
        <f>ROUND(K421,-1)</f>
        <v>2649140</v>
      </c>
    </row>
    <row r="423" spans="1:11" ht="14.1" customHeight="1" x14ac:dyDescent="0.25">
      <c r="A423" s="215">
        <v>29</v>
      </c>
      <c r="B423" s="651" t="s">
        <v>713</v>
      </c>
      <c r="C423" s="652"/>
      <c r="D423" s="216" t="s">
        <v>869</v>
      </c>
      <c r="E423" s="217"/>
      <c r="F423" s="218"/>
      <c r="G423" s="218"/>
      <c r="H423" s="219"/>
      <c r="I423" s="220"/>
      <c r="J423" s="221"/>
      <c r="K423" s="222"/>
    </row>
    <row r="424" spans="1:11" ht="13.2" customHeight="1" x14ac:dyDescent="0.25">
      <c r="A424" s="223"/>
      <c r="B424" s="224" t="s">
        <v>4</v>
      </c>
      <c r="C424" s="225" t="s">
        <v>755</v>
      </c>
      <c r="D424" s="226"/>
      <c r="E424" s="44"/>
      <c r="F424" s="227"/>
      <c r="G424" s="227"/>
      <c r="H424" s="228" t="s">
        <v>264</v>
      </c>
      <c r="I424" s="252">
        <v>12</v>
      </c>
      <c r="J424" s="60">
        <f>J407</f>
        <v>33700</v>
      </c>
      <c r="K424" s="230">
        <f>I424*J424</f>
        <v>404400</v>
      </c>
    </row>
    <row r="425" spans="1:11" ht="13.2" customHeight="1" x14ac:dyDescent="0.25">
      <c r="A425" s="223"/>
      <c r="B425" s="224" t="s">
        <v>30</v>
      </c>
      <c r="C425" s="225" t="s">
        <v>762</v>
      </c>
      <c r="D425" s="226"/>
      <c r="E425" s="44"/>
      <c r="F425" s="227"/>
      <c r="G425" s="227"/>
      <c r="H425" s="228" t="s">
        <v>203</v>
      </c>
      <c r="I425" s="253">
        <v>1</v>
      </c>
      <c r="J425" s="60">
        <f>'Harga Satuan Dasar mat'!G72</f>
        <v>138500</v>
      </c>
      <c r="K425" s="230">
        <f t="shared" ref="K425:K435" si="40">I425*J425</f>
        <v>138500</v>
      </c>
    </row>
    <row r="426" spans="1:11" ht="13.2" customHeight="1" x14ac:dyDescent="0.25">
      <c r="A426" s="223"/>
      <c r="B426" s="224" t="s">
        <v>57</v>
      </c>
      <c r="C426" s="225" t="s">
        <v>773</v>
      </c>
      <c r="D426" s="226"/>
      <c r="E426" s="44"/>
      <c r="F426" s="227"/>
      <c r="G426" s="227"/>
      <c r="H426" s="228" t="s">
        <v>203</v>
      </c>
      <c r="I426" s="253">
        <v>1</v>
      </c>
      <c r="J426" s="60">
        <f>'Harga Satuan Dasar mat'!G76</f>
        <v>173000</v>
      </c>
      <c r="K426" s="230">
        <f t="shared" si="40"/>
        <v>173000</v>
      </c>
    </row>
    <row r="427" spans="1:11" ht="13.2" customHeight="1" x14ac:dyDescent="0.25">
      <c r="A427" s="223"/>
      <c r="B427" s="224" t="s">
        <v>83</v>
      </c>
      <c r="C427" s="225" t="s">
        <v>714</v>
      </c>
      <c r="D427" s="226"/>
      <c r="E427" s="44"/>
      <c r="F427" s="227"/>
      <c r="G427" s="227"/>
      <c r="H427" s="228" t="s">
        <v>203</v>
      </c>
      <c r="I427" s="253">
        <v>5</v>
      </c>
      <c r="J427" s="60">
        <f t="shared" ref="J427:J435" si="41">J410</f>
        <v>14000</v>
      </c>
      <c r="K427" s="230">
        <f t="shared" si="40"/>
        <v>70000</v>
      </c>
    </row>
    <row r="428" spans="1:11" ht="13.2" customHeight="1" x14ac:dyDescent="0.25">
      <c r="A428" s="223"/>
      <c r="B428" s="224" t="s">
        <v>110</v>
      </c>
      <c r="C428" s="225" t="s">
        <v>866</v>
      </c>
      <c r="D428" s="226"/>
      <c r="E428" s="44"/>
      <c r="F428" s="227"/>
      <c r="G428" s="227"/>
      <c r="H428" s="228" t="s">
        <v>203</v>
      </c>
      <c r="I428" s="253">
        <v>1</v>
      </c>
      <c r="J428" s="60">
        <f t="shared" si="41"/>
        <v>175000</v>
      </c>
      <c r="K428" s="230">
        <f t="shared" si="40"/>
        <v>175000</v>
      </c>
    </row>
    <row r="429" spans="1:11" ht="13.2" customHeight="1" x14ac:dyDescent="0.25">
      <c r="A429" s="223"/>
      <c r="B429" s="224" t="s">
        <v>137</v>
      </c>
      <c r="C429" s="225" t="s">
        <v>756</v>
      </c>
      <c r="D429" s="226"/>
      <c r="E429" s="44"/>
      <c r="F429" s="227"/>
      <c r="G429" s="227"/>
      <c r="H429" s="228" t="s">
        <v>203</v>
      </c>
      <c r="I429" s="253">
        <v>1</v>
      </c>
      <c r="J429" s="60">
        <f t="shared" si="41"/>
        <v>105000</v>
      </c>
      <c r="K429" s="230">
        <f t="shared" si="40"/>
        <v>105000</v>
      </c>
    </row>
    <row r="430" spans="1:11" ht="13.2" customHeight="1" x14ac:dyDescent="0.25">
      <c r="A430" s="223"/>
      <c r="B430" s="224" t="s">
        <v>156</v>
      </c>
      <c r="C430" s="225" t="s">
        <v>764</v>
      </c>
      <c r="D430" s="226"/>
      <c r="E430" s="44"/>
      <c r="F430" s="227"/>
      <c r="G430" s="227"/>
      <c r="H430" s="228" t="s">
        <v>203</v>
      </c>
      <c r="I430" s="253">
        <v>4</v>
      </c>
      <c r="J430" s="60">
        <f t="shared" si="41"/>
        <v>112000</v>
      </c>
      <c r="K430" s="230">
        <f t="shared" si="40"/>
        <v>448000</v>
      </c>
    </row>
    <row r="431" spans="1:11" ht="13.2" customHeight="1" x14ac:dyDescent="0.25">
      <c r="A431" s="223"/>
      <c r="B431" s="224" t="s">
        <v>175</v>
      </c>
      <c r="C431" s="225" t="s">
        <v>757</v>
      </c>
      <c r="D431" s="226"/>
      <c r="E431" s="44"/>
      <c r="F431" s="227"/>
      <c r="G431" s="227"/>
      <c r="H431" s="228" t="s">
        <v>203</v>
      </c>
      <c r="I431" s="253">
        <v>6</v>
      </c>
      <c r="J431" s="60">
        <f t="shared" si="41"/>
        <v>41000</v>
      </c>
      <c r="K431" s="230">
        <f t="shared" si="40"/>
        <v>246000</v>
      </c>
    </row>
    <row r="432" spans="1:11" ht="13.2" customHeight="1" x14ac:dyDescent="0.25">
      <c r="A432" s="223"/>
      <c r="B432" s="224" t="s">
        <v>177</v>
      </c>
      <c r="C432" s="225" t="s">
        <v>1014</v>
      </c>
      <c r="D432" s="226"/>
      <c r="E432" s="44"/>
      <c r="F432" s="227"/>
      <c r="G432" s="227"/>
      <c r="H432" s="228" t="s">
        <v>235</v>
      </c>
      <c r="I432" s="253">
        <v>1</v>
      </c>
      <c r="J432" s="60">
        <f t="shared" si="41"/>
        <v>125000</v>
      </c>
      <c r="K432" s="230">
        <f t="shared" si="40"/>
        <v>125000</v>
      </c>
    </row>
    <row r="433" spans="1:11" ht="13.2" customHeight="1" x14ac:dyDescent="0.25">
      <c r="A433" s="223"/>
      <c r="B433" s="224" t="s">
        <v>197</v>
      </c>
      <c r="C433" s="225" t="s">
        <v>758</v>
      </c>
      <c r="D433" s="226"/>
      <c r="E433" s="44"/>
      <c r="F433" s="227"/>
      <c r="G433" s="227"/>
      <c r="H433" s="228" t="s">
        <v>203</v>
      </c>
      <c r="I433" s="253">
        <v>1</v>
      </c>
      <c r="J433" s="60">
        <f t="shared" si="41"/>
        <v>92700</v>
      </c>
      <c r="K433" s="230">
        <f t="shared" si="40"/>
        <v>92700</v>
      </c>
    </row>
    <row r="434" spans="1:11" ht="13.2" customHeight="1" x14ac:dyDescent="0.25">
      <c r="A434" s="223"/>
      <c r="B434" s="224" t="s">
        <v>198</v>
      </c>
      <c r="C434" s="225" t="s">
        <v>759</v>
      </c>
      <c r="D434" s="226"/>
      <c r="E434" s="44"/>
      <c r="F434" s="227"/>
      <c r="G434" s="227"/>
      <c r="H434" s="228" t="s">
        <v>203</v>
      </c>
      <c r="I434" s="253">
        <v>1</v>
      </c>
      <c r="J434" s="60">
        <f t="shared" si="41"/>
        <v>39000</v>
      </c>
      <c r="K434" s="230">
        <f t="shared" si="40"/>
        <v>39000</v>
      </c>
    </row>
    <row r="435" spans="1:11" ht="13.2" customHeight="1" x14ac:dyDescent="0.25">
      <c r="A435" s="223"/>
      <c r="B435" s="256" t="s">
        <v>200</v>
      </c>
      <c r="C435" s="257" t="s">
        <v>994</v>
      </c>
      <c r="D435" s="57"/>
      <c r="E435" s="258"/>
      <c r="F435" s="259"/>
      <c r="G435" s="259"/>
      <c r="H435" s="260" t="s">
        <v>235</v>
      </c>
      <c r="I435" s="261">
        <v>1</v>
      </c>
      <c r="J435" s="60">
        <f t="shared" si="41"/>
        <v>253000</v>
      </c>
      <c r="K435" s="230">
        <f t="shared" si="40"/>
        <v>253000</v>
      </c>
    </row>
    <row r="436" spans="1:11" ht="12.9" customHeight="1" x14ac:dyDescent="0.25">
      <c r="A436" s="58"/>
      <c r="B436" s="231"/>
      <c r="C436" s="232"/>
      <c r="D436" s="232"/>
      <c r="E436" s="232"/>
      <c r="F436" s="232"/>
      <c r="G436" s="233"/>
      <c r="H436" s="234" t="s">
        <v>715</v>
      </c>
      <c r="I436" s="235"/>
      <c r="J436" s="235"/>
      <c r="K436" s="236">
        <f>SUM(K424:K435)</f>
        <v>2269600</v>
      </c>
    </row>
    <row r="437" spans="1:11" ht="12.9" customHeight="1" x14ac:dyDescent="0.25">
      <c r="A437" s="58"/>
      <c r="B437" s="59"/>
      <c r="C437" s="56"/>
      <c r="D437" s="56"/>
      <c r="E437" s="56"/>
      <c r="F437" s="56"/>
      <c r="G437" s="237"/>
      <c r="H437" s="238" t="s">
        <v>603</v>
      </c>
      <c r="I437" s="239">
        <f>$K$3</f>
        <v>0.15</v>
      </c>
      <c r="J437" s="240"/>
      <c r="K437" s="241">
        <f>I437*K436</f>
        <v>340440</v>
      </c>
    </row>
    <row r="438" spans="1:11" ht="12.9" customHeight="1" x14ac:dyDescent="0.25">
      <c r="A438" s="58"/>
      <c r="B438" s="59"/>
      <c r="C438" s="56"/>
      <c r="D438" s="56"/>
      <c r="E438" s="56"/>
      <c r="F438" s="56"/>
      <c r="G438" s="237"/>
      <c r="H438" s="238" t="s">
        <v>604</v>
      </c>
      <c r="I438" s="226"/>
      <c r="J438" s="226"/>
      <c r="K438" s="241">
        <f>SUM(K436:K437)</f>
        <v>2610040</v>
      </c>
    </row>
    <row r="439" spans="1:11" ht="12.9" customHeight="1" thickBot="1" x14ac:dyDescent="0.3">
      <c r="A439" s="242"/>
      <c r="B439" s="243"/>
      <c r="C439" s="244"/>
      <c r="D439" s="244"/>
      <c r="E439" s="244"/>
      <c r="F439" s="244"/>
      <c r="G439" s="245"/>
      <c r="H439" s="246" t="s">
        <v>605</v>
      </c>
      <c r="I439" s="247"/>
      <c r="J439" s="247"/>
      <c r="K439" s="248">
        <f>ROUND(K438,-1)</f>
        <v>2610040</v>
      </c>
    </row>
    <row r="440" spans="1:11" ht="14.1" customHeight="1" x14ac:dyDescent="0.25">
      <c r="A440" s="215">
        <v>30</v>
      </c>
      <c r="B440" s="651" t="s">
        <v>713</v>
      </c>
      <c r="C440" s="652"/>
      <c r="D440" s="216" t="s">
        <v>870</v>
      </c>
      <c r="E440" s="217"/>
      <c r="F440" s="218"/>
      <c r="G440" s="218"/>
      <c r="H440" s="219"/>
      <c r="I440" s="220"/>
      <c r="J440" s="221"/>
      <c r="K440" s="222"/>
    </row>
    <row r="441" spans="1:11" ht="13.2" customHeight="1" x14ac:dyDescent="0.25">
      <c r="A441" s="223"/>
      <c r="B441" s="224" t="s">
        <v>4</v>
      </c>
      <c r="C441" s="225" t="s">
        <v>755</v>
      </c>
      <c r="D441" s="226"/>
      <c r="E441" s="44"/>
      <c r="F441" s="227"/>
      <c r="G441" s="227"/>
      <c r="H441" s="228" t="s">
        <v>264</v>
      </c>
      <c r="I441" s="252">
        <v>11</v>
      </c>
      <c r="J441" s="60">
        <f>J424</f>
        <v>33700</v>
      </c>
      <c r="K441" s="230">
        <f>I441*J441</f>
        <v>370700</v>
      </c>
    </row>
    <row r="442" spans="1:11" ht="13.2" customHeight="1" x14ac:dyDescent="0.25">
      <c r="A442" s="223"/>
      <c r="B442" s="224" t="s">
        <v>30</v>
      </c>
      <c r="C442" s="225" t="s">
        <v>763</v>
      </c>
      <c r="D442" s="226"/>
      <c r="E442" s="44"/>
      <c r="F442" s="227"/>
      <c r="G442" s="227"/>
      <c r="H442" s="228" t="s">
        <v>203</v>
      </c>
      <c r="I442" s="253">
        <v>1</v>
      </c>
      <c r="J442" s="60">
        <f>'Harga Satuan Dasar mat'!G70</f>
        <v>121500</v>
      </c>
      <c r="K442" s="230">
        <f t="shared" ref="K442:K452" si="42">I442*J442</f>
        <v>121500</v>
      </c>
    </row>
    <row r="443" spans="1:11" ht="13.2" customHeight="1" x14ac:dyDescent="0.25">
      <c r="A443" s="223"/>
      <c r="B443" s="224" t="s">
        <v>57</v>
      </c>
      <c r="C443" s="225" t="s">
        <v>774</v>
      </c>
      <c r="D443" s="226"/>
      <c r="E443" s="44"/>
      <c r="F443" s="227"/>
      <c r="G443" s="227"/>
      <c r="H443" s="228" t="s">
        <v>203</v>
      </c>
      <c r="I443" s="253">
        <v>1</v>
      </c>
      <c r="J443" s="60">
        <f>'Harga Satuan Dasar mat'!G74</f>
        <v>156000</v>
      </c>
      <c r="K443" s="230">
        <f t="shared" si="42"/>
        <v>156000</v>
      </c>
    </row>
    <row r="444" spans="1:11" ht="13.2" customHeight="1" x14ac:dyDescent="0.25">
      <c r="A444" s="223"/>
      <c r="B444" s="224" t="s">
        <v>83</v>
      </c>
      <c r="C444" s="225" t="s">
        <v>714</v>
      </c>
      <c r="D444" s="226"/>
      <c r="E444" s="44"/>
      <c r="F444" s="227"/>
      <c r="G444" s="227"/>
      <c r="H444" s="228" t="s">
        <v>203</v>
      </c>
      <c r="I444" s="253">
        <v>5</v>
      </c>
      <c r="J444" s="60">
        <f t="shared" ref="J444:J448" si="43">J427</f>
        <v>14000</v>
      </c>
      <c r="K444" s="230">
        <f t="shared" si="42"/>
        <v>70000</v>
      </c>
    </row>
    <row r="445" spans="1:11" ht="13.2" customHeight="1" x14ac:dyDescent="0.25">
      <c r="A445" s="223"/>
      <c r="B445" s="224" t="s">
        <v>110</v>
      </c>
      <c r="C445" s="225" t="s">
        <v>842</v>
      </c>
      <c r="D445" s="226"/>
      <c r="E445" s="44"/>
      <c r="F445" s="227"/>
      <c r="G445" s="227"/>
      <c r="H445" s="228" t="s">
        <v>203</v>
      </c>
      <c r="I445" s="253">
        <v>1</v>
      </c>
      <c r="J445" s="60">
        <f>J360</f>
        <v>100000</v>
      </c>
      <c r="K445" s="230">
        <f t="shared" si="42"/>
        <v>100000</v>
      </c>
    </row>
    <row r="446" spans="1:11" ht="13.2" customHeight="1" x14ac:dyDescent="0.25">
      <c r="A446" s="223"/>
      <c r="B446" s="224" t="s">
        <v>137</v>
      </c>
      <c r="C446" s="225" t="s">
        <v>871</v>
      </c>
      <c r="D446" s="226"/>
      <c r="E446" s="44"/>
      <c r="F446" s="227"/>
      <c r="G446" s="227"/>
      <c r="H446" s="228" t="s">
        <v>203</v>
      </c>
      <c r="I446" s="253">
        <v>1</v>
      </c>
      <c r="J446" s="60">
        <f>J361</f>
        <v>85000</v>
      </c>
      <c r="K446" s="230">
        <f t="shared" si="42"/>
        <v>85000</v>
      </c>
    </row>
    <row r="447" spans="1:11" ht="13.2" customHeight="1" x14ac:dyDescent="0.25">
      <c r="A447" s="223"/>
      <c r="B447" s="224" t="s">
        <v>156</v>
      </c>
      <c r="C447" s="225" t="s">
        <v>764</v>
      </c>
      <c r="D447" s="226"/>
      <c r="E447" s="44"/>
      <c r="F447" s="227"/>
      <c r="G447" s="227"/>
      <c r="H447" s="228" t="s">
        <v>203</v>
      </c>
      <c r="I447" s="253">
        <v>4</v>
      </c>
      <c r="J447" s="60">
        <f>J362</f>
        <v>112000</v>
      </c>
      <c r="K447" s="230">
        <f t="shared" si="42"/>
        <v>448000</v>
      </c>
    </row>
    <row r="448" spans="1:11" ht="13.2" customHeight="1" x14ac:dyDescent="0.25">
      <c r="A448" s="223"/>
      <c r="B448" s="224" t="s">
        <v>175</v>
      </c>
      <c r="C448" s="225" t="s">
        <v>757</v>
      </c>
      <c r="D448" s="226"/>
      <c r="E448" s="44"/>
      <c r="F448" s="227"/>
      <c r="G448" s="227"/>
      <c r="H448" s="228" t="s">
        <v>203</v>
      </c>
      <c r="I448" s="253">
        <v>6</v>
      </c>
      <c r="J448" s="60">
        <f t="shared" si="43"/>
        <v>41000</v>
      </c>
      <c r="K448" s="230">
        <f t="shared" si="42"/>
        <v>246000</v>
      </c>
    </row>
    <row r="449" spans="1:11" ht="13.2" customHeight="1" x14ac:dyDescent="0.25">
      <c r="A449" s="223"/>
      <c r="B449" s="224" t="s">
        <v>177</v>
      </c>
      <c r="C449" s="225" t="s">
        <v>775</v>
      </c>
      <c r="D449" s="226"/>
      <c r="E449" s="44"/>
      <c r="F449" s="227"/>
      <c r="G449" s="227"/>
      <c r="H449" s="228" t="s">
        <v>235</v>
      </c>
      <c r="I449" s="253">
        <v>1</v>
      </c>
      <c r="J449" s="60">
        <f>'Harga Satuan Dasar mat'!G405</f>
        <v>105000</v>
      </c>
      <c r="K449" s="230">
        <f t="shared" si="42"/>
        <v>105000</v>
      </c>
    </row>
    <row r="450" spans="1:11" ht="13.2" customHeight="1" x14ac:dyDescent="0.25">
      <c r="A450" s="223"/>
      <c r="B450" s="224" t="s">
        <v>197</v>
      </c>
      <c r="C450" s="225" t="s">
        <v>758</v>
      </c>
      <c r="D450" s="226"/>
      <c r="E450" s="44"/>
      <c r="F450" s="227"/>
      <c r="G450" s="227"/>
      <c r="H450" s="228" t="s">
        <v>203</v>
      </c>
      <c r="I450" s="253">
        <v>1</v>
      </c>
      <c r="J450" s="60">
        <f>J433</f>
        <v>92700</v>
      </c>
      <c r="K450" s="230">
        <f t="shared" si="42"/>
        <v>92700</v>
      </c>
    </row>
    <row r="451" spans="1:11" ht="13.2" customHeight="1" x14ac:dyDescent="0.25">
      <c r="A451" s="223"/>
      <c r="B451" s="224" t="s">
        <v>198</v>
      </c>
      <c r="C451" s="225" t="s">
        <v>759</v>
      </c>
      <c r="D451" s="226"/>
      <c r="E451" s="44"/>
      <c r="F451" s="227"/>
      <c r="G451" s="227"/>
      <c r="H451" s="228" t="s">
        <v>203</v>
      </c>
      <c r="I451" s="253">
        <v>1</v>
      </c>
      <c r="J451" s="60">
        <f>J434</f>
        <v>39000</v>
      </c>
      <c r="K451" s="230">
        <f t="shared" si="42"/>
        <v>39000</v>
      </c>
    </row>
    <row r="452" spans="1:11" ht="13.2" customHeight="1" x14ac:dyDescent="0.25">
      <c r="A452" s="223"/>
      <c r="B452" s="256" t="s">
        <v>200</v>
      </c>
      <c r="C452" s="257" t="s">
        <v>995</v>
      </c>
      <c r="D452" s="57"/>
      <c r="E452" s="258"/>
      <c r="F452" s="259"/>
      <c r="G452" s="259"/>
      <c r="H452" s="260" t="s">
        <v>235</v>
      </c>
      <c r="I452" s="261">
        <v>1</v>
      </c>
      <c r="J452" s="60">
        <f>'Harga Satuan Dasar mat'!G301</f>
        <v>253000</v>
      </c>
      <c r="K452" s="230">
        <f t="shared" si="42"/>
        <v>253000</v>
      </c>
    </row>
    <row r="453" spans="1:11" ht="12.9" customHeight="1" x14ac:dyDescent="0.25">
      <c r="A453" s="58"/>
      <c r="B453" s="231"/>
      <c r="C453" s="232"/>
      <c r="D453" s="232"/>
      <c r="E453" s="232"/>
      <c r="F453" s="232"/>
      <c r="G453" s="233"/>
      <c r="H453" s="234" t="s">
        <v>715</v>
      </c>
      <c r="I453" s="235"/>
      <c r="J453" s="235"/>
      <c r="K453" s="236">
        <f>SUM(K441:K452)</f>
        <v>2086900</v>
      </c>
    </row>
    <row r="454" spans="1:11" ht="12.9" customHeight="1" x14ac:dyDescent="0.25">
      <c r="A454" s="58"/>
      <c r="B454" s="59"/>
      <c r="C454" s="56"/>
      <c r="D454" s="56"/>
      <c r="E454" s="56"/>
      <c r="F454" s="56"/>
      <c r="G454" s="237"/>
      <c r="H454" s="238" t="s">
        <v>603</v>
      </c>
      <c r="I454" s="239">
        <f>$K$3</f>
        <v>0.15</v>
      </c>
      <c r="J454" s="240"/>
      <c r="K454" s="241">
        <f>I454*K453</f>
        <v>313035</v>
      </c>
    </row>
    <row r="455" spans="1:11" ht="12.9" customHeight="1" x14ac:dyDescent="0.25">
      <c r="A455" s="58"/>
      <c r="B455" s="59"/>
      <c r="C455" s="56"/>
      <c r="D455" s="56"/>
      <c r="E455" s="56"/>
      <c r="F455" s="56"/>
      <c r="G455" s="237"/>
      <c r="H455" s="238" t="s">
        <v>604</v>
      </c>
      <c r="I455" s="226"/>
      <c r="J455" s="226"/>
      <c r="K455" s="241">
        <f>SUM(K453:K454)</f>
        <v>2399935</v>
      </c>
    </row>
    <row r="456" spans="1:11" ht="12.9" customHeight="1" thickBot="1" x14ac:dyDescent="0.3">
      <c r="A456" s="242"/>
      <c r="B456" s="243"/>
      <c r="C456" s="244"/>
      <c r="D456" s="244"/>
      <c r="E456" s="244"/>
      <c r="F456" s="244"/>
      <c r="G456" s="245"/>
      <c r="H456" s="246" t="s">
        <v>605</v>
      </c>
      <c r="I456" s="247"/>
      <c r="J456" s="247"/>
      <c r="K456" s="248">
        <f>ROUND(K455,-1)</f>
        <v>2399940</v>
      </c>
    </row>
    <row r="457" spans="1:11" ht="14.1" customHeight="1" x14ac:dyDescent="0.25">
      <c r="A457" s="215">
        <v>31</v>
      </c>
      <c r="B457" s="651" t="s">
        <v>713</v>
      </c>
      <c r="C457" s="652"/>
      <c r="D457" s="216" t="s">
        <v>872</v>
      </c>
      <c r="E457" s="217"/>
      <c r="F457" s="218"/>
      <c r="G457" s="218"/>
      <c r="H457" s="219"/>
      <c r="I457" s="220"/>
      <c r="J457" s="221"/>
      <c r="K457" s="222"/>
    </row>
    <row r="458" spans="1:11" ht="13.2" customHeight="1" x14ac:dyDescent="0.25">
      <c r="A458" s="223"/>
      <c r="B458" s="224" t="s">
        <v>4</v>
      </c>
      <c r="C458" s="225" t="s">
        <v>755</v>
      </c>
      <c r="D458" s="226"/>
      <c r="E458" s="44"/>
      <c r="F458" s="227"/>
      <c r="G458" s="227"/>
      <c r="H458" s="228" t="s">
        <v>264</v>
      </c>
      <c r="I458" s="252">
        <v>9</v>
      </c>
      <c r="J458" s="60">
        <f>J441</f>
        <v>33700</v>
      </c>
      <c r="K458" s="230">
        <f>I458*J458</f>
        <v>303300</v>
      </c>
    </row>
    <row r="459" spans="1:11" ht="13.2" customHeight="1" x14ac:dyDescent="0.25">
      <c r="A459" s="223"/>
      <c r="B459" s="224" t="s">
        <v>30</v>
      </c>
      <c r="C459" s="225" t="s">
        <v>763</v>
      </c>
      <c r="D459" s="226"/>
      <c r="E459" s="44"/>
      <c r="F459" s="227"/>
      <c r="G459" s="227"/>
      <c r="H459" s="228" t="s">
        <v>203</v>
      </c>
      <c r="I459" s="253">
        <v>1</v>
      </c>
      <c r="J459" s="60">
        <f>'Harga Satuan Dasar mat'!G70</f>
        <v>121500</v>
      </c>
      <c r="K459" s="230">
        <f t="shared" ref="K459:K469" si="44">I459*J459</f>
        <v>121500</v>
      </c>
    </row>
    <row r="460" spans="1:11" ht="13.2" customHeight="1" x14ac:dyDescent="0.25">
      <c r="A460" s="223"/>
      <c r="B460" s="224" t="s">
        <v>57</v>
      </c>
      <c r="C460" s="225" t="s">
        <v>776</v>
      </c>
      <c r="D460" s="226"/>
      <c r="E460" s="44"/>
      <c r="F460" s="227"/>
      <c r="G460" s="227"/>
      <c r="H460" s="228" t="s">
        <v>203</v>
      </c>
      <c r="I460" s="253">
        <v>1</v>
      </c>
      <c r="J460" s="60">
        <f>'Harga Satuan Dasar mat'!G72</f>
        <v>138500</v>
      </c>
      <c r="K460" s="230">
        <f t="shared" si="44"/>
        <v>138500</v>
      </c>
    </row>
    <row r="461" spans="1:11" ht="13.2" customHeight="1" x14ac:dyDescent="0.25">
      <c r="A461" s="223"/>
      <c r="B461" s="224" t="s">
        <v>83</v>
      </c>
      <c r="C461" s="225" t="s">
        <v>714</v>
      </c>
      <c r="D461" s="226"/>
      <c r="E461" s="44"/>
      <c r="F461" s="227"/>
      <c r="G461" s="227"/>
      <c r="H461" s="228" t="s">
        <v>203</v>
      </c>
      <c r="I461" s="253">
        <v>5</v>
      </c>
      <c r="J461" s="60">
        <f t="shared" ref="J461:J469" si="45">J444</f>
        <v>14000</v>
      </c>
      <c r="K461" s="230">
        <f t="shared" si="44"/>
        <v>70000</v>
      </c>
    </row>
    <row r="462" spans="1:11" ht="13.2" customHeight="1" x14ac:dyDescent="0.25">
      <c r="A462" s="223"/>
      <c r="B462" s="224" t="s">
        <v>110</v>
      </c>
      <c r="C462" s="225" t="s">
        <v>842</v>
      </c>
      <c r="D462" s="226"/>
      <c r="E462" s="44"/>
      <c r="F462" s="227"/>
      <c r="G462" s="227"/>
      <c r="H462" s="228" t="s">
        <v>203</v>
      </c>
      <c r="I462" s="253">
        <v>1</v>
      </c>
      <c r="J462" s="60">
        <f t="shared" si="45"/>
        <v>100000</v>
      </c>
      <c r="K462" s="230">
        <f t="shared" si="44"/>
        <v>100000</v>
      </c>
    </row>
    <row r="463" spans="1:11" ht="13.2" customHeight="1" x14ac:dyDescent="0.25">
      <c r="A463" s="223"/>
      <c r="B463" s="224" t="s">
        <v>137</v>
      </c>
      <c r="C463" s="225" t="s">
        <v>871</v>
      </c>
      <c r="D463" s="226"/>
      <c r="E463" s="44"/>
      <c r="F463" s="227"/>
      <c r="G463" s="227"/>
      <c r="H463" s="228" t="s">
        <v>203</v>
      </c>
      <c r="I463" s="253">
        <v>1</v>
      </c>
      <c r="J463" s="60">
        <f t="shared" si="45"/>
        <v>85000</v>
      </c>
      <c r="K463" s="230">
        <f t="shared" si="44"/>
        <v>85000</v>
      </c>
    </row>
    <row r="464" spans="1:11" ht="13.2" customHeight="1" x14ac:dyDescent="0.25">
      <c r="A464" s="223"/>
      <c r="B464" s="224" t="s">
        <v>156</v>
      </c>
      <c r="C464" s="225" t="s">
        <v>764</v>
      </c>
      <c r="D464" s="226"/>
      <c r="E464" s="44"/>
      <c r="F464" s="227"/>
      <c r="G464" s="227"/>
      <c r="H464" s="228" t="s">
        <v>203</v>
      </c>
      <c r="I464" s="253">
        <v>4</v>
      </c>
      <c r="J464" s="60">
        <f t="shared" si="45"/>
        <v>112000</v>
      </c>
      <c r="K464" s="230">
        <f t="shared" si="44"/>
        <v>448000</v>
      </c>
    </row>
    <row r="465" spans="1:11" ht="13.2" customHeight="1" x14ac:dyDescent="0.25">
      <c r="A465" s="223"/>
      <c r="B465" s="224" t="s">
        <v>175</v>
      </c>
      <c r="C465" s="225" t="s">
        <v>757</v>
      </c>
      <c r="D465" s="226"/>
      <c r="E465" s="44"/>
      <c r="F465" s="227"/>
      <c r="G465" s="227"/>
      <c r="H465" s="228" t="s">
        <v>203</v>
      </c>
      <c r="I465" s="253">
        <v>6</v>
      </c>
      <c r="J465" s="60">
        <f t="shared" si="45"/>
        <v>41000</v>
      </c>
      <c r="K465" s="230">
        <f t="shared" si="44"/>
        <v>246000</v>
      </c>
    </row>
    <row r="466" spans="1:11" ht="13.2" customHeight="1" x14ac:dyDescent="0.25">
      <c r="A466" s="223"/>
      <c r="B466" s="224" t="s">
        <v>177</v>
      </c>
      <c r="C466" s="225" t="s">
        <v>775</v>
      </c>
      <c r="D466" s="226"/>
      <c r="E466" s="44"/>
      <c r="F466" s="227"/>
      <c r="G466" s="227"/>
      <c r="H466" s="228" t="s">
        <v>235</v>
      </c>
      <c r="I466" s="253">
        <v>1</v>
      </c>
      <c r="J466" s="60">
        <f t="shared" si="45"/>
        <v>105000</v>
      </c>
      <c r="K466" s="230">
        <f t="shared" si="44"/>
        <v>105000</v>
      </c>
    </row>
    <row r="467" spans="1:11" ht="13.2" customHeight="1" x14ac:dyDescent="0.25">
      <c r="A467" s="223"/>
      <c r="B467" s="224" t="s">
        <v>197</v>
      </c>
      <c r="C467" s="225" t="s">
        <v>758</v>
      </c>
      <c r="D467" s="226"/>
      <c r="E467" s="44"/>
      <c r="F467" s="227"/>
      <c r="G467" s="227"/>
      <c r="H467" s="228" t="s">
        <v>203</v>
      </c>
      <c r="I467" s="253">
        <v>1</v>
      </c>
      <c r="J467" s="60">
        <f t="shared" si="45"/>
        <v>92700</v>
      </c>
      <c r="K467" s="230">
        <f t="shared" si="44"/>
        <v>92700</v>
      </c>
    </row>
    <row r="468" spans="1:11" ht="13.2" customHeight="1" x14ac:dyDescent="0.25">
      <c r="A468" s="223"/>
      <c r="B468" s="224" t="s">
        <v>198</v>
      </c>
      <c r="C468" s="225" t="s">
        <v>759</v>
      </c>
      <c r="D468" s="226"/>
      <c r="E468" s="44"/>
      <c r="F468" s="227"/>
      <c r="G468" s="227"/>
      <c r="H468" s="228" t="s">
        <v>203</v>
      </c>
      <c r="I468" s="253">
        <v>1</v>
      </c>
      <c r="J468" s="60">
        <f t="shared" si="45"/>
        <v>39000</v>
      </c>
      <c r="K468" s="230">
        <f t="shared" si="44"/>
        <v>39000</v>
      </c>
    </row>
    <row r="469" spans="1:11" ht="13.2" customHeight="1" x14ac:dyDescent="0.25">
      <c r="A469" s="223"/>
      <c r="B469" s="256" t="s">
        <v>200</v>
      </c>
      <c r="C469" s="257" t="s">
        <v>995</v>
      </c>
      <c r="D469" s="57"/>
      <c r="E469" s="258"/>
      <c r="F469" s="259"/>
      <c r="G469" s="259"/>
      <c r="H469" s="260" t="s">
        <v>235</v>
      </c>
      <c r="I469" s="261">
        <v>1</v>
      </c>
      <c r="J469" s="60">
        <f t="shared" si="45"/>
        <v>253000</v>
      </c>
      <c r="K469" s="230">
        <f t="shared" si="44"/>
        <v>253000</v>
      </c>
    </row>
    <row r="470" spans="1:11" ht="12.9" customHeight="1" x14ac:dyDescent="0.25">
      <c r="A470" s="58"/>
      <c r="B470" s="231"/>
      <c r="C470" s="232"/>
      <c r="D470" s="232"/>
      <c r="E470" s="232"/>
      <c r="F470" s="232"/>
      <c r="G470" s="233"/>
      <c r="H470" s="234" t="s">
        <v>715</v>
      </c>
      <c r="I470" s="235"/>
      <c r="J470" s="235"/>
      <c r="K470" s="236">
        <f>SUM(K458:K469)</f>
        <v>2002000</v>
      </c>
    </row>
    <row r="471" spans="1:11" ht="12.9" customHeight="1" x14ac:dyDescent="0.25">
      <c r="A471" s="58"/>
      <c r="B471" s="59"/>
      <c r="C471" s="56"/>
      <c r="D471" s="56"/>
      <c r="E471" s="56"/>
      <c r="F471" s="56"/>
      <c r="G471" s="237"/>
      <c r="H471" s="238" t="s">
        <v>603</v>
      </c>
      <c r="I471" s="239">
        <f>$K$3</f>
        <v>0.15</v>
      </c>
      <c r="J471" s="240"/>
      <c r="K471" s="241">
        <f>I471*K470</f>
        <v>300300</v>
      </c>
    </row>
    <row r="472" spans="1:11" ht="12.9" customHeight="1" x14ac:dyDescent="0.25">
      <c r="A472" s="58"/>
      <c r="B472" s="59"/>
      <c r="C472" s="56"/>
      <c r="D472" s="56"/>
      <c r="E472" s="56"/>
      <c r="F472" s="56"/>
      <c r="G472" s="237"/>
      <c r="H472" s="238" t="s">
        <v>604</v>
      </c>
      <c r="I472" s="226"/>
      <c r="J472" s="226"/>
      <c r="K472" s="241">
        <f>SUM(K470:K471)</f>
        <v>2302300</v>
      </c>
    </row>
    <row r="473" spans="1:11" ht="12.9" customHeight="1" thickBot="1" x14ac:dyDescent="0.3">
      <c r="A473" s="242"/>
      <c r="B473" s="243"/>
      <c r="C473" s="244"/>
      <c r="D473" s="244"/>
      <c r="E473" s="244"/>
      <c r="F473" s="244"/>
      <c r="G473" s="245"/>
      <c r="H473" s="246" t="s">
        <v>605</v>
      </c>
      <c r="I473" s="247"/>
      <c r="J473" s="247"/>
      <c r="K473" s="248">
        <f>ROUND(K472,-1)</f>
        <v>2302300</v>
      </c>
    </row>
    <row r="474" spans="1:11" ht="14.1" customHeight="1" x14ac:dyDescent="0.25">
      <c r="A474" s="215">
        <v>32</v>
      </c>
      <c r="B474" s="651" t="s">
        <v>713</v>
      </c>
      <c r="C474" s="652"/>
      <c r="D474" s="216" t="s">
        <v>873</v>
      </c>
      <c r="E474" s="217"/>
      <c r="F474" s="218"/>
      <c r="G474" s="218"/>
      <c r="H474" s="219"/>
      <c r="I474" s="220"/>
      <c r="J474" s="221"/>
      <c r="K474" s="222"/>
    </row>
    <row r="475" spans="1:11" ht="13.2" customHeight="1" x14ac:dyDescent="0.25">
      <c r="A475" s="223"/>
      <c r="B475" s="224" t="s">
        <v>4</v>
      </c>
      <c r="C475" s="225" t="s">
        <v>755</v>
      </c>
      <c r="D475" s="226"/>
      <c r="E475" s="44"/>
      <c r="F475" s="227"/>
      <c r="G475" s="227"/>
      <c r="H475" s="228" t="s">
        <v>264</v>
      </c>
      <c r="I475" s="252">
        <v>9</v>
      </c>
      <c r="J475" s="60">
        <f>J458</f>
        <v>33700</v>
      </c>
      <c r="K475" s="230">
        <f>I475*J475</f>
        <v>303300</v>
      </c>
    </row>
    <row r="476" spans="1:11" ht="13.2" customHeight="1" x14ac:dyDescent="0.25">
      <c r="A476" s="223"/>
      <c r="B476" s="224" t="s">
        <v>30</v>
      </c>
      <c r="C476" s="225" t="s">
        <v>765</v>
      </c>
      <c r="D476" s="226"/>
      <c r="E476" s="44"/>
      <c r="F476" s="227"/>
      <c r="G476" s="227"/>
      <c r="H476" s="228" t="s">
        <v>203</v>
      </c>
      <c r="I476" s="253">
        <v>1</v>
      </c>
      <c r="J476" s="60">
        <f>'Harga Satuan Dasar mat'!G68</f>
        <v>104750</v>
      </c>
      <c r="K476" s="230">
        <f t="shared" ref="K476:K486" si="46">I476*J476</f>
        <v>104750</v>
      </c>
    </row>
    <row r="477" spans="1:11" ht="13.2" customHeight="1" x14ac:dyDescent="0.25">
      <c r="A477" s="223"/>
      <c r="B477" s="224" t="s">
        <v>57</v>
      </c>
      <c r="C477" s="225" t="s">
        <v>777</v>
      </c>
      <c r="D477" s="226"/>
      <c r="E477" s="44"/>
      <c r="F477" s="227"/>
      <c r="G477" s="227"/>
      <c r="H477" s="228" t="s">
        <v>203</v>
      </c>
      <c r="I477" s="253">
        <v>1</v>
      </c>
      <c r="J477" s="60">
        <f>'Harga Satuan Dasar mat'!G70</f>
        <v>121500</v>
      </c>
      <c r="K477" s="230">
        <f t="shared" si="46"/>
        <v>121500</v>
      </c>
    </row>
    <row r="478" spans="1:11" ht="13.2" customHeight="1" x14ac:dyDescent="0.25">
      <c r="A478" s="223"/>
      <c r="B478" s="224" t="s">
        <v>83</v>
      </c>
      <c r="C478" s="225" t="s">
        <v>714</v>
      </c>
      <c r="D478" s="226"/>
      <c r="E478" s="44"/>
      <c r="F478" s="227"/>
      <c r="G478" s="227"/>
      <c r="H478" s="228" t="s">
        <v>203</v>
      </c>
      <c r="I478" s="253">
        <v>5</v>
      </c>
      <c r="J478" s="60">
        <f t="shared" ref="J478:J486" si="47">J461</f>
        <v>14000</v>
      </c>
      <c r="K478" s="230">
        <f t="shared" si="46"/>
        <v>70000</v>
      </c>
    </row>
    <row r="479" spans="1:11" ht="13.2" customHeight="1" x14ac:dyDescent="0.25">
      <c r="A479" s="223"/>
      <c r="B479" s="224" t="s">
        <v>110</v>
      </c>
      <c r="C479" s="225" t="s">
        <v>842</v>
      </c>
      <c r="D479" s="226"/>
      <c r="E479" s="44"/>
      <c r="F479" s="227"/>
      <c r="G479" s="227"/>
      <c r="H479" s="228" t="s">
        <v>203</v>
      </c>
      <c r="I479" s="253">
        <v>1</v>
      </c>
      <c r="J479" s="60">
        <f t="shared" si="47"/>
        <v>100000</v>
      </c>
      <c r="K479" s="230">
        <f t="shared" si="46"/>
        <v>100000</v>
      </c>
    </row>
    <row r="480" spans="1:11" ht="13.2" customHeight="1" x14ac:dyDescent="0.25">
      <c r="A480" s="223"/>
      <c r="B480" s="224" t="s">
        <v>137</v>
      </c>
      <c r="C480" s="225" t="s">
        <v>871</v>
      </c>
      <c r="D480" s="226"/>
      <c r="E480" s="44"/>
      <c r="F480" s="227"/>
      <c r="G480" s="227"/>
      <c r="H480" s="228" t="s">
        <v>203</v>
      </c>
      <c r="I480" s="253">
        <v>1</v>
      </c>
      <c r="J480" s="60">
        <f t="shared" si="47"/>
        <v>85000</v>
      </c>
      <c r="K480" s="230">
        <f t="shared" si="46"/>
        <v>85000</v>
      </c>
    </row>
    <row r="481" spans="1:11" ht="13.2" customHeight="1" x14ac:dyDescent="0.25">
      <c r="A481" s="223"/>
      <c r="B481" s="224" t="s">
        <v>156</v>
      </c>
      <c r="C481" s="225" t="s">
        <v>764</v>
      </c>
      <c r="D481" s="226"/>
      <c r="E481" s="44"/>
      <c r="F481" s="227"/>
      <c r="G481" s="227"/>
      <c r="H481" s="228" t="s">
        <v>203</v>
      </c>
      <c r="I481" s="253">
        <v>4</v>
      </c>
      <c r="J481" s="60">
        <f t="shared" si="47"/>
        <v>112000</v>
      </c>
      <c r="K481" s="230">
        <f t="shared" si="46"/>
        <v>448000</v>
      </c>
    </row>
    <row r="482" spans="1:11" ht="13.2" customHeight="1" x14ac:dyDescent="0.25">
      <c r="A482" s="223"/>
      <c r="B482" s="224" t="s">
        <v>175</v>
      </c>
      <c r="C482" s="225" t="s">
        <v>757</v>
      </c>
      <c r="D482" s="226"/>
      <c r="E482" s="44"/>
      <c r="F482" s="227"/>
      <c r="G482" s="227"/>
      <c r="H482" s="228" t="s">
        <v>203</v>
      </c>
      <c r="I482" s="253">
        <v>6</v>
      </c>
      <c r="J482" s="60">
        <f t="shared" si="47"/>
        <v>41000</v>
      </c>
      <c r="K482" s="230">
        <f t="shared" si="46"/>
        <v>246000</v>
      </c>
    </row>
    <row r="483" spans="1:11" ht="13.2" customHeight="1" x14ac:dyDescent="0.25">
      <c r="A483" s="223"/>
      <c r="B483" s="224" t="s">
        <v>177</v>
      </c>
      <c r="C483" s="225" t="s">
        <v>775</v>
      </c>
      <c r="D483" s="226"/>
      <c r="E483" s="44"/>
      <c r="F483" s="227"/>
      <c r="G483" s="227"/>
      <c r="H483" s="228" t="s">
        <v>235</v>
      </c>
      <c r="I483" s="253">
        <v>1</v>
      </c>
      <c r="J483" s="60">
        <f t="shared" si="47"/>
        <v>105000</v>
      </c>
      <c r="K483" s="230">
        <f t="shared" si="46"/>
        <v>105000</v>
      </c>
    </row>
    <row r="484" spans="1:11" ht="13.2" customHeight="1" x14ac:dyDescent="0.25">
      <c r="A484" s="223"/>
      <c r="B484" s="224" t="s">
        <v>197</v>
      </c>
      <c r="C484" s="225" t="s">
        <v>758</v>
      </c>
      <c r="D484" s="226"/>
      <c r="E484" s="44"/>
      <c r="F484" s="227"/>
      <c r="G484" s="227"/>
      <c r="H484" s="228" t="s">
        <v>203</v>
      </c>
      <c r="I484" s="253">
        <v>1</v>
      </c>
      <c r="J484" s="60">
        <f t="shared" si="47"/>
        <v>92700</v>
      </c>
      <c r="K484" s="230">
        <f t="shared" si="46"/>
        <v>92700</v>
      </c>
    </row>
    <row r="485" spans="1:11" ht="13.2" customHeight="1" x14ac:dyDescent="0.25">
      <c r="A485" s="223"/>
      <c r="B485" s="224" t="s">
        <v>198</v>
      </c>
      <c r="C485" s="225" t="s">
        <v>759</v>
      </c>
      <c r="D485" s="226"/>
      <c r="E485" s="44"/>
      <c r="F485" s="227"/>
      <c r="G485" s="227"/>
      <c r="H485" s="228" t="s">
        <v>203</v>
      </c>
      <c r="I485" s="253">
        <v>1</v>
      </c>
      <c r="J485" s="60">
        <f t="shared" si="47"/>
        <v>39000</v>
      </c>
      <c r="K485" s="230">
        <f t="shared" si="46"/>
        <v>39000</v>
      </c>
    </row>
    <row r="486" spans="1:11" ht="13.2" customHeight="1" x14ac:dyDescent="0.25">
      <c r="A486" s="223"/>
      <c r="B486" s="256" t="s">
        <v>200</v>
      </c>
      <c r="C486" s="257" t="s">
        <v>995</v>
      </c>
      <c r="D486" s="57"/>
      <c r="E486" s="258"/>
      <c r="F486" s="259"/>
      <c r="G486" s="259"/>
      <c r="H486" s="260" t="s">
        <v>235</v>
      </c>
      <c r="I486" s="261">
        <v>1</v>
      </c>
      <c r="J486" s="60">
        <f t="shared" si="47"/>
        <v>253000</v>
      </c>
      <c r="K486" s="230">
        <f t="shared" si="46"/>
        <v>253000</v>
      </c>
    </row>
    <row r="487" spans="1:11" ht="12.9" customHeight="1" x14ac:dyDescent="0.25">
      <c r="A487" s="58"/>
      <c r="B487" s="231"/>
      <c r="C487" s="232"/>
      <c r="D487" s="232"/>
      <c r="E487" s="232"/>
      <c r="F487" s="232"/>
      <c r="G487" s="233"/>
      <c r="H487" s="234" t="s">
        <v>715</v>
      </c>
      <c r="I487" s="235"/>
      <c r="J487" s="235"/>
      <c r="K487" s="236">
        <f>SUM(K475:K486)</f>
        <v>1968250</v>
      </c>
    </row>
    <row r="488" spans="1:11" ht="12.9" customHeight="1" x14ac:dyDescent="0.25">
      <c r="A488" s="58"/>
      <c r="B488" s="59"/>
      <c r="C488" s="56"/>
      <c r="D488" s="56"/>
      <c r="E488" s="56"/>
      <c r="F488" s="56"/>
      <c r="G488" s="237"/>
      <c r="H488" s="238" t="s">
        <v>603</v>
      </c>
      <c r="I488" s="239">
        <f>$K$3</f>
        <v>0.15</v>
      </c>
      <c r="J488" s="240"/>
      <c r="K488" s="241">
        <f>I488*K487</f>
        <v>295237.5</v>
      </c>
    </row>
    <row r="489" spans="1:11" ht="12.9" customHeight="1" x14ac:dyDescent="0.25">
      <c r="A489" s="58"/>
      <c r="B489" s="59"/>
      <c r="C489" s="56"/>
      <c r="D489" s="56"/>
      <c r="E489" s="56"/>
      <c r="F489" s="56"/>
      <c r="G489" s="237"/>
      <c r="H489" s="238" t="s">
        <v>604</v>
      </c>
      <c r="I489" s="226"/>
      <c r="J489" s="226"/>
      <c r="K489" s="241">
        <f>SUM(K487:K488)</f>
        <v>2263487.5</v>
      </c>
    </row>
    <row r="490" spans="1:11" ht="12.9" customHeight="1" thickBot="1" x14ac:dyDescent="0.3">
      <c r="A490" s="242"/>
      <c r="B490" s="243"/>
      <c r="C490" s="244"/>
      <c r="D490" s="244"/>
      <c r="E490" s="244"/>
      <c r="F490" s="244"/>
      <c r="G490" s="245"/>
      <c r="H490" s="246" t="s">
        <v>605</v>
      </c>
      <c r="I490" s="247"/>
      <c r="J490" s="247"/>
      <c r="K490" s="248">
        <f>ROUND(K489,-1)</f>
        <v>2263490</v>
      </c>
    </row>
    <row r="491" spans="1:11" ht="14.1" customHeight="1" x14ac:dyDescent="0.25">
      <c r="A491" s="215">
        <v>33</v>
      </c>
      <c r="B491" s="651" t="s">
        <v>713</v>
      </c>
      <c r="C491" s="652"/>
      <c r="D491" s="216" t="s">
        <v>874</v>
      </c>
      <c r="E491" s="217"/>
      <c r="F491" s="218"/>
      <c r="G491" s="218"/>
      <c r="H491" s="219"/>
      <c r="I491" s="220"/>
      <c r="J491" s="221"/>
      <c r="K491" s="222"/>
    </row>
    <row r="492" spans="1:11" ht="13.2" customHeight="1" x14ac:dyDescent="0.25">
      <c r="A492" s="223"/>
      <c r="B492" s="224" t="s">
        <v>4</v>
      </c>
      <c r="C492" s="225" t="s">
        <v>755</v>
      </c>
      <c r="D492" s="226"/>
      <c r="E492" s="44"/>
      <c r="F492" s="227"/>
      <c r="G492" s="227"/>
      <c r="H492" s="228" t="s">
        <v>264</v>
      </c>
      <c r="I492" s="252">
        <v>7</v>
      </c>
      <c r="J492" s="60">
        <f>J475</f>
        <v>33700</v>
      </c>
      <c r="K492" s="230">
        <f>I492*J492</f>
        <v>235900</v>
      </c>
    </row>
    <row r="493" spans="1:11" ht="13.2" customHeight="1" x14ac:dyDescent="0.25">
      <c r="A493" s="223"/>
      <c r="B493" s="224" t="s">
        <v>30</v>
      </c>
      <c r="C493" s="225" t="s">
        <v>765</v>
      </c>
      <c r="D493" s="226"/>
      <c r="E493" s="44"/>
      <c r="F493" s="227"/>
      <c r="G493" s="227"/>
      <c r="H493" s="228" t="s">
        <v>203</v>
      </c>
      <c r="I493" s="253">
        <v>1</v>
      </c>
      <c r="J493" s="60">
        <f t="shared" ref="J493:J502" si="48">J476</f>
        <v>104750</v>
      </c>
      <c r="K493" s="230">
        <f t="shared" ref="K493:K503" si="49">I493*J493</f>
        <v>104750</v>
      </c>
    </row>
    <row r="494" spans="1:11" ht="13.2" customHeight="1" x14ac:dyDescent="0.25">
      <c r="A494" s="223"/>
      <c r="B494" s="224" t="s">
        <v>57</v>
      </c>
      <c r="C494" s="225" t="s">
        <v>777</v>
      </c>
      <c r="D494" s="226"/>
      <c r="E494" s="44"/>
      <c r="F494" s="227"/>
      <c r="G494" s="227"/>
      <c r="H494" s="228" t="s">
        <v>203</v>
      </c>
      <c r="I494" s="253">
        <v>1</v>
      </c>
      <c r="J494" s="60">
        <f t="shared" si="48"/>
        <v>121500</v>
      </c>
      <c r="K494" s="230">
        <f t="shared" si="49"/>
        <v>121500</v>
      </c>
    </row>
    <row r="495" spans="1:11" ht="13.2" customHeight="1" x14ac:dyDescent="0.25">
      <c r="A495" s="223"/>
      <c r="B495" s="224" t="s">
        <v>83</v>
      </c>
      <c r="C495" s="225" t="s">
        <v>714</v>
      </c>
      <c r="D495" s="226"/>
      <c r="E495" s="44"/>
      <c r="F495" s="227"/>
      <c r="G495" s="227"/>
      <c r="H495" s="228" t="s">
        <v>203</v>
      </c>
      <c r="I495" s="253">
        <v>5</v>
      </c>
      <c r="J495" s="60">
        <f t="shared" si="48"/>
        <v>14000</v>
      </c>
      <c r="K495" s="230">
        <f t="shared" si="49"/>
        <v>70000</v>
      </c>
    </row>
    <row r="496" spans="1:11" ht="13.2" customHeight="1" x14ac:dyDescent="0.25">
      <c r="A496" s="223"/>
      <c r="B496" s="224" t="s">
        <v>110</v>
      </c>
      <c r="C496" s="225" t="s">
        <v>842</v>
      </c>
      <c r="D496" s="226"/>
      <c r="E496" s="44"/>
      <c r="F496" s="227"/>
      <c r="G496" s="227"/>
      <c r="H496" s="228" t="s">
        <v>203</v>
      </c>
      <c r="I496" s="253">
        <v>1</v>
      </c>
      <c r="J496" s="60">
        <f t="shared" si="48"/>
        <v>100000</v>
      </c>
      <c r="K496" s="230">
        <f t="shared" si="49"/>
        <v>100000</v>
      </c>
    </row>
    <row r="497" spans="1:11" ht="13.2" customHeight="1" x14ac:dyDescent="0.25">
      <c r="A497" s="223"/>
      <c r="B497" s="224" t="s">
        <v>137</v>
      </c>
      <c r="C497" s="225" t="s">
        <v>871</v>
      </c>
      <c r="D497" s="226"/>
      <c r="E497" s="44"/>
      <c r="F497" s="227"/>
      <c r="G497" s="227"/>
      <c r="H497" s="228" t="s">
        <v>203</v>
      </c>
      <c r="I497" s="253">
        <v>1</v>
      </c>
      <c r="J497" s="60">
        <f t="shared" si="48"/>
        <v>85000</v>
      </c>
      <c r="K497" s="230">
        <f t="shared" si="49"/>
        <v>85000</v>
      </c>
    </row>
    <row r="498" spans="1:11" ht="13.2" customHeight="1" x14ac:dyDescent="0.25">
      <c r="A498" s="223"/>
      <c r="B498" s="224" t="s">
        <v>156</v>
      </c>
      <c r="C498" s="225" t="s">
        <v>764</v>
      </c>
      <c r="D498" s="226"/>
      <c r="E498" s="44"/>
      <c r="F498" s="227"/>
      <c r="G498" s="227"/>
      <c r="H498" s="228" t="s">
        <v>203</v>
      </c>
      <c r="I498" s="253">
        <v>4</v>
      </c>
      <c r="J498" s="60">
        <f t="shared" si="48"/>
        <v>112000</v>
      </c>
      <c r="K498" s="230">
        <f t="shared" si="49"/>
        <v>448000</v>
      </c>
    </row>
    <row r="499" spans="1:11" ht="13.2" customHeight="1" x14ac:dyDescent="0.25">
      <c r="A499" s="223"/>
      <c r="B499" s="224" t="s">
        <v>175</v>
      </c>
      <c r="C499" s="225" t="s">
        <v>757</v>
      </c>
      <c r="D499" s="226"/>
      <c r="E499" s="44"/>
      <c r="F499" s="227"/>
      <c r="G499" s="227"/>
      <c r="H499" s="228" t="s">
        <v>203</v>
      </c>
      <c r="I499" s="253">
        <v>6</v>
      </c>
      <c r="J499" s="60">
        <f t="shared" si="48"/>
        <v>41000</v>
      </c>
      <c r="K499" s="230">
        <f t="shared" si="49"/>
        <v>246000</v>
      </c>
    </row>
    <row r="500" spans="1:11" ht="13.2" customHeight="1" x14ac:dyDescent="0.25">
      <c r="A500" s="223"/>
      <c r="B500" s="224" t="s">
        <v>177</v>
      </c>
      <c r="C500" s="225" t="s">
        <v>775</v>
      </c>
      <c r="D500" s="226"/>
      <c r="E500" s="44"/>
      <c r="F500" s="227"/>
      <c r="G500" s="227"/>
      <c r="H500" s="228" t="s">
        <v>235</v>
      </c>
      <c r="I500" s="253">
        <v>1</v>
      </c>
      <c r="J500" s="60">
        <f t="shared" si="48"/>
        <v>105000</v>
      </c>
      <c r="K500" s="230">
        <f t="shared" si="49"/>
        <v>105000</v>
      </c>
    </row>
    <row r="501" spans="1:11" ht="13.2" customHeight="1" x14ac:dyDescent="0.25">
      <c r="A501" s="223"/>
      <c r="B501" s="224" t="s">
        <v>197</v>
      </c>
      <c r="C501" s="225" t="s">
        <v>758</v>
      </c>
      <c r="D501" s="226"/>
      <c r="E501" s="44"/>
      <c r="F501" s="227"/>
      <c r="G501" s="227"/>
      <c r="H501" s="228" t="s">
        <v>203</v>
      </c>
      <c r="I501" s="253">
        <v>1</v>
      </c>
      <c r="J501" s="60">
        <f t="shared" si="48"/>
        <v>92700</v>
      </c>
      <c r="K501" s="230">
        <f t="shared" si="49"/>
        <v>92700</v>
      </c>
    </row>
    <row r="502" spans="1:11" ht="13.2" customHeight="1" x14ac:dyDescent="0.25">
      <c r="A502" s="223"/>
      <c r="B502" s="224" t="s">
        <v>198</v>
      </c>
      <c r="C502" s="225" t="s">
        <v>759</v>
      </c>
      <c r="D502" s="226"/>
      <c r="E502" s="44"/>
      <c r="F502" s="227"/>
      <c r="G502" s="227"/>
      <c r="H502" s="228" t="s">
        <v>203</v>
      </c>
      <c r="I502" s="253">
        <v>1</v>
      </c>
      <c r="J502" s="60">
        <f t="shared" si="48"/>
        <v>39000</v>
      </c>
      <c r="K502" s="230">
        <f t="shared" si="49"/>
        <v>39000</v>
      </c>
    </row>
    <row r="503" spans="1:11" ht="13.2" customHeight="1" x14ac:dyDescent="0.25">
      <c r="A503" s="223"/>
      <c r="B503" s="256" t="s">
        <v>200</v>
      </c>
      <c r="C503" s="257" t="s">
        <v>996</v>
      </c>
      <c r="D503" s="57"/>
      <c r="E503" s="258"/>
      <c r="F503" s="259"/>
      <c r="G503" s="259"/>
      <c r="H503" s="260" t="s">
        <v>235</v>
      </c>
      <c r="I503" s="261">
        <v>1</v>
      </c>
      <c r="J503" s="60">
        <f>'Harga Satuan Dasar mat'!G299</f>
        <v>166000</v>
      </c>
      <c r="K503" s="230">
        <f t="shared" si="49"/>
        <v>166000</v>
      </c>
    </row>
    <row r="504" spans="1:11" ht="12.9" customHeight="1" x14ac:dyDescent="0.25">
      <c r="A504" s="58"/>
      <c r="B504" s="231"/>
      <c r="C504" s="232"/>
      <c r="D504" s="232"/>
      <c r="E504" s="232"/>
      <c r="F504" s="232"/>
      <c r="G504" s="233"/>
      <c r="H504" s="234" t="s">
        <v>715</v>
      </c>
      <c r="I504" s="235"/>
      <c r="J504" s="235"/>
      <c r="K504" s="236">
        <f>SUM(K492:K503)</f>
        <v>1813850</v>
      </c>
    </row>
    <row r="505" spans="1:11" ht="12.9" customHeight="1" x14ac:dyDescent="0.25">
      <c r="A505" s="58"/>
      <c r="B505" s="59"/>
      <c r="C505" s="56"/>
      <c r="D505" s="56"/>
      <c r="E505" s="56"/>
      <c r="F505" s="56"/>
      <c r="G505" s="237"/>
      <c r="H505" s="238" t="s">
        <v>603</v>
      </c>
      <c r="I505" s="239">
        <f>$K$3</f>
        <v>0.15</v>
      </c>
      <c r="J505" s="240"/>
      <c r="K505" s="241">
        <f>I505*K504</f>
        <v>272077.5</v>
      </c>
    </row>
    <row r="506" spans="1:11" ht="12.9" customHeight="1" x14ac:dyDescent="0.25">
      <c r="A506" s="58"/>
      <c r="B506" s="59"/>
      <c r="C506" s="56"/>
      <c r="D506" s="56"/>
      <c r="E506" s="56"/>
      <c r="F506" s="56"/>
      <c r="G506" s="237"/>
      <c r="H506" s="238" t="s">
        <v>604</v>
      </c>
      <c r="I506" s="226"/>
      <c r="J506" s="226"/>
      <c r="K506" s="241">
        <f>SUM(K504:K505)</f>
        <v>2085927.5</v>
      </c>
    </row>
    <row r="507" spans="1:11" ht="12.9" customHeight="1" thickBot="1" x14ac:dyDescent="0.3">
      <c r="A507" s="242"/>
      <c r="B507" s="243"/>
      <c r="C507" s="244"/>
      <c r="D507" s="244"/>
      <c r="E507" s="244"/>
      <c r="F507" s="244"/>
      <c r="G507" s="245"/>
      <c r="H507" s="246" t="s">
        <v>605</v>
      </c>
      <c r="I507" s="247"/>
      <c r="J507" s="247"/>
      <c r="K507" s="248">
        <f>ROUND(K506,-1)</f>
        <v>2085930</v>
      </c>
    </row>
    <row r="508" spans="1:11" ht="14.1" customHeight="1" x14ac:dyDescent="0.25">
      <c r="A508" s="215">
        <v>34</v>
      </c>
      <c r="B508" s="651" t="s">
        <v>713</v>
      </c>
      <c r="C508" s="652"/>
      <c r="D508" s="216" t="s">
        <v>875</v>
      </c>
      <c r="E508" s="217"/>
      <c r="F508" s="218"/>
      <c r="G508" s="218"/>
      <c r="H508" s="219"/>
      <c r="I508" s="220"/>
      <c r="J508" s="221"/>
      <c r="K508" s="222"/>
    </row>
    <row r="509" spans="1:11" ht="13.2" customHeight="1" x14ac:dyDescent="0.25">
      <c r="A509" s="223"/>
      <c r="B509" s="224" t="s">
        <v>4</v>
      </c>
      <c r="C509" s="225" t="s">
        <v>755</v>
      </c>
      <c r="D509" s="226"/>
      <c r="E509" s="44"/>
      <c r="F509" s="227"/>
      <c r="G509" s="227"/>
      <c r="H509" s="228" t="s">
        <v>264</v>
      </c>
      <c r="I509" s="252">
        <f>I125+11</f>
        <v>26</v>
      </c>
      <c r="J509" s="60">
        <f>J492</f>
        <v>33700</v>
      </c>
      <c r="K509" s="230">
        <f>I509*J509</f>
        <v>876200</v>
      </c>
    </row>
    <row r="510" spans="1:11" ht="13.2" customHeight="1" x14ac:dyDescent="0.25">
      <c r="A510" s="223"/>
      <c r="B510" s="224" t="s">
        <v>30</v>
      </c>
      <c r="C510" s="225" t="s">
        <v>761</v>
      </c>
      <c r="D510" s="226"/>
      <c r="E510" s="44"/>
      <c r="F510" s="227"/>
      <c r="G510" s="227"/>
      <c r="H510" s="228" t="s">
        <v>203</v>
      </c>
      <c r="I510" s="229">
        <v>1</v>
      </c>
      <c r="J510" s="60">
        <f>J306</f>
        <v>189500</v>
      </c>
      <c r="K510" s="230">
        <f t="shared" ref="K510:K519" si="50">I510*J510</f>
        <v>189500</v>
      </c>
    </row>
    <row r="511" spans="1:11" ht="13.2" customHeight="1" x14ac:dyDescent="0.25">
      <c r="A511" s="223"/>
      <c r="B511" s="224" t="s">
        <v>57</v>
      </c>
      <c r="C511" s="225" t="s">
        <v>972</v>
      </c>
      <c r="D511" s="226"/>
      <c r="E511" s="44"/>
      <c r="F511" s="227"/>
      <c r="G511" s="227"/>
      <c r="H511" s="228" t="s">
        <v>203</v>
      </c>
      <c r="I511" s="229">
        <v>1</v>
      </c>
      <c r="J511" s="60">
        <f>'Harga Satuan Dasar mat'!G104</f>
        <v>221500</v>
      </c>
      <c r="K511" s="230">
        <f t="shared" si="50"/>
        <v>221500</v>
      </c>
    </row>
    <row r="512" spans="1:11" ht="13.2" customHeight="1" x14ac:dyDescent="0.25">
      <c r="A512" s="223"/>
      <c r="B512" s="224" t="s">
        <v>83</v>
      </c>
      <c r="C512" s="225" t="s">
        <v>714</v>
      </c>
      <c r="D512" s="226"/>
      <c r="E512" s="44"/>
      <c r="F512" s="227"/>
      <c r="G512" s="227"/>
      <c r="H512" s="228" t="s">
        <v>203</v>
      </c>
      <c r="I512" s="229">
        <v>4</v>
      </c>
      <c r="J512" s="60">
        <f>J495</f>
        <v>14000</v>
      </c>
      <c r="K512" s="230">
        <f t="shared" si="50"/>
        <v>56000</v>
      </c>
    </row>
    <row r="513" spans="1:11" ht="13.2" customHeight="1" x14ac:dyDescent="0.25">
      <c r="A513" s="223"/>
      <c r="B513" s="224" t="s">
        <v>110</v>
      </c>
      <c r="C513" s="225" t="s">
        <v>841</v>
      </c>
      <c r="D513" s="226"/>
      <c r="E513" s="44"/>
      <c r="F513" s="227"/>
      <c r="G513" s="227"/>
      <c r="H513" s="228" t="s">
        <v>203</v>
      </c>
      <c r="I513" s="229">
        <v>2</v>
      </c>
      <c r="J513" s="60">
        <f t="shared" ref="J513:J519" si="51">J428</f>
        <v>175000</v>
      </c>
      <c r="K513" s="230">
        <f t="shared" si="50"/>
        <v>350000</v>
      </c>
    </row>
    <row r="514" spans="1:11" ht="13.2" customHeight="1" x14ac:dyDescent="0.25">
      <c r="A514" s="223"/>
      <c r="B514" s="224" t="s">
        <v>137</v>
      </c>
      <c r="C514" s="225" t="s">
        <v>756</v>
      </c>
      <c r="D514" s="226"/>
      <c r="E514" s="44"/>
      <c r="F514" s="227"/>
      <c r="G514" s="227"/>
      <c r="H514" s="228" t="s">
        <v>203</v>
      </c>
      <c r="I514" s="229">
        <v>2</v>
      </c>
      <c r="J514" s="60">
        <f t="shared" si="51"/>
        <v>105000</v>
      </c>
      <c r="K514" s="230">
        <f t="shared" si="50"/>
        <v>210000</v>
      </c>
    </row>
    <row r="515" spans="1:11" ht="13.2" customHeight="1" x14ac:dyDescent="0.25">
      <c r="A515" s="223"/>
      <c r="B515" s="224" t="s">
        <v>156</v>
      </c>
      <c r="C515" s="225" t="s">
        <v>780</v>
      </c>
      <c r="D515" s="226"/>
      <c r="E515" s="44"/>
      <c r="F515" s="227"/>
      <c r="G515" s="227"/>
      <c r="H515" s="228" t="s">
        <v>203</v>
      </c>
      <c r="I515" s="229">
        <v>4</v>
      </c>
      <c r="J515" s="60">
        <f t="shared" si="51"/>
        <v>112000</v>
      </c>
      <c r="K515" s="230">
        <f t="shared" si="50"/>
        <v>448000</v>
      </c>
    </row>
    <row r="516" spans="1:11" ht="13.2" customHeight="1" x14ac:dyDescent="0.25">
      <c r="A516" s="223"/>
      <c r="B516" s="224" t="s">
        <v>175</v>
      </c>
      <c r="C516" s="225" t="s">
        <v>757</v>
      </c>
      <c r="D516" s="226"/>
      <c r="E516" s="44"/>
      <c r="F516" s="227"/>
      <c r="G516" s="227"/>
      <c r="H516" s="228" t="s">
        <v>203</v>
      </c>
      <c r="I516" s="229">
        <v>8</v>
      </c>
      <c r="J516" s="60">
        <f t="shared" si="51"/>
        <v>41000</v>
      </c>
      <c r="K516" s="230">
        <f t="shared" si="50"/>
        <v>328000</v>
      </c>
    </row>
    <row r="517" spans="1:11" ht="13.2" customHeight="1" x14ac:dyDescent="0.25">
      <c r="A517" s="223"/>
      <c r="B517" s="224" t="s">
        <v>177</v>
      </c>
      <c r="C517" s="225" t="s">
        <v>1014</v>
      </c>
      <c r="D517" s="226"/>
      <c r="E517" s="44"/>
      <c r="F517" s="227"/>
      <c r="G517" s="227"/>
      <c r="H517" s="228" t="s">
        <v>235</v>
      </c>
      <c r="I517" s="229">
        <v>1</v>
      </c>
      <c r="J517" s="60">
        <f t="shared" si="51"/>
        <v>125000</v>
      </c>
      <c r="K517" s="230">
        <f t="shared" si="50"/>
        <v>125000</v>
      </c>
    </row>
    <row r="518" spans="1:11" ht="13.2" customHeight="1" x14ac:dyDescent="0.25">
      <c r="A518" s="223"/>
      <c r="B518" s="224" t="s">
        <v>197</v>
      </c>
      <c r="C518" s="225" t="s">
        <v>758</v>
      </c>
      <c r="D518" s="226"/>
      <c r="E518" s="44"/>
      <c r="F518" s="227"/>
      <c r="G518" s="227"/>
      <c r="H518" s="228" t="s">
        <v>203</v>
      </c>
      <c r="I518" s="229">
        <v>1</v>
      </c>
      <c r="J518" s="60">
        <f t="shared" si="51"/>
        <v>92700</v>
      </c>
      <c r="K518" s="230">
        <f t="shared" si="50"/>
        <v>92700</v>
      </c>
    </row>
    <row r="519" spans="1:11" ht="13.2" customHeight="1" x14ac:dyDescent="0.25">
      <c r="A519" s="223"/>
      <c r="B519" s="224" t="s">
        <v>198</v>
      </c>
      <c r="C519" s="225" t="s">
        <v>759</v>
      </c>
      <c r="D519" s="226"/>
      <c r="E519" s="44"/>
      <c r="F519" s="227"/>
      <c r="G519" s="227"/>
      <c r="H519" s="228" t="s">
        <v>203</v>
      </c>
      <c r="I519" s="229">
        <v>1</v>
      </c>
      <c r="J519" s="60">
        <f t="shared" si="51"/>
        <v>39000</v>
      </c>
      <c r="K519" s="230">
        <f t="shared" si="50"/>
        <v>39000</v>
      </c>
    </row>
    <row r="520" spans="1:11" ht="12.9" customHeight="1" x14ac:dyDescent="0.25">
      <c r="A520" s="58"/>
      <c r="B520" s="231"/>
      <c r="C520" s="232"/>
      <c r="D520" s="232"/>
      <c r="E520" s="232"/>
      <c r="F520" s="232"/>
      <c r="G520" s="233"/>
      <c r="H520" s="234" t="s">
        <v>715</v>
      </c>
      <c r="I520" s="235"/>
      <c r="J520" s="235"/>
      <c r="K520" s="236">
        <f>SUM(K509:K519)</f>
        <v>2935900</v>
      </c>
    </row>
    <row r="521" spans="1:11" ht="12.9" customHeight="1" x14ac:dyDescent="0.25">
      <c r="A521" s="58"/>
      <c r="B521" s="59"/>
      <c r="C521" s="56"/>
      <c r="D521" s="56"/>
      <c r="E521" s="56"/>
      <c r="F521" s="56"/>
      <c r="G521" s="237"/>
      <c r="H521" s="238" t="s">
        <v>603</v>
      </c>
      <c r="I521" s="239">
        <f>$K$3</f>
        <v>0.15</v>
      </c>
      <c r="J521" s="240"/>
      <c r="K521" s="241">
        <f>I521*K520</f>
        <v>440385</v>
      </c>
    </row>
    <row r="522" spans="1:11" ht="12.9" customHeight="1" x14ac:dyDescent="0.25">
      <c r="A522" s="58"/>
      <c r="B522" s="59"/>
      <c r="C522" s="56"/>
      <c r="D522" s="56"/>
      <c r="E522" s="56"/>
      <c r="F522" s="56"/>
      <c r="G522" s="237"/>
      <c r="H522" s="238" t="s">
        <v>604</v>
      </c>
      <c r="I522" s="226"/>
      <c r="J522" s="226"/>
      <c r="K522" s="241">
        <f>SUM(K520:K521)</f>
        <v>3376285</v>
      </c>
    </row>
    <row r="523" spans="1:11" ht="12.9" customHeight="1" thickBot="1" x14ac:dyDescent="0.3">
      <c r="A523" s="242"/>
      <c r="B523" s="243"/>
      <c r="C523" s="244"/>
      <c r="D523" s="244"/>
      <c r="E523" s="244"/>
      <c r="F523" s="244"/>
      <c r="G523" s="245"/>
      <c r="H523" s="246" t="s">
        <v>605</v>
      </c>
      <c r="I523" s="247"/>
      <c r="J523" s="247"/>
      <c r="K523" s="248">
        <f>ROUND(K522,-1)</f>
        <v>3376290</v>
      </c>
    </row>
    <row r="524" spans="1:11" ht="14.1" customHeight="1" x14ac:dyDescent="0.25">
      <c r="A524" s="215">
        <v>35</v>
      </c>
      <c r="B524" s="651" t="s">
        <v>713</v>
      </c>
      <c r="C524" s="652"/>
      <c r="D524" s="216" t="s">
        <v>876</v>
      </c>
      <c r="E524" s="217"/>
      <c r="F524" s="218"/>
      <c r="G524" s="218"/>
      <c r="H524" s="219"/>
      <c r="I524" s="220"/>
      <c r="J524" s="221"/>
      <c r="K524" s="222"/>
    </row>
    <row r="525" spans="1:11" ht="13.2" customHeight="1" x14ac:dyDescent="0.25">
      <c r="A525" s="223"/>
      <c r="B525" s="224" t="s">
        <v>4</v>
      </c>
      <c r="C525" s="225" t="s">
        <v>755</v>
      </c>
      <c r="D525" s="226"/>
      <c r="E525" s="44"/>
      <c r="F525" s="227"/>
      <c r="G525" s="227"/>
      <c r="H525" s="228" t="s">
        <v>264</v>
      </c>
      <c r="I525" s="252">
        <f>I140+11</f>
        <v>25</v>
      </c>
      <c r="J525" s="60">
        <f>J509</f>
        <v>33700</v>
      </c>
      <c r="K525" s="230">
        <f>I525*J525</f>
        <v>842500</v>
      </c>
    </row>
    <row r="526" spans="1:11" ht="13.2" customHeight="1" x14ac:dyDescent="0.25">
      <c r="A526" s="223"/>
      <c r="B526" s="224" t="s">
        <v>30</v>
      </c>
      <c r="C526" s="225" t="s">
        <v>761</v>
      </c>
      <c r="D526" s="226"/>
      <c r="E526" s="44"/>
      <c r="F526" s="227"/>
      <c r="G526" s="227"/>
      <c r="H526" s="228" t="s">
        <v>203</v>
      </c>
      <c r="I526" s="229">
        <v>1</v>
      </c>
      <c r="J526" s="60">
        <f>J510</f>
        <v>189500</v>
      </c>
      <c r="K526" s="230">
        <f t="shared" ref="K526:K535" si="52">I526*J526</f>
        <v>189500</v>
      </c>
    </row>
    <row r="527" spans="1:11" ht="13.2" customHeight="1" x14ac:dyDescent="0.25">
      <c r="A527" s="223"/>
      <c r="B527" s="224" t="s">
        <v>57</v>
      </c>
      <c r="C527" s="225" t="s">
        <v>966</v>
      </c>
      <c r="D527" s="226"/>
      <c r="E527" s="44"/>
      <c r="F527" s="227"/>
      <c r="G527" s="227"/>
      <c r="H527" s="228" t="s">
        <v>203</v>
      </c>
      <c r="I527" s="229">
        <v>1</v>
      </c>
      <c r="J527" s="60">
        <f>J511</f>
        <v>221500</v>
      </c>
      <c r="K527" s="230">
        <f t="shared" si="52"/>
        <v>221500</v>
      </c>
    </row>
    <row r="528" spans="1:11" ht="13.2" customHeight="1" x14ac:dyDescent="0.25">
      <c r="A528" s="223"/>
      <c r="B528" s="224" t="s">
        <v>83</v>
      </c>
      <c r="C528" s="225" t="s">
        <v>714</v>
      </c>
      <c r="D528" s="226"/>
      <c r="E528" s="44"/>
      <c r="F528" s="227"/>
      <c r="G528" s="227"/>
      <c r="H528" s="228" t="s">
        <v>203</v>
      </c>
      <c r="I528" s="229">
        <v>4</v>
      </c>
      <c r="J528" s="60">
        <f>J495</f>
        <v>14000</v>
      </c>
      <c r="K528" s="230">
        <f t="shared" si="52"/>
        <v>56000</v>
      </c>
    </row>
    <row r="529" spans="1:11" ht="13.2" customHeight="1" x14ac:dyDescent="0.25">
      <c r="A529" s="223"/>
      <c r="B529" s="224" t="s">
        <v>110</v>
      </c>
      <c r="C529" s="225" t="s">
        <v>841</v>
      </c>
      <c r="D529" s="226"/>
      <c r="E529" s="44"/>
      <c r="F529" s="227"/>
      <c r="G529" s="227"/>
      <c r="H529" s="228" t="s">
        <v>203</v>
      </c>
      <c r="I529" s="229">
        <v>2</v>
      </c>
      <c r="J529" s="60">
        <f t="shared" ref="J529:J535" si="53">J513</f>
        <v>175000</v>
      </c>
      <c r="K529" s="230">
        <f t="shared" si="52"/>
        <v>350000</v>
      </c>
    </row>
    <row r="530" spans="1:11" ht="13.2" customHeight="1" x14ac:dyDescent="0.25">
      <c r="A530" s="223"/>
      <c r="B530" s="224" t="s">
        <v>137</v>
      </c>
      <c r="C530" s="225" t="s">
        <v>756</v>
      </c>
      <c r="D530" s="226"/>
      <c r="E530" s="44"/>
      <c r="F530" s="227"/>
      <c r="G530" s="227"/>
      <c r="H530" s="228" t="s">
        <v>203</v>
      </c>
      <c r="I530" s="229">
        <v>2</v>
      </c>
      <c r="J530" s="60">
        <f t="shared" si="53"/>
        <v>105000</v>
      </c>
      <c r="K530" s="230">
        <f t="shared" si="52"/>
        <v>210000</v>
      </c>
    </row>
    <row r="531" spans="1:11" ht="13.2" customHeight="1" x14ac:dyDescent="0.25">
      <c r="A531" s="223"/>
      <c r="B531" s="224" t="s">
        <v>156</v>
      </c>
      <c r="C531" s="225" t="s">
        <v>764</v>
      </c>
      <c r="D531" s="226"/>
      <c r="E531" s="44"/>
      <c r="F531" s="227"/>
      <c r="G531" s="227"/>
      <c r="H531" s="228" t="s">
        <v>203</v>
      </c>
      <c r="I531" s="229">
        <v>4</v>
      </c>
      <c r="J531" s="60">
        <f t="shared" si="53"/>
        <v>112000</v>
      </c>
      <c r="K531" s="230">
        <f t="shared" si="52"/>
        <v>448000</v>
      </c>
    </row>
    <row r="532" spans="1:11" ht="13.2" customHeight="1" x14ac:dyDescent="0.25">
      <c r="A532" s="223"/>
      <c r="B532" s="224" t="s">
        <v>175</v>
      </c>
      <c r="C532" s="225" t="s">
        <v>757</v>
      </c>
      <c r="D532" s="226"/>
      <c r="E532" s="44"/>
      <c r="F532" s="227"/>
      <c r="G532" s="227"/>
      <c r="H532" s="228" t="s">
        <v>203</v>
      </c>
      <c r="I532" s="229">
        <v>6</v>
      </c>
      <c r="J532" s="60">
        <f t="shared" si="53"/>
        <v>41000</v>
      </c>
      <c r="K532" s="230">
        <f t="shared" si="52"/>
        <v>246000</v>
      </c>
    </row>
    <row r="533" spans="1:11" ht="13.2" customHeight="1" x14ac:dyDescent="0.25">
      <c r="A533" s="223"/>
      <c r="B533" s="224" t="s">
        <v>177</v>
      </c>
      <c r="C533" s="225" t="s">
        <v>1014</v>
      </c>
      <c r="D533" s="226"/>
      <c r="E533" s="44"/>
      <c r="F533" s="227"/>
      <c r="G533" s="227"/>
      <c r="H533" s="228" t="s">
        <v>235</v>
      </c>
      <c r="I533" s="229">
        <v>1</v>
      </c>
      <c r="J533" s="60">
        <f t="shared" si="53"/>
        <v>125000</v>
      </c>
      <c r="K533" s="230">
        <f t="shared" si="52"/>
        <v>125000</v>
      </c>
    </row>
    <row r="534" spans="1:11" ht="13.2" customHeight="1" x14ac:dyDescent="0.25">
      <c r="A534" s="223"/>
      <c r="B534" s="224" t="s">
        <v>197</v>
      </c>
      <c r="C534" s="225" t="s">
        <v>758</v>
      </c>
      <c r="D534" s="226"/>
      <c r="E534" s="44"/>
      <c r="F534" s="227"/>
      <c r="G534" s="227"/>
      <c r="H534" s="228" t="s">
        <v>203</v>
      </c>
      <c r="I534" s="229">
        <v>1</v>
      </c>
      <c r="J534" s="60">
        <f t="shared" si="53"/>
        <v>92700</v>
      </c>
      <c r="K534" s="230">
        <f t="shared" si="52"/>
        <v>92700</v>
      </c>
    </row>
    <row r="535" spans="1:11" ht="13.2" customHeight="1" x14ac:dyDescent="0.25">
      <c r="A535" s="223"/>
      <c r="B535" s="224" t="s">
        <v>198</v>
      </c>
      <c r="C535" s="225" t="s">
        <v>759</v>
      </c>
      <c r="D535" s="226"/>
      <c r="E535" s="44"/>
      <c r="F535" s="227"/>
      <c r="G535" s="227"/>
      <c r="H535" s="228" t="s">
        <v>203</v>
      </c>
      <c r="I535" s="229">
        <v>1</v>
      </c>
      <c r="J535" s="60">
        <f t="shared" si="53"/>
        <v>39000</v>
      </c>
      <c r="K535" s="230">
        <f t="shared" si="52"/>
        <v>39000</v>
      </c>
    </row>
    <row r="536" spans="1:11" ht="12.9" customHeight="1" x14ac:dyDescent="0.25">
      <c r="A536" s="58"/>
      <c r="B536" s="231"/>
      <c r="C536" s="232"/>
      <c r="D536" s="232"/>
      <c r="E536" s="232"/>
      <c r="F536" s="232"/>
      <c r="G536" s="233"/>
      <c r="H536" s="234" t="s">
        <v>715</v>
      </c>
      <c r="I536" s="235"/>
      <c r="J536" s="235"/>
      <c r="K536" s="236">
        <f>SUM(K525:K535)</f>
        <v>2820200</v>
      </c>
    </row>
    <row r="537" spans="1:11" ht="12.9" customHeight="1" x14ac:dyDescent="0.25">
      <c r="A537" s="58"/>
      <c r="B537" s="59"/>
      <c r="C537" s="56"/>
      <c r="D537" s="56"/>
      <c r="E537" s="56"/>
      <c r="F537" s="56"/>
      <c r="G537" s="237"/>
      <c r="H537" s="238" t="s">
        <v>603</v>
      </c>
      <c r="I537" s="239">
        <f>$K$3</f>
        <v>0.15</v>
      </c>
      <c r="J537" s="240"/>
      <c r="K537" s="241">
        <f>I537*K536</f>
        <v>423030</v>
      </c>
    </row>
    <row r="538" spans="1:11" ht="12.9" customHeight="1" x14ac:dyDescent="0.25">
      <c r="A538" s="58"/>
      <c r="B538" s="59"/>
      <c r="C538" s="56"/>
      <c r="D538" s="56"/>
      <c r="E538" s="56"/>
      <c r="F538" s="56"/>
      <c r="G538" s="237"/>
      <c r="H538" s="238" t="s">
        <v>604</v>
      </c>
      <c r="I538" s="226"/>
      <c r="J538" s="226"/>
      <c r="K538" s="241">
        <f>SUM(K536:K537)</f>
        <v>3243230</v>
      </c>
    </row>
    <row r="539" spans="1:11" ht="12.9" customHeight="1" thickBot="1" x14ac:dyDescent="0.3">
      <c r="A539" s="242"/>
      <c r="B539" s="243"/>
      <c r="C539" s="244"/>
      <c r="D539" s="244"/>
      <c r="E539" s="244"/>
      <c r="F539" s="244"/>
      <c r="G539" s="245"/>
      <c r="H539" s="246" t="s">
        <v>605</v>
      </c>
      <c r="I539" s="247"/>
      <c r="J539" s="247"/>
      <c r="K539" s="248">
        <f>ROUND(K538,-1)</f>
        <v>3243230</v>
      </c>
    </row>
    <row r="540" spans="1:11" ht="14.1" customHeight="1" x14ac:dyDescent="0.25">
      <c r="A540" s="215">
        <v>36</v>
      </c>
      <c r="B540" s="651" t="s">
        <v>713</v>
      </c>
      <c r="C540" s="652"/>
      <c r="D540" s="216" t="s">
        <v>877</v>
      </c>
      <c r="E540" s="217"/>
      <c r="F540" s="218"/>
      <c r="G540" s="218"/>
      <c r="H540" s="219"/>
      <c r="I540" s="220"/>
      <c r="J540" s="221"/>
      <c r="K540" s="222"/>
    </row>
    <row r="541" spans="1:11" ht="13.2" customHeight="1" x14ac:dyDescent="0.25">
      <c r="A541" s="223"/>
      <c r="B541" s="224" t="s">
        <v>4</v>
      </c>
      <c r="C541" s="225" t="s">
        <v>755</v>
      </c>
      <c r="D541" s="226"/>
      <c r="E541" s="44"/>
      <c r="F541" s="227"/>
      <c r="G541" s="227"/>
      <c r="H541" s="228" t="s">
        <v>264</v>
      </c>
      <c r="I541" s="252">
        <f>I155+11</f>
        <v>24</v>
      </c>
      <c r="J541" s="60">
        <f t="shared" ref="J541:J551" si="54">J525</f>
        <v>33700</v>
      </c>
      <c r="K541" s="230">
        <f>I541*J541</f>
        <v>808800</v>
      </c>
    </row>
    <row r="542" spans="1:11" ht="13.2" customHeight="1" x14ac:dyDescent="0.25">
      <c r="A542" s="223"/>
      <c r="B542" s="224" t="s">
        <v>30</v>
      </c>
      <c r="C542" s="225" t="s">
        <v>781</v>
      </c>
      <c r="D542" s="226"/>
      <c r="E542" s="44"/>
      <c r="F542" s="227"/>
      <c r="G542" s="227"/>
      <c r="H542" s="228" t="s">
        <v>203</v>
      </c>
      <c r="I542" s="229">
        <v>1</v>
      </c>
      <c r="J542" s="60">
        <f t="shared" si="54"/>
        <v>189500</v>
      </c>
      <c r="K542" s="230">
        <f t="shared" ref="K542:K551" si="55">I542*J542</f>
        <v>189500</v>
      </c>
    </row>
    <row r="543" spans="1:11" ht="13.2" customHeight="1" x14ac:dyDescent="0.25">
      <c r="A543" s="223"/>
      <c r="B543" s="224" t="s">
        <v>57</v>
      </c>
      <c r="C543" s="225" t="s">
        <v>966</v>
      </c>
      <c r="D543" s="226"/>
      <c r="E543" s="44"/>
      <c r="F543" s="227"/>
      <c r="G543" s="227"/>
      <c r="H543" s="228" t="s">
        <v>203</v>
      </c>
      <c r="I543" s="229">
        <v>1</v>
      </c>
      <c r="J543" s="60">
        <f t="shared" si="54"/>
        <v>221500</v>
      </c>
      <c r="K543" s="230">
        <f t="shared" si="55"/>
        <v>221500</v>
      </c>
    </row>
    <row r="544" spans="1:11" ht="13.2" customHeight="1" x14ac:dyDescent="0.25">
      <c r="A544" s="223"/>
      <c r="B544" s="224" t="s">
        <v>83</v>
      </c>
      <c r="C544" s="225" t="s">
        <v>714</v>
      </c>
      <c r="D544" s="226"/>
      <c r="E544" s="44"/>
      <c r="F544" s="227"/>
      <c r="G544" s="227"/>
      <c r="H544" s="228" t="s">
        <v>203</v>
      </c>
      <c r="I544" s="229">
        <v>4</v>
      </c>
      <c r="J544" s="60">
        <f t="shared" si="54"/>
        <v>14000</v>
      </c>
      <c r="K544" s="230">
        <f t="shared" si="55"/>
        <v>56000</v>
      </c>
    </row>
    <row r="545" spans="1:11" ht="13.2" customHeight="1" x14ac:dyDescent="0.25">
      <c r="A545" s="223"/>
      <c r="B545" s="224" t="s">
        <v>110</v>
      </c>
      <c r="C545" s="225" t="s">
        <v>841</v>
      </c>
      <c r="D545" s="226"/>
      <c r="E545" s="44"/>
      <c r="F545" s="227"/>
      <c r="G545" s="227"/>
      <c r="H545" s="228" t="s">
        <v>203</v>
      </c>
      <c r="I545" s="229">
        <v>2</v>
      </c>
      <c r="J545" s="60">
        <f t="shared" si="54"/>
        <v>175000</v>
      </c>
      <c r="K545" s="230">
        <f t="shared" si="55"/>
        <v>350000</v>
      </c>
    </row>
    <row r="546" spans="1:11" ht="13.2" customHeight="1" x14ac:dyDescent="0.25">
      <c r="A546" s="223"/>
      <c r="B546" s="224" t="s">
        <v>137</v>
      </c>
      <c r="C546" s="225" t="s">
        <v>756</v>
      </c>
      <c r="D546" s="226"/>
      <c r="E546" s="44"/>
      <c r="F546" s="227"/>
      <c r="G546" s="227"/>
      <c r="H546" s="228" t="s">
        <v>203</v>
      </c>
      <c r="I546" s="229">
        <v>2</v>
      </c>
      <c r="J546" s="60">
        <f t="shared" si="54"/>
        <v>105000</v>
      </c>
      <c r="K546" s="230">
        <f t="shared" si="55"/>
        <v>210000</v>
      </c>
    </row>
    <row r="547" spans="1:11" ht="13.2" customHeight="1" x14ac:dyDescent="0.25">
      <c r="A547" s="223"/>
      <c r="B547" s="224" t="s">
        <v>156</v>
      </c>
      <c r="C547" s="225" t="s">
        <v>764</v>
      </c>
      <c r="D547" s="226"/>
      <c r="E547" s="44"/>
      <c r="F547" s="227"/>
      <c r="G547" s="227"/>
      <c r="H547" s="228" t="s">
        <v>203</v>
      </c>
      <c r="I547" s="229">
        <v>4</v>
      </c>
      <c r="J547" s="60">
        <f t="shared" si="54"/>
        <v>112000</v>
      </c>
      <c r="K547" s="230">
        <f t="shared" si="55"/>
        <v>448000</v>
      </c>
    </row>
    <row r="548" spans="1:11" ht="13.2" customHeight="1" x14ac:dyDescent="0.25">
      <c r="A548" s="223"/>
      <c r="B548" s="224" t="s">
        <v>175</v>
      </c>
      <c r="C548" s="225" t="s">
        <v>757</v>
      </c>
      <c r="D548" s="226"/>
      <c r="E548" s="44"/>
      <c r="F548" s="227"/>
      <c r="G548" s="227"/>
      <c r="H548" s="228" t="s">
        <v>203</v>
      </c>
      <c r="I548" s="229">
        <v>6</v>
      </c>
      <c r="J548" s="60">
        <f t="shared" si="54"/>
        <v>41000</v>
      </c>
      <c r="K548" s="230">
        <f t="shared" si="55"/>
        <v>246000</v>
      </c>
    </row>
    <row r="549" spans="1:11" ht="13.2" customHeight="1" x14ac:dyDescent="0.25">
      <c r="A549" s="223"/>
      <c r="B549" s="224" t="s">
        <v>177</v>
      </c>
      <c r="C549" s="225" t="s">
        <v>1014</v>
      </c>
      <c r="D549" s="226"/>
      <c r="E549" s="44"/>
      <c r="F549" s="227"/>
      <c r="G549" s="227"/>
      <c r="H549" s="228" t="s">
        <v>235</v>
      </c>
      <c r="I549" s="229">
        <v>1</v>
      </c>
      <c r="J549" s="60">
        <f t="shared" si="54"/>
        <v>125000</v>
      </c>
      <c r="K549" s="230">
        <f t="shared" si="55"/>
        <v>125000</v>
      </c>
    </row>
    <row r="550" spans="1:11" ht="13.2" customHeight="1" x14ac:dyDescent="0.25">
      <c r="A550" s="223"/>
      <c r="B550" s="224" t="s">
        <v>197</v>
      </c>
      <c r="C550" s="225" t="s">
        <v>758</v>
      </c>
      <c r="D550" s="226"/>
      <c r="E550" s="44"/>
      <c r="F550" s="227"/>
      <c r="G550" s="227"/>
      <c r="H550" s="228" t="s">
        <v>203</v>
      </c>
      <c r="I550" s="229">
        <v>1</v>
      </c>
      <c r="J550" s="60">
        <f t="shared" si="54"/>
        <v>92700</v>
      </c>
      <c r="K550" s="230">
        <f t="shared" si="55"/>
        <v>92700</v>
      </c>
    </row>
    <row r="551" spans="1:11" ht="13.2" customHeight="1" x14ac:dyDescent="0.25">
      <c r="A551" s="223"/>
      <c r="B551" s="224" t="s">
        <v>198</v>
      </c>
      <c r="C551" s="225" t="s">
        <v>759</v>
      </c>
      <c r="D551" s="226"/>
      <c r="E551" s="44"/>
      <c r="F551" s="227"/>
      <c r="G551" s="227"/>
      <c r="H551" s="228" t="s">
        <v>203</v>
      </c>
      <c r="I551" s="229">
        <v>1</v>
      </c>
      <c r="J551" s="60">
        <f t="shared" si="54"/>
        <v>39000</v>
      </c>
      <c r="K551" s="230">
        <f t="shared" si="55"/>
        <v>39000</v>
      </c>
    </row>
    <row r="552" spans="1:11" ht="12.9" customHeight="1" x14ac:dyDescent="0.25">
      <c r="A552" s="58"/>
      <c r="B552" s="231"/>
      <c r="C552" s="232"/>
      <c r="D552" s="232"/>
      <c r="E552" s="232"/>
      <c r="F552" s="232"/>
      <c r="G552" s="233"/>
      <c r="H552" s="234" t="s">
        <v>715</v>
      </c>
      <c r="I552" s="235"/>
      <c r="J552" s="235"/>
      <c r="K552" s="236">
        <f>SUM(K541:K551)</f>
        <v>2786500</v>
      </c>
    </row>
    <row r="553" spans="1:11" ht="12.9" customHeight="1" x14ac:dyDescent="0.25">
      <c r="A553" s="58"/>
      <c r="B553" s="59"/>
      <c r="C553" s="56"/>
      <c r="D553" s="56"/>
      <c r="E553" s="56"/>
      <c r="F553" s="56"/>
      <c r="G553" s="237"/>
      <c r="H553" s="238" t="s">
        <v>603</v>
      </c>
      <c r="I553" s="239">
        <f>$K$3</f>
        <v>0.15</v>
      </c>
      <c r="J553" s="240"/>
      <c r="K553" s="241">
        <f>I553*K552</f>
        <v>417975</v>
      </c>
    </row>
    <row r="554" spans="1:11" ht="12.9" customHeight="1" x14ac:dyDescent="0.25">
      <c r="A554" s="58"/>
      <c r="B554" s="59"/>
      <c r="C554" s="56"/>
      <c r="D554" s="56"/>
      <c r="E554" s="56"/>
      <c r="F554" s="56"/>
      <c r="G554" s="237"/>
      <c r="H554" s="238" t="s">
        <v>604</v>
      </c>
      <c r="I554" s="226"/>
      <c r="J554" s="226"/>
      <c r="K554" s="241">
        <f>SUM(K552:K553)</f>
        <v>3204475</v>
      </c>
    </row>
    <row r="555" spans="1:11" ht="12.9" customHeight="1" thickBot="1" x14ac:dyDescent="0.3">
      <c r="A555" s="242"/>
      <c r="B555" s="243"/>
      <c r="C555" s="244"/>
      <c r="D555" s="244"/>
      <c r="E555" s="244"/>
      <c r="F555" s="244"/>
      <c r="G555" s="245"/>
      <c r="H555" s="246" t="s">
        <v>605</v>
      </c>
      <c r="I555" s="247"/>
      <c r="J555" s="247"/>
      <c r="K555" s="248">
        <f>ROUND(K554,-1)</f>
        <v>3204480</v>
      </c>
    </row>
    <row r="556" spans="1:11" ht="14.1" customHeight="1" x14ac:dyDescent="0.25">
      <c r="A556" s="215">
        <v>37</v>
      </c>
      <c r="B556" s="651" t="s">
        <v>713</v>
      </c>
      <c r="C556" s="652"/>
      <c r="D556" s="216" t="s">
        <v>878</v>
      </c>
      <c r="E556" s="217"/>
      <c r="F556" s="218"/>
      <c r="G556" s="218"/>
      <c r="H556" s="219"/>
      <c r="I556" s="220"/>
      <c r="J556" s="221"/>
      <c r="K556" s="222"/>
    </row>
    <row r="557" spans="1:11" ht="13.2" customHeight="1" x14ac:dyDescent="0.25">
      <c r="A557" s="223"/>
      <c r="B557" s="224" t="s">
        <v>4</v>
      </c>
      <c r="C557" s="225" t="s">
        <v>755</v>
      </c>
      <c r="D557" s="226"/>
      <c r="E557" s="44"/>
      <c r="F557" s="227"/>
      <c r="G557" s="227"/>
      <c r="H557" s="228" t="s">
        <v>264</v>
      </c>
      <c r="I557" s="252">
        <f>I170+11</f>
        <v>21</v>
      </c>
      <c r="J557" s="60">
        <f>J541</f>
        <v>33700</v>
      </c>
      <c r="K557" s="230">
        <f>I557*J557</f>
        <v>707700</v>
      </c>
    </row>
    <row r="558" spans="1:11" ht="13.2" customHeight="1" x14ac:dyDescent="0.25">
      <c r="A558" s="223"/>
      <c r="B558" s="224" t="s">
        <v>30</v>
      </c>
      <c r="C558" s="225" t="s">
        <v>760</v>
      </c>
      <c r="D558" s="226"/>
      <c r="E558" s="44"/>
      <c r="F558" s="227"/>
      <c r="G558" s="227"/>
      <c r="H558" s="228" t="s">
        <v>203</v>
      </c>
      <c r="I558" s="229">
        <v>1</v>
      </c>
      <c r="J558" s="60">
        <f>J171</f>
        <v>156000</v>
      </c>
      <c r="K558" s="230">
        <f t="shared" ref="K558:K567" si="56">I558*J558</f>
        <v>156000</v>
      </c>
    </row>
    <row r="559" spans="1:11" ht="13.2" customHeight="1" x14ac:dyDescent="0.25">
      <c r="A559" s="223"/>
      <c r="B559" s="224" t="s">
        <v>57</v>
      </c>
      <c r="C559" s="225" t="s">
        <v>967</v>
      </c>
      <c r="D559" s="226"/>
      <c r="E559" s="44"/>
      <c r="F559" s="227"/>
      <c r="G559" s="227"/>
      <c r="H559" s="228" t="s">
        <v>203</v>
      </c>
      <c r="I559" s="229">
        <v>1</v>
      </c>
      <c r="J559" s="60">
        <f>'Harga Satuan Dasar mat'!G100</f>
        <v>184000</v>
      </c>
      <c r="K559" s="230">
        <f t="shared" si="56"/>
        <v>184000</v>
      </c>
    </row>
    <row r="560" spans="1:11" ht="13.2" customHeight="1" x14ac:dyDescent="0.25">
      <c r="A560" s="223"/>
      <c r="B560" s="224" t="s">
        <v>83</v>
      </c>
      <c r="C560" s="225" t="s">
        <v>714</v>
      </c>
      <c r="D560" s="226"/>
      <c r="E560" s="44"/>
      <c r="F560" s="227"/>
      <c r="G560" s="227"/>
      <c r="H560" s="228" t="s">
        <v>203</v>
      </c>
      <c r="I560" s="229">
        <v>4</v>
      </c>
      <c r="J560" s="60">
        <f>J172</f>
        <v>14000</v>
      </c>
      <c r="K560" s="230">
        <f t="shared" si="56"/>
        <v>56000</v>
      </c>
    </row>
    <row r="561" spans="1:11" ht="13.2" customHeight="1" x14ac:dyDescent="0.25">
      <c r="A561" s="223"/>
      <c r="B561" s="224" t="s">
        <v>110</v>
      </c>
      <c r="C561" s="225" t="s">
        <v>843</v>
      </c>
      <c r="D561" s="226"/>
      <c r="E561" s="44"/>
      <c r="F561" s="227"/>
      <c r="G561" s="227"/>
      <c r="H561" s="228" t="s">
        <v>203</v>
      </c>
      <c r="I561" s="229">
        <v>2</v>
      </c>
      <c r="J561" s="60">
        <f>J173</f>
        <v>100000</v>
      </c>
      <c r="K561" s="230">
        <f t="shared" si="56"/>
        <v>200000</v>
      </c>
    </row>
    <row r="562" spans="1:11" ht="13.2" customHeight="1" x14ac:dyDescent="0.25">
      <c r="A562" s="223"/>
      <c r="B562" s="224" t="s">
        <v>137</v>
      </c>
      <c r="C562" s="225" t="s">
        <v>856</v>
      </c>
      <c r="D562" s="226"/>
      <c r="E562" s="44"/>
      <c r="F562" s="227"/>
      <c r="G562" s="227"/>
      <c r="H562" s="228" t="s">
        <v>203</v>
      </c>
      <c r="I562" s="229">
        <v>2</v>
      </c>
      <c r="J562" s="60">
        <f>J174</f>
        <v>85000</v>
      </c>
      <c r="K562" s="230">
        <f t="shared" si="56"/>
        <v>170000</v>
      </c>
    </row>
    <row r="563" spans="1:11" ht="13.2" customHeight="1" x14ac:dyDescent="0.25">
      <c r="A563" s="223"/>
      <c r="B563" s="224" t="s">
        <v>156</v>
      </c>
      <c r="C563" s="225" t="s">
        <v>764</v>
      </c>
      <c r="D563" s="226"/>
      <c r="E563" s="44"/>
      <c r="F563" s="227"/>
      <c r="G563" s="227"/>
      <c r="H563" s="228" t="s">
        <v>203</v>
      </c>
      <c r="I563" s="229">
        <v>4</v>
      </c>
      <c r="J563" s="60">
        <f>J175</f>
        <v>112000</v>
      </c>
      <c r="K563" s="230">
        <f t="shared" si="56"/>
        <v>448000</v>
      </c>
    </row>
    <row r="564" spans="1:11" ht="13.2" customHeight="1" x14ac:dyDescent="0.25">
      <c r="A564" s="223"/>
      <c r="B564" s="224" t="s">
        <v>175</v>
      </c>
      <c r="C564" s="225" t="s">
        <v>757</v>
      </c>
      <c r="D564" s="226"/>
      <c r="E564" s="44"/>
      <c r="F564" s="227"/>
      <c r="G564" s="227"/>
      <c r="H564" s="228" t="s">
        <v>203</v>
      </c>
      <c r="I564" s="229">
        <v>6</v>
      </c>
      <c r="J564" s="60">
        <f>J176</f>
        <v>41000</v>
      </c>
      <c r="K564" s="230">
        <f t="shared" si="56"/>
        <v>246000</v>
      </c>
    </row>
    <row r="565" spans="1:11" ht="13.2" customHeight="1" x14ac:dyDescent="0.25">
      <c r="A565" s="223"/>
      <c r="B565" s="224" t="s">
        <v>177</v>
      </c>
      <c r="C565" s="225" t="s">
        <v>775</v>
      </c>
      <c r="D565" s="226"/>
      <c r="E565" s="44"/>
      <c r="F565" s="227"/>
      <c r="G565" s="227"/>
      <c r="H565" s="228" t="s">
        <v>235</v>
      </c>
      <c r="I565" s="229">
        <v>1</v>
      </c>
      <c r="J565" s="60">
        <f>'Harga Satuan Dasar mat'!G405</f>
        <v>105000</v>
      </c>
      <c r="K565" s="230">
        <f t="shared" si="56"/>
        <v>105000</v>
      </c>
    </row>
    <row r="566" spans="1:11" ht="13.2" customHeight="1" x14ac:dyDescent="0.25">
      <c r="A566" s="223"/>
      <c r="B566" s="224" t="s">
        <v>197</v>
      </c>
      <c r="C566" s="225" t="s">
        <v>758</v>
      </c>
      <c r="D566" s="226"/>
      <c r="E566" s="44"/>
      <c r="F566" s="227"/>
      <c r="G566" s="227"/>
      <c r="H566" s="228" t="s">
        <v>203</v>
      </c>
      <c r="I566" s="229">
        <v>1</v>
      </c>
      <c r="J566" s="60">
        <f>J178</f>
        <v>92700</v>
      </c>
      <c r="K566" s="230">
        <f t="shared" si="56"/>
        <v>92700</v>
      </c>
    </row>
    <row r="567" spans="1:11" ht="13.2" customHeight="1" x14ac:dyDescent="0.25">
      <c r="A567" s="223"/>
      <c r="B567" s="224" t="s">
        <v>198</v>
      </c>
      <c r="C567" s="225" t="s">
        <v>759</v>
      </c>
      <c r="D567" s="226"/>
      <c r="E567" s="44"/>
      <c r="F567" s="227"/>
      <c r="G567" s="227"/>
      <c r="H567" s="228" t="s">
        <v>203</v>
      </c>
      <c r="I567" s="229">
        <v>1</v>
      </c>
      <c r="J567" s="60">
        <f>J179</f>
        <v>39000</v>
      </c>
      <c r="K567" s="230">
        <f t="shared" si="56"/>
        <v>39000</v>
      </c>
    </row>
    <row r="568" spans="1:11" ht="12.9" customHeight="1" x14ac:dyDescent="0.25">
      <c r="A568" s="58"/>
      <c r="B568" s="231"/>
      <c r="C568" s="232"/>
      <c r="D568" s="232"/>
      <c r="E568" s="232"/>
      <c r="F568" s="232"/>
      <c r="G568" s="233"/>
      <c r="H568" s="234" t="s">
        <v>715</v>
      </c>
      <c r="I568" s="235"/>
      <c r="J568" s="235"/>
      <c r="K568" s="236">
        <f>SUM(K557:K567)</f>
        <v>2404400</v>
      </c>
    </row>
    <row r="569" spans="1:11" ht="12.9" customHeight="1" x14ac:dyDescent="0.25">
      <c r="A569" s="58"/>
      <c r="B569" s="59"/>
      <c r="C569" s="56"/>
      <c r="D569" s="56"/>
      <c r="E569" s="56"/>
      <c r="F569" s="56"/>
      <c r="G569" s="237"/>
      <c r="H569" s="238" t="s">
        <v>603</v>
      </c>
      <c r="I569" s="239">
        <f>$K$3</f>
        <v>0.15</v>
      </c>
      <c r="J569" s="240"/>
      <c r="K569" s="241">
        <f>I569*K568</f>
        <v>360660</v>
      </c>
    </row>
    <row r="570" spans="1:11" ht="12.9" customHeight="1" x14ac:dyDescent="0.25">
      <c r="A570" s="58"/>
      <c r="B570" s="59"/>
      <c r="C570" s="56"/>
      <c r="D570" s="56"/>
      <c r="E570" s="56"/>
      <c r="F570" s="56"/>
      <c r="G570" s="237"/>
      <c r="H570" s="238" t="s">
        <v>604</v>
      </c>
      <c r="I570" s="226"/>
      <c r="J570" s="226"/>
      <c r="K570" s="241">
        <f>SUM(K568:K569)</f>
        <v>2765060</v>
      </c>
    </row>
    <row r="571" spans="1:11" ht="12.9" customHeight="1" thickBot="1" x14ac:dyDescent="0.3">
      <c r="A571" s="242"/>
      <c r="B571" s="243"/>
      <c r="C571" s="244"/>
      <c r="D571" s="244"/>
      <c r="E571" s="244"/>
      <c r="F571" s="244"/>
      <c r="G571" s="245"/>
      <c r="H571" s="246" t="s">
        <v>605</v>
      </c>
      <c r="I571" s="247"/>
      <c r="J571" s="247"/>
      <c r="K571" s="248">
        <f>ROUND(K570,-1)</f>
        <v>2765060</v>
      </c>
    </row>
    <row r="572" spans="1:11" ht="14.1" customHeight="1" x14ac:dyDescent="0.25">
      <c r="A572" s="215">
        <v>38</v>
      </c>
      <c r="B572" s="651" t="s">
        <v>713</v>
      </c>
      <c r="C572" s="652"/>
      <c r="D572" s="216" t="s">
        <v>879</v>
      </c>
      <c r="E572" s="217"/>
      <c r="F572" s="218"/>
      <c r="G572" s="218"/>
      <c r="H572" s="219"/>
      <c r="I572" s="220"/>
      <c r="J572" s="221"/>
      <c r="K572" s="222"/>
    </row>
    <row r="573" spans="1:11" ht="13.2" customHeight="1" x14ac:dyDescent="0.25">
      <c r="A573" s="223"/>
      <c r="B573" s="224" t="s">
        <v>4</v>
      </c>
      <c r="C573" s="225" t="s">
        <v>755</v>
      </c>
      <c r="D573" s="226"/>
      <c r="E573" s="44"/>
      <c r="F573" s="227"/>
      <c r="G573" s="227"/>
      <c r="H573" s="228" t="s">
        <v>264</v>
      </c>
      <c r="I573" s="252">
        <f>I185+11</f>
        <v>26</v>
      </c>
      <c r="J573" s="60">
        <f>J185</f>
        <v>33700</v>
      </c>
      <c r="K573" s="230">
        <f>I573*J573</f>
        <v>876200</v>
      </c>
    </row>
    <row r="574" spans="1:11" ht="13.2" customHeight="1" x14ac:dyDescent="0.25">
      <c r="A574" s="223"/>
      <c r="B574" s="224" t="s">
        <v>30</v>
      </c>
      <c r="C574" s="225" t="s">
        <v>761</v>
      </c>
      <c r="D574" s="226"/>
      <c r="E574" s="44"/>
      <c r="F574" s="227"/>
      <c r="G574" s="227"/>
      <c r="H574" s="228" t="s">
        <v>203</v>
      </c>
      <c r="I574" s="253">
        <v>1</v>
      </c>
      <c r="J574" s="60">
        <f>J186</f>
        <v>189500</v>
      </c>
      <c r="K574" s="230">
        <f t="shared" ref="K574:K583" si="57">I574*J574</f>
        <v>189500</v>
      </c>
    </row>
    <row r="575" spans="1:11" ht="13.2" customHeight="1" x14ac:dyDescent="0.25">
      <c r="A575" s="223"/>
      <c r="B575" s="224" t="s">
        <v>57</v>
      </c>
      <c r="C575" s="225" t="s">
        <v>966</v>
      </c>
      <c r="D575" s="226"/>
      <c r="E575" s="44"/>
      <c r="F575" s="227"/>
      <c r="G575" s="227"/>
      <c r="H575" s="228" t="s">
        <v>203</v>
      </c>
      <c r="I575" s="253">
        <v>1</v>
      </c>
      <c r="J575" s="60">
        <f>'Harga Satuan Dasar mat'!G104</f>
        <v>221500</v>
      </c>
      <c r="K575" s="230">
        <f t="shared" si="57"/>
        <v>221500</v>
      </c>
    </row>
    <row r="576" spans="1:11" ht="13.2" customHeight="1" x14ac:dyDescent="0.25">
      <c r="A576" s="223"/>
      <c r="B576" s="224" t="s">
        <v>83</v>
      </c>
      <c r="C576" s="225" t="s">
        <v>714</v>
      </c>
      <c r="D576" s="226"/>
      <c r="E576" s="44"/>
      <c r="F576" s="227"/>
      <c r="G576" s="227"/>
      <c r="H576" s="228" t="s">
        <v>203</v>
      </c>
      <c r="I576" s="253">
        <v>4</v>
      </c>
      <c r="J576" s="60">
        <f>J187</f>
        <v>14000</v>
      </c>
      <c r="K576" s="230">
        <f t="shared" si="57"/>
        <v>56000</v>
      </c>
    </row>
    <row r="577" spans="1:11" ht="13.2" customHeight="1" x14ac:dyDescent="0.25">
      <c r="A577" s="223"/>
      <c r="B577" s="224" t="s">
        <v>110</v>
      </c>
      <c r="C577" s="225" t="s">
        <v>841</v>
      </c>
      <c r="D577" s="226"/>
      <c r="E577" s="44"/>
      <c r="F577" s="227"/>
      <c r="G577" s="227"/>
      <c r="H577" s="228" t="s">
        <v>203</v>
      </c>
      <c r="I577" s="253">
        <v>2</v>
      </c>
      <c r="J577" s="60">
        <f>J188</f>
        <v>175000</v>
      </c>
      <c r="K577" s="230">
        <f t="shared" si="57"/>
        <v>350000</v>
      </c>
    </row>
    <row r="578" spans="1:11" ht="13.2" customHeight="1" x14ac:dyDescent="0.25">
      <c r="A578" s="223"/>
      <c r="B578" s="224" t="s">
        <v>137</v>
      </c>
      <c r="C578" s="225" t="s">
        <v>756</v>
      </c>
      <c r="D578" s="226"/>
      <c r="E578" s="44"/>
      <c r="F578" s="227"/>
      <c r="G578" s="227"/>
      <c r="H578" s="228" t="s">
        <v>203</v>
      </c>
      <c r="I578" s="253">
        <v>2</v>
      </c>
      <c r="J578" s="60">
        <f>J189</f>
        <v>105000</v>
      </c>
      <c r="K578" s="230">
        <f t="shared" si="57"/>
        <v>210000</v>
      </c>
    </row>
    <row r="579" spans="1:11" ht="13.2" customHeight="1" x14ac:dyDescent="0.25">
      <c r="A579" s="223"/>
      <c r="B579" s="224" t="s">
        <v>156</v>
      </c>
      <c r="C579" s="225" t="s">
        <v>764</v>
      </c>
      <c r="D579" s="226"/>
      <c r="E579" s="44"/>
      <c r="F579" s="227"/>
      <c r="G579" s="227"/>
      <c r="H579" s="228" t="s">
        <v>203</v>
      </c>
      <c r="I579" s="253">
        <v>4</v>
      </c>
      <c r="J579" s="60">
        <f>J190</f>
        <v>112000</v>
      </c>
      <c r="K579" s="230">
        <f t="shared" si="57"/>
        <v>448000</v>
      </c>
    </row>
    <row r="580" spans="1:11" ht="13.2" customHeight="1" x14ac:dyDescent="0.25">
      <c r="A580" s="223"/>
      <c r="B580" s="224" t="s">
        <v>175</v>
      </c>
      <c r="C580" s="225" t="s">
        <v>757</v>
      </c>
      <c r="D580" s="226"/>
      <c r="E580" s="44"/>
      <c r="F580" s="227"/>
      <c r="G580" s="227"/>
      <c r="H580" s="228" t="s">
        <v>203</v>
      </c>
      <c r="I580" s="253">
        <v>8</v>
      </c>
      <c r="J580" s="60">
        <f>J191</f>
        <v>41000</v>
      </c>
      <c r="K580" s="230">
        <f t="shared" si="57"/>
        <v>328000</v>
      </c>
    </row>
    <row r="581" spans="1:11" ht="13.2" customHeight="1" x14ac:dyDescent="0.25">
      <c r="A581" s="223"/>
      <c r="B581" s="224" t="s">
        <v>177</v>
      </c>
      <c r="C581" s="225" t="s">
        <v>1014</v>
      </c>
      <c r="D581" s="226"/>
      <c r="E581" s="44"/>
      <c r="F581" s="227"/>
      <c r="G581" s="227"/>
      <c r="H581" s="228" t="s">
        <v>235</v>
      </c>
      <c r="I581" s="253">
        <v>1</v>
      </c>
      <c r="J581" s="60">
        <f>J549</f>
        <v>125000</v>
      </c>
      <c r="K581" s="230">
        <f t="shared" si="57"/>
        <v>125000</v>
      </c>
    </row>
    <row r="582" spans="1:11" ht="13.2" customHeight="1" x14ac:dyDescent="0.25">
      <c r="A582" s="223"/>
      <c r="B582" s="224" t="s">
        <v>197</v>
      </c>
      <c r="C582" s="225" t="s">
        <v>758</v>
      </c>
      <c r="D582" s="226"/>
      <c r="E582" s="44"/>
      <c r="F582" s="227"/>
      <c r="G582" s="227"/>
      <c r="H582" s="228" t="s">
        <v>203</v>
      </c>
      <c r="I582" s="253">
        <v>1</v>
      </c>
      <c r="J582" s="60">
        <f>J193</f>
        <v>92700</v>
      </c>
      <c r="K582" s="230">
        <f t="shared" si="57"/>
        <v>92700</v>
      </c>
    </row>
    <row r="583" spans="1:11" ht="13.2" customHeight="1" x14ac:dyDescent="0.25">
      <c r="A583" s="223"/>
      <c r="B583" s="224" t="s">
        <v>198</v>
      </c>
      <c r="C583" s="225" t="s">
        <v>759</v>
      </c>
      <c r="D583" s="226"/>
      <c r="E583" s="44"/>
      <c r="F583" s="227"/>
      <c r="G583" s="227"/>
      <c r="H583" s="228" t="s">
        <v>203</v>
      </c>
      <c r="I583" s="253">
        <v>1</v>
      </c>
      <c r="J583" s="60">
        <f>J194</f>
        <v>39000</v>
      </c>
      <c r="K583" s="230">
        <f t="shared" si="57"/>
        <v>39000</v>
      </c>
    </row>
    <row r="584" spans="1:11" ht="12.9" customHeight="1" x14ac:dyDescent="0.25">
      <c r="A584" s="58"/>
      <c r="B584" s="231"/>
      <c r="C584" s="232"/>
      <c r="D584" s="232"/>
      <c r="E584" s="232"/>
      <c r="F584" s="232"/>
      <c r="G584" s="233"/>
      <c r="H584" s="234" t="s">
        <v>715</v>
      </c>
      <c r="I584" s="235"/>
      <c r="J584" s="235"/>
      <c r="K584" s="236">
        <f>SUM(K573:K583)</f>
        <v>2935900</v>
      </c>
    </row>
    <row r="585" spans="1:11" ht="12.9" customHeight="1" x14ac:dyDescent="0.25">
      <c r="A585" s="58"/>
      <c r="B585" s="59"/>
      <c r="C585" s="56"/>
      <c r="D585" s="56"/>
      <c r="E585" s="56"/>
      <c r="F585" s="56"/>
      <c r="G585" s="237"/>
      <c r="H585" s="238" t="s">
        <v>603</v>
      </c>
      <c r="I585" s="239">
        <f>$K$3</f>
        <v>0.15</v>
      </c>
      <c r="J585" s="240"/>
      <c r="K585" s="241">
        <f>I585*K584</f>
        <v>440385</v>
      </c>
    </row>
    <row r="586" spans="1:11" ht="12.9" customHeight="1" x14ac:dyDescent="0.25">
      <c r="A586" s="58"/>
      <c r="B586" s="59"/>
      <c r="C586" s="56"/>
      <c r="D586" s="56"/>
      <c r="E586" s="56"/>
      <c r="F586" s="56"/>
      <c r="G586" s="237"/>
      <c r="H586" s="238" t="s">
        <v>604</v>
      </c>
      <c r="I586" s="226"/>
      <c r="J586" s="226"/>
      <c r="K586" s="241">
        <f>SUM(K584:K585)</f>
        <v>3376285</v>
      </c>
    </row>
    <row r="587" spans="1:11" ht="12.9" customHeight="1" thickBot="1" x14ac:dyDescent="0.3">
      <c r="A587" s="242"/>
      <c r="B587" s="243"/>
      <c r="C587" s="244"/>
      <c r="D587" s="244"/>
      <c r="E587" s="244"/>
      <c r="F587" s="244"/>
      <c r="G587" s="245"/>
      <c r="H587" s="246" t="s">
        <v>605</v>
      </c>
      <c r="I587" s="247"/>
      <c r="J587" s="247"/>
      <c r="K587" s="248">
        <f>ROUND(K586,-1)</f>
        <v>3376290</v>
      </c>
    </row>
    <row r="588" spans="1:11" ht="14.1" customHeight="1" x14ac:dyDescent="0.25">
      <c r="A588" s="215">
        <v>39</v>
      </c>
      <c r="B588" s="651" t="s">
        <v>713</v>
      </c>
      <c r="C588" s="652"/>
      <c r="D588" s="216" t="s">
        <v>880</v>
      </c>
      <c r="E588" s="217"/>
      <c r="F588" s="218"/>
      <c r="G588" s="218"/>
      <c r="H588" s="219"/>
      <c r="I588" s="220"/>
      <c r="J588" s="221"/>
      <c r="K588" s="222"/>
    </row>
    <row r="589" spans="1:11" ht="13.2" customHeight="1" x14ac:dyDescent="0.25">
      <c r="A589" s="223"/>
      <c r="B589" s="224" t="s">
        <v>4</v>
      </c>
      <c r="C589" s="225" t="str">
        <f>C200</f>
        <v>Stall drad / Galv. Steel Wire 70 mm2</v>
      </c>
      <c r="D589" s="226"/>
      <c r="E589" s="44"/>
      <c r="F589" s="227"/>
      <c r="G589" s="227"/>
      <c r="H589" s="228" t="s">
        <v>264</v>
      </c>
      <c r="I589" s="252">
        <f>I200+11</f>
        <v>25</v>
      </c>
      <c r="J589" s="60">
        <f>J215</f>
        <v>33700</v>
      </c>
      <c r="K589" s="230">
        <f>I589*J589</f>
        <v>842500</v>
      </c>
    </row>
    <row r="590" spans="1:11" ht="13.2" customHeight="1" x14ac:dyDescent="0.25">
      <c r="A590" s="223"/>
      <c r="B590" s="224" t="s">
        <v>30</v>
      </c>
      <c r="C590" s="225" t="s">
        <v>760</v>
      </c>
      <c r="D590" s="226"/>
      <c r="E590" s="44"/>
      <c r="F590" s="227"/>
      <c r="G590" s="227"/>
      <c r="H590" s="228" t="s">
        <v>203</v>
      </c>
      <c r="I590" s="229">
        <v>1</v>
      </c>
      <c r="J590" s="60">
        <f>J216</f>
        <v>156000</v>
      </c>
      <c r="K590" s="230">
        <f t="shared" ref="K590:K599" si="58">I590*J590</f>
        <v>156000</v>
      </c>
    </row>
    <row r="591" spans="1:11" ht="13.2" customHeight="1" x14ac:dyDescent="0.25">
      <c r="A591" s="223"/>
      <c r="B591" s="224" t="s">
        <v>57</v>
      </c>
      <c r="C591" s="225" t="s">
        <v>967</v>
      </c>
      <c r="D591" s="226"/>
      <c r="E591" s="44"/>
      <c r="F591" s="227"/>
      <c r="G591" s="227"/>
      <c r="H591" s="228" t="s">
        <v>203</v>
      </c>
      <c r="I591" s="229">
        <v>1</v>
      </c>
      <c r="J591" s="60">
        <f>'Harga Satuan Dasar mat'!G100</f>
        <v>184000</v>
      </c>
      <c r="K591" s="230">
        <f t="shared" si="58"/>
        <v>184000</v>
      </c>
    </row>
    <row r="592" spans="1:11" ht="13.2" customHeight="1" x14ac:dyDescent="0.25">
      <c r="A592" s="223"/>
      <c r="B592" s="224" t="s">
        <v>83</v>
      </c>
      <c r="C592" s="225" t="s">
        <v>714</v>
      </c>
      <c r="D592" s="226"/>
      <c r="E592" s="44"/>
      <c r="F592" s="227"/>
      <c r="G592" s="227"/>
      <c r="H592" s="228" t="s">
        <v>203</v>
      </c>
      <c r="I592" s="229">
        <v>4</v>
      </c>
      <c r="J592" s="60">
        <f>J217</f>
        <v>14000</v>
      </c>
      <c r="K592" s="230">
        <f t="shared" si="58"/>
        <v>56000</v>
      </c>
    </row>
    <row r="593" spans="1:11" ht="13.2" customHeight="1" x14ac:dyDescent="0.25">
      <c r="A593" s="223"/>
      <c r="B593" s="224" t="s">
        <v>110</v>
      </c>
      <c r="C593" s="225" t="s">
        <v>841</v>
      </c>
      <c r="D593" s="226"/>
      <c r="E593" s="44"/>
      <c r="F593" s="227"/>
      <c r="G593" s="227"/>
      <c r="H593" s="228" t="s">
        <v>203</v>
      </c>
      <c r="I593" s="229">
        <v>2</v>
      </c>
      <c r="J593" s="60">
        <f>J218</f>
        <v>175000</v>
      </c>
      <c r="K593" s="230">
        <f t="shared" si="58"/>
        <v>350000</v>
      </c>
    </row>
    <row r="594" spans="1:11" ht="13.2" customHeight="1" x14ac:dyDescent="0.25">
      <c r="A594" s="223"/>
      <c r="B594" s="224" t="s">
        <v>137</v>
      </c>
      <c r="C594" s="225" t="s">
        <v>756</v>
      </c>
      <c r="D594" s="226"/>
      <c r="E594" s="44"/>
      <c r="F594" s="227"/>
      <c r="G594" s="227"/>
      <c r="H594" s="228" t="s">
        <v>203</v>
      </c>
      <c r="I594" s="229">
        <v>2</v>
      </c>
      <c r="J594" s="60">
        <f>J219</f>
        <v>105000</v>
      </c>
      <c r="K594" s="230">
        <f t="shared" si="58"/>
        <v>210000</v>
      </c>
    </row>
    <row r="595" spans="1:11" ht="13.2" customHeight="1" x14ac:dyDescent="0.25">
      <c r="A595" s="223"/>
      <c r="B595" s="224" t="s">
        <v>156</v>
      </c>
      <c r="C595" s="225" t="s">
        <v>764</v>
      </c>
      <c r="D595" s="226"/>
      <c r="E595" s="44"/>
      <c r="F595" s="227"/>
      <c r="G595" s="227"/>
      <c r="H595" s="228" t="s">
        <v>203</v>
      </c>
      <c r="I595" s="229">
        <v>4</v>
      </c>
      <c r="J595" s="60">
        <f>J220</f>
        <v>112000</v>
      </c>
      <c r="K595" s="230">
        <f t="shared" si="58"/>
        <v>448000</v>
      </c>
    </row>
    <row r="596" spans="1:11" ht="13.2" customHeight="1" x14ac:dyDescent="0.25">
      <c r="A596" s="223"/>
      <c r="B596" s="224" t="s">
        <v>175</v>
      </c>
      <c r="C596" s="225" t="s">
        <v>757</v>
      </c>
      <c r="D596" s="226"/>
      <c r="E596" s="44"/>
      <c r="F596" s="227"/>
      <c r="G596" s="227"/>
      <c r="H596" s="228" t="s">
        <v>203</v>
      </c>
      <c r="I596" s="229">
        <v>6</v>
      </c>
      <c r="J596" s="60">
        <f>J221</f>
        <v>41000</v>
      </c>
      <c r="K596" s="230">
        <f t="shared" si="58"/>
        <v>246000</v>
      </c>
    </row>
    <row r="597" spans="1:11" ht="13.2" customHeight="1" x14ac:dyDescent="0.25">
      <c r="A597" s="223"/>
      <c r="B597" s="224" t="s">
        <v>177</v>
      </c>
      <c r="C597" s="225" t="s">
        <v>1014</v>
      </c>
      <c r="D597" s="226"/>
      <c r="E597" s="44"/>
      <c r="F597" s="227"/>
      <c r="G597" s="227"/>
      <c r="H597" s="228" t="s">
        <v>235</v>
      </c>
      <c r="I597" s="229">
        <v>1</v>
      </c>
      <c r="J597" s="60">
        <f>J581</f>
        <v>125000</v>
      </c>
      <c r="K597" s="230">
        <f t="shared" si="58"/>
        <v>125000</v>
      </c>
    </row>
    <row r="598" spans="1:11" ht="13.2" customHeight="1" x14ac:dyDescent="0.25">
      <c r="A598" s="223"/>
      <c r="B598" s="224" t="s">
        <v>197</v>
      </c>
      <c r="C598" s="225" t="s">
        <v>758</v>
      </c>
      <c r="D598" s="226"/>
      <c r="E598" s="44"/>
      <c r="F598" s="227"/>
      <c r="G598" s="227"/>
      <c r="H598" s="228" t="s">
        <v>203</v>
      </c>
      <c r="I598" s="229">
        <v>1</v>
      </c>
      <c r="J598" s="60">
        <f>J223</f>
        <v>92700</v>
      </c>
      <c r="K598" s="230">
        <f t="shared" si="58"/>
        <v>92700</v>
      </c>
    </row>
    <row r="599" spans="1:11" ht="13.2" customHeight="1" x14ac:dyDescent="0.25">
      <c r="A599" s="223"/>
      <c r="B599" s="224" t="s">
        <v>198</v>
      </c>
      <c r="C599" s="225" t="s">
        <v>759</v>
      </c>
      <c r="D599" s="226"/>
      <c r="E599" s="44"/>
      <c r="F599" s="227"/>
      <c r="G599" s="227"/>
      <c r="H599" s="228" t="s">
        <v>203</v>
      </c>
      <c r="I599" s="229">
        <v>1</v>
      </c>
      <c r="J599" s="60">
        <f>J224</f>
        <v>39000</v>
      </c>
      <c r="K599" s="230">
        <f t="shared" si="58"/>
        <v>39000</v>
      </c>
    </row>
    <row r="600" spans="1:11" ht="12.9" customHeight="1" x14ac:dyDescent="0.25">
      <c r="A600" s="58"/>
      <c r="B600" s="231"/>
      <c r="C600" s="232"/>
      <c r="D600" s="232"/>
      <c r="E600" s="232"/>
      <c r="F600" s="232"/>
      <c r="G600" s="233"/>
      <c r="H600" s="234" t="s">
        <v>715</v>
      </c>
      <c r="I600" s="235"/>
      <c r="J600" s="235"/>
      <c r="K600" s="236">
        <f>SUM(K589:K599)</f>
        <v>2749200</v>
      </c>
    </row>
    <row r="601" spans="1:11" ht="12.9" customHeight="1" x14ac:dyDescent="0.25">
      <c r="A601" s="58"/>
      <c r="B601" s="59"/>
      <c r="C601" s="56"/>
      <c r="D601" s="56"/>
      <c r="E601" s="56"/>
      <c r="F601" s="56"/>
      <c r="G601" s="237"/>
      <c r="H601" s="238" t="s">
        <v>603</v>
      </c>
      <c r="I601" s="239">
        <f>$K$3</f>
        <v>0.15</v>
      </c>
      <c r="J601" s="240"/>
      <c r="K601" s="241">
        <f>I601*K600</f>
        <v>412380</v>
      </c>
    </row>
    <row r="602" spans="1:11" ht="12.9" customHeight="1" x14ac:dyDescent="0.25">
      <c r="A602" s="58"/>
      <c r="B602" s="59"/>
      <c r="C602" s="56"/>
      <c r="D602" s="56"/>
      <c r="E602" s="56"/>
      <c r="F602" s="56"/>
      <c r="G602" s="237"/>
      <c r="H602" s="238" t="s">
        <v>604</v>
      </c>
      <c r="I602" s="226"/>
      <c r="J602" s="226"/>
      <c r="K602" s="241">
        <f>SUM(K600:K601)</f>
        <v>3161580</v>
      </c>
    </row>
    <row r="603" spans="1:11" ht="12.9" customHeight="1" thickBot="1" x14ac:dyDescent="0.3">
      <c r="A603" s="242"/>
      <c r="B603" s="243"/>
      <c r="C603" s="244"/>
      <c r="D603" s="244"/>
      <c r="E603" s="244"/>
      <c r="F603" s="244"/>
      <c r="G603" s="245"/>
      <c r="H603" s="246" t="s">
        <v>605</v>
      </c>
      <c r="I603" s="247"/>
      <c r="J603" s="247"/>
      <c r="K603" s="248">
        <f>ROUND(K602,-1)</f>
        <v>3161580</v>
      </c>
    </row>
    <row r="604" spans="1:11" ht="14.1" customHeight="1" x14ac:dyDescent="0.25">
      <c r="A604" s="215">
        <v>40</v>
      </c>
      <c r="B604" s="651" t="s">
        <v>713</v>
      </c>
      <c r="C604" s="652"/>
      <c r="D604" s="216" t="s">
        <v>881</v>
      </c>
      <c r="E604" s="217"/>
      <c r="F604" s="218"/>
      <c r="G604" s="218"/>
      <c r="H604" s="219"/>
      <c r="I604" s="220"/>
      <c r="J604" s="221"/>
      <c r="K604" s="222"/>
    </row>
    <row r="605" spans="1:11" ht="13.2" customHeight="1" x14ac:dyDescent="0.25">
      <c r="A605" s="223"/>
      <c r="B605" s="224" t="s">
        <v>4</v>
      </c>
      <c r="C605" s="225" t="s">
        <v>755</v>
      </c>
      <c r="D605" s="226"/>
      <c r="E605" s="44"/>
      <c r="F605" s="227"/>
      <c r="G605" s="227"/>
      <c r="H605" s="228" t="s">
        <v>264</v>
      </c>
      <c r="I605" s="252">
        <f>I230+11</f>
        <v>24</v>
      </c>
      <c r="J605" s="60">
        <f>J230</f>
        <v>33700</v>
      </c>
      <c r="K605" s="230">
        <f>I605*J605</f>
        <v>808800</v>
      </c>
    </row>
    <row r="606" spans="1:11" ht="13.2" customHeight="1" x14ac:dyDescent="0.25">
      <c r="A606" s="223"/>
      <c r="B606" s="224" t="s">
        <v>30</v>
      </c>
      <c r="C606" s="225" t="s">
        <v>762</v>
      </c>
      <c r="D606" s="226"/>
      <c r="E606" s="44"/>
      <c r="F606" s="227"/>
      <c r="G606" s="227"/>
      <c r="H606" s="228" t="s">
        <v>203</v>
      </c>
      <c r="I606" s="229">
        <v>1</v>
      </c>
      <c r="J606" s="60">
        <f>J231</f>
        <v>138500</v>
      </c>
      <c r="K606" s="230">
        <f t="shared" ref="K606:K615" si="59">I606*J606</f>
        <v>138500</v>
      </c>
    </row>
    <row r="607" spans="1:11" ht="13.2" customHeight="1" x14ac:dyDescent="0.25">
      <c r="A607" s="223"/>
      <c r="B607" s="224" t="s">
        <v>57</v>
      </c>
      <c r="C607" s="225" t="s">
        <v>968</v>
      </c>
      <c r="D607" s="226"/>
      <c r="E607" s="44"/>
      <c r="F607" s="227"/>
      <c r="G607" s="227"/>
      <c r="H607" s="228" t="s">
        <v>203</v>
      </c>
      <c r="I607" s="229">
        <v>1</v>
      </c>
      <c r="J607" s="60">
        <f>'Harga Satuan Dasar mat'!G98</f>
        <v>164500</v>
      </c>
      <c r="K607" s="230">
        <f t="shared" si="59"/>
        <v>164500</v>
      </c>
    </row>
    <row r="608" spans="1:11" ht="13.2" customHeight="1" x14ac:dyDescent="0.25">
      <c r="A608" s="223"/>
      <c r="B608" s="224" t="s">
        <v>83</v>
      </c>
      <c r="C608" s="225" t="s">
        <v>714</v>
      </c>
      <c r="D608" s="226"/>
      <c r="E608" s="44"/>
      <c r="F608" s="227"/>
      <c r="G608" s="227"/>
      <c r="H608" s="228" t="s">
        <v>203</v>
      </c>
      <c r="I608" s="229">
        <v>4</v>
      </c>
      <c r="J608" s="60">
        <f>J232</f>
        <v>14000</v>
      </c>
      <c r="K608" s="230">
        <f t="shared" si="59"/>
        <v>56000</v>
      </c>
    </row>
    <row r="609" spans="1:11" ht="13.2" customHeight="1" x14ac:dyDescent="0.25">
      <c r="A609" s="223"/>
      <c r="B609" s="224" t="s">
        <v>110</v>
      </c>
      <c r="C609" s="225" t="s">
        <v>841</v>
      </c>
      <c r="D609" s="226"/>
      <c r="E609" s="44"/>
      <c r="F609" s="227"/>
      <c r="G609" s="227"/>
      <c r="H609" s="228" t="s">
        <v>203</v>
      </c>
      <c r="I609" s="229">
        <v>2</v>
      </c>
      <c r="J609" s="60">
        <f>J233</f>
        <v>175000</v>
      </c>
      <c r="K609" s="230">
        <f t="shared" si="59"/>
        <v>350000</v>
      </c>
    </row>
    <row r="610" spans="1:11" ht="13.2" customHeight="1" x14ac:dyDescent="0.25">
      <c r="A610" s="223"/>
      <c r="B610" s="224" t="s">
        <v>137</v>
      </c>
      <c r="C610" s="225" t="s">
        <v>756</v>
      </c>
      <c r="D610" s="226"/>
      <c r="E610" s="44"/>
      <c r="F610" s="227"/>
      <c r="G610" s="227"/>
      <c r="H610" s="228" t="s">
        <v>203</v>
      </c>
      <c r="I610" s="229">
        <v>2</v>
      </c>
      <c r="J610" s="60">
        <f>J234</f>
        <v>105000</v>
      </c>
      <c r="K610" s="230">
        <f t="shared" si="59"/>
        <v>210000</v>
      </c>
    </row>
    <row r="611" spans="1:11" ht="13.2" customHeight="1" x14ac:dyDescent="0.25">
      <c r="A611" s="223"/>
      <c r="B611" s="224" t="s">
        <v>156</v>
      </c>
      <c r="C611" s="225" t="s">
        <v>764</v>
      </c>
      <c r="D611" s="226"/>
      <c r="E611" s="44"/>
      <c r="F611" s="227"/>
      <c r="G611" s="227"/>
      <c r="H611" s="228" t="s">
        <v>203</v>
      </c>
      <c r="I611" s="229">
        <v>4</v>
      </c>
      <c r="J611" s="60">
        <f>J235</f>
        <v>112000</v>
      </c>
      <c r="K611" s="230">
        <f t="shared" si="59"/>
        <v>448000</v>
      </c>
    </row>
    <row r="612" spans="1:11" ht="13.2" customHeight="1" x14ac:dyDescent="0.25">
      <c r="A612" s="223"/>
      <c r="B612" s="224" t="s">
        <v>175</v>
      </c>
      <c r="C612" s="225" t="s">
        <v>757</v>
      </c>
      <c r="D612" s="226"/>
      <c r="E612" s="44"/>
      <c r="F612" s="227"/>
      <c r="G612" s="227"/>
      <c r="H612" s="228" t="s">
        <v>203</v>
      </c>
      <c r="I612" s="229">
        <v>6</v>
      </c>
      <c r="J612" s="60">
        <f>J236</f>
        <v>41000</v>
      </c>
      <c r="K612" s="230">
        <f t="shared" si="59"/>
        <v>246000</v>
      </c>
    </row>
    <row r="613" spans="1:11" ht="13.2" customHeight="1" x14ac:dyDescent="0.25">
      <c r="A613" s="223"/>
      <c r="B613" s="224" t="s">
        <v>177</v>
      </c>
      <c r="C613" s="225" t="s">
        <v>1014</v>
      </c>
      <c r="D613" s="226"/>
      <c r="E613" s="44"/>
      <c r="F613" s="227"/>
      <c r="G613" s="227"/>
      <c r="H613" s="228" t="s">
        <v>235</v>
      </c>
      <c r="I613" s="229">
        <v>1</v>
      </c>
      <c r="J613" s="60">
        <f>J597</f>
        <v>125000</v>
      </c>
      <c r="K613" s="230">
        <f t="shared" si="59"/>
        <v>125000</v>
      </c>
    </row>
    <row r="614" spans="1:11" ht="13.2" customHeight="1" x14ac:dyDescent="0.25">
      <c r="A614" s="223"/>
      <c r="B614" s="224" t="s">
        <v>197</v>
      </c>
      <c r="C614" s="225" t="s">
        <v>758</v>
      </c>
      <c r="D614" s="226"/>
      <c r="E614" s="44"/>
      <c r="F614" s="227"/>
      <c r="G614" s="227"/>
      <c r="H614" s="228" t="s">
        <v>203</v>
      </c>
      <c r="I614" s="229">
        <v>1</v>
      </c>
      <c r="J614" s="60">
        <f>J238</f>
        <v>92700</v>
      </c>
      <c r="K614" s="230">
        <f t="shared" si="59"/>
        <v>92700</v>
      </c>
    </row>
    <row r="615" spans="1:11" ht="13.2" customHeight="1" x14ac:dyDescent="0.25">
      <c r="A615" s="223"/>
      <c r="B615" s="224" t="s">
        <v>198</v>
      </c>
      <c r="C615" s="225" t="s">
        <v>759</v>
      </c>
      <c r="D615" s="226"/>
      <c r="E615" s="44"/>
      <c r="F615" s="227"/>
      <c r="G615" s="227"/>
      <c r="H615" s="228" t="s">
        <v>203</v>
      </c>
      <c r="I615" s="229">
        <v>1</v>
      </c>
      <c r="J615" s="60">
        <f>J239</f>
        <v>39000</v>
      </c>
      <c r="K615" s="230">
        <f t="shared" si="59"/>
        <v>39000</v>
      </c>
    </row>
    <row r="616" spans="1:11" ht="12.9" customHeight="1" x14ac:dyDescent="0.25">
      <c r="A616" s="58"/>
      <c r="B616" s="231"/>
      <c r="C616" s="232"/>
      <c r="D616" s="232"/>
      <c r="E616" s="232"/>
      <c r="F616" s="232"/>
      <c r="G616" s="233"/>
      <c r="H616" s="234" t="s">
        <v>715</v>
      </c>
      <c r="I616" s="235"/>
      <c r="J616" s="235"/>
      <c r="K616" s="236">
        <f>SUM(K605:K615)</f>
        <v>2678500</v>
      </c>
    </row>
    <row r="617" spans="1:11" ht="12.9" customHeight="1" x14ac:dyDescent="0.25">
      <c r="A617" s="58"/>
      <c r="B617" s="59"/>
      <c r="C617" s="56"/>
      <c r="D617" s="56"/>
      <c r="E617" s="56"/>
      <c r="F617" s="56"/>
      <c r="G617" s="237"/>
      <c r="H617" s="238" t="s">
        <v>603</v>
      </c>
      <c r="I617" s="239">
        <f>$K$3</f>
        <v>0.15</v>
      </c>
      <c r="J617" s="240"/>
      <c r="K617" s="241">
        <f>I617*K616</f>
        <v>401775</v>
      </c>
    </row>
    <row r="618" spans="1:11" ht="12.9" customHeight="1" x14ac:dyDescent="0.25">
      <c r="A618" s="58"/>
      <c r="B618" s="59"/>
      <c r="C618" s="56"/>
      <c r="D618" s="56"/>
      <c r="E618" s="56"/>
      <c r="F618" s="56"/>
      <c r="G618" s="237"/>
      <c r="H618" s="238" t="s">
        <v>604</v>
      </c>
      <c r="I618" s="226"/>
      <c r="J618" s="226"/>
      <c r="K618" s="241">
        <f>SUM(K616:K617)</f>
        <v>3080275</v>
      </c>
    </row>
    <row r="619" spans="1:11" ht="12.9" customHeight="1" thickBot="1" x14ac:dyDescent="0.3">
      <c r="A619" s="242"/>
      <c r="B619" s="243"/>
      <c r="C619" s="244"/>
      <c r="D619" s="244"/>
      <c r="E619" s="244"/>
      <c r="F619" s="244"/>
      <c r="G619" s="245"/>
      <c r="H619" s="246" t="s">
        <v>605</v>
      </c>
      <c r="I619" s="247"/>
      <c r="J619" s="247"/>
      <c r="K619" s="248">
        <f>ROUND(K618,-1)</f>
        <v>3080280</v>
      </c>
    </row>
    <row r="620" spans="1:11" ht="14.1" customHeight="1" x14ac:dyDescent="0.25">
      <c r="A620" s="215">
        <v>41</v>
      </c>
      <c r="B620" s="651" t="s">
        <v>713</v>
      </c>
      <c r="C620" s="652"/>
      <c r="D620" s="216" t="s">
        <v>882</v>
      </c>
      <c r="E620" s="217"/>
      <c r="F620" s="218"/>
      <c r="G620" s="218"/>
      <c r="H620" s="219"/>
      <c r="I620" s="220"/>
      <c r="J620" s="221"/>
      <c r="K620" s="222"/>
    </row>
    <row r="621" spans="1:11" ht="13.2" customHeight="1" x14ac:dyDescent="0.25">
      <c r="A621" s="223"/>
      <c r="B621" s="224" t="s">
        <v>4</v>
      </c>
      <c r="C621" s="225" t="s">
        <v>755</v>
      </c>
      <c r="D621" s="226"/>
      <c r="E621" s="44"/>
      <c r="F621" s="227"/>
      <c r="G621" s="227"/>
      <c r="H621" s="228" t="s">
        <v>264</v>
      </c>
      <c r="I621" s="252">
        <f>I230+11</f>
        <v>24</v>
      </c>
      <c r="J621" s="60">
        <f>J230</f>
        <v>33700</v>
      </c>
      <c r="K621" s="230">
        <f>I621*J621</f>
        <v>808800</v>
      </c>
    </row>
    <row r="622" spans="1:11" ht="13.2" customHeight="1" x14ac:dyDescent="0.25">
      <c r="A622" s="223"/>
      <c r="B622" s="224" t="s">
        <v>30</v>
      </c>
      <c r="C622" s="225" t="s">
        <v>762</v>
      </c>
      <c r="D622" s="226"/>
      <c r="E622" s="44"/>
      <c r="F622" s="227"/>
      <c r="G622" s="227"/>
      <c r="H622" s="228" t="s">
        <v>203</v>
      </c>
      <c r="I622" s="229">
        <v>1</v>
      </c>
      <c r="J622" s="60">
        <f>J231</f>
        <v>138500</v>
      </c>
      <c r="K622" s="230">
        <f t="shared" ref="K622:K631" si="60">I622*J622</f>
        <v>138500</v>
      </c>
    </row>
    <row r="623" spans="1:11" ht="13.2" customHeight="1" x14ac:dyDescent="0.25">
      <c r="A623" s="223"/>
      <c r="B623" s="224" t="s">
        <v>57</v>
      </c>
      <c r="C623" s="225" t="s">
        <v>968</v>
      </c>
      <c r="D623" s="226"/>
      <c r="E623" s="44"/>
      <c r="F623" s="227"/>
      <c r="G623" s="227"/>
      <c r="H623" s="228" t="s">
        <v>203</v>
      </c>
      <c r="I623" s="229">
        <v>1</v>
      </c>
      <c r="J623" s="60">
        <f>J607</f>
        <v>164500</v>
      </c>
      <c r="K623" s="230">
        <f t="shared" si="60"/>
        <v>164500</v>
      </c>
    </row>
    <row r="624" spans="1:11" ht="13.2" customHeight="1" x14ac:dyDescent="0.25">
      <c r="A624" s="223"/>
      <c r="B624" s="224" t="s">
        <v>83</v>
      </c>
      <c r="C624" s="225" t="s">
        <v>714</v>
      </c>
      <c r="D624" s="226"/>
      <c r="E624" s="44"/>
      <c r="F624" s="227"/>
      <c r="G624" s="227"/>
      <c r="H624" s="228" t="s">
        <v>203</v>
      </c>
      <c r="I624" s="229">
        <v>4</v>
      </c>
      <c r="J624" s="60">
        <f>J232</f>
        <v>14000</v>
      </c>
      <c r="K624" s="230">
        <f t="shared" si="60"/>
        <v>56000</v>
      </c>
    </row>
    <row r="625" spans="1:11" ht="13.2" customHeight="1" x14ac:dyDescent="0.25">
      <c r="A625" s="223"/>
      <c r="B625" s="224" t="s">
        <v>110</v>
      </c>
      <c r="C625" s="225" t="s">
        <v>841</v>
      </c>
      <c r="D625" s="226"/>
      <c r="E625" s="44"/>
      <c r="F625" s="227"/>
      <c r="G625" s="227"/>
      <c r="H625" s="228" t="s">
        <v>203</v>
      </c>
      <c r="I625" s="229">
        <v>2</v>
      </c>
      <c r="J625" s="60">
        <f>J233</f>
        <v>175000</v>
      </c>
      <c r="K625" s="230">
        <f t="shared" si="60"/>
        <v>350000</v>
      </c>
    </row>
    <row r="626" spans="1:11" ht="13.2" customHeight="1" x14ac:dyDescent="0.25">
      <c r="A626" s="223"/>
      <c r="B626" s="224" t="s">
        <v>137</v>
      </c>
      <c r="C626" s="225" t="s">
        <v>756</v>
      </c>
      <c r="D626" s="226"/>
      <c r="E626" s="44"/>
      <c r="F626" s="227"/>
      <c r="G626" s="227"/>
      <c r="H626" s="228" t="s">
        <v>203</v>
      </c>
      <c r="I626" s="229">
        <v>2</v>
      </c>
      <c r="J626" s="60">
        <f>J234</f>
        <v>105000</v>
      </c>
      <c r="K626" s="230">
        <f t="shared" si="60"/>
        <v>210000</v>
      </c>
    </row>
    <row r="627" spans="1:11" ht="13.2" customHeight="1" x14ac:dyDescent="0.25">
      <c r="A627" s="223"/>
      <c r="B627" s="224" t="s">
        <v>156</v>
      </c>
      <c r="C627" s="225" t="s">
        <v>764</v>
      </c>
      <c r="D627" s="226"/>
      <c r="E627" s="44"/>
      <c r="F627" s="227"/>
      <c r="G627" s="227"/>
      <c r="H627" s="228" t="s">
        <v>203</v>
      </c>
      <c r="I627" s="229">
        <v>4</v>
      </c>
      <c r="J627" s="60">
        <f>J235</f>
        <v>112000</v>
      </c>
      <c r="K627" s="230">
        <f t="shared" si="60"/>
        <v>448000</v>
      </c>
    </row>
    <row r="628" spans="1:11" ht="13.2" customHeight="1" x14ac:dyDescent="0.25">
      <c r="A628" s="223"/>
      <c r="B628" s="224" t="s">
        <v>175</v>
      </c>
      <c r="C628" s="225" t="s">
        <v>757</v>
      </c>
      <c r="D628" s="226"/>
      <c r="E628" s="44"/>
      <c r="F628" s="227"/>
      <c r="G628" s="227"/>
      <c r="H628" s="228" t="s">
        <v>203</v>
      </c>
      <c r="I628" s="229">
        <v>6</v>
      </c>
      <c r="J628" s="60">
        <f>J236</f>
        <v>41000</v>
      </c>
      <c r="K628" s="230">
        <f t="shared" si="60"/>
        <v>246000</v>
      </c>
    </row>
    <row r="629" spans="1:11" ht="13.2" customHeight="1" x14ac:dyDescent="0.25">
      <c r="A629" s="223"/>
      <c r="B629" s="224" t="s">
        <v>177</v>
      </c>
      <c r="C629" s="225" t="s">
        <v>1014</v>
      </c>
      <c r="D629" s="226"/>
      <c r="E629" s="44"/>
      <c r="F629" s="227"/>
      <c r="G629" s="227"/>
      <c r="H629" s="228" t="s">
        <v>235</v>
      </c>
      <c r="I629" s="229">
        <v>1</v>
      </c>
      <c r="J629" s="60">
        <f>J613</f>
        <v>125000</v>
      </c>
      <c r="K629" s="230">
        <f t="shared" si="60"/>
        <v>125000</v>
      </c>
    </row>
    <row r="630" spans="1:11" ht="13.2" customHeight="1" x14ac:dyDescent="0.25">
      <c r="A630" s="223"/>
      <c r="B630" s="224" t="s">
        <v>197</v>
      </c>
      <c r="C630" s="225" t="s">
        <v>758</v>
      </c>
      <c r="D630" s="226"/>
      <c r="E630" s="44"/>
      <c r="F630" s="227"/>
      <c r="G630" s="227"/>
      <c r="H630" s="228" t="s">
        <v>203</v>
      </c>
      <c r="I630" s="229">
        <v>1</v>
      </c>
      <c r="J630" s="60">
        <f>J238</f>
        <v>92700</v>
      </c>
      <c r="K630" s="230">
        <f t="shared" si="60"/>
        <v>92700</v>
      </c>
    </row>
    <row r="631" spans="1:11" ht="13.2" customHeight="1" x14ac:dyDescent="0.25">
      <c r="A631" s="223"/>
      <c r="B631" s="224" t="s">
        <v>198</v>
      </c>
      <c r="C631" s="225" t="s">
        <v>759</v>
      </c>
      <c r="D631" s="226"/>
      <c r="E631" s="44"/>
      <c r="F631" s="227"/>
      <c r="G631" s="227"/>
      <c r="H631" s="228" t="s">
        <v>203</v>
      </c>
      <c r="I631" s="229">
        <v>1</v>
      </c>
      <c r="J631" s="60">
        <f>J239</f>
        <v>39000</v>
      </c>
      <c r="K631" s="230">
        <f t="shared" si="60"/>
        <v>39000</v>
      </c>
    </row>
    <row r="632" spans="1:11" ht="12.9" customHeight="1" x14ac:dyDescent="0.25">
      <c r="A632" s="58"/>
      <c r="B632" s="231"/>
      <c r="C632" s="232"/>
      <c r="D632" s="232"/>
      <c r="E632" s="232"/>
      <c r="F632" s="232"/>
      <c r="G632" s="233"/>
      <c r="H632" s="234" t="s">
        <v>715</v>
      </c>
      <c r="I632" s="235"/>
      <c r="J632" s="235"/>
      <c r="K632" s="236">
        <f>SUM(K621:K631)</f>
        <v>2678500</v>
      </c>
    </row>
    <row r="633" spans="1:11" ht="12.9" customHeight="1" x14ac:dyDescent="0.25">
      <c r="A633" s="58"/>
      <c r="B633" s="59"/>
      <c r="C633" s="56"/>
      <c r="D633" s="56"/>
      <c r="E633" s="56"/>
      <c r="F633" s="56"/>
      <c r="G633" s="237"/>
      <c r="H633" s="238" t="s">
        <v>603</v>
      </c>
      <c r="I633" s="239">
        <f>$K$3</f>
        <v>0.15</v>
      </c>
      <c r="J633" s="240"/>
      <c r="K633" s="241">
        <f>I633*K632</f>
        <v>401775</v>
      </c>
    </row>
    <row r="634" spans="1:11" ht="12.9" customHeight="1" x14ac:dyDescent="0.25">
      <c r="A634" s="58"/>
      <c r="B634" s="59"/>
      <c r="C634" s="56"/>
      <c r="D634" s="56"/>
      <c r="E634" s="56"/>
      <c r="F634" s="56"/>
      <c r="G634" s="237"/>
      <c r="H634" s="238" t="s">
        <v>604</v>
      </c>
      <c r="I634" s="226"/>
      <c r="J634" s="226"/>
      <c r="K634" s="241">
        <f>SUM(K632:K633)</f>
        <v>3080275</v>
      </c>
    </row>
    <row r="635" spans="1:11" ht="12.9" customHeight="1" thickBot="1" x14ac:dyDescent="0.3">
      <c r="A635" s="242"/>
      <c r="B635" s="243"/>
      <c r="C635" s="244"/>
      <c r="D635" s="244"/>
      <c r="E635" s="244"/>
      <c r="F635" s="244"/>
      <c r="G635" s="245"/>
      <c r="H635" s="246" t="s">
        <v>605</v>
      </c>
      <c r="I635" s="247"/>
      <c r="J635" s="247"/>
      <c r="K635" s="248">
        <f>ROUND(K634,-1)</f>
        <v>3080280</v>
      </c>
    </row>
    <row r="636" spans="1:11" ht="14.1" customHeight="1" x14ac:dyDescent="0.25">
      <c r="A636" s="215">
        <v>42</v>
      </c>
      <c r="B636" s="651" t="s">
        <v>713</v>
      </c>
      <c r="C636" s="652"/>
      <c r="D636" s="216" t="s">
        <v>883</v>
      </c>
      <c r="E636" s="217"/>
      <c r="F636" s="218"/>
      <c r="G636" s="218"/>
      <c r="H636" s="219"/>
      <c r="I636" s="220"/>
      <c r="J636" s="221"/>
      <c r="K636" s="222"/>
    </row>
    <row r="637" spans="1:11" ht="13.2" customHeight="1" x14ac:dyDescent="0.25">
      <c r="A637" s="223"/>
      <c r="B637" s="224" t="s">
        <v>4</v>
      </c>
      <c r="C637" s="225" t="s">
        <v>755</v>
      </c>
      <c r="D637" s="226"/>
      <c r="E637" s="44"/>
      <c r="F637" s="227"/>
      <c r="G637" s="227"/>
      <c r="H637" s="228" t="s">
        <v>264</v>
      </c>
      <c r="I637" s="252">
        <f>I245+11</f>
        <v>23</v>
      </c>
      <c r="J637" s="60">
        <f t="shared" ref="J637:J643" si="61">J245</f>
        <v>33700</v>
      </c>
      <c r="K637" s="230">
        <f>I637*J637</f>
        <v>775100</v>
      </c>
    </row>
    <row r="638" spans="1:11" ht="13.2" customHeight="1" x14ac:dyDescent="0.25">
      <c r="A638" s="223"/>
      <c r="B638" s="224" t="s">
        <v>30</v>
      </c>
      <c r="C638" s="225" t="s">
        <v>763</v>
      </c>
      <c r="D638" s="226"/>
      <c r="E638" s="44"/>
      <c r="F638" s="227"/>
      <c r="G638" s="227"/>
      <c r="H638" s="228" t="s">
        <v>203</v>
      </c>
      <c r="I638" s="253">
        <v>2</v>
      </c>
      <c r="J638" s="60">
        <f t="shared" si="61"/>
        <v>121500</v>
      </c>
      <c r="K638" s="230">
        <f t="shared" ref="K638:K646" si="62">I638*J638</f>
        <v>243000</v>
      </c>
    </row>
    <row r="639" spans="1:11" ht="13.2" customHeight="1" x14ac:dyDescent="0.25">
      <c r="A639" s="223"/>
      <c r="B639" s="224" t="s">
        <v>57</v>
      </c>
      <c r="C639" s="225" t="s">
        <v>714</v>
      </c>
      <c r="D639" s="226"/>
      <c r="E639" s="44"/>
      <c r="F639" s="227"/>
      <c r="G639" s="227"/>
      <c r="H639" s="228" t="s">
        <v>203</v>
      </c>
      <c r="I639" s="253">
        <v>4</v>
      </c>
      <c r="J639" s="60">
        <f t="shared" si="61"/>
        <v>14000</v>
      </c>
      <c r="K639" s="230">
        <f t="shared" si="62"/>
        <v>56000</v>
      </c>
    </row>
    <row r="640" spans="1:11" ht="13.2" customHeight="1" x14ac:dyDescent="0.25">
      <c r="A640" s="223"/>
      <c r="B640" s="224" t="s">
        <v>83</v>
      </c>
      <c r="C640" s="225" t="s">
        <v>849</v>
      </c>
      <c r="D640" s="226"/>
      <c r="E640" s="44"/>
      <c r="F640" s="227"/>
      <c r="G640" s="227"/>
      <c r="H640" s="228" t="s">
        <v>203</v>
      </c>
      <c r="I640" s="253">
        <v>2</v>
      </c>
      <c r="J640" s="60">
        <f t="shared" si="61"/>
        <v>100000</v>
      </c>
      <c r="K640" s="230">
        <f t="shared" si="62"/>
        <v>200000</v>
      </c>
    </row>
    <row r="641" spans="1:11" ht="13.2" customHeight="1" x14ac:dyDescent="0.25">
      <c r="A641" s="223"/>
      <c r="B641" s="224" t="s">
        <v>110</v>
      </c>
      <c r="C641" s="225" t="s">
        <v>871</v>
      </c>
      <c r="D641" s="226"/>
      <c r="E641" s="44"/>
      <c r="F641" s="227"/>
      <c r="G641" s="227"/>
      <c r="H641" s="228" t="s">
        <v>203</v>
      </c>
      <c r="I641" s="253">
        <v>2</v>
      </c>
      <c r="J641" s="60">
        <f t="shared" si="61"/>
        <v>85000</v>
      </c>
      <c r="K641" s="230">
        <f t="shared" si="62"/>
        <v>170000</v>
      </c>
    </row>
    <row r="642" spans="1:11" ht="13.2" customHeight="1" x14ac:dyDescent="0.25">
      <c r="A642" s="223"/>
      <c r="B642" s="224" t="s">
        <v>137</v>
      </c>
      <c r="C642" s="225" t="s">
        <v>764</v>
      </c>
      <c r="D642" s="226"/>
      <c r="E642" s="44"/>
      <c r="F642" s="227"/>
      <c r="G642" s="227"/>
      <c r="H642" s="228" t="s">
        <v>203</v>
      </c>
      <c r="I642" s="253">
        <v>4</v>
      </c>
      <c r="J642" s="60">
        <f t="shared" si="61"/>
        <v>112000</v>
      </c>
      <c r="K642" s="230">
        <f t="shared" si="62"/>
        <v>448000</v>
      </c>
    </row>
    <row r="643" spans="1:11" ht="13.2" customHeight="1" x14ac:dyDescent="0.25">
      <c r="A643" s="223"/>
      <c r="B643" s="224" t="s">
        <v>156</v>
      </c>
      <c r="C643" s="225" t="s">
        <v>757</v>
      </c>
      <c r="D643" s="226"/>
      <c r="E643" s="44"/>
      <c r="F643" s="227"/>
      <c r="G643" s="227"/>
      <c r="H643" s="228" t="s">
        <v>203</v>
      </c>
      <c r="I643" s="253">
        <v>6</v>
      </c>
      <c r="J643" s="60">
        <f t="shared" si="61"/>
        <v>41000</v>
      </c>
      <c r="K643" s="230">
        <f t="shared" si="62"/>
        <v>246000</v>
      </c>
    </row>
    <row r="644" spans="1:11" ht="13.2" customHeight="1" x14ac:dyDescent="0.25">
      <c r="A644" s="223"/>
      <c r="B644" s="224" t="s">
        <v>175</v>
      </c>
      <c r="C644" s="225" t="s">
        <v>775</v>
      </c>
      <c r="D644" s="226"/>
      <c r="E644" s="44"/>
      <c r="F644" s="227"/>
      <c r="G644" s="227"/>
      <c r="H644" s="228" t="s">
        <v>235</v>
      </c>
      <c r="I644" s="253">
        <v>1</v>
      </c>
      <c r="J644" s="60">
        <f>'Harga Satuan Dasar mat'!G405</f>
        <v>105000</v>
      </c>
      <c r="K644" s="230">
        <f t="shared" si="62"/>
        <v>105000</v>
      </c>
    </row>
    <row r="645" spans="1:11" ht="13.2" customHeight="1" x14ac:dyDescent="0.25">
      <c r="A645" s="223"/>
      <c r="B645" s="224" t="s">
        <v>177</v>
      </c>
      <c r="C645" s="225" t="s">
        <v>758</v>
      </c>
      <c r="D645" s="226"/>
      <c r="E645" s="44"/>
      <c r="F645" s="227"/>
      <c r="G645" s="227"/>
      <c r="H645" s="228" t="s">
        <v>203</v>
      </c>
      <c r="I645" s="253">
        <v>1</v>
      </c>
      <c r="J645" s="60">
        <f>J253</f>
        <v>92700</v>
      </c>
      <c r="K645" s="230">
        <f t="shared" si="62"/>
        <v>92700</v>
      </c>
    </row>
    <row r="646" spans="1:11" ht="13.2" customHeight="1" x14ac:dyDescent="0.25">
      <c r="A646" s="223"/>
      <c r="B646" s="224" t="s">
        <v>197</v>
      </c>
      <c r="C646" s="225" t="s">
        <v>759</v>
      </c>
      <c r="D646" s="226"/>
      <c r="E646" s="44"/>
      <c r="F646" s="227"/>
      <c r="G646" s="227"/>
      <c r="H646" s="228" t="s">
        <v>203</v>
      </c>
      <c r="I646" s="253">
        <v>1</v>
      </c>
      <c r="J646" s="60">
        <f>J254</f>
        <v>39000</v>
      </c>
      <c r="K646" s="230">
        <f t="shared" si="62"/>
        <v>39000</v>
      </c>
    </row>
    <row r="647" spans="1:11" ht="12.9" customHeight="1" x14ac:dyDescent="0.25">
      <c r="A647" s="58"/>
      <c r="B647" s="231"/>
      <c r="C647" s="232"/>
      <c r="D647" s="232"/>
      <c r="E647" s="232"/>
      <c r="F647" s="232"/>
      <c r="G647" s="233"/>
      <c r="H647" s="234" t="s">
        <v>715</v>
      </c>
      <c r="I647" s="235"/>
      <c r="J647" s="235"/>
      <c r="K647" s="236">
        <f>SUM(K637:K646)</f>
        <v>2374800</v>
      </c>
    </row>
    <row r="648" spans="1:11" ht="12.9" customHeight="1" x14ac:dyDescent="0.25">
      <c r="A648" s="58"/>
      <c r="B648" s="59"/>
      <c r="C648" s="56"/>
      <c r="D648" s="56"/>
      <c r="E648" s="56"/>
      <c r="F648" s="56"/>
      <c r="G648" s="237"/>
      <c r="H648" s="238" t="s">
        <v>603</v>
      </c>
      <c r="I648" s="239">
        <f>$K$3</f>
        <v>0.15</v>
      </c>
      <c r="J648" s="240"/>
      <c r="K648" s="241">
        <f>I648*K647</f>
        <v>356220</v>
      </c>
    </row>
    <row r="649" spans="1:11" ht="12.9" customHeight="1" x14ac:dyDescent="0.25">
      <c r="A649" s="58"/>
      <c r="B649" s="59"/>
      <c r="C649" s="56"/>
      <c r="D649" s="56"/>
      <c r="E649" s="56"/>
      <c r="F649" s="56"/>
      <c r="G649" s="237"/>
      <c r="H649" s="238" t="s">
        <v>604</v>
      </c>
      <c r="I649" s="226"/>
      <c r="J649" s="226"/>
      <c r="K649" s="241">
        <f>SUM(K647:K648)</f>
        <v>2731020</v>
      </c>
    </row>
    <row r="650" spans="1:11" ht="12.9" customHeight="1" thickBot="1" x14ac:dyDescent="0.3">
      <c r="A650" s="242"/>
      <c r="B650" s="243"/>
      <c r="C650" s="244"/>
      <c r="D650" s="244"/>
      <c r="E650" s="244"/>
      <c r="F650" s="244"/>
      <c r="G650" s="245"/>
      <c r="H650" s="246" t="s">
        <v>605</v>
      </c>
      <c r="I650" s="247"/>
      <c r="J650" s="247"/>
      <c r="K650" s="248">
        <f>ROUND(K649,-1)</f>
        <v>2731020</v>
      </c>
    </row>
    <row r="651" spans="1:11" ht="14.1" customHeight="1" x14ac:dyDescent="0.25">
      <c r="A651" s="215">
        <v>43</v>
      </c>
      <c r="B651" s="651" t="s">
        <v>713</v>
      </c>
      <c r="C651" s="652"/>
      <c r="D651" s="216" t="s">
        <v>884</v>
      </c>
      <c r="E651" s="217"/>
      <c r="F651" s="218"/>
      <c r="G651" s="218"/>
      <c r="H651" s="219"/>
      <c r="I651" s="220"/>
      <c r="J651" s="221"/>
      <c r="K651" s="222"/>
    </row>
    <row r="652" spans="1:11" ht="13.2" customHeight="1" x14ac:dyDescent="0.25">
      <c r="A652" s="223"/>
      <c r="B652" s="224" t="s">
        <v>4</v>
      </c>
      <c r="C652" s="225" t="s">
        <v>755</v>
      </c>
      <c r="D652" s="226"/>
      <c r="E652" s="44"/>
      <c r="F652" s="227"/>
      <c r="G652" s="227"/>
      <c r="H652" s="228" t="s">
        <v>264</v>
      </c>
      <c r="I652" s="252">
        <f>I260+11</f>
        <v>21</v>
      </c>
      <c r="J652" s="60">
        <f t="shared" ref="J652:J658" si="63">J260</f>
        <v>33700</v>
      </c>
      <c r="K652" s="230">
        <f>I652*J652</f>
        <v>707700</v>
      </c>
    </row>
    <row r="653" spans="1:11" ht="13.2" customHeight="1" x14ac:dyDescent="0.25">
      <c r="A653" s="223"/>
      <c r="B653" s="224" t="s">
        <v>30</v>
      </c>
      <c r="C653" s="225" t="s">
        <v>763</v>
      </c>
      <c r="D653" s="226"/>
      <c r="E653" s="44"/>
      <c r="F653" s="227"/>
      <c r="G653" s="227"/>
      <c r="H653" s="228" t="s">
        <v>203</v>
      </c>
      <c r="I653" s="253">
        <v>2</v>
      </c>
      <c r="J653" s="60">
        <f t="shared" si="63"/>
        <v>121500</v>
      </c>
      <c r="K653" s="230">
        <f t="shared" ref="K653:K661" si="64">I653*J653</f>
        <v>243000</v>
      </c>
    </row>
    <row r="654" spans="1:11" ht="13.2" customHeight="1" x14ac:dyDescent="0.25">
      <c r="A654" s="223"/>
      <c r="B654" s="224" t="s">
        <v>57</v>
      </c>
      <c r="C654" s="225" t="s">
        <v>714</v>
      </c>
      <c r="D654" s="226"/>
      <c r="E654" s="44"/>
      <c r="F654" s="227"/>
      <c r="G654" s="227"/>
      <c r="H654" s="228" t="s">
        <v>203</v>
      </c>
      <c r="I654" s="253">
        <v>4</v>
      </c>
      <c r="J654" s="60">
        <f t="shared" si="63"/>
        <v>14000</v>
      </c>
      <c r="K654" s="230">
        <f t="shared" si="64"/>
        <v>56000</v>
      </c>
    </row>
    <row r="655" spans="1:11" ht="13.2" customHeight="1" x14ac:dyDescent="0.25">
      <c r="A655" s="223"/>
      <c r="B655" s="224" t="s">
        <v>83</v>
      </c>
      <c r="C655" s="225" t="s">
        <v>849</v>
      </c>
      <c r="D655" s="226"/>
      <c r="E655" s="44"/>
      <c r="F655" s="227"/>
      <c r="G655" s="227"/>
      <c r="H655" s="228" t="s">
        <v>203</v>
      </c>
      <c r="I655" s="253">
        <v>2</v>
      </c>
      <c r="J655" s="60">
        <f t="shared" si="63"/>
        <v>100000</v>
      </c>
      <c r="K655" s="230">
        <f t="shared" si="64"/>
        <v>200000</v>
      </c>
    </row>
    <row r="656" spans="1:11" ht="13.2" customHeight="1" x14ac:dyDescent="0.25">
      <c r="A656" s="223"/>
      <c r="B656" s="224" t="s">
        <v>110</v>
      </c>
      <c r="C656" s="225" t="s">
        <v>871</v>
      </c>
      <c r="D656" s="226"/>
      <c r="E656" s="44"/>
      <c r="F656" s="227"/>
      <c r="G656" s="227"/>
      <c r="H656" s="228" t="s">
        <v>203</v>
      </c>
      <c r="I656" s="253">
        <v>2</v>
      </c>
      <c r="J656" s="60">
        <f t="shared" si="63"/>
        <v>85000</v>
      </c>
      <c r="K656" s="230">
        <f t="shared" si="64"/>
        <v>170000</v>
      </c>
    </row>
    <row r="657" spans="1:11" ht="13.2" customHeight="1" x14ac:dyDescent="0.25">
      <c r="A657" s="223"/>
      <c r="B657" s="224" t="s">
        <v>137</v>
      </c>
      <c r="C657" s="225" t="s">
        <v>764</v>
      </c>
      <c r="D657" s="226"/>
      <c r="E657" s="44"/>
      <c r="F657" s="227"/>
      <c r="G657" s="227"/>
      <c r="H657" s="228" t="s">
        <v>203</v>
      </c>
      <c r="I657" s="253">
        <v>4</v>
      </c>
      <c r="J657" s="60">
        <f t="shared" si="63"/>
        <v>112000</v>
      </c>
      <c r="K657" s="230">
        <f t="shared" si="64"/>
        <v>448000</v>
      </c>
    </row>
    <row r="658" spans="1:11" ht="13.2" customHeight="1" x14ac:dyDescent="0.25">
      <c r="A658" s="223"/>
      <c r="B658" s="224" t="s">
        <v>156</v>
      </c>
      <c r="C658" s="225" t="s">
        <v>757</v>
      </c>
      <c r="D658" s="226"/>
      <c r="E658" s="44"/>
      <c r="F658" s="227"/>
      <c r="G658" s="227"/>
      <c r="H658" s="228" t="s">
        <v>203</v>
      </c>
      <c r="I658" s="253">
        <v>6</v>
      </c>
      <c r="J658" s="60">
        <f t="shared" si="63"/>
        <v>41000</v>
      </c>
      <c r="K658" s="230">
        <f t="shared" si="64"/>
        <v>246000</v>
      </c>
    </row>
    <row r="659" spans="1:11" ht="13.2" customHeight="1" x14ac:dyDescent="0.25">
      <c r="A659" s="223"/>
      <c r="B659" s="224" t="s">
        <v>175</v>
      </c>
      <c r="C659" s="225" t="s">
        <v>775</v>
      </c>
      <c r="D659" s="226"/>
      <c r="E659" s="44"/>
      <c r="F659" s="227"/>
      <c r="G659" s="227"/>
      <c r="H659" s="228" t="s">
        <v>235</v>
      </c>
      <c r="I659" s="253">
        <v>1</v>
      </c>
      <c r="J659" s="60">
        <f>J644</f>
        <v>105000</v>
      </c>
      <c r="K659" s="230">
        <f t="shared" si="64"/>
        <v>105000</v>
      </c>
    </row>
    <row r="660" spans="1:11" ht="13.2" customHeight="1" x14ac:dyDescent="0.25">
      <c r="A660" s="223"/>
      <c r="B660" s="224" t="s">
        <v>177</v>
      </c>
      <c r="C660" s="225" t="s">
        <v>758</v>
      </c>
      <c r="D660" s="226"/>
      <c r="E660" s="44"/>
      <c r="F660" s="227"/>
      <c r="G660" s="227"/>
      <c r="H660" s="228" t="s">
        <v>203</v>
      </c>
      <c r="I660" s="253">
        <v>1</v>
      </c>
      <c r="J660" s="60">
        <f>J268</f>
        <v>92700</v>
      </c>
      <c r="K660" s="230">
        <f t="shared" si="64"/>
        <v>92700</v>
      </c>
    </row>
    <row r="661" spans="1:11" ht="13.2" customHeight="1" x14ac:dyDescent="0.25">
      <c r="A661" s="223"/>
      <c r="B661" s="224" t="s">
        <v>197</v>
      </c>
      <c r="C661" s="225" t="s">
        <v>759</v>
      </c>
      <c r="D661" s="226"/>
      <c r="E661" s="44"/>
      <c r="F661" s="227"/>
      <c r="G661" s="227"/>
      <c r="H661" s="228" t="s">
        <v>203</v>
      </c>
      <c r="I661" s="253">
        <v>1</v>
      </c>
      <c r="J661" s="60">
        <f>J269</f>
        <v>39000</v>
      </c>
      <c r="K661" s="230">
        <f t="shared" si="64"/>
        <v>39000</v>
      </c>
    </row>
    <row r="662" spans="1:11" ht="12.9" customHeight="1" x14ac:dyDescent="0.25">
      <c r="A662" s="58"/>
      <c r="B662" s="231"/>
      <c r="C662" s="232"/>
      <c r="D662" s="232"/>
      <c r="E662" s="232"/>
      <c r="F662" s="232"/>
      <c r="G662" s="233"/>
      <c r="H662" s="234" t="s">
        <v>715</v>
      </c>
      <c r="I662" s="235"/>
      <c r="J662" s="235"/>
      <c r="K662" s="236">
        <f>SUM(K652:K661)</f>
        <v>2307400</v>
      </c>
    </row>
    <row r="663" spans="1:11" ht="12.9" customHeight="1" x14ac:dyDescent="0.25">
      <c r="A663" s="58"/>
      <c r="B663" s="59"/>
      <c r="C663" s="56"/>
      <c r="D663" s="56"/>
      <c r="E663" s="56"/>
      <c r="F663" s="56"/>
      <c r="G663" s="237"/>
      <c r="H663" s="238" t="s">
        <v>603</v>
      </c>
      <c r="I663" s="239">
        <f>$K$3</f>
        <v>0.15</v>
      </c>
      <c r="J663" s="240"/>
      <c r="K663" s="241">
        <f>I663*K662</f>
        <v>346110</v>
      </c>
    </row>
    <row r="664" spans="1:11" ht="12.9" customHeight="1" x14ac:dyDescent="0.25">
      <c r="A664" s="58"/>
      <c r="B664" s="59"/>
      <c r="C664" s="56"/>
      <c r="D664" s="56"/>
      <c r="E664" s="56"/>
      <c r="F664" s="56"/>
      <c r="G664" s="237"/>
      <c r="H664" s="238" t="s">
        <v>604</v>
      </c>
      <c r="I664" s="226"/>
      <c r="J664" s="226"/>
      <c r="K664" s="241">
        <f>SUM(K662:K663)</f>
        <v>2653510</v>
      </c>
    </row>
    <row r="665" spans="1:11" ht="12.9" customHeight="1" thickBot="1" x14ac:dyDescent="0.3">
      <c r="A665" s="242"/>
      <c r="B665" s="243"/>
      <c r="C665" s="244"/>
      <c r="D665" s="244"/>
      <c r="E665" s="244"/>
      <c r="F665" s="244"/>
      <c r="G665" s="245"/>
      <c r="H665" s="246" t="s">
        <v>605</v>
      </c>
      <c r="I665" s="247"/>
      <c r="J665" s="247"/>
      <c r="K665" s="248">
        <f>ROUND(K664,-1)</f>
        <v>2653510</v>
      </c>
    </row>
    <row r="666" spans="1:11" ht="14.1" customHeight="1" x14ac:dyDescent="0.25">
      <c r="A666" s="215">
        <v>44</v>
      </c>
      <c r="B666" s="651" t="s">
        <v>713</v>
      </c>
      <c r="C666" s="652"/>
      <c r="D666" s="216" t="s">
        <v>885</v>
      </c>
      <c r="E666" s="217"/>
      <c r="F666" s="218"/>
      <c r="G666" s="218"/>
      <c r="H666" s="219"/>
      <c r="I666" s="220"/>
      <c r="J666" s="221"/>
      <c r="K666" s="222"/>
    </row>
    <row r="667" spans="1:11" ht="13.2" customHeight="1" x14ac:dyDescent="0.25">
      <c r="A667" s="223"/>
      <c r="B667" s="224" t="s">
        <v>4</v>
      </c>
      <c r="C667" s="225" t="s">
        <v>755</v>
      </c>
      <c r="D667" s="226"/>
      <c r="E667" s="44"/>
      <c r="F667" s="227"/>
      <c r="G667" s="227"/>
      <c r="H667" s="228" t="s">
        <v>264</v>
      </c>
      <c r="I667" s="252">
        <f>I275+11</f>
        <v>21</v>
      </c>
      <c r="J667" s="60">
        <f t="shared" ref="J667:J673" si="65">J275</f>
        <v>33700</v>
      </c>
      <c r="K667" s="230">
        <f>I667*J667</f>
        <v>707700</v>
      </c>
    </row>
    <row r="668" spans="1:11" ht="13.2" customHeight="1" x14ac:dyDescent="0.25">
      <c r="A668" s="223"/>
      <c r="B668" s="224" t="s">
        <v>30</v>
      </c>
      <c r="C668" s="225" t="s">
        <v>765</v>
      </c>
      <c r="D668" s="226"/>
      <c r="E668" s="44"/>
      <c r="F668" s="227"/>
      <c r="G668" s="227"/>
      <c r="H668" s="228" t="s">
        <v>203</v>
      </c>
      <c r="I668" s="253">
        <v>2</v>
      </c>
      <c r="J668" s="60">
        <f t="shared" si="65"/>
        <v>104750</v>
      </c>
      <c r="K668" s="230">
        <f t="shared" ref="K668:K676" si="66">I668*J668</f>
        <v>209500</v>
      </c>
    </row>
    <row r="669" spans="1:11" ht="13.2" customHeight="1" x14ac:dyDescent="0.25">
      <c r="A669" s="223"/>
      <c r="B669" s="224" t="s">
        <v>57</v>
      </c>
      <c r="C669" s="225" t="s">
        <v>714</v>
      </c>
      <c r="D669" s="226"/>
      <c r="E669" s="44"/>
      <c r="F669" s="227"/>
      <c r="G669" s="227"/>
      <c r="H669" s="228" t="s">
        <v>203</v>
      </c>
      <c r="I669" s="253">
        <v>4</v>
      </c>
      <c r="J669" s="60">
        <f t="shared" si="65"/>
        <v>14000</v>
      </c>
      <c r="K669" s="230">
        <f t="shared" si="66"/>
        <v>56000</v>
      </c>
    </row>
    <row r="670" spans="1:11" ht="13.2" customHeight="1" x14ac:dyDescent="0.25">
      <c r="A670" s="223"/>
      <c r="B670" s="224" t="s">
        <v>83</v>
      </c>
      <c r="C670" s="225" t="s">
        <v>849</v>
      </c>
      <c r="D670" s="226"/>
      <c r="E670" s="44"/>
      <c r="F670" s="227"/>
      <c r="G670" s="227"/>
      <c r="H670" s="228" t="s">
        <v>203</v>
      </c>
      <c r="I670" s="253">
        <v>2</v>
      </c>
      <c r="J670" s="60">
        <f t="shared" si="65"/>
        <v>100000</v>
      </c>
      <c r="K670" s="230">
        <f t="shared" si="66"/>
        <v>200000</v>
      </c>
    </row>
    <row r="671" spans="1:11" ht="13.2" customHeight="1" x14ac:dyDescent="0.25">
      <c r="A671" s="223"/>
      <c r="B671" s="224" t="s">
        <v>110</v>
      </c>
      <c r="C671" s="225" t="s">
        <v>871</v>
      </c>
      <c r="D671" s="226"/>
      <c r="E671" s="44"/>
      <c r="F671" s="227"/>
      <c r="G671" s="227"/>
      <c r="H671" s="228" t="s">
        <v>203</v>
      </c>
      <c r="I671" s="253">
        <v>2</v>
      </c>
      <c r="J671" s="60">
        <f t="shared" si="65"/>
        <v>85000</v>
      </c>
      <c r="K671" s="230">
        <f t="shared" si="66"/>
        <v>170000</v>
      </c>
    </row>
    <row r="672" spans="1:11" ht="13.2" customHeight="1" x14ac:dyDescent="0.25">
      <c r="A672" s="223"/>
      <c r="B672" s="224" t="s">
        <v>137</v>
      </c>
      <c r="C672" s="225" t="s">
        <v>764</v>
      </c>
      <c r="D672" s="226"/>
      <c r="E672" s="44"/>
      <c r="F672" s="227"/>
      <c r="G672" s="227"/>
      <c r="H672" s="228" t="s">
        <v>203</v>
      </c>
      <c r="I672" s="253">
        <v>4</v>
      </c>
      <c r="J672" s="60">
        <f t="shared" si="65"/>
        <v>112000</v>
      </c>
      <c r="K672" s="230">
        <f t="shared" si="66"/>
        <v>448000</v>
      </c>
    </row>
    <row r="673" spans="1:11" ht="13.2" customHeight="1" x14ac:dyDescent="0.25">
      <c r="A673" s="223"/>
      <c r="B673" s="224" t="s">
        <v>156</v>
      </c>
      <c r="C673" s="225" t="s">
        <v>757</v>
      </c>
      <c r="D673" s="226"/>
      <c r="E673" s="44"/>
      <c r="F673" s="227"/>
      <c r="G673" s="227"/>
      <c r="H673" s="228" t="s">
        <v>203</v>
      </c>
      <c r="I673" s="253">
        <v>6</v>
      </c>
      <c r="J673" s="60">
        <f t="shared" si="65"/>
        <v>41000</v>
      </c>
      <c r="K673" s="230">
        <f t="shared" si="66"/>
        <v>246000</v>
      </c>
    </row>
    <row r="674" spans="1:11" ht="13.2" customHeight="1" x14ac:dyDescent="0.25">
      <c r="A674" s="223"/>
      <c r="B674" s="224" t="s">
        <v>175</v>
      </c>
      <c r="C674" s="225" t="s">
        <v>775</v>
      </c>
      <c r="D674" s="226"/>
      <c r="E674" s="44"/>
      <c r="F674" s="227"/>
      <c r="G674" s="227"/>
      <c r="H674" s="228" t="s">
        <v>235</v>
      </c>
      <c r="I674" s="253">
        <v>1</v>
      </c>
      <c r="J674" s="60">
        <f>J659</f>
        <v>105000</v>
      </c>
      <c r="K674" s="230">
        <f t="shared" si="66"/>
        <v>105000</v>
      </c>
    </row>
    <row r="675" spans="1:11" ht="13.2" customHeight="1" x14ac:dyDescent="0.25">
      <c r="A675" s="223"/>
      <c r="B675" s="224" t="s">
        <v>177</v>
      </c>
      <c r="C675" s="225" t="s">
        <v>758</v>
      </c>
      <c r="D675" s="226"/>
      <c r="E675" s="44"/>
      <c r="F675" s="227"/>
      <c r="G675" s="227"/>
      <c r="H675" s="228" t="s">
        <v>203</v>
      </c>
      <c r="I675" s="253">
        <v>1</v>
      </c>
      <c r="J675" s="60">
        <f>J283</f>
        <v>92700</v>
      </c>
      <c r="K675" s="230">
        <f t="shared" si="66"/>
        <v>92700</v>
      </c>
    </row>
    <row r="676" spans="1:11" ht="13.2" customHeight="1" x14ac:dyDescent="0.25">
      <c r="A676" s="223"/>
      <c r="B676" s="224" t="s">
        <v>197</v>
      </c>
      <c r="C676" s="225" t="s">
        <v>759</v>
      </c>
      <c r="D676" s="226"/>
      <c r="E676" s="44"/>
      <c r="F676" s="227"/>
      <c r="G676" s="227"/>
      <c r="H676" s="228" t="s">
        <v>203</v>
      </c>
      <c r="I676" s="253">
        <v>1</v>
      </c>
      <c r="J676" s="60">
        <f>J284</f>
        <v>39000</v>
      </c>
      <c r="K676" s="230">
        <f t="shared" si="66"/>
        <v>39000</v>
      </c>
    </row>
    <row r="677" spans="1:11" ht="12.9" customHeight="1" x14ac:dyDescent="0.25">
      <c r="A677" s="58"/>
      <c r="B677" s="231"/>
      <c r="C677" s="232"/>
      <c r="D677" s="232"/>
      <c r="E677" s="232"/>
      <c r="F677" s="232"/>
      <c r="G677" s="233"/>
      <c r="H677" s="234" t="s">
        <v>715</v>
      </c>
      <c r="I677" s="235"/>
      <c r="J677" s="235"/>
      <c r="K677" s="236">
        <f>SUM(K667:K676)</f>
        <v>2273900</v>
      </c>
    </row>
    <row r="678" spans="1:11" ht="12.9" customHeight="1" x14ac:dyDescent="0.25">
      <c r="A678" s="58"/>
      <c r="B678" s="59"/>
      <c r="C678" s="56"/>
      <c r="D678" s="56"/>
      <c r="E678" s="56"/>
      <c r="F678" s="56"/>
      <c r="G678" s="237"/>
      <c r="H678" s="238" t="s">
        <v>603</v>
      </c>
      <c r="I678" s="239">
        <f>$K$3</f>
        <v>0.15</v>
      </c>
      <c r="J678" s="240"/>
      <c r="K678" s="241">
        <f>I678*K677</f>
        <v>341085</v>
      </c>
    </row>
    <row r="679" spans="1:11" ht="12.9" customHeight="1" x14ac:dyDescent="0.25">
      <c r="A679" s="58"/>
      <c r="B679" s="59"/>
      <c r="C679" s="56"/>
      <c r="D679" s="56"/>
      <c r="E679" s="56"/>
      <c r="F679" s="56"/>
      <c r="G679" s="237"/>
      <c r="H679" s="238" t="s">
        <v>604</v>
      </c>
      <c r="I679" s="226"/>
      <c r="J679" s="226"/>
      <c r="K679" s="241">
        <f>SUM(K677:K678)</f>
        <v>2614985</v>
      </c>
    </row>
    <row r="680" spans="1:11" ht="12.9" customHeight="1" thickBot="1" x14ac:dyDescent="0.3">
      <c r="A680" s="242"/>
      <c r="B680" s="243"/>
      <c r="C680" s="244"/>
      <c r="D680" s="244"/>
      <c r="E680" s="244"/>
      <c r="F680" s="244"/>
      <c r="G680" s="245"/>
      <c r="H680" s="246" t="s">
        <v>605</v>
      </c>
      <c r="I680" s="247"/>
      <c r="J680" s="247"/>
      <c r="K680" s="248">
        <f>ROUND(K679,-1)</f>
        <v>2614990</v>
      </c>
    </row>
    <row r="681" spans="1:11" ht="14.1" customHeight="1" x14ac:dyDescent="0.25">
      <c r="A681" s="215">
        <v>45</v>
      </c>
      <c r="B681" s="651" t="s">
        <v>713</v>
      </c>
      <c r="C681" s="652"/>
      <c r="D681" s="216" t="s">
        <v>886</v>
      </c>
      <c r="E681" s="217"/>
      <c r="F681" s="218"/>
      <c r="G681" s="218"/>
      <c r="H681" s="219"/>
      <c r="I681" s="220"/>
      <c r="J681" s="221"/>
      <c r="K681" s="222"/>
    </row>
    <row r="682" spans="1:11" ht="13.2" customHeight="1" x14ac:dyDescent="0.25">
      <c r="A682" s="223"/>
      <c r="B682" s="224" t="s">
        <v>4</v>
      </c>
      <c r="C682" s="225" t="s">
        <v>755</v>
      </c>
      <c r="D682" s="226"/>
      <c r="E682" s="44"/>
      <c r="F682" s="227"/>
      <c r="G682" s="227"/>
      <c r="H682" s="228" t="s">
        <v>264</v>
      </c>
      <c r="I682" s="252">
        <f>I290+11</f>
        <v>20</v>
      </c>
      <c r="J682" s="60">
        <f t="shared" ref="J682:J688" si="67">J290</f>
        <v>33700</v>
      </c>
      <c r="K682" s="230">
        <f>I682*J682</f>
        <v>674000</v>
      </c>
    </row>
    <row r="683" spans="1:11" ht="13.2" customHeight="1" x14ac:dyDescent="0.25">
      <c r="A683" s="223"/>
      <c r="B683" s="224" t="s">
        <v>30</v>
      </c>
      <c r="C683" s="225" t="s">
        <v>765</v>
      </c>
      <c r="D683" s="226"/>
      <c r="E683" s="44"/>
      <c r="F683" s="227"/>
      <c r="G683" s="227"/>
      <c r="H683" s="228" t="s">
        <v>203</v>
      </c>
      <c r="I683" s="253">
        <v>2</v>
      </c>
      <c r="J683" s="60">
        <f t="shared" si="67"/>
        <v>104750</v>
      </c>
      <c r="K683" s="230">
        <f t="shared" ref="K683:K691" si="68">I683*J683</f>
        <v>209500</v>
      </c>
    </row>
    <row r="684" spans="1:11" ht="13.2" customHeight="1" x14ac:dyDescent="0.25">
      <c r="A684" s="223"/>
      <c r="B684" s="224" t="s">
        <v>57</v>
      </c>
      <c r="C684" s="225" t="s">
        <v>714</v>
      </c>
      <c r="D684" s="226"/>
      <c r="E684" s="44"/>
      <c r="F684" s="227"/>
      <c r="G684" s="227"/>
      <c r="H684" s="228" t="s">
        <v>203</v>
      </c>
      <c r="I684" s="253">
        <v>4</v>
      </c>
      <c r="J684" s="60">
        <f t="shared" si="67"/>
        <v>14000</v>
      </c>
      <c r="K684" s="230">
        <f t="shared" si="68"/>
        <v>56000</v>
      </c>
    </row>
    <row r="685" spans="1:11" ht="13.2" customHeight="1" x14ac:dyDescent="0.25">
      <c r="A685" s="223"/>
      <c r="B685" s="224" t="s">
        <v>83</v>
      </c>
      <c r="C685" s="225" t="s">
        <v>849</v>
      </c>
      <c r="D685" s="226"/>
      <c r="E685" s="44"/>
      <c r="F685" s="227"/>
      <c r="G685" s="227"/>
      <c r="H685" s="228" t="s">
        <v>203</v>
      </c>
      <c r="I685" s="253">
        <v>2</v>
      </c>
      <c r="J685" s="60">
        <f t="shared" si="67"/>
        <v>100000</v>
      </c>
      <c r="K685" s="230">
        <f t="shared" si="68"/>
        <v>200000</v>
      </c>
    </row>
    <row r="686" spans="1:11" ht="13.2" customHeight="1" x14ac:dyDescent="0.25">
      <c r="A686" s="223"/>
      <c r="B686" s="224" t="s">
        <v>110</v>
      </c>
      <c r="C686" s="225" t="s">
        <v>871</v>
      </c>
      <c r="D686" s="226"/>
      <c r="E686" s="44"/>
      <c r="F686" s="227"/>
      <c r="G686" s="227"/>
      <c r="H686" s="228" t="s">
        <v>203</v>
      </c>
      <c r="I686" s="253">
        <v>2</v>
      </c>
      <c r="J686" s="60">
        <f t="shared" si="67"/>
        <v>85000</v>
      </c>
      <c r="K686" s="230">
        <f t="shared" si="68"/>
        <v>170000</v>
      </c>
    </row>
    <row r="687" spans="1:11" ht="13.2" customHeight="1" x14ac:dyDescent="0.25">
      <c r="A687" s="223"/>
      <c r="B687" s="224" t="s">
        <v>137</v>
      </c>
      <c r="C687" s="225" t="s">
        <v>764</v>
      </c>
      <c r="D687" s="226"/>
      <c r="E687" s="44"/>
      <c r="F687" s="227"/>
      <c r="G687" s="227"/>
      <c r="H687" s="228" t="s">
        <v>203</v>
      </c>
      <c r="I687" s="253">
        <v>4</v>
      </c>
      <c r="J687" s="60">
        <f t="shared" si="67"/>
        <v>112000</v>
      </c>
      <c r="K687" s="230">
        <f t="shared" si="68"/>
        <v>448000</v>
      </c>
    </row>
    <row r="688" spans="1:11" ht="13.2" customHeight="1" x14ac:dyDescent="0.25">
      <c r="A688" s="223"/>
      <c r="B688" s="224" t="s">
        <v>156</v>
      </c>
      <c r="C688" s="225" t="s">
        <v>757</v>
      </c>
      <c r="D688" s="226"/>
      <c r="E688" s="44"/>
      <c r="F688" s="227"/>
      <c r="G688" s="227"/>
      <c r="H688" s="228" t="s">
        <v>203</v>
      </c>
      <c r="I688" s="253">
        <v>6</v>
      </c>
      <c r="J688" s="60">
        <f t="shared" si="67"/>
        <v>41000</v>
      </c>
      <c r="K688" s="230">
        <f t="shared" si="68"/>
        <v>246000</v>
      </c>
    </row>
    <row r="689" spans="1:11" ht="13.2" customHeight="1" x14ac:dyDescent="0.25">
      <c r="A689" s="223"/>
      <c r="B689" s="224" t="s">
        <v>175</v>
      </c>
      <c r="C689" s="225" t="s">
        <v>775</v>
      </c>
      <c r="D689" s="226"/>
      <c r="E689" s="44"/>
      <c r="F689" s="227"/>
      <c r="G689" s="227"/>
      <c r="H689" s="228" t="s">
        <v>235</v>
      </c>
      <c r="I689" s="253">
        <v>1</v>
      </c>
      <c r="J689" s="60">
        <f>J674</f>
        <v>105000</v>
      </c>
      <c r="K689" s="230">
        <f t="shared" si="68"/>
        <v>105000</v>
      </c>
    </row>
    <row r="690" spans="1:11" ht="13.2" customHeight="1" x14ac:dyDescent="0.25">
      <c r="A690" s="223"/>
      <c r="B690" s="224" t="s">
        <v>177</v>
      </c>
      <c r="C690" s="225" t="s">
        <v>758</v>
      </c>
      <c r="D690" s="226"/>
      <c r="E690" s="44"/>
      <c r="F690" s="227"/>
      <c r="G690" s="227"/>
      <c r="H690" s="228" t="s">
        <v>203</v>
      </c>
      <c r="I690" s="253">
        <v>1</v>
      </c>
      <c r="J690" s="60">
        <f>J298</f>
        <v>92700</v>
      </c>
      <c r="K690" s="230">
        <f t="shared" si="68"/>
        <v>92700</v>
      </c>
    </row>
    <row r="691" spans="1:11" ht="13.2" customHeight="1" x14ac:dyDescent="0.25">
      <c r="A691" s="223"/>
      <c r="B691" s="224" t="s">
        <v>197</v>
      </c>
      <c r="C691" s="225" t="s">
        <v>759</v>
      </c>
      <c r="D691" s="226"/>
      <c r="E691" s="44"/>
      <c r="F691" s="227"/>
      <c r="G691" s="227"/>
      <c r="H691" s="228" t="s">
        <v>203</v>
      </c>
      <c r="I691" s="253">
        <v>1</v>
      </c>
      <c r="J691" s="60">
        <f>J299</f>
        <v>39000</v>
      </c>
      <c r="K691" s="230">
        <f t="shared" si="68"/>
        <v>39000</v>
      </c>
    </row>
    <row r="692" spans="1:11" ht="12.9" customHeight="1" x14ac:dyDescent="0.25">
      <c r="A692" s="58"/>
      <c r="B692" s="231"/>
      <c r="C692" s="232"/>
      <c r="D692" s="232"/>
      <c r="E692" s="232"/>
      <c r="F692" s="232"/>
      <c r="G692" s="233"/>
      <c r="H692" s="234" t="s">
        <v>715</v>
      </c>
      <c r="I692" s="235"/>
      <c r="J692" s="235"/>
      <c r="K692" s="236">
        <f>SUM(K682:K691)</f>
        <v>2240200</v>
      </c>
    </row>
    <row r="693" spans="1:11" ht="12.9" customHeight="1" x14ac:dyDescent="0.25">
      <c r="A693" s="58"/>
      <c r="B693" s="59"/>
      <c r="C693" s="56"/>
      <c r="D693" s="56"/>
      <c r="E693" s="56"/>
      <c r="F693" s="56"/>
      <c r="G693" s="237"/>
      <c r="H693" s="238" t="s">
        <v>603</v>
      </c>
      <c r="I693" s="239">
        <f>$K$3</f>
        <v>0.15</v>
      </c>
      <c r="J693" s="240"/>
      <c r="K693" s="241">
        <f>I693*K692</f>
        <v>336030</v>
      </c>
    </row>
    <row r="694" spans="1:11" ht="12.9" customHeight="1" x14ac:dyDescent="0.25">
      <c r="A694" s="58"/>
      <c r="B694" s="59"/>
      <c r="C694" s="56"/>
      <c r="D694" s="56"/>
      <c r="E694" s="56"/>
      <c r="F694" s="56"/>
      <c r="G694" s="237"/>
      <c r="H694" s="238" t="s">
        <v>604</v>
      </c>
      <c r="I694" s="226"/>
      <c r="J694" s="226"/>
      <c r="K694" s="241">
        <f>SUM(K692:K693)</f>
        <v>2576230</v>
      </c>
    </row>
    <row r="695" spans="1:11" ht="12.9" customHeight="1" thickBot="1" x14ac:dyDescent="0.3">
      <c r="A695" s="242"/>
      <c r="B695" s="243"/>
      <c r="C695" s="244"/>
      <c r="D695" s="244"/>
      <c r="E695" s="244"/>
      <c r="F695" s="244"/>
      <c r="G695" s="245"/>
      <c r="H695" s="246" t="s">
        <v>605</v>
      </c>
      <c r="I695" s="247"/>
      <c r="J695" s="247"/>
      <c r="K695" s="248">
        <f>ROUND(K694,-1)</f>
        <v>2576230</v>
      </c>
    </row>
    <row r="696" spans="1:11" ht="14.1" customHeight="1" x14ac:dyDescent="0.25">
      <c r="A696" s="215">
        <v>46</v>
      </c>
      <c r="B696" s="651" t="s">
        <v>713</v>
      </c>
      <c r="C696" s="652"/>
      <c r="D696" s="216" t="s">
        <v>1029</v>
      </c>
      <c r="E696" s="217"/>
      <c r="F696" s="218"/>
      <c r="G696" s="218"/>
      <c r="H696" s="219"/>
      <c r="I696" s="220"/>
      <c r="J696" s="221"/>
      <c r="K696" s="222"/>
    </row>
    <row r="697" spans="1:11" ht="13.2" customHeight="1" x14ac:dyDescent="0.25">
      <c r="A697" s="223"/>
      <c r="B697" s="224" t="s">
        <v>4</v>
      </c>
      <c r="C697" s="225" t="s">
        <v>980</v>
      </c>
      <c r="D697" s="226"/>
      <c r="E697" s="44"/>
      <c r="F697" s="227"/>
      <c r="G697" s="227"/>
      <c r="H697" s="228" t="s">
        <v>235</v>
      </c>
      <c r="I697" s="263">
        <v>1</v>
      </c>
      <c r="J697" s="60">
        <f>'Harga Satuan Dasar mat'!G147</f>
        <v>800000</v>
      </c>
      <c r="K697" s="230">
        <f>I697*J697</f>
        <v>800000</v>
      </c>
    </row>
    <row r="698" spans="1:11" ht="13.2" customHeight="1" x14ac:dyDescent="0.25">
      <c r="A698" s="223"/>
      <c r="B698" s="224" t="s">
        <v>30</v>
      </c>
      <c r="C698" s="225" t="s">
        <v>940</v>
      </c>
      <c r="D698" s="226"/>
      <c r="E698" s="44"/>
      <c r="F698" s="227"/>
      <c r="G698" s="227"/>
      <c r="H698" s="228" t="s">
        <v>203</v>
      </c>
      <c r="I698" s="253">
        <v>1</v>
      </c>
      <c r="J698" s="60">
        <f>'Harga Satuan Dasar mat'!G25</f>
        <v>110000</v>
      </c>
      <c r="K698" s="230">
        <f>I698*J698</f>
        <v>110000</v>
      </c>
    </row>
    <row r="699" spans="1:11" ht="13.2" customHeight="1" x14ac:dyDescent="0.25">
      <c r="A699" s="223"/>
      <c r="B699" s="224" t="s">
        <v>57</v>
      </c>
      <c r="C699" s="225" t="s">
        <v>979</v>
      </c>
      <c r="D699" s="226"/>
      <c r="E699" s="44"/>
      <c r="F699" s="227"/>
      <c r="G699" s="227"/>
      <c r="H699" s="228" t="s">
        <v>203</v>
      </c>
      <c r="I699" s="253">
        <v>7</v>
      </c>
      <c r="J699" s="60">
        <f>'Harga Satuan Dasar mat'!G252</f>
        <v>14000</v>
      </c>
      <c r="K699" s="230">
        <f>I699*J699</f>
        <v>98000</v>
      </c>
    </row>
    <row r="700" spans="1:11" ht="13.2" customHeight="1" x14ac:dyDescent="0.25">
      <c r="A700" s="223"/>
      <c r="B700" s="224" t="s">
        <v>83</v>
      </c>
      <c r="C700" s="225" t="s">
        <v>997</v>
      </c>
      <c r="D700" s="226"/>
      <c r="E700" s="44"/>
      <c r="F700" s="227"/>
      <c r="G700" s="227"/>
      <c r="H700" s="264" t="s">
        <v>203</v>
      </c>
      <c r="I700" s="253">
        <v>2</v>
      </c>
      <c r="J700" s="265">
        <f>'Harga Satuan Dasar mat'!G203</f>
        <v>283250</v>
      </c>
      <c r="K700" s="230">
        <f>I700*J700</f>
        <v>566500</v>
      </c>
    </row>
    <row r="701" spans="1:11" ht="13.2" customHeight="1" x14ac:dyDescent="0.25">
      <c r="A701" s="223"/>
      <c r="B701" s="266" t="s">
        <v>110</v>
      </c>
      <c r="C701" s="267" t="s">
        <v>1000</v>
      </c>
      <c r="D701" s="268"/>
      <c r="E701" s="269"/>
      <c r="F701" s="270"/>
      <c r="G701" s="270"/>
      <c r="H701" s="271" t="s">
        <v>203</v>
      </c>
      <c r="I701" s="261">
        <v>1</v>
      </c>
      <c r="J701" s="272">
        <f>'Harga Satuan Dasar mat'!G104</f>
        <v>221500</v>
      </c>
      <c r="K701" s="273">
        <f>I701*J701</f>
        <v>221500</v>
      </c>
    </row>
    <row r="702" spans="1:11" ht="12.9" customHeight="1" x14ac:dyDescent="0.25">
      <c r="A702" s="58"/>
      <c r="B702" s="231"/>
      <c r="C702" s="232"/>
      <c r="D702" s="232"/>
      <c r="E702" s="232"/>
      <c r="F702" s="232"/>
      <c r="G702" s="233"/>
      <c r="H702" s="234" t="s">
        <v>715</v>
      </c>
      <c r="I702" s="235"/>
      <c r="J702" s="235"/>
      <c r="K702" s="236">
        <f>SUM(K697:K701)</f>
        <v>1796000</v>
      </c>
    </row>
    <row r="703" spans="1:11" ht="12.9" customHeight="1" x14ac:dyDescent="0.25">
      <c r="A703" s="58"/>
      <c r="B703" s="59"/>
      <c r="C703" s="56"/>
      <c r="D703" s="56"/>
      <c r="E703" s="56"/>
      <c r="F703" s="56"/>
      <c r="G703" s="237"/>
      <c r="H703" s="238" t="s">
        <v>603</v>
      </c>
      <c r="I703" s="239">
        <f>$K$3</f>
        <v>0.15</v>
      </c>
      <c r="J703" s="240"/>
      <c r="K703" s="241">
        <f>I703*K702</f>
        <v>269400</v>
      </c>
    </row>
    <row r="704" spans="1:11" ht="12.9" customHeight="1" x14ac:dyDescent="0.25">
      <c r="A704" s="58"/>
      <c r="B704" s="59"/>
      <c r="C704" s="56"/>
      <c r="D704" s="56"/>
      <c r="E704" s="56"/>
      <c r="F704" s="56"/>
      <c r="G704" s="237"/>
      <c r="H704" s="238" t="s">
        <v>604</v>
      </c>
      <c r="I704" s="226"/>
      <c r="J704" s="226"/>
      <c r="K704" s="241">
        <f>SUM(K702:K703)</f>
        <v>2065400</v>
      </c>
    </row>
    <row r="705" spans="1:11" ht="12.9" customHeight="1" thickBot="1" x14ac:dyDescent="0.3">
      <c r="A705" s="242"/>
      <c r="B705" s="243"/>
      <c r="C705" s="244"/>
      <c r="D705" s="244"/>
      <c r="E705" s="244"/>
      <c r="F705" s="244"/>
      <c r="G705" s="245"/>
      <c r="H705" s="246" t="s">
        <v>605</v>
      </c>
      <c r="I705" s="247"/>
      <c r="J705" s="247"/>
      <c r="K705" s="248">
        <f>ROUND(K704,-1)</f>
        <v>2065400</v>
      </c>
    </row>
    <row r="706" spans="1:11" ht="14.1" customHeight="1" x14ac:dyDescent="0.25">
      <c r="A706" s="215">
        <v>47</v>
      </c>
      <c r="B706" s="651" t="s">
        <v>713</v>
      </c>
      <c r="C706" s="652"/>
      <c r="D706" s="216" t="s">
        <v>1614</v>
      </c>
      <c r="E706" s="217"/>
      <c r="F706" s="218"/>
      <c r="G706" s="218"/>
      <c r="H706" s="219"/>
      <c r="I706" s="220"/>
      <c r="J706" s="221"/>
      <c r="K706" s="222"/>
    </row>
    <row r="707" spans="1:11" ht="13.2" customHeight="1" x14ac:dyDescent="0.25">
      <c r="A707" s="223"/>
      <c r="B707" s="224" t="s">
        <v>4</v>
      </c>
      <c r="C707" s="225" t="s">
        <v>980</v>
      </c>
      <c r="D707" s="226"/>
      <c r="E707" s="44"/>
      <c r="F707" s="227"/>
      <c r="G707" s="227"/>
      <c r="H707" s="228" t="s">
        <v>235</v>
      </c>
      <c r="I707" s="263">
        <v>1</v>
      </c>
      <c r="J707" s="60">
        <f>J697</f>
        <v>800000</v>
      </c>
      <c r="K707" s="230">
        <f>I707*J707</f>
        <v>800000</v>
      </c>
    </row>
    <row r="708" spans="1:11" ht="13.2" customHeight="1" x14ac:dyDescent="0.25">
      <c r="A708" s="223"/>
      <c r="B708" s="224" t="s">
        <v>30</v>
      </c>
      <c r="C708" s="225" t="s">
        <v>838</v>
      </c>
      <c r="D708" s="226"/>
      <c r="E708" s="44"/>
      <c r="F708" s="227"/>
      <c r="G708" s="227"/>
      <c r="H708" s="228" t="s">
        <v>203</v>
      </c>
      <c r="I708" s="253">
        <v>1</v>
      </c>
      <c r="J708" s="60">
        <f>'Harga Satuan Dasar mat'!G26</f>
        <v>115000</v>
      </c>
      <c r="K708" s="230">
        <f>I708*J708</f>
        <v>115000</v>
      </c>
    </row>
    <row r="709" spans="1:11" ht="13.2" customHeight="1" x14ac:dyDescent="0.25">
      <c r="A709" s="223"/>
      <c r="B709" s="224" t="s">
        <v>57</v>
      </c>
      <c r="C709" s="225" t="s">
        <v>979</v>
      </c>
      <c r="D709" s="226"/>
      <c r="E709" s="44"/>
      <c r="F709" s="227"/>
      <c r="G709" s="227"/>
      <c r="H709" s="228" t="s">
        <v>203</v>
      </c>
      <c r="I709" s="253">
        <v>7</v>
      </c>
      <c r="J709" s="60">
        <f t="shared" ref="J709:J710" si="69">J699</f>
        <v>14000</v>
      </c>
      <c r="K709" s="230">
        <f>I709*J709</f>
        <v>98000</v>
      </c>
    </row>
    <row r="710" spans="1:11" ht="13.2" customHeight="1" x14ac:dyDescent="0.25">
      <c r="A710" s="223"/>
      <c r="B710" s="224" t="s">
        <v>83</v>
      </c>
      <c r="C710" s="225" t="s">
        <v>997</v>
      </c>
      <c r="D710" s="226"/>
      <c r="E710" s="44"/>
      <c r="F710" s="227"/>
      <c r="G710" s="227"/>
      <c r="H710" s="264" t="s">
        <v>203</v>
      </c>
      <c r="I710" s="253">
        <v>2</v>
      </c>
      <c r="J710" s="60">
        <f t="shared" si="69"/>
        <v>283250</v>
      </c>
      <c r="K710" s="230">
        <f>I710*J710</f>
        <v>566500</v>
      </c>
    </row>
    <row r="711" spans="1:11" ht="13.2" customHeight="1" x14ac:dyDescent="0.25">
      <c r="A711" s="223"/>
      <c r="B711" s="266" t="s">
        <v>110</v>
      </c>
      <c r="C711" s="267" t="s">
        <v>1000</v>
      </c>
      <c r="D711" s="268"/>
      <c r="E711" s="269"/>
      <c r="F711" s="270"/>
      <c r="G711" s="270"/>
      <c r="H711" s="271" t="s">
        <v>203</v>
      </c>
      <c r="I711" s="261">
        <v>1</v>
      </c>
      <c r="J711" s="60">
        <f>'Harga Satuan Dasar mat'!G104</f>
        <v>221500</v>
      </c>
      <c r="K711" s="273">
        <f>I711*J711</f>
        <v>221500</v>
      </c>
    </row>
    <row r="712" spans="1:11" ht="12.9" customHeight="1" x14ac:dyDescent="0.25">
      <c r="A712" s="58"/>
      <c r="B712" s="231"/>
      <c r="C712" s="232"/>
      <c r="D712" s="232"/>
      <c r="E712" s="232"/>
      <c r="F712" s="232"/>
      <c r="G712" s="233"/>
      <c r="H712" s="234" t="s">
        <v>715</v>
      </c>
      <c r="I712" s="235"/>
      <c r="J712" s="235"/>
      <c r="K712" s="236">
        <f>SUM(K707:K711)</f>
        <v>1801000</v>
      </c>
    </row>
    <row r="713" spans="1:11" ht="12.9" customHeight="1" x14ac:dyDescent="0.25">
      <c r="A713" s="58"/>
      <c r="B713" s="59"/>
      <c r="C713" s="56"/>
      <c r="D713" s="56"/>
      <c r="E713" s="56"/>
      <c r="F713" s="56"/>
      <c r="G713" s="237"/>
      <c r="H713" s="238" t="s">
        <v>603</v>
      </c>
      <c r="I713" s="239">
        <f>$K$3</f>
        <v>0.15</v>
      </c>
      <c r="J713" s="240"/>
      <c r="K713" s="241">
        <f>I713*K712</f>
        <v>270150</v>
      </c>
    </row>
    <row r="714" spans="1:11" ht="12.9" customHeight="1" x14ac:dyDescent="0.25">
      <c r="A714" s="58"/>
      <c r="B714" s="59"/>
      <c r="C714" s="56"/>
      <c r="D714" s="56"/>
      <c r="E714" s="56"/>
      <c r="F714" s="56"/>
      <c r="G714" s="237"/>
      <c r="H714" s="238" t="s">
        <v>604</v>
      </c>
      <c r="I714" s="226"/>
      <c r="J714" s="226"/>
      <c r="K714" s="241">
        <f>SUM(K712:K713)</f>
        <v>2071150</v>
      </c>
    </row>
    <row r="715" spans="1:11" ht="12.9" customHeight="1" thickBot="1" x14ac:dyDescent="0.3">
      <c r="A715" s="242"/>
      <c r="B715" s="243"/>
      <c r="C715" s="244"/>
      <c r="D715" s="244"/>
      <c r="E715" s="244"/>
      <c r="F715" s="244"/>
      <c r="G715" s="245"/>
      <c r="H715" s="246" t="s">
        <v>605</v>
      </c>
      <c r="I715" s="247"/>
      <c r="J715" s="247"/>
      <c r="K715" s="248">
        <f>ROUND(K714,-1)</f>
        <v>2071150</v>
      </c>
    </row>
    <row r="716" spans="1:11" ht="14.1" customHeight="1" x14ac:dyDescent="0.25">
      <c r="A716" s="215">
        <v>48</v>
      </c>
      <c r="B716" s="651" t="s">
        <v>713</v>
      </c>
      <c r="C716" s="652"/>
      <c r="D716" s="216" t="s">
        <v>1033</v>
      </c>
      <c r="E716" s="217"/>
      <c r="F716" s="218"/>
      <c r="G716" s="218"/>
      <c r="H716" s="219"/>
      <c r="I716" s="220"/>
      <c r="J716" s="221"/>
      <c r="K716" s="222"/>
    </row>
    <row r="717" spans="1:11" ht="13.2" customHeight="1" x14ac:dyDescent="0.25">
      <c r="A717" s="223"/>
      <c r="B717" s="224" t="s">
        <v>4</v>
      </c>
      <c r="C717" s="225" t="s">
        <v>980</v>
      </c>
      <c r="D717" s="226"/>
      <c r="E717" s="44"/>
      <c r="F717" s="227"/>
      <c r="G717" s="227"/>
      <c r="H717" s="228" t="s">
        <v>235</v>
      </c>
      <c r="I717" s="263">
        <v>1</v>
      </c>
      <c r="J717" s="60">
        <f>J745</f>
        <v>800000</v>
      </c>
      <c r="K717" s="230">
        <f>I717*J717</f>
        <v>800000</v>
      </c>
    </row>
    <row r="718" spans="1:11" ht="13.2" customHeight="1" x14ac:dyDescent="0.25">
      <c r="A718" s="223"/>
      <c r="B718" s="224" t="s">
        <v>30</v>
      </c>
      <c r="C718" s="225" t="s">
        <v>839</v>
      </c>
      <c r="D718" s="226"/>
      <c r="E718" s="44"/>
      <c r="F718" s="227"/>
      <c r="G718" s="227"/>
      <c r="H718" s="228" t="s">
        <v>203</v>
      </c>
      <c r="I718" s="253">
        <v>1</v>
      </c>
      <c r="J718" s="60">
        <f>'Harga Satuan Dasar mat'!G22</f>
        <v>95500</v>
      </c>
      <c r="K718" s="230">
        <f>I718*J718</f>
        <v>95500</v>
      </c>
    </row>
    <row r="719" spans="1:11" ht="13.2" customHeight="1" x14ac:dyDescent="0.25">
      <c r="A719" s="223"/>
      <c r="B719" s="224" t="s">
        <v>57</v>
      </c>
      <c r="C719" s="225" t="s">
        <v>979</v>
      </c>
      <c r="D719" s="226"/>
      <c r="E719" s="44"/>
      <c r="F719" s="227"/>
      <c r="G719" s="227"/>
      <c r="H719" s="228" t="s">
        <v>203</v>
      </c>
      <c r="I719" s="253">
        <v>7</v>
      </c>
      <c r="J719" s="60">
        <f>J747</f>
        <v>14000</v>
      </c>
      <c r="K719" s="230">
        <f>I719*J719</f>
        <v>98000</v>
      </c>
    </row>
    <row r="720" spans="1:11" ht="13.2" customHeight="1" x14ac:dyDescent="0.25">
      <c r="A720" s="223"/>
      <c r="B720" s="224" t="s">
        <v>83</v>
      </c>
      <c r="C720" s="225" t="s">
        <v>997</v>
      </c>
      <c r="D720" s="226"/>
      <c r="E720" s="44"/>
      <c r="F720" s="227"/>
      <c r="G720" s="227"/>
      <c r="H720" s="264" t="s">
        <v>203</v>
      </c>
      <c r="I720" s="253">
        <v>2</v>
      </c>
      <c r="J720" s="265">
        <f>J700</f>
        <v>283250</v>
      </c>
      <c r="K720" s="230">
        <f>I720*J720</f>
        <v>566500</v>
      </c>
    </row>
    <row r="721" spans="1:11" ht="13.2" customHeight="1" x14ac:dyDescent="0.25">
      <c r="A721" s="223"/>
      <c r="B721" s="266" t="s">
        <v>110</v>
      </c>
      <c r="C721" s="267" t="s">
        <v>1001</v>
      </c>
      <c r="D721" s="268"/>
      <c r="E721" s="269"/>
      <c r="F721" s="270"/>
      <c r="G721" s="270"/>
      <c r="H721" s="271" t="s">
        <v>203</v>
      </c>
      <c r="I721" s="261">
        <v>1</v>
      </c>
      <c r="J721" s="272">
        <f>'Harga Satuan Dasar mat'!G100</f>
        <v>184000</v>
      </c>
      <c r="K721" s="273">
        <f>I721*J721</f>
        <v>184000</v>
      </c>
    </row>
    <row r="722" spans="1:11" ht="12.9" customHeight="1" x14ac:dyDescent="0.25">
      <c r="A722" s="58"/>
      <c r="B722" s="231"/>
      <c r="C722" s="232"/>
      <c r="D722" s="232"/>
      <c r="E722" s="232"/>
      <c r="F722" s="232"/>
      <c r="G722" s="233"/>
      <c r="H722" s="234" t="s">
        <v>715</v>
      </c>
      <c r="I722" s="235"/>
      <c r="J722" s="235"/>
      <c r="K722" s="236">
        <f>SUM(K717:K721)</f>
        <v>1744000</v>
      </c>
    </row>
    <row r="723" spans="1:11" ht="12.9" customHeight="1" x14ac:dyDescent="0.25">
      <c r="A723" s="58"/>
      <c r="B723" s="59"/>
      <c r="C723" s="56"/>
      <c r="D723" s="56"/>
      <c r="E723" s="56"/>
      <c r="F723" s="56"/>
      <c r="G723" s="237"/>
      <c r="H723" s="238" t="s">
        <v>603</v>
      </c>
      <c r="I723" s="239">
        <f>$K$3</f>
        <v>0.15</v>
      </c>
      <c r="J723" s="240"/>
      <c r="K723" s="241">
        <f>I723*K722</f>
        <v>261600</v>
      </c>
    </row>
    <row r="724" spans="1:11" ht="12.9" customHeight="1" x14ac:dyDescent="0.25">
      <c r="A724" s="58"/>
      <c r="B724" s="59"/>
      <c r="C724" s="56"/>
      <c r="D724" s="56"/>
      <c r="E724" s="56"/>
      <c r="F724" s="56"/>
      <c r="G724" s="237"/>
      <c r="H724" s="238" t="s">
        <v>604</v>
      </c>
      <c r="I724" s="226"/>
      <c r="J724" s="226"/>
      <c r="K724" s="241">
        <f>SUM(K722:K723)</f>
        <v>2005600</v>
      </c>
    </row>
    <row r="725" spans="1:11" ht="12.9" customHeight="1" thickBot="1" x14ac:dyDescent="0.3">
      <c r="A725" s="242"/>
      <c r="B725" s="243"/>
      <c r="C725" s="244"/>
      <c r="D725" s="244"/>
      <c r="E725" s="244"/>
      <c r="F725" s="244"/>
      <c r="G725" s="245"/>
      <c r="H725" s="246" t="s">
        <v>605</v>
      </c>
      <c r="I725" s="247"/>
      <c r="J725" s="247"/>
      <c r="K725" s="248">
        <f>ROUND(K724,-1)</f>
        <v>2005600</v>
      </c>
    </row>
    <row r="726" spans="1:11" ht="14.1" customHeight="1" x14ac:dyDescent="0.25">
      <c r="A726" s="215">
        <v>49</v>
      </c>
      <c r="B726" s="651" t="s">
        <v>713</v>
      </c>
      <c r="C726" s="652"/>
      <c r="D726" s="216" t="s">
        <v>1034</v>
      </c>
      <c r="E726" s="217"/>
      <c r="F726" s="218"/>
      <c r="G726" s="218"/>
      <c r="H726" s="219"/>
      <c r="I726" s="220"/>
      <c r="J726" s="221"/>
      <c r="K726" s="222"/>
    </row>
    <row r="727" spans="1:11" ht="13.2" customHeight="1" x14ac:dyDescent="0.25">
      <c r="A727" s="223"/>
      <c r="B727" s="224" t="s">
        <v>4</v>
      </c>
      <c r="C727" s="225" t="s">
        <v>980</v>
      </c>
      <c r="D727" s="226"/>
      <c r="E727" s="44"/>
      <c r="F727" s="227"/>
      <c r="G727" s="227"/>
      <c r="H727" s="228" t="s">
        <v>235</v>
      </c>
      <c r="I727" s="263">
        <v>1</v>
      </c>
      <c r="J727" s="60">
        <f>J717</f>
        <v>800000</v>
      </c>
      <c r="K727" s="230">
        <f>I727*J727</f>
        <v>800000</v>
      </c>
    </row>
    <row r="728" spans="1:11" ht="13.2" customHeight="1" x14ac:dyDescent="0.25">
      <c r="A728" s="223"/>
      <c r="B728" s="224" t="s">
        <v>30</v>
      </c>
      <c r="C728" s="225" t="s">
        <v>840</v>
      </c>
      <c r="D728" s="226"/>
      <c r="E728" s="44"/>
      <c r="F728" s="227"/>
      <c r="G728" s="227"/>
      <c r="H728" s="228" t="s">
        <v>203</v>
      </c>
      <c r="I728" s="253">
        <v>1</v>
      </c>
      <c r="J728" s="60">
        <f>'Harga Satuan Dasar mat'!G20</f>
        <v>85000</v>
      </c>
      <c r="K728" s="230">
        <f>I728*J728</f>
        <v>85000</v>
      </c>
    </row>
    <row r="729" spans="1:11" ht="13.2" customHeight="1" x14ac:dyDescent="0.25">
      <c r="A729" s="223"/>
      <c r="B729" s="224" t="s">
        <v>57</v>
      </c>
      <c r="C729" s="225" t="s">
        <v>979</v>
      </c>
      <c r="D729" s="226"/>
      <c r="E729" s="44"/>
      <c r="F729" s="227"/>
      <c r="G729" s="227"/>
      <c r="H729" s="228" t="s">
        <v>203</v>
      </c>
      <c r="I729" s="253">
        <v>7</v>
      </c>
      <c r="J729" s="60">
        <f>J719</f>
        <v>14000</v>
      </c>
      <c r="K729" s="230">
        <f>I729*J729</f>
        <v>98000</v>
      </c>
    </row>
    <row r="730" spans="1:11" ht="13.2" customHeight="1" x14ac:dyDescent="0.25">
      <c r="A730" s="223"/>
      <c r="B730" s="224" t="s">
        <v>83</v>
      </c>
      <c r="C730" s="225" t="s">
        <v>997</v>
      </c>
      <c r="D730" s="226"/>
      <c r="E730" s="44"/>
      <c r="F730" s="227"/>
      <c r="G730" s="227"/>
      <c r="H730" s="264" t="s">
        <v>203</v>
      </c>
      <c r="I730" s="253">
        <v>2</v>
      </c>
      <c r="J730" s="60">
        <f>J720</f>
        <v>283250</v>
      </c>
      <c r="K730" s="230">
        <f>I730*J730</f>
        <v>566500</v>
      </c>
    </row>
    <row r="731" spans="1:11" ht="13.2" customHeight="1" x14ac:dyDescent="0.25">
      <c r="A731" s="223"/>
      <c r="B731" s="266" t="s">
        <v>110</v>
      </c>
      <c r="C731" s="267" t="s">
        <v>1002</v>
      </c>
      <c r="D731" s="268"/>
      <c r="E731" s="269"/>
      <c r="F731" s="270"/>
      <c r="G731" s="270"/>
      <c r="H731" s="271" t="s">
        <v>203</v>
      </c>
      <c r="I731" s="261">
        <v>1</v>
      </c>
      <c r="J731" s="60">
        <f>'Harga Satuan Dasar mat'!G98</f>
        <v>164500</v>
      </c>
      <c r="K731" s="273">
        <f>I731*J731</f>
        <v>164500</v>
      </c>
    </row>
    <row r="732" spans="1:11" ht="12.9" customHeight="1" x14ac:dyDescent="0.25">
      <c r="A732" s="58"/>
      <c r="B732" s="231"/>
      <c r="C732" s="232"/>
      <c r="D732" s="232"/>
      <c r="E732" s="232"/>
      <c r="F732" s="232"/>
      <c r="G732" s="233"/>
      <c r="H732" s="234" t="s">
        <v>715</v>
      </c>
      <c r="I732" s="235"/>
      <c r="J732" s="235"/>
      <c r="K732" s="236">
        <f>SUM(K727:K731)</f>
        <v>1714000</v>
      </c>
    </row>
    <row r="733" spans="1:11" ht="12.9" customHeight="1" x14ac:dyDescent="0.25">
      <c r="A733" s="58"/>
      <c r="B733" s="59"/>
      <c r="C733" s="56"/>
      <c r="D733" s="56"/>
      <c r="E733" s="56"/>
      <c r="F733" s="56"/>
      <c r="G733" s="237"/>
      <c r="H733" s="238" t="s">
        <v>603</v>
      </c>
      <c r="I733" s="239">
        <f>$K$3</f>
        <v>0.15</v>
      </c>
      <c r="J733" s="240"/>
      <c r="K733" s="241">
        <f>I733*K732</f>
        <v>257100</v>
      </c>
    </row>
    <row r="734" spans="1:11" ht="12.9" customHeight="1" x14ac:dyDescent="0.25">
      <c r="A734" s="58"/>
      <c r="B734" s="59"/>
      <c r="C734" s="56"/>
      <c r="D734" s="56"/>
      <c r="E734" s="56"/>
      <c r="F734" s="56"/>
      <c r="G734" s="237"/>
      <c r="H734" s="238" t="s">
        <v>604</v>
      </c>
      <c r="I734" s="226"/>
      <c r="J734" s="226"/>
      <c r="K734" s="241">
        <f>SUM(K732:K733)</f>
        <v>1971100</v>
      </c>
    </row>
    <row r="735" spans="1:11" ht="12.9" customHeight="1" thickBot="1" x14ac:dyDescent="0.3">
      <c r="A735" s="242"/>
      <c r="B735" s="243"/>
      <c r="C735" s="244"/>
      <c r="D735" s="244"/>
      <c r="E735" s="244"/>
      <c r="F735" s="244"/>
      <c r="G735" s="245"/>
      <c r="H735" s="246" t="s">
        <v>605</v>
      </c>
      <c r="I735" s="247"/>
      <c r="J735" s="247"/>
      <c r="K735" s="248">
        <f>ROUND(K734,-1)</f>
        <v>1971100</v>
      </c>
    </row>
    <row r="736" spans="1:11" ht="14.1" customHeight="1" x14ac:dyDescent="0.25">
      <c r="A736" s="215">
        <v>50</v>
      </c>
      <c r="B736" s="651" t="s">
        <v>713</v>
      </c>
      <c r="C736" s="652"/>
      <c r="D736" s="216" t="s">
        <v>1035</v>
      </c>
      <c r="E736" s="217"/>
      <c r="F736" s="218"/>
      <c r="G736" s="218"/>
      <c r="H736" s="219"/>
      <c r="I736" s="220"/>
      <c r="J736" s="221"/>
      <c r="K736" s="222"/>
    </row>
    <row r="737" spans="1:11" ht="13.2" customHeight="1" x14ac:dyDescent="0.25">
      <c r="A737" s="223"/>
      <c r="B737" s="224" t="s">
        <v>4</v>
      </c>
      <c r="C737" s="225" t="s">
        <v>980</v>
      </c>
      <c r="D737" s="226"/>
      <c r="E737" s="44"/>
      <c r="F737" s="227"/>
      <c r="G737" s="227"/>
      <c r="H737" s="228" t="s">
        <v>235</v>
      </c>
      <c r="I737" s="263">
        <v>1</v>
      </c>
      <c r="J737" s="60">
        <f>'Harga Satuan Dasar mat'!G147</f>
        <v>800000</v>
      </c>
      <c r="K737" s="230">
        <f>I737*J737</f>
        <v>800000</v>
      </c>
    </row>
    <row r="738" spans="1:11" ht="13.2" customHeight="1" x14ac:dyDescent="0.25">
      <c r="A738" s="223"/>
      <c r="B738" s="224" t="s">
        <v>30</v>
      </c>
      <c r="C738" s="225" t="s">
        <v>940</v>
      </c>
      <c r="D738" s="226"/>
      <c r="E738" s="44"/>
      <c r="F738" s="227"/>
      <c r="G738" s="227"/>
      <c r="H738" s="228" t="s">
        <v>203</v>
      </c>
      <c r="I738" s="253">
        <v>1</v>
      </c>
      <c r="J738" s="60">
        <f>'Harga Satuan Dasar mat'!G25</f>
        <v>110000</v>
      </c>
      <c r="K738" s="230">
        <f>I738*J738</f>
        <v>110000</v>
      </c>
    </row>
    <row r="739" spans="1:11" ht="13.2" customHeight="1" x14ac:dyDescent="0.25">
      <c r="A739" s="223"/>
      <c r="B739" s="224" t="s">
        <v>57</v>
      </c>
      <c r="C739" s="225" t="s">
        <v>979</v>
      </c>
      <c r="D739" s="226"/>
      <c r="E739" s="44"/>
      <c r="F739" s="227"/>
      <c r="G739" s="227"/>
      <c r="H739" s="228" t="s">
        <v>203</v>
      </c>
      <c r="I739" s="253">
        <v>2</v>
      </c>
      <c r="J739" s="60">
        <f>J729</f>
        <v>14000</v>
      </c>
      <c r="K739" s="230">
        <f>I739*J739</f>
        <v>28000</v>
      </c>
    </row>
    <row r="740" spans="1:11" ht="12.9" customHeight="1" x14ac:dyDescent="0.25">
      <c r="A740" s="58"/>
      <c r="B740" s="231"/>
      <c r="C740" s="232"/>
      <c r="D740" s="232"/>
      <c r="E740" s="232"/>
      <c r="F740" s="232"/>
      <c r="G740" s="233"/>
      <c r="H740" s="234" t="s">
        <v>715</v>
      </c>
      <c r="I740" s="235"/>
      <c r="J740" s="235"/>
      <c r="K740" s="236">
        <f>SUM(K737:K739)</f>
        <v>938000</v>
      </c>
    </row>
    <row r="741" spans="1:11" ht="12.9" customHeight="1" x14ac:dyDescent="0.25">
      <c r="A741" s="58"/>
      <c r="B741" s="59"/>
      <c r="C741" s="56"/>
      <c r="D741" s="56"/>
      <c r="E741" s="56"/>
      <c r="F741" s="56"/>
      <c r="G741" s="237"/>
      <c r="H741" s="238" t="s">
        <v>603</v>
      </c>
      <c r="I741" s="239">
        <f>$K$3</f>
        <v>0.15</v>
      </c>
      <c r="J741" s="240"/>
      <c r="K741" s="241">
        <f>I741*K740</f>
        <v>140700</v>
      </c>
    </row>
    <row r="742" spans="1:11" ht="12.9" customHeight="1" x14ac:dyDescent="0.25">
      <c r="A742" s="58"/>
      <c r="B742" s="59"/>
      <c r="C742" s="56"/>
      <c r="D742" s="56"/>
      <c r="E742" s="56"/>
      <c r="F742" s="56"/>
      <c r="G742" s="237"/>
      <c r="H742" s="238" t="s">
        <v>604</v>
      </c>
      <c r="I742" s="226"/>
      <c r="J742" s="226"/>
      <c r="K742" s="241">
        <f>SUM(K740:K741)</f>
        <v>1078700</v>
      </c>
    </row>
    <row r="743" spans="1:11" ht="12.9" customHeight="1" thickBot="1" x14ac:dyDescent="0.3">
      <c r="A743" s="242"/>
      <c r="B743" s="243"/>
      <c r="C743" s="244"/>
      <c r="D743" s="244"/>
      <c r="E743" s="244"/>
      <c r="F743" s="244"/>
      <c r="G743" s="245"/>
      <c r="H743" s="246" t="s">
        <v>605</v>
      </c>
      <c r="I743" s="247"/>
      <c r="J743" s="247"/>
      <c r="K743" s="248">
        <f>ROUND(K742,-1)</f>
        <v>1078700</v>
      </c>
    </row>
    <row r="744" spans="1:11" ht="14.1" customHeight="1" x14ac:dyDescent="0.25">
      <c r="A744" s="215">
        <v>51</v>
      </c>
      <c r="B744" s="651" t="s">
        <v>713</v>
      </c>
      <c r="C744" s="652"/>
      <c r="D744" s="216" t="s">
        <v>1070</v>
      </c>
      <c r="E744" s="217"/>
      <c r="F744" s="218"/>
      <c r="G744" s="218"/>
      <c r="H744" s="219"/>
      <c r="I744" s="220"/>
      <c r="J744" s="221"/>
      <c r="K744" s="222"/>
    </row>
    <row r="745" spans="1:11" ht="13.2" customHeight="1" x14ac:dyDescent="0.25">
      <c r="A745" s="223"/>
      <c r="B745" s="224" t="s">
        <v>4</v>
      </c>
      <c r="C745" s="225" t="s">
        <v>980</v>
      </c>
      <c r="D745" s="226"/>
      <c r="E745" s="44"/>
      <c r="F745" s="227"/>
      <c r="G745" s="227"/>
      <c r="H745" s="228" t="s">
        <v>235</v>
      </c>
      <c r="I745" s="263">
        <v>1</v>
      </c>
      <c r="J745" s="60">
        <f>J697</f>
        <v>800000</v>
      </c>
      <c r="K745" s="230">
        <f>I745*J745</f>
        <v>800000</v>
      </c>
    </row>
    <row r="746" spans="1:11" ht="13.2" customHeight="1" x14ac:dyDescent="0.25">
      <c r="A746" s="223"/>
      <c r="B746" s="224" t="s">
        <v>30</v>
      </c>
      <c r="C746" s="225" t="s">
        <v>838</v>
      </c>
      <c r="D746" s="226"/>
      <c r="E746" s="44"/>
      <c r="F746" s="227"/>
      <c r="G746" s="227"/>
      <c r="H746" s="228" t="s">
        <v>203</v>
      </c>
      <c r="I746" s="253">
        <v>1</v>
      </c>
      <c r="J746" s="60">
        <f>'Harga Satuan Dasar mat'!G26</f>
        <v>115000</v>
      </c>
      <c r="K746" s="230">
        <f>I746*J746</f>
        <v>115000</v>
      </c>
    </row>
    <row r="747" spans="1:11" ht="13.2" customHeight="1" x14ac:dyDescent="0.25">
      <c r="A747" s="223"/>
      <c r="B747" s="224" t="s">
        <v>57</v>
      </c>
      <c r="C747" s="225" t="s">
        <v>979</v>
      </c>
      <c r="D747" s="226"/>
      <c r="E747" s="44"/>
      <c r="F747" s="227"/>
      <c r="G747" s="227"/>
      <c r="H747" s="228" t="s">
        <v>203</v>
      </c>
      <c r="I747" s="253">
        <v>7</v>
      </c>
      <c r="J747" s="60">
        <f>J699</f>
        <v>14000</v>
      </c>
      <c r="K747" s="230">
        <f>I747*J747</f>
        <v>98000</v>
      </c>
    </row>
    <row r="748" spans="1:11" ht="12.9" customHeight="1" x14ac:dyDescent="0.25">
      <c r="A748" s="58"/>
      <c r="B748" s="231"/>
      <c r="C748" s="232"/>
      <c r="D748" s="232"/>
      <c r="E748" s="232"/>
      <c r="F748" s="232"/>
      <c r="G748" s="233"/>
      <c r="H748" s="234" t="s">
        <v>715</v>
      </c>
      <c r="I748" s="235"/>
      <c r="J748" s="235"/>
      <c r="K748" s="236">
        <f>SUM(K745:K747)</f>
        <v>1013000</v>
      </c>
    </row>
    <row r="749" spans="1:11" ht="12.9" customHeight="1" x14ac:dyDescent="0.25">
      <c r="A749" s="58"/>
      <c r="B749" s="59"/>
      <c r="C749" s="56"/>
      <c r="D749" s="56"/>
      <c r="E749" s="56"/>
      <c r="F749" s="56"/>
      <c r="G749" s="237"/>
      <c r="H749" s="238" t="s">
        <v>603</v>
      </c>
      <c r="I749" s="239">
        <f>$K$3</f>
        <v>0.15</v>
      </c>
      <c r="J749" s="240"/>
      <c r="K749" s="241">
        <f>I749*K748</f>
        <v>151950</v>
      </c>
    </row>
    <row r="750" spans="1:11" ht="12.9" customHeight="1" x14ac:dyDescent="0.25">
      <c r="A750" s="58"/>
      <c r="B750" s="59"/>
      <c r="C750" s="56"/>
      <c r="D750" s="56"/>
      <c r="E750" s="56"/>
      <c r="F750" s="56"/>
      <c r="G750" s="237"/>
      <c r="H750" s="238" t="s">
        <v>604</v>
      </c>
      <c r="I750" s="226"/>
      <c r="J750" s="226"/>
      <c r="K750" s="241">
        <f>SUM(K748:K749)</f>
        <v>1164950</v>
      </c>
    </row>
    <row r="751" spans="1:11" ht="12.9" customHeight="1" thickBot="1" x14ac:dyDescent="0.3">
      <c r="A751" s="242"/>
      <c r="B751" s="243"/>
      <c r="C751" s="244"/>
      <c r="D751" s="244"/>
      <c r="E751" s="244"/>
      <c r="F751" s="244"/>
      <c r="G751" s="245"/>
      <c r="H751" s="246" t="s">
        <v>605</v>
      </c>
      <c r="I751" s="247"/>
      <c r="J751" s="247"/>
      <c r="K751" s="248">
        <f>ROUND(K750,-1)</f>
        <v>1164950</v>
      </c>
    </row>
    <row r="752" spans="1:11" ht="14.1" customHeight="1" x14ac:dyDescent="0.25">
      <c r="A752" s="215">
        <v>52</v>
      </c>
      <c r="B752" s="651" t="s">
        <v>713</v>
      </c>
      <c r="C752" s="652"/>
      <c r="D752" s="216" t="s">
        <v>1071</v>
      </c>
      <c r="E752" s="217"/>
      <c r="F752" s="218"/>
      <c r="G752" s="218"/>
      <c r="H752" s="219"/>
      <c r="I752" s="220"/>
      <c r="J752" s="221"/>
      <c r="K752" s="222"/>
    </row>
    <row r="753" spans="1:11" ht="13.2" customHeight="1" x14ac:dyDescent="0.25">
      <c r="A753" s="223"/>
      <c r="B753" s="224" t="s">
        <v>4</v>
      </c>
      <c r="C753" s="225" t="s">
        <v>980</v>
      </c>
      <c r="D753" s="226"/>
      <c r="E753" s="44"/>
      <c r="F753" s="227"/>
      <c r="G753" s="227"/>
      <c r="H753" s="228" t="s">
        <v>235</v>
      </c>
      <c r="I753" s="263">
        <v>1</v>
      </c>
      <c r="J753" s="60">
        <f>J745</f>
        <v>800000</v>
      </c>
      <c r="K753" s="230">
        <f>I753*J753</f>
        <v>800000</v>
      </c>
    </row>
    <row r="754" spans="1:11" ht="13.2" customHeight="1" x14ac:dyDescent="0.25">
      <c r="A754" s="223"/>
      <c r="B754" s="224" t="s">
        <v>30</v>
      </c>
      <c r="C754" s="225" t="s">
        <v>839</v>
      </c>
      <c r="D754" s="226"/>
      <c r="E754" s="44"/>
      <c r="F754" s="227"/>
      <c r="G754" s="227"/>
      <c r="H754" s="228" t="s">
        <v>203</v>
      </c>
      <c r="I754" s="253">
        <v>1</v>
      </c>
      <c r="J754" s="60">
        <f>'Harga Satuan Dasar mat'!G22</f>
        <v>95500</v>
      </c>
      <c r="K754" s="230">
        <f>I754*J754</f>
        <v>95500</v>
      </c>
    </row>
    <row r="755" spans="1:11" ht="13.2" customHeight="1" x14ac:dyDescent="0.25">
      <c r="A755" s="223"/>
      <c r="B755" s="224" t="s">
        <v>57</v>
      </c>
      <c r="C755" s="225" t="s">
        <v>979</v>
      </c>
      <c r="D755" s="226"/>
      <c r="E755" s="44"/>
      <c r="F755" s="227"/>
      <c r="G755" s="227"/>
      <c r="H755" s="228" t="s">
        <v>203</v>
      </c>
      <c r="I755" s="253">
        <v>7</v>
      </c>
      <c r="J755" s="60">
        <f>J747</f>
        <v>14000</v>
      </c>
      <c r="K755" s="230">
        <f>I755*J755</f>
        <v>98000</v>
      </c>
    </row>
    <row r="756" spans="1:11" ht="12.9" customHeight="1" x14ac:dyDescent="0.25">
      <c r="A756" s="58"/>
      <c r="B756" s="231"/>
      <c r="C756" s="232"/>
      <c r="D756" s="232"/>
      <c r="E756" s="232"/>
      <c r="F756" s="232"/>
      <c r="G756" s="233"/>
      <c r="H756" s="234" t="s">
        <v>715</v>
      </c>
      <c r="I756" s="235"/>
      <c r="J756" s="235"/>
      <c r="K756" s="236">
        <f>SUM(K753:K755)</f>
        <v>993500</v>
      </c>
    </row>
    <row r="757" spans="1:11" ht="12.9" customHeight="1" x14ac:dyDescent="0.25">
      <c r="A757" s="58"/>
      <c r="B757" s="59"/>
      <c r="C757" s="56"/>
      <c r="D757" s="56"/>
      <c r="E757" s="56"/>
      <c r="F757" s="56"/>
      <c r="G757" s="237"/>
      <c r="H757" s="238" t="s">
        <v>603</v>
      </c>
      <c r="I757" s="239">
        <f>$K$3</f>
        <v>0.15</v>
      </c>
      <c r="J757" s="240"/>
      <c r="K757" s="241">
        <f>I757*K756</f>
        <v>149025</v>
      </c>
    </row>
    <row r="758" spans="1:11" ht="12.9" customHeight="1" x14ac:dyDescent="0.25">
      <c r="A758" s="58"/>
      <c r="B758" s="59"/>
      <c r="C758" s="56"/>
      <c r="D758" s="56"/>
      <c r="E758" s="56"/>
      <c r="F758" s="56"/>
      <c r="G758" s="237"/>
      <c r="H758" s="238" t="s">
        <v>604</v>
      </c>
      <c r="I758" s="226"/>
      <c r="J758" s="226"/>
      <c r="K758" s="241">
        <f>SUM(K756:K757)</f>
        <v>1142525</v>
      </c>
    </row>
    <row r="759" spans="1:11" ht="12.9" customHeight="1" thickBot="1" x14ac:dyDescent="0.3">
      <c r="A759" s="242"/>
      <c r="B759" s="243"/>
      <c r="C759" s="244"/>
      <c r="D759" s="244"/>
      <c r="E759" s="244"/>
      <c r="F759" s="244"/>
      <c r="G759" s="245"/>
      <c r="H759" s="246" t="s">
        <v>605</v>
      </c>
      <c r="I759" s="247"/>
      <c r="J759" s="247"/>
      <c r="K759" s="248">
        <f>ROUND(K758,-1)</f>
        <v>1142530</v>
      </c>
    </row>
    <row r="760" spans="1:11" ht="14.1" customHeight="1" x14ac:dyDescent="0.25">
      <c r="A760" s="215">
        <v>53</v>
      </c>
      <c r="B760" s="651" t="s">
        <v>713</v>
      </c>
      <c r="C760" s="652"/>
      <c r="D760" s="216" t="s">
        <v>1072</v>
      </c>
      <c r="E760" s="217"/>
      <c r="F760" s="218"/>
      <c r="G760" s="218"/>
      <c r="H760" s="219"/>
      <c r="I760" s="220"/>
      <c r="J760" s="221"/>
      <c r="K760" s="222"/>
    </row>
    <row r="761" spans="1:11" ht="13.2" customHeight="1" x14ac:dyDescent="0.25">
      <c r="A761" s="223"/>
      <c r="B761" s="224" t="s">
        <v>4</v>
      </c>
      <c r="C761" s="225" t="s">
        <v>980</v>
      </c>
      <c r="D761" s="226"/>
      <c r="E761" s="44"/>
      <c r="F761" s="227"/>
      <c r="G761" s="227"/>
      <c r="H761" s="228" t="s">
        <v>235</v>
      </c>
      <c r="I761" s="263">
        <v>1</v>
      </c>
      <c r="J761" s="60">
        <f>J753</f>
        <v>800000</v>
      </c>
      <c r="K761" s="230">
        <f>I761*J761</f>
        <v>800000</v>
      </c>
    </row>
    <row r="762" spans="1:11" ht="13.2" customHeight="1" x14ac:dyDescent="0.25">
      <c r="A762" s="223"/>
      <c r="B762" s="224" t="s">
        <v>30</v>
      </c>
      <c r="C762" s="225" t="s">
        <v>840</v>
      </c>
      <c r="D762" s="226"/>
      <c r="E762" s="44"/>
      <c r="F762" s="227"/>
      <c r="G762" s="227"/>
      <c r="H762" s="228" t="s">
        <v>203</v>
      </c>
      <c r="I762" s="253">
        <v>1</v>
      </c>
      <c r="J762" s="60">
        <f>'Harga Satuan Dasar mat'!G20</f>
        <v>85000</v>
      </c>
      <c r="K762" s="230">
        <f>I762*J762</f>
        <v>85000</v>
      </c>
    </row>
    <row r="763" spans="1:11" ht="13.2" customHeight="1" x14ac:dyDescent="0.25">
      <c r="A763" s="223"/>
      <c r="B763" s="224" t="s">
        <v>57</v>
      </c>
      <c r="C763" s="225" t="s">
        <v>979</v>
      </c>
      <c r="D763" s="226"/>
      <c r="E763" s="44"/>
      <c r="F763" s="227"/>
      <c r="G763" s="227"/>
      <c r="H763" s="228" t="s">
        <v>203</v>
      </c>
      <c r="I763" s="253">
        <v>7</v>
      </c>
      <c r="J763" s="60">
        <f>J755</f>
        <v>14000</v>
      </c>
      <c r="K763" s="230">
        <f>I763*J763</f>
        <v>98000</v>
      </c>
    </row>
    <row r="764" spans="1:11" ht="12.9" customHeight="1" x14ac:dyDescent="0.25">
      <c r="A764" s="58"/>
      <c r="B764" s="231"/>
      <c r="C764" s="232"/>
      <c r="D764" s="232"/>
      <c r="E764" s="232"/>
      <c r="F764" s="232"/>
      <c r="G764" s="233"/>
      <c r="H764" s="234" t="s">
        <v>715</v>
      </c>
      <c r="I764" s="235"/>
      <c r="J764" s="235"/>
      <c r="K764" s="236">
        <f>SUM(K761:K763)</f>
        <v>983000</v>
      </c>
    </row>
    <row r="765" spans="1:11" ht="12.9" customHeight="1" x14ac:dyDescent="0.25">
      <c r="A765" s="58"/>
      <c r="B765" s="59"/>
      <c r="C765" s="56"/>
      <c r="D765" s="56"/>
      <c r="E765" s="56"/>
      <c r="F765" s="56"/>
      <c r="G765" s="237"/>
      <c r="H765" s="238" t="s">
        <v>603</v>
      </c>
      <c r="I765" s="239">
        <f>$K$3</f>
        <v>0.15</v>
      </c>
      <c r="J765" s="240"/>
      <c r="K765" s="241">
        <f>I765*K764</f>
        <v>147450</v>
      </c>
    </row>
    <row r="766" spans="1:11" ht="12.9" customHeight="1" x14ac:dyDescent="0.25">
      <c r="A766" s="58"/>
      <c r="B766" s="59"/>
      <c r="C766" s="56"/>
      <c r="D766" s="56"/>
      <c r="E766" s="56"/>
      <c r="F766" s="56"/>
      <c r="G766" s="237"/>
      <c r="H766" s="238" t="s">
        <v>604</v>
      </c>
      <c r="I766" s="226"/>
      <c r="J766" s="226"/>
      <c r="K766" s="241">
        <f>SUM(K764:K765)</f>
        <v>1130450</v>
      </c>
    </row>
    <row r="767" spans="1:11" ht="12.9" customHeight="1" thickBot="1" x14ac:dyDescent="0.3">
      <c r="A767" s="242"/>
      <c r="B767" s="243"/>
      <c r="C767" s="244"/>
      <c r="D767" s="244"/>
      <c r="E767" s="244"/>
      <c r="F767" s="244"/>
      <c r="G767" s="245"/>
      <c r="H767" s="246" t="s">
        <v>605</v>
      </c>
      <c r="I767" s="247"/>
      <c r="J767" s="247"/>
      <c r="K767" s="248">
        <f>ROUND(K766,-1)</f>
        <v>1130450</v>
      </c>
    </row>
    <row r="768" spans="1:11" ht="14.1" customHeight="1" x14ac:dyDescent="0.25">
      <c r="A768" s="215">
        <v>54</v>
      </c>
      <c r="B768" s="653" t="s">
        <v>713</v>
      </c>
      <c r="C768" s="654"/>
      <c r="D768" s="216" t="s">
        <v>1676</v>
      </c>
      <c r="E768" s="217"/>
      <c r="F768" s="218"/>
      <c r="G768" s="218"/>
      <c r="H768" s="219"/>
      <c r="I768" s="220"/>
      <c r="J768" s="221"/>
      <c r="K768" s="222"/>
    </row>
    <row r="769" spans="1:11" ht="13.2" customHeight="1" x14ac:dyDescent="0.25">
      <c r="A769" s="223"/>
      <c r="B769" s="224" t="s">
        <v>4</v>
      </c>
      <c r="C769" s="225" t="s">
        <v>2008</v>
      </c>
      <c r="D769" s="226"/>
      <c r="E769" s="44"/>
      <c r="F769" s="227"/>
      <c r="G769" s="227"/>
      <c r="H769" s="228" t="s">
        <v>235</v>
      </c>
      <c r="I769" s="263">
        <v>1</v>
      </c>
      <c r="J769" s="60">
        <f>'Harga Satuan Dasar mat'!G304</f>
        <v>500000</v>
      </c>
      <c r="K769" s="230">
        <f t="shared" ref="K769:K772" si="70">I769*J769</f>
        <v>500000</v>
      </c>
    </row>
    <row r="770" spans="1:11" ht="13.2" customHeight="1" x14ac:dyDescent="0.25">
      <c r="A770" s="223"/>
      <c r="B770" s="224" t="s">
        <v>30</v>
      </c>
      <c r="C770" s="225" t="s">
        <v>369</v>
      </c>
      <c r="D770" s="226"/>
      <c r="E770" s="44"/>
      <c r="F770" s="227"/>
      <c r="G770" s="227"/>
      <c r="H770" s="228" t="s">
        <v>203</v>
      </c>
      <c r="I770" s="253">
        <v>2</v>
      </c>
      <c r="J770" s="60">
        <f>'Harga Satuan Dasar mat'!G481</f>
        <v>165000</v>
      </c>
      <c r="K770" s="230">
        <f t="shared" si="70"/>
        <v>330000</v>
      </c>
    </row>
    <row r="771" spans="1:11" ht="13.2" customHeight="1" x14ac:dyDescent="0.25">
      <c r="A771" s="223"/>
      <c r="B771" s="224" t="s">
        <v>57</v>
      </c>
      <c r="C771" s="225" t="s">
        <v>2009</v>
      </c>
      <c r="D771" s="226"/>
      <c r="E771" s="44"/>
      <c r="F771" s="227"/>
      <c r="G771" s="227"/>
      <c r="H771" s="228" t="s">
        <v>203</v>
      </c>
      <c r="I771" s="253">
        <v>2</v>
      </c>
      <c r="J771" s="60">
        <f>'Harga Satuan Dasar mat'!G780</f>
        <v>71200</v>
      </c>
      <c r="K771" s="230">
        <f t="shared" si="70"/>
        <v>142400</v>
      </c>
    </row>
    <row r="772" spans="1:11" ht="13.2" customHeight="1" x14ac:dyDescent="0.25">
      <c r="A772" s="223"/>
      <c r="B772" s="224" t="s">
        <v>83</v>
      </c>
      <c r="C772" s="225" t="s">
        <v>714</v>
      </c>
      <c r="D772" s="226"/>
      <c r="E772" s="44"/>
      <c r="F772" s="227"/>
      <c r="G772" s="227"/>
      <c r="H772" s="228" t="s">
        <v>203</v>
      </c>
      <c r="I772" s="253">
        <v>6</v>
      </c>
      <c r="J772" s="60">
        <f>'Harga Satuan Dasar mat'!G252</f>
        <v>14000</v>
      </c>
      <c r="K772" s="230">
        <f t="shared" si="70"/>
        <v>84000</v>
      </c>
    </row>
    <row r="773" spans="1:11" ht="12.9" customHeight="1" x14ac:dyDescent="0.25">
      <c r="A773" s="58"/>
      <c r="B773" s="231"/>
      <c r="C773" s="232"/>
      <c r="D773" s="232"/>
      <c r="E773" s="232"/>
      <c r="F773" s="232"/>
      <c r="G773" s="233"/>
      <c r="H773" s="234" t="s">
        <v>715</v>
      </c>
      <c r="I773" s="235"/>
      <c r="J773" s="235"/>
      <c r="K773" s="236">
        <f>SUM(K769:K772)</f>
        <v>1056400</v>
      </c>
    </row>
    <row r="774" spans="1:11" ht="12.9" customHeight="1" x14ac:dyDescent="0.25">
      <c r="A774" s="58"/>
      <c r="B774" s="59"/>
      <c r="C774" s="56"/>
      <c r="D774" s="56"/>
      <c r="E774" s="56"/>
      <c r="F774" s="56"/>
      <c r="G774" s="237"/>
      <c r="H774" s="238" t="s">
        <v>603</v>
      </c>
      <c r="I774" s="239">
        <f>$K$3</f>
        <v>0.15</v>
      </c>
      <c r="J774" s="240"/>
      <c r="K774" s="241">
        <f>I774*K773</f>
        <v>158460</v>
      </c>
    </row>
    <row r="775" spans="1:11" ht="12.9" customHeight="1" x14ac:dyDescent="0.25">
      <c r="A775" s="58"/>
      <c r="B775" s="59"/>
      <c r="C775" s="56"/>
      <c r="D775" s="56"/>
      <c r="E775" s="56"/>
      <c r="F775" s="56"/>
      <c r="G775" s="237"/>
      <c r="H775" s="238" t="s">
        <v>604</v>
      </c>
      <c r="I775" s="226"/>
      <c r="J775" s="226"/>
      <c r="K775" s="241">
        <f>SUM(K773:K774)</f>
        <v>1214860</v>
      </c>
    </row>
    <row r="776" spans="1:11" ht="12.9" customHeight="1" thickBot="1" x14ac:dyDescent="0.3">
      <c r="A776" s="242"/>
      <c r="B776" s="243"/>
      <c r="C776" s="244"/>
      <c r="D776" s="244"/>
      <c r="E776" s="244"/>
      <c r="F776" s="244"/>
      <c r="G776" s="245"/>
      <c r="H776" s="246" t="s">
        <v>605</v>
      </c>
      <c r="I776" s="247"/>
      <c r="J776" s="247"/>
      <c r="K776" s="248">
        <f>ROUND(K775,-1)</f>
        <v>1214860</v>
      </c>
    </row>
    <row r="777" spans="1:11" ht="14.1" customHeight="1" x14ac:dyDescent="0.25">
      <c r="A777" s="215">
        <v>55</v>
      </c>
      <c r="B777" s="653" t="s">
        <v>713</v>
      </c>
      <c r="C777" s="654"/>
      <c r="D777" s="216" t="s">
        <v>1677</v>
      </c>
      <c r="E777" s="217"/>
      <c r="F777" s="218"/>
      <c r="G777" s="218"/>
      <c r="H777" s="219"/>
      <c r="I777" s="220"/>
      <c r="J777" s="221"/>
      <c r="K777" s="222"/>
    </row>
    <row r="778" spans="1:11" ht="13.2" customHeight="1" x14ac:dyDescent="0.25">
      <c r="A778" s="223"/>
      <c r="B778" s="224" t="s">
        <v>4</v>
      </c>
      <c r="C778" s="225" t="s">
        <v>2008</v>
      </c>
      <c r="D778" s="226"/>
      <c r="E778" s="44"/>
      <c r="F778" s="227"/>
      <c r="G778" s="227"/>
      <c r="H778" s="228" t="s">
        <v>235</v>
      </c>
      <c r="I778" s="263">
        <v>1</v>
      </c>
      <c r="J778" s="60">
        <f>J769</f>
        <v>500000</v>
      </c>
      <c r="K778" s="230">
        <f t="shared" ref="K778:K781" si="71">I778*J778</f>
        <v>500000</v>
      </c>
    </row>
    <row r="779" spans="1:11" ht="13.2" customHeight="1" x14ac:dyDescent="0.25">
      <c r="A779" s="223"/>
      <c r="B779" s="224" t="s">
        <v>30</v>
      </c>
      <c r="C779" s="225" t="s">
        <v>370</v>
      </c>
      <c r="D779" s="226"/>
      <c r="E779" s="44"/>
      <c r="F779" s="227"/>
      <c r="G779" s="227"/>
      <c r="H779" s="228" t="s">
        <v>203</v>
      </c>
      <c r="I779" s="253">
        <v>2</v>
      </c>
      <c r="J779" s="60">
        <f>'Harga Satuan Dasar mat'!G482</f>
        <v>172000</v>
      </c>
      <c r="K779" s="230">
        <f t="shared" si="71"/>
        <v>344000</v>
      </c>
    </row>
    <row r="780" spans="1:11" ht="13.2" customHeight="1" x14ac:dyDescent="0.25">
      <c r="A780" s="223"/>
      <c r="B780" s="224" t="s">
        <v>57</v>
      </c>
      <c r="C780" s="225" t="s">
        <v>2009</v>
      </c>
      <c r="D780" s="226"/>
      <c r="E780" s="44"/>
      <c r="F780" s="227"/>
      <c r="G780" s="227"/>
      <c r="H780" s="228" t="s">
        <v>203</v>
      </c>
      <c r="I780" s="253">
        <v>2</v>
      </c>
      <c r="J780" s="60">
        <f t="shared" ref="J780:J781" si="72">J771</f>
        <v>71200</v>
      </c>
      <c r="K780" s="230">
        <f t="shared" si="71"/>
        <v>142400</v>
      </c>
    </row>
    <row r="781" spans="1:11" ht="13.2" customHeight="1" x14ac:dyDescent="0.25">
      <c r="A781" s="223"/>
      <c r="B781" s="256" t="s">
        <v>83</v>
      </c>
      <c r="C781" s="225" t="s">
        <v>714</v>
      </c>
      <c r="D781" s="226"/>
      <c r="E781" s="44"/>
      <c r="F781" s="227"/>
      <c r="G781" s="227"/>
      <c r="H781" s="228" t="s">
        <v>203</v>
      </c>
      <c r="I781" s="253">
        <v>6</v>
      </c>
      <c r="J781" s="60">
        <f t="shared" si="72"/>
        <v>14000</v>
      </c>
      <c r="K781" s="230">
        <f t="shared" si="71"/>
        <v>84000</v>
      </c>
    </row>
    <row r="782" spans="1:11" ht="12.9" customHeight="1" x14ac:dyDescent="0.25">
      <c r="A782" s="58"/>
      <c r="B782" s="231"/>
      <c r="C782" s="232"/>
      <c r="D782" s="232"/>
      <c r="E782" s="232"/>
      <c r="F782" s="232"/>
      <c r="G782" s="233"/>
      <c r="H782" s="234" t="s">
        <v>715</v>
      </c>
      <c r="I782" s="235"/>
      <c r="J782" s="235"/>
      <c r="K782" s="236">
        <f>SUM(K778:K781)</f>
        <v>1070400</v>
      </c>
    </row>
    <row r="783" spans="1:11" ht="12.9" customHeight="1" x14ac:dyDescent="0.25">
      <c r="A783" s="58"/>
      <c r="B783" s="59"/>
      <c r="C783" s="56"/>
      <c r="D783" s="56"/>
      <c r="E783" s="56"/>
      <c r="F783" s="56"/>
      <c r="G783" s="237"/>
      <c r="H783" s="238" t="s">
        <v>603</v>
      </c>
      <c r="I783" s="239">
        <f>$K$3</f>
        <v>0.15</v>
      </c>
      <c r="J783" s="240"/>
      <c r="K783" s="241">
        <f>I783*K782</f>
        <v>160560</v>
      </c>
    </row>
    <row r="784" spans="1:11" ht="12.9" customHeight="1" x14ac:dyDescent="0.25">
      <c r="A784" s="58"/>
      <c r="B784" s="59"/>
      <c r="C784" s="56"/>
      <c r="D784" s="56"/>
      <c r="E784" s="56"/>
      <c r="F784" s="56"/>
      <c r="G784" s="237"/>
      <c r="H784" s="238" t="s">
        <v>604</v>
      </c>
      <c r="I784" s="226"/>
      <c r="J784" s="226"/>
      <c r="K784" s="241">
        <f>SUM(K782:K783)</f>
        <v>1230960</v>
      </c>
    </row>
    <row r="785" spans="1:11" ht="12.9" customHeight="1" thickBot="1" x14ac:dyDescent="0.3">
      <c r="A785" s="242"/>
      <c r="B785" s="243"/>
      <c r="C785" s="244"/>
      <c r="D785" s="244"/>
      <c r="E785" s="244"/>
      <c r="F785" s="244"/>
      <c r="G785" s="245"/>
      <c r="H785" s="246" t="s">
        <v>605</v>
      </c>
      <c r="I785" s="247"/>
      <c r="J785" s="247"/>
      <c r="K785" s="248">
        <f>ROUND(K784,-1)</f>
        <v>1230960</v>
      </c>
    </row>
    <row r="786" spans="1:11" ht="14.1" customHeight="1" x14ac:dyDescent="0.25">
      <c r="A786" s="215">
        <v>56</v>
      </c>
      <c r="B786" s="653" t="s">
        <v>713</v>
      </c>
      <c r="C786" s="654"/>
      <c r="D786" s="216" t="s">
        <v>1678</v>
      </c>
      <c r="E786" s="217"/>
      <c r="F786" s="218"/>
      <c r="G786" s="218"/>
      <c r="H786" s="219"/>
      <c r="I786" s="220"/>
      <c r="J786" s="221"/>
      <c r="K786" s="222"/>
    </row>
    <row r="787" spans="1:11" ht="13.2" customHeight="1" x14ac:dyDescent="0.25">
      <c r="A787" s="223"/>
      <c r="B787" s="224" t="s">
        <v>4</v>
      </c>
      <c r="C787" s="225" t="s">
        <v>2008</v>
      </c>
      <c r="D787" s="226"/>
      <c r="E787" s="44"/>
      <c r="F787" s="227"/>
      <c r="G787" s="227"/>
      <c r="H787" s="228" t="s">
        <v>235</v>
      </c>
      <c r="I787" s="263">
        <v>1</v>
      </c>
      <c r="J787" s="60">
        <f>J778</f>
        <v>500000</v>
      </c>
      <c r="K787" s="230">
        <f t="shared" ref="K787:K790" si="73">I787*J787</f>
        <v>500000</v>
      </c>
    </row>
    <row r="788" spans="1:11" ht="13.2" customHeight="1" x14ac:dyDescent="0.25">
      <c r="A788" s="223"/>
      <c r="B788" s="224" t="s">
        <v>30</v>
      </c>
      <c r="C788" s="225" t="s">
        <v>366</v>
      </c>
      <c r="D788" s="226"/>
      <c r="E788" s="44"/>
      <c r="F788" s="227"/>
      <c r="G788" s="227"/>
      <c r="H788" s="228" t="s">
        <v>203</v>
      </c>
      <c r="I788" s="253">
        <v>2</v>
      </c>
      <c r="J788" s="60">
        <f>'Harga Satuan Dasar mat'!G478</f>
        <v>142000</v>
      </c>
      <c r="K788" s="230">
        <f t="shared" si="73"/>
        <v>284000</v>
      </c>
    </row>
    <row r="789" spans="1:11" ht="13.2" customHeight="1" x14ac:dyDescent="0.25">
      <c r="A789" s="223"/>
      <c r="B789" s="224" t="s">
        <v>57</v>
      </c>
      <c r="C789" s="225" t="s">
        <v>2009</v>
      </c>
      <c r="D789" s="226"/>
      <c r="E789" s="44"/>
      <c r="F789" s="227"/>
      <c r="G789" s="227"/>
      <c r="H789" s="228" t="s">
        <v>203</v>
      </c>
      <c r="I789" s="253">
        <v>2</v>
      </c>
      <c r="J789" s="60">
        <f t="shared" ref="J789:J790" si="74">J780</f>
        <v>71200</v>
      </c>
      <c r="K789" s="230">
        <f t="shared" si="73"/>
        <v>142400</v>
      </c>
    </row>
    <row r="790" spans="1:11" ht="13.2" customHeight="1" x14ac:dyDescent="0.25">
      <c r="A790" s="223"/>
      <c r="B790" s="256" t="s">
        <v>83</v>
      </c>
      <c r="C790" s="274" t="s">
        <v>714</v>
      </c>
      <c r="D790" s="275"/>
      <c r="E790" s="276"/>
      <c r="F790" s="277"/>
      <c r="G790" s="277"/>
      <c r="H790" s="278" t="s">
        <v>203</v>
      </c>
      <c r="I790" s="279">
        <v>6</v>
      </c>
      <c r="J790" s="60">
        <f t="shared" si="74"/>
        <v>14000</v>
      </c>
      <c r="K790" s="280">
        <f t="shared" si="73"/>
        <v>84000</v>
      </c>
    </row>
    <row r="791" spans="1:11" ht="12.9" customHeight="1" x14ac:dyDescent="0.25">
      <c r="A791" s="58"/>
      <c r="B791" s="231"/>
      <c r="C791" s="232"/>
      <c r="D791" s="232"/>
      <c r="E791" s="232"/>
      <c r="F791" s="232"/>
      <c r="G791" s="233"/>
      <c r="H791" s="234" t="s">
        <v>715</v>
      </c>
      <c r="I791" s="235"/>
      <c r="J791" s="235"/>
      <c r="K791" s="236">
        <f>SUM(K787:K790)</f>
        <v>1010400</v>
      </c>
    </row>
    <row r="792" spans="1:11" ht="12.9" customHeight="1" x14ac:dyDescent="0.25">
      <c r="A792" s="58"/>
      <c r="B792" s="59"/>
      <c r="C792" s="56"/>
      <c r="D792" s="56"/>
      <c r="E792" s="56"/>
      <c r="F792" s="56"/>
      <c r="G792" s="237"/>
      <c r="H792" s="238" t="s">
        <v>603</v>
      </c>
      <c r="I792" s="239">
        <f>$K$3</f>
        <v>0.15</v>
      </c>
      <c r="J792" s="240"/>
      <c r="K792" s="241">
        <f>I792*K791</f>
        <v>151560</v>
      </c>
    </row>
    <row r="793" spans="1:11" ht="12.9" customHeight="1" x14ac:dyDescent="0.25">
      <c r="A793" s="58"/>
      <c r="B793" s="59"/>
      <c r="C793" s="56"/>
      <c r="D793" s="56"/>
      <c r="E793" s="56"/>
      <c r="F793" s="56"/>
      <c r="G793" s="237"/>
      <c r="H793" s="238" t="s">
        <v>604</v>
      </c>
      <c r="I793" s="226"/>
      <c r="J793" s="226"/>
      <c r="K793" s="241">
        <f>SUM(K791:K792)</f>
        <v>1161960</v>
      </c>
    </row>
    <row r="794" spans="1:11" ht="12.9" customHeight="1" thickBot="1" x14ac:dyDescent="0.3">
      <c r="A794" s="242"/>
      <c r="B794" s="243"/>
      <c r="C794" s="244"/>
      <c r="D794" s="244"/>
      <c r="E794" s="244"/>
      <c r="F794" s="244"/>
      <c r="G794" s="245"/>
      <c r="H794" s="246" t="s">
        <v>605</v>
      </c>
      <c r="I794" s="247"/>
      <c r="J794" s="247"/>
      <c r="K794" s="248">
        <f>ROUND(K793,-1)</f>
        <v>1161960</v>
      </c>
    </row>
    <row r="795" spans="1:11" ht="14.1" customHeight="1" x14ac:dyDescent="0.25">
      <c r="A795" s="215">
        <v>57</v>
      </c>
      <c r="B795" s="653" t="s">
        <v>713</v>
      </c>
      <c r="C795" s="654"/>
      <c r="D795" s="216" t="s">
        <v>1682</v>
      </c>
      <c r="E795" s="217"/>
      <c r="F795" s="218"/>
      <c r="G795" s="218"/>
      <c r="H795" s="219"/>
      <c r="I795" s="220"/>
      <c r="J795" s="221"/>
      <c r="K795" s="222"/>
    </row>
    <row r="796" spans="1:11" ht="13.2" customHeight="1" x14ac:dyDescent="0.25">
      <c r="A796" s="223"/>
      <c r="B796" s="224" t="s">
        <v>4</v>
      </c>
      <c r="C796" s="225" t="s">
        <v>1672</v>
      </c>
      <c r="D796" s="226"/>
      <c r="E796" s="44"/>
      <c r="F796" s="227"/>
      <c r="G796" s="227"/>
      <c r="H796" s="228" t="s">
        <v>235</v>
      </c>
      <c r="I796" s="263">
        <v>1</v>
      </c>
      <c r="J796" s="60">
        <f>J787</f>
        <v>500000</v>
      </c>
      <c r="K796" s="230">
        <f t="shared" ref="K796:K799" si="75">I796*J796</f>
        <v>500000</v>
      </c>
    </row>
    <row r="797" spans="1:11" ht="13.2" customHeight="1" x14ac:dyDescent="0.25">
      <c r="A797" s="223"/>
      <c r="B797" s="224" t="s">
        <v>30</v>
      </c>
      <c r="C797" s="225" t="s">
        <v>364</v>
      </c>
      <c r="D797" s="226"/>
      <c r="E797" s="44"/>
      <c r="F797" s="227"/>
      <c r="G797" s="227"/>
      <c r="H797" s="228" t="s">
        <v>203</v>
      </c>
      <c r="I797" s="253">
        <v>2</v>
      </c>
      <c r="J797" s="60">
        <f>'Harga Satuan Dasar mat'!G476</f>
        <v>127000</v>
      </c>
      <c r="K797" s="230">
        <f t="shared" si="75"/>
        <v>254000</v>
      </c>
    </row>
    <row r="798" spans="1:11" ht="13.2" customHeight="1" x14ac:dyDescent="0.25">
      <c r="A798" s="223"/>
      <c r="B798" s="224" t="s">
        <v>57</v>
      </c>
      <c r="C798" s="225" t="s">
        <v>2009</v>
      </c>
      <c r="D798" s="226"/>
      <c r="E798" s="44"/>
      <c r="F798" s="227"/>
      <c r="G798" s="227"/>
      <c r="H798" s="228" t="s">
        <v>203</v>
      </c>
      <c r="I798" s="253">
        <v>2</v>
      </c>
      <c r="J798" s="60">
        <f t="shared" ref="J798:J799" si="76">J789</f>
        <v>71200</v>
      </c>
      <c r="K798" s="230">
        <f t="shared" si="75"/>
        <v>142400</v>
      </c>
    </row>
    <row r="799" spans="1:11" ht="13.2" customHeight="1" x14ac:dyDescent="0.25">
      <c r="A799" s="223"/>
      <c r="B799" s="256" t="s">
        <v>83</v>
      </c>
      <c r="C799" s="274" t="s">
        <v>714</v>
      </c>
      <c r="D799" s="275"/>
      <c r="E799" s="276"/>
      <c r="F799" s="277"/>
      <c r="G799" s="277"/>
      <c r="H799" s="278" t="s">
        <v>203</v>
      </c>
      <c r="I799" s="279">
        <v>6</v>
      </c>
      <c r="J799" s="60">
        <f t="shared" si="76"/>
        <v>14000</v>
      </c>
      <c r="K799" s="280">
        <f t="shared" si="75"/>
        <v>84000</v>
      </c>
    </row>
    <row r="800" spans="1:11" ht="12.9" customHeight="1" x14ac:dyDescent="0.25">
      <c r="A800" s="58"/>
      <c r="B800" s="231"/>
      <c r="C800" s="232"/>
      <c r="D800" s="232"/>
      <c r="E800" s="232"/>
      <c r="F800" s="232"/>
      <c r="G800" s="233"/>
      <c r="H800" s="234" t="s">
        <v>715</v>
      </c>
      <c r="I800" s="235"/>
      <c r="J800" s="235"/>
      <c r="K800" s="236">
        <f>SUM(K796:K799)</f>
        <v>980400</v>
      </c>
    </row>
    <row r="801" spans="1:11" ht="12.9" customHeight="1" x14ac:dyDescent="0.25">
      <c r="A801" s="58"/>
      <c r="B801" s="59"/>
      <c r="C801" s="56"/>
      <c r="D801" s="56"/>
      <c r="E801" s="56"/>
      <c r="F801" s="56"/>
      <c r="G801" s="237"/>
      <c r="H801" s="238" t="s">
        <v>603</v>
      </c>
      <c r="I801" s="239">
        <f>$K$3</f>
        <v>0.15</v>
      </c>
      <c r="J801" s="240"/>
      <c r="K801" s="241">
        <f>I801*K800</f>
        <v>147060</v>
      </c>
    </row>
    <row r="802" spans="1:11" ht="12.9" customHeight="1" x14ac:dyDescent="0.25">
      <c r="A802" s="58"/>
      <c r="B802" s="59"/>
      <c r="C802" s="56"/>
      <c r="D802" s="56"/>
      <c r="E802" s="56"/>
      <c r="F802" s="56"/>
      <c r="G802" s="237"/>
      <c r="H802" s="238" t="s">
        <v>604</v>
      </c>
      <c r="I802" s="226"/>
      <c r="J802" s="226"/>
      <c r="K802" s="241">
        <f>SUM(K800:K801)</f>
        <v>1127460</v>
      </c>
    </row>
    <row r="803" spans="1:11" ht="12.9" customHeight="1" thickBot="1" x14ac:dyDescent="0.3">
      <c r="A803" s="242"/>
      <c r="B803" s="243"/>
      <c r="C803" s="244"/>
      <c r="D803" s="244"/>
      <c r="E803" s="244"/>
      <c r="F803" s="244"/>
      <c r="G803" s="245"/>
      <c r="H803" s="246" t="s">
        <v>605</v>
      </c>
      <c r="I803" s="247"/>
      <c r="J803" s="247"/>
      <c r="K803" s="248">
        <f>ROUND(K802,-1)</f>
        <v>1127460</v>
      </c>
    </row>
    <row r="804" spans="1:11" ht="14.1" customHeight="1" x14ac:dyDescent="0.25">
      <c r="A804" s="215">
        <v>58</v>
      </c>
      <c r="B804" s="651" t="s">
        <v>713</v>
      </c>
      <c r="C804" s="652"/>
      <c r="D804" s="216" t="s">
        <v>1460</v>
      </c>
      <c r="E804" s="217"/>
      <c r="F804" s="218"/>
      <c r="G804" s="218"/>
      <c r="H804" s="219"/>
      <c r="I804" s="220"/>
      <c r="J804" s="221"/>
      <c r="K804" s="222"/>
    </row>
    <row r="805" spans="1:11" ht="13.2" customHeight="1" x14ac:dyDescent="0.25">
      <c r="A805" s="223"/>
      <c r="B805" s="224" t="s">
        <v>4</v>
      </c>
      <c r="C805" s="281" t="s">
        <v>1459</v>
      </c>
      <c r="D805" s="226"/>
      <c r="E805" s="44"/>
      <c r="F805" s="227"/>
      <c r="G805" s="227"/>
      <c r="H805" s="228" t="s">
        <v>203</v>
      </c>
      <c r="I805" s="263">
        <v>1</v>
      </c>
      <c r="J805" s="60">
        <f>'Harga Satuan Dasar mat'!G60</f>
        <v>214500</v>
      </c>
      <c r="K805" s="230">
        <f>I805*J805</f>
        <v>214500</v>
      </c>
    </row>
    <row r="806" spans="1:11" ht="13.2" customHeight="1" x14ac:dyDescent="0.25">
      <c r="A806" s="223"/>
      <c r="B806" s="224" t="s">
        <v>30</v>
      </c>
      <c r="C806" s="225" t="s">
        <v>1615</v>
      </c>
      <c r="D806" s="226"/>
      <c r="E806" s="44"/>
      <c r="F806" s="227"/>
      <c r="G806" s="227"/>
      <c r="H806" s="228" t="s">
        <v>264</v>
      </c>
      <c r="I806" s="263">
        <v>1</v>
      </c>
      <c r="J806" s="60">
        <f>'Harga Satuan Dasar mat'!G567</f>
        <v>11500</v>
      </c>
      <c r="K806" s="230">
        <f t="shared" ref="K806:K807" si="77">I806*J806</f>
        <v>11500</v>
      </c>
    </row>
    <row r="807" spans="1:11" ht="13.2" customHeight="1" x14ac:dyDescent="0.25">
      <c r="A807" s="223"/>
      <c r="B807" s="224" t="s">
        <v>57</v>
      </c>
      <c r="C807" s="225" t="s">
        <v>1281</v>
      </c>
      <c r="D807" s="226"/>
      <c r="E807" s="44"/>
      <c r="F807" s="227"/>
      <c r="G807" s="227"/>
      <c r="H807" s="228" t="s">
        <v>203</v>
      </c>
      <c r="I807" s="253">
        <v>2</v>
      </c>
      <c r="J807" s="60">
        <f>J763</f>
        <v>14000</v>
      </c>
      <c r="K807" s="230">
        <f t="shared" si="77"/>
        <v>28000</v>
      </c>
    </row>
    <row r="808" spans="1:11" ht="12.9" customHeight="1" x14ac:dyDescent="0.25">
      <c r="A808" s="58"/>
      <c r="B808" s="231"/>
      <c r="C808" s="232"/>
      <c r="D808" s="232"/>
      <c r="E808" s="232"/>
      <c r="F808" s="232"/>
      <c r="G808" s="233"/>
      <c r="H808" s="234" t="s">
        <v>715</v>
      </c>
      <c r="I808" s="235"/>
      <c r="J808" s="235"/>
      <c r="K808" s="236">
        <f>SUM(K805:K807)</f>
        <v>254000</v>
      </c>
    </row>
    <row r="809" spans="1:11" ht="12.9" customHeight="1" x14ac:dyDescent="0.25">
      <c r="A809" s="58"/>
      <c r="B809" s="59"/>
      <c r="C809" s="56"/>
      <c r="D809" s="56"/>
      <c r="E809" s="56"/>
      <c r="F809" s="56"/>
      <c r="G809" s="237"/>
      <c r="H809" s="238" t="s">
        <v>603</v>
      </c>
      <c r="I809" s="239">
        <f>I774</f>
        <v>0.15</v>
      </c>
      <c r="J809" s="240"/>
      <c r="K809" s="241">
        <f>I809*K808</f>
        <v>38100</v>
      </c>
    </row>
    <row r="810" spans="1:11" ht="12.9" customHeight="1" x14ac:dyDescent="0.25">
      <c r="A810" s="58"/>
      <c r="B810" s="59"/>
      <c r="C810" s="56"/>
      <c r="D810" s="56"/>
      <c r="E810" s="56"/>
      <c r="F810" s="56"/>
      <c r="G810" s="237"/>
      <c r="H810" s="238" t="s">
        <v>604</v>
      </c>
      <c r="I810" s="226"/>
      <c r="J810" s="226"/>
      <c r="K810" s="241">
        <f>SUM(K808:K809)</f>
        <v>292100</v>
      </c>
    </row>
    <row r="811" spans="1:11" ht="12.9" customHeight="1" thickBot="1" x14ac:dyDescent="0.3">
      <c r="A811" s="242"/>
      <c r="B811" s="243"/>
      <c r="C811" s="244"/>
      <c r="D811" s="244"/>
      <c r="E811" s="244"/>
      <c r="F811" s="244"/>
      <c r="G811" s="245"/>
      <c r="H811" s="246" t="s">
        <v>605</v>
      </c>
      <c r="I811" s="247"/>
      <c r="J811" s="247"/>
      <c r="K811" s="248">
        <f>ROUND(K810,-1)</f>
        <v>292100</v>
      </c>
    </row>
    <row r="812" spans="1:11" ht="14.1" customHeight="1" x14ac:dyDescent="0.25">
      <c r="A812" s="215">
        <v>59</v>
      </c>
      <c r="B812" s="651" t="s">
        <v>713</v>
      </c>
      <c r="C812" s="652"/>
      <c r="D812" s="216" t="s">
        <v>1462</v>
      </c>
      <c r="E812" s="217"/>
      <c r="F812" s="218"/>
      <c r="G812" s="218"/>
      <c r="H812" s="219"/>
      <c r="I812" s="220"/>
      <c r="J812" s="221"/>
      <c r="K812" s="222"/>
    </row>
    <row r="813" spans="1:11" ht="13.2" customHeight="1" x14ac:dyDescent="0.25">
      <c r="A813" s="223"/>
      <c r="B813" s="224" t="s">
        <v>4</v>
      </c>
      <c r="C813" s="281" t="s">
        <v>1461</v>
      </c>
      <c r="D813" s="226"/>
      <c r="E813" s="44"/>
      <c r="F813" s="227"/>
      <c r="G813" s="227"/>
      <c r="H813" s="228" t="s">
        <v>203</v>
      </c>
      <c r="I813" s="263">
        <v>1</v>
      </c>
      <c r="J813" s="60">
        <f>'Harga Satuan Dasar mat'!G56</f>
        <v>185000</v>
      </c>
      <c r="K813" s="230">
        <f>I813*J813</f>
        <v>185000</v>
      </c>
    </row>
    <row r="814" spans="1:11" ht="13.2" customHeight="1" x14ac:dyDescent="0.25">
      <c r="A814" s="223"/>
      <c r="B814" s="224" t="s">
        <v>30</v>
      </c>
      <c r="C814" s="225" t="s">
        <v>429</v>
      </c>
      <c r="D814" s="226"/>
      <c r="E814" s="44"/>
      <c r="F814" s="227"/>
      <c r="G814" s="227"/>
      <c r="H814" s="228" t="s">
        <v>235</v>
      </c>
      <c r="I814" s="253">
        <v>1</v>
      </c>
      <c r="J814" s="60">
        <f t="shared" ref="J814:J815" si="78">J806</f>
        <v>11500</v>
      </c>
      <c r="K814" s="230">
        <f t="shared" ref="K814:K815" si="79">I814*J814</f>
        <v>11500</v>
      </c>
    </row>
    <row r="815" spans="1:11" ht="13.2" customHeight="1" x14ac:dyDescent="0.25">
      <c r="A815" s="223"/>
      <c r="B815" s="224" t="s">
        <v>57</v>
      </c>
      <c r="C815" s="225" t="s">
        <v>1281</v>
      </c>
      <c r="D815" s="226"/>
      <c r="E815" s="44"/>
      <c r="F815" s="227"/>
      <c r="G815" s="227"/>
      <c r="H815" s="228" t="s">
        <v>203</v>
      </c>
      <c r="I815" s="253">
        <v>2</v>
      </c>
      <c r="J815" s="60">
        <f t="shared" si="78"/>
        <v>14000</v>
      </c>
      <c r="K815" s="230">
        <f t="shared" si="79"/>
        <v>28000</v>
      </c>
    </row>
    <row r="816" spans="1:11" ht="12.9" customHeight="1" x14ac:dyDescent="0.25">
      <c r="A816" s="58"/>
      <c r="B816" s="231"/>
      <c r="C816" s="232"/>
      <c r="D816" s="232"/>
      <c r="E816" s="232"/>
      <c r="F816" s="232"/>
      <c r="G816" s="233"/>
      <c r="H816" s="234" t="s">
        <v>715</v>
      </c>
      <c r="I816" s="235"/>
      <c r="J816" s="235"/>
      <c r="K816" s="236">
        <f>SUM(K813:K815)</f>
        <v>224500</v>
      </c>
    </row>
    <row r="817" spans="1:11" ht="12.9" customHeight="1" x14ac:dyDescent="0.25">
      <c r="A817" s="58"/>
      <c r="B817" s="59"/>
      <c r="C817" s="56"/>
      <c r="D817" s="56"/>
      <c r="E817" s="56"/>
      <c r="F817" s="56"/>
      <c r="G817" s="237"/>
      <c r="H817" s="238" t="s">
        <v>603</v>
      </c>
      <c r="I817" s="239">
        <f>I809</f>
        <v>0.15</v>
      </c>
      <c r="J817" s="240"/>
      <c r="K817" s="241">
        <f>I817*K816</f>
        <v>33675</v>
      </c>
    </row>
    <row r="818" spans="1:11" ht="12.9" customHeight="1" x14ac:dyDescent="0.25">
      <c r="A818" s="58"/>
      <c r="B818" s="59"/>
      <c r="C818" s="56"/>
      <c r="D818" s="56"/>
      <c r="E818" s="56"/>
      <c r="F818" s="56"/>
      <c r="G818" s="237"/>
      <c r="H818" s="238" t="s">
        <v>604</v>
      </c>
      <c r="I818" s="226"/>
      <c r="J818" s="226"/>
      <c r="K818" s="241">
        <f>SUM(K816:K817)</f>
        <v>258175</v>
      </c>
    </row>
    <row r="819" spans="1:11" ht="12.9" customHeight="1" thickBot="1" x14ac:dyDescent="0.3">
      <c r="A819" s="242"/>
      <c r="B819" s="243"/>
      <c r="C819" s="244"/>
      <c r="D819" s="244"/>
      <c r="E819" s="244"/>
      <c r="F819" s="244"/>
      <c r="G819" s="245"/>
      <c r="H819" s="246" t="s">
        <v>605</v>
      </c>
      <c r="I819" s="247"/>
      <c r="J819" s="247"/>
      <c r="K819" s="248">
        <f>ROUND(K818,-1)</f>
        <v>258180</v>
      </c>
    </row>
    <row r="820" spans="1:11" ht="14.1" customHeight="1" x14ac:dyDescent="0.25">
      <c r="A820" s="215">
        <v>60</v>
      </c>
      <c r="B820" s="651" t="s">
        <v>713</v>
      </c>
      <c r="C820" s="652"/>
      <c r="D820" s="216" t="s">
        <v>1458</v>
      </c>
      <c r="E820" s="217"/>
      <c r="F820" s="218"/>
      <c r="G820" s="218"/>
      <c r="H820" s="219"/>
      <c r="I820" s="220"/>
      <c r="J820" s="221"/>
      <c r="K820" s="222"/>
    </row>
    <row r="821" spans="1:11" ht="13.2" customHeight="1" x14ac:dyDescent="0.25">
      <c r="A821" s="223"/>
      <c r="B821" s="224" t="s">
        <v>4</v>
      </c>
      <c r="C821" s="281" t="s">
        <v>1463</v>
      </c>
      <c r="D821" s="226"/>
      <c r="E821" s="44"/>
      <c r="F821" s="227"/>
      <c r="G821" s="227"/>
      <c r="H821" s="228" t="s">
        <v>203</v>
      </c>
      <c r="I821" s="263">
        <v>1</v>
      </c>
      <c r="J821" s="60">
        <f>'Harga Satuan Dasar mat'!G52</f>
        <v>157500</v>
      </c>
      <c r="K821" s="230">
        <f>I821*J821</f>
        <v>157500</v>
      </c>
    </row>
    <row r="822" spans="1:11" ht="13.2" customHeight="1" x14ac:dyDescent="0.25">
      <c r="A822" s="223"/>
      <c r="B822" s="224" t="s">
        <v>30</v>
      </c>
      <c r="C822" s="225" t="s">
        <v>429</v>
      </c>
      <c r="D822" s="226"/>
      <c r="E822" s="44"/>
      <c r="F822" s="227"/>
      <c r="G822" s="227"/>
      <c r="H822" s="228" t="s">
        <v>235</v>
      </c>
      <c r="I822" s="253">
        <v>1</v>
      </c>
      <c r="J822" s="60">
        <f t="shared" ref="J822:J823" si="80">J814</f>
        <v>11500</v>
      </c>
      <c r="K822" s="230">
        <f t="shared" ref="K822:K823" si="81">I822*J822</f>
        <v>11500</v>
      </c>
    </row>
    <row r="823" spans="1:11" ht="13.2" customHeight="1" x14ac:dyDescent="0.25">
      <c r="A823" s="223"/>
      <c r="B823" s="224" t="s">
        <v>57</v>
      </c>
      <c r="C823" s="225" t="s">
        <v>1281</v>
      </c>
      <c r="D823" s="226"/>
      <c r="E823" s="44"/>
      <c r="F823" s="227"/>
      <c r="G823" s="227"/>
      <c r="H823" s="228" t="s">
        <v>203</v>
      </c>
      <c r="I823" s="253">
        <v>2</v>
      </c>
      <c r="J823" s="60">
        <f t="shared" si="80"/>
        <v>14000</v>
      </c>
      <c r="K823" s="230">
        <f t="shared" si="81"/>
        <v>28000</v>
      </c>
    </row>
    <row r="824" spans="1:11" ht="12.9" customHeight="1" x14ac:dyDescent="0.25">
      <c r="A824" s="58"/>
      <c r="B824" s="231"/>
      <c r="C824" s="232"/>
      <c r="D824" s="232"/>
      <c r="E824" s="232"/>
      <c r="F824" s="232"/>
      <c r="G824" s="233"/>
      <c r="H824" s="234" t="s">
        <v>715</v>
      </c>
      <c r="I824" s="235"/>
      <c r="J824" s="235"/>
      <c r="K824" s="236">
        <f>SUM(K821:K823)</f>
        <v>197000</v>
      </c>
    </row>
    <row r="825" spans="1:11" ht="12.9" customHeight="1" x14ac:dyDescent="0.25">
      <c r="A825" s="58"/>
      <c r="B825" s="59"/>
      <c r="C825" s="56"/>
      <c r="D825" s="56"/>
      <c r="E825" s="56"/>
      <c r="F825" s="56"/>
      <c r="G825" s="237"/>
      <c r="H825" s="238" t="s">
        <v>603</v>
      </c>
      <c r="I825" s="239">
        <f>I817</f>
        <v>0.15</v>
      </c>
      <c r="J825" s="240"/>
      <c r="K825" s="241">
        <f>I825*K824</f>
        <v>29550</v>
      </c>
    </row>
    <row r="826" spans="1:11" ht="12.9" customHeight="1" x14ac:dyDescent="0.25">
      <c r="A826" s="58"/>
      <c r="B826" s="59"/>
      <c r="C826" s="56"/>
      <c r="D826" s="56"/>
      <c r="E826" s="56"/>
      <c r="F826" s="56"/>
      <c r="G826" s="237"/>
      <c r="H826" s="238" t="s">
        <v>604</v>
      </c>
      <c r="I826" s="226"/>
      <c r="J826" s="226"/>
      <c r="K826" s="241">
        <f>SUM(K824:K825)</f>
        <v>226550</v>
      </c>
    </row>
    <row r="827" spans="1:11" ht="12.9" customHeight="1" thickBot="1" x14ac:dyDescent="0.3">
      <c r="A827" s="242"/>
      <c r="B827" s="243"/>
      <c r="C827" s="244"/>
      <c r="D827" s="244"/>
      <c r="E827" s="244"/>
      <c r="F827" s="244"/>
      <c r="G827" s="245"/>
      <c r="H827" s="246" t="s">
        <v>605</v>
      </c>
      <c r="I827" s="247"/>
      <c r="J827" s="247"/>
      <c r="K827" s="248">
        <f>ROUND(K826,-1)</f>
        <v>226550</v>
      </c>
    </row>
    <row r="828" spans="1:11" ht="14.1" customHeight="1" x14ac:dyDescent="0.25">
      <c r="A828" s="215">
        <v>61</v>
      </c>
      <c r="B828" s="651" t="s">
        <v>713</v>
      </c>
      <c r="C828" s="652"/>
      <c r="D828" s="216" t="s">
        <v>1617</v>
      </c>
      <c r="E828" s="217"/>
      <c r="F828" s="218"/>
      <c r="G828" s="218"/>
      <c r="H828" s="219"/>
      <c r="I828" s="220"/>
      <c r="J828" s="221"/>
      <c r="K828" s="222"/>
    </row>
    <row r="829" spans="1:11" ht="13.2" customHeight="1" x14ac:dyDescent="0.25">
      <c r="A829" s="223"/>
      <c r="B829" s="224" t="s">
        <v>4</v>
      </c>
      <c r="C829" s="281" t="s">
        <v>1618</v>
      </c>
      <c r="D829" s="226"/>
      <c r="E829" s="44"/>
      <c r="F829" s="227"/>
      <c r="G829" s="227"/>
      <c r="H829" s="228" t="s">
        <v>203</v>
      </c>
      <c r="I829" s="263">
        <v>1</v>
      </c>
      <c r="J829" s="60">
        <f>'Harga Satuan Dasar mat'!G85</f>
        <v>246500</v>
      </c>
      <c r="K829" s="230">
        <f>I829*J829</f>
        <v>246500</v>
      </c>
    </row>
    <row r="830" spans="1:11" ht="13.2" customHeight="1" x14ac:dyDescent="0.25">
      <c r="A830" s="223"/>
      <c r="B830" s="224" t="s">
        <v>30</v>
      </c>
      <c r="C830" s="225" t="s">
        <v>1630</v>
      </c>
      <c r="D830" s="226"/>
      <c r="E830" s="44"/>
      <c r="F830" s="227"/>
      <c r="G830" s="227"/>
      <c r="H830" s="228" t="s">
        <v>203</v>
      </c>
      <c r="I830" s="263">
        <v>1</v>
      </c>
      <c r="J830" s="60">
        <f>'Harga Satuan Dasar mat'!G751</f>
        <v>59400</v>
      </c>
      <c r="K830" s="230">
        <f t="shared" ref="K830:K831" si="82">I830*J830</f>
        <v>59400</v>
      </c>
    </row>
    <row r="831" spans="1:11" ht="13.2" customHeight="1" x14ac:dyDescent="0.25">
      <c r="A831" s="223"/>
      <c r="B831" s="224" t="s">
        <v>57</v>
      </c>
      <c r="C831" s="225" t="s">
        <v>1281</v>
      </c>
      <c r="D831" s="226"/>
      <c r="E831" s="44"/>
      <c r="F831" s="227"/>
      <c r="G831" s="227"/>
      <c r="H831" s="228" t="s">
        <v>203</v>
      </c>
      <c r="I831" s="253">
        <v>3</v>
      </c>
      <c r="J831" s="60">
        <f>J823</f>
        <v>14000</v>
      </c>
      <c r="K831" s="230">
        <f t="shared" si="82"/>
        <v>42000</v>
      </c>
    </row>
    <row r="832" spans="1:11" ht="12.9" customHeight="1" x14ac:dyDescent="0.25">
      <c r="A832" s="58"/>
      <c r="B832" s="231"/>
      <c r="C832" s="232"/>
      <c r="D832" s="232"/>
      <c r="E832" s="232"/>
      <c r="F832" s="232"/>
      <c r="G832" s="233"/>
      <c r="H832" s="234" t="s">
        <v>715</v>
      </c>
      <c r="I832" s="235"/>
      <c r="J832" s="235"/>
      <c r="K832" s="236">
        <f>SUM(K829:K831)</f>
        <v>347900</v>
      </c>
    </row>
    <row r="833" spans="1:11" ht="12.9" customHeight="1" x14ac:dyDescent="0.25">
      <c r="A833" s="58"/>
      <c r="B833" s="59"/>
      <c r="C833" s="56"/>
      <c r="D833" s="56"/>
      <c r="E833" s="56"/>
      <c r="F833" s="56"/>
      <c r="G833" s="237"/>
      <c r="H833" s="238" t="s">
        <v>603</v>
      </c>
      <c r="I833" s="239">
        <f>I825</f>
        <v>0.15</v>
      </c>
      <c r="J833" s="240"/>
      <c r="K833" s="241">
        <f>I833*K832</f>
        <v>52185</v>
      </c>
    </row>
    <row r="834" spans="1:11" ht="12.9" customHeight="1" x14ac:dyDescent="0.25">
      <c r="A834" s="58"/>
      <c r="B834" s="59"/>
      <c r="C834" s="56"/>
      <c r="D834" s="56"/>
      <c r="E834" s="56"/>
      <c r="F834" s="56"/>
      <c r="G834" s="237"/>
      <c r="H834" s="238" t="s">
        <v>604</v>
      </c>
      <c r="I834" s="226"/>
      <c r="J834" s="226"/>
      <c r="K834" s="241">
        <f>SUM(K832:K833)</f>
        <v>400085</v>
      </c>
    </row>
    <row r="835" spans="1:11" ht="12.9" customHeight="1" thickBot="1" x14ac:dyDescent="0.3">
      <c r="A835" s="242"/>
      <c r="B835" s="243"/>
      <c r="C835" s="244"/>
      <c r="D835" s="244"/>
      <c r="E835" s="244"/>
      <c r="F835" s="244"/>
      <c r="G835" s="245"/>
      <c r="H835" s="246" t="s">
        <v>605</v>
      </c>
      <c r="I835" s="247"/>
      <c r="J835" s="247"/>
      <c r="K835" s="248">
        <f>ROUND(K834,-1)</f>
        <v>400090</v>
      </c>
    </row>
    <row r="836" spans="1:11" ht="14.1" customHeight="1" x14ac:dyDescent="0.25">
      <c r="A836" s="215">
        <v>62</v>
      </c>
      <c r="B836" s="651" t="s">
        <v>713</v>
      </c>
      <c r="C836" s="652"/>
      <c r="D836" s="216" t="s">
        <v>1619</v>
      </c>
      <c r="E836" s="217"/>
      <c r="F836" s="218"/>
      <c r="G836" s="218"/>
      <c r="H836" s="219"/>
      <c r="I836" s="220"/>
      <c r="J836" s="221"/>
      <c r="K836" s="222"/>
    </row>
    <row r="837" spans="1:11" ht="13.2" customHeight="1" x14ac:dyDescent="0.25">
      <c r="A837" s="223"/>
      <c r="B837" s="224" t="s">
        <v>4</v>
      </c>
      <c r="C837" s="281" t="s">
        <v>1620</v>
      </c>
      <c r="D837" s="226"/>
      <c r="E837" s="44"/>
      <c r="F837" s="227"/>
      <c r="G837" s="227"/>
      <c r="H837" s="228" t="s">
        <v>203</v>
      </c>
      <c r="I837" s="263">
        <v>1</v>
      </c>
      <c r="J837" s="60">
        <f>'Harga Satuan Dasar mat'!G82</f>
        <v>221000</v>
      </c>
      <c r="K837" s="230">
        <f>I837*J837</f>
        <v>221000</v>
      </c>
    </row>
    <row r="838" spans="1:11" ht="13.2" customHeight="1" x14ac:dyDescent="0.25">
      <c r="A838" s="223"/>
      <c r="B838" s="224" t="s">
        <v>30</v>
      </c>
      <c r="C838" s="225" t="s">
        <v>1630</v>
      </c>
      <c r="D838" s="226"/>
      <c r="E838" s="44"/>
      <c r="F838" s="227"/>
      <c r="G838" s="227"/>
      <c r="H838" s="228" t="s">
        <v>203</v>
      </c>
      <c r="I838" s="263">
        <v>1</v>
      </c>
      <c r="J838" s="60">
        <f t="shared" ref="J838:J839" si="83">J830</f>
        <v>59400</v>
      </c>
      <c r="K838" s="230">
        <f t="shared" ref="K838:K839" si="84">I838*J838</f>
        <v>59400</v>
      </c>
    </row>
    <row r="839" spans="1:11" ht="13.2" customHeight="1" x14ac:dyDescent="0.25">
      <c r="A839" s="223"/>
      <c r="B839" s="224" t="s">
        <v>57</v>
      </c>
      <c r="C839" s="225" t="s">
        <v>1281</v>
      </c>
      <c r="D839" s="226"/>
      <c r="E839" s="44"/>
      <c r="F839" s="227"/>
      <c r="G839" s="227"/>
      <c r="H839" s="228" t="s">
        <v>203</v>
      </c>
      <c r="I839" s="253">
        <v>3</v>
      </c>
      <c r="J839" s="60">
        <f t="shared" si="83"/>
        <v>14000</v>
      </c>
      <c r="K839" s="230">
        <f t="shared" si="84"/>
        <v>42000</v>
      </c>
    </row>
    <row r="840" spans="1:11" ht="12.9" customHeight="1" x14ac:dyDescent="0.25">
      <c r="A840" s="58"/>
      <c r="B840" s="231"/>
      <c r="C840" s="232"/>
      <c r="D840" s="232"/>
      <c r="E840" s="232"/>
      <c r="F840" s="232"/>
      <c r="G840" s="233"/>
      <c r="H840" s="234" t="s">
        <v>715</v>
      </c>
      <c r="I840" s="235"/>
      <c r="J840" s="235"/>
      <c r="K840" s="236">
        <f>SUM(K837:K839)</f>
        <v>322400</v>
      </c>
    </row>
    <row r="841" spans="1:11" ht="12.9" customHeight="1" x14ac:dyDescent="0.25">
      <c r="A841" s="58"/>
      <c r="B841" s="59"/>
      <c r="C841" s="56"/>
      <c r="D841" s="56"/>
      <c r="E841" s="56"/>
      <c r="F841" s="56"/>
      <c r="G841" s="237"/>
      <c r="H841" s="238" t="s">
        <v>603</v>
      </c>
      <c r="I841" s="239">
        <f>I833</f>
        <v>0.15</v>
      </c>
      <c r="J841" s="240"/>
      <c r="K841" s="241">
        <f>I841*K840</f>
        <v>48360</v>
      </c>
    </row>
    <row r="842" spans="1:11" ht="12.9" customHeight="1" x14ac:dyDescent="0.25">
      <c r="A842" s="58"/>
      <c r="B842" s="59"/>
      <c r="C842" s="56"/>
      <c r="D842" s="56"/>
      <c r="E842" s="56"/>
      <c r="F842" s="56"/>
      <c r="G842" s="237"/>
      <c r="H842" s="238" t="s">
        <v>604</v>
      </c>
      <c r="I842" s="226"/>
      <c r="J842" s="226"/>
      <c r="K842" s="241">
        <f>SUM(K840:K841)</f>
        <v>370760</v>
      </c>
    </row>
    <row r="843" spans="1:11" ht="12.9" customHeight="1" thickBot="1" x14ac:dyDescent="0.3">
      <c r="A843" s="242"/>
      <c r="B843" s="243"/>
      <c r="C843" s="244"/>
      <c r="D843" s="244"/>
      <c r="E843" s="244"/>
      <c r="F843" s="244"/>
      <c r="G843" s="245"/>
      <c r="H843" s="246" t="s">
        <v>605</v>
      </c>
      <c r="I843" s="247"/>
      <c r="J843" s="247"/>
      <c r="K843" s="248">
        <f>ROUND(K842,-1)</f>
        <v>370760</v>
      </c>
    </row>
    <row r="844" spans="1:11" ht="14.1" customHeight="1" x14ac:dyDescent="0.25">
      <c r="A844" s="215">
        <v>63</v>
      </c>
      <c r="B844" s="651" t="s">
        <v>713</v>
      </c>
      <c r="C844" s="652"/>
      <c r="D844" s="216" t="s">
        <v>1623</v>
      </c>
      <c r="E844" s="217"/>
      <c r="F844" s="218"/>
      <c r="G844" s="218"/>
      <c r="H844" s="219"/>
      <c r="I844" s="220"/>
      <c r="J844" s="221"/>
      <c r="K844" s="222"/>
    </row>
    <row r="845" spans="1:11" ht="13.2" customHeight="1" x14ac:dyDescent="0.25">
      <c r="A845" s="223"/>
      <c r="B845" s="224" t="s">
        <v>4</v>
      </c>
      <c r="C845" s="281" t="s">
        <v>1622</v>
      </c>
      <c r="D845" s="226"/>
      <c r="E845" s="44"/>
      <c r="F845" s="227"/>
      <c r="G845" s="227"/>
      <c r="H845" s="228" t="s">
        <v>203</v>
      </c>
      <c r="I845" s="263">
        <v>1</v>
      </c>
      <c r="J845" s="60">
        <f>'Harga Satuan Dasar mat'!G78</f>
        <v>189500</v>
      </c>
      <c r="K845" s="230">
        <f>I845*J845</f>
        <v>189500</v>
      </c>
    </row>
    <row r="846" spans="1:11" ht="13.2" customHeight="1" x14ac:dyDescent="0.25">
      <c r="A846" s="223"/>
      <c r="B846" s="224" t="s">
        <v>30</v>
      </c>
      <c r="C846" s="225" t="s">
        <v>1630</v>
      </c>
      <c r="D846" s="226"/>
      <c r="E846" s="44"/>
      <c r="F846" s="227"/>
      <c r="G846" s="227"/>
      <c r="H846" s="228" t="s">
        <v>203</v>
      </c>
      <c r="I846" s="263">
        <v>1</v>
      </c>
      <c r="J846" s="60">
        <f t="shared" ref="J846:J847" si="85">J838</f>
        <v>59400</v>
      </c>
      <c r="K846" s="230">
        <f t="shared" ref="K846:K847" si="86">I846*J846</f>
        <v>59400</v>
      </c>
    </row>
    <row r="847" spans="1:11" ht="13.2" customHeight="1" x14ac:dyDescent="0.25">
      <c r="A847" s="223"/>
      <c r="B847" s="224" t="s">
        <v>57</v>
      </c>
      <c r="C847" s="225" t="s">
        <v>1281</v>
      </c>
      <c r="D847" s="226"/>
      <c r="E847" s="44"/>
      <c r="F847" s="227"/>
      <c r="G847" s="227"/>
      <c r="H847" s="228" t="s">
        <v>203</v>
      </c>
      <c r="I847" s="253">
        <v>3</v>
      </c>
      <c r="J847" s="60">
        <f t="shared" si="85"/>
        <v>14000</v>
      </c>
      <c r="K847" s="230">
        <f t="shared" si="86"/>
        <v>42000</v>
      </c>
    </row>
    <row r="848" spans="1:11" ht="12.9" customHeight="1" x14ac:dyDescent="0.25">
      <c r="A848" s="58"/>
      <c r="B848" s="231"/>
      <c r="C848" s="232"/>
      <c r="D848" s="232"/>
      <c r="E848" s="232"/>
      <c r="F848" s="232"/>
      <c r="G848" s="233"/>
      <c r="H848" s="234" t="s">
        <v>715</v>
      </c>
      <c r="I848" s="235"/>
      <c r="J848" s="235"/>
      <c r="K848" s="236">
        <f>SUM(K845:K847)</f>
        <v>290900</v>
      </c>
    </row>
    <row r="849" spans="1:11" ht="12.9" customHeight="1" x14ac:dyDescent="0.25">
      <c r="A849" s="58"/>
      <c r="B849" s="59"/>
      <c r="C849" s="56"/>
      <c r="D849" s="56"/>
      <c r="E849" s="56"/>
      <c r="F849" s="56"/>
      <c r="G849" s="237"/>
      <c r="H849" s="238" t="s">
        <v>603</v>
      </c>
      <c r="I849" s="239">
        <f>I841</f>
        <v>0.15</v>
      </c>
      <c r="J849" s="240"/>
      <c r="K849" s="241">
        <f>I849*K848</f>
        <v>43635</v>
      </c>
    </row>
    <row r="850" spans="1:11" ht="12.9" customHeight="1" x14ac:dyDescent="0.25">
      <c r="A850" s="58"/>
      <c r="B850" s="59"/>
      <c r="C850" s="56"/>
      <c r="D850" s="56"/>
      <c r="E850" s="56"/>
      <c r="F850" s="56"/>
      <c r="G850" s="237"/>
      <c r="H850" s="238" t="s">
        <v>604</v>
      </c>
      <c r="I850" s="226"/>
      <c r="J850" s="226"/>
      <c r="K850" s="241">
        <f>SUM(K848:K849)</f>
        <v>334535</v>
      </c>
    </row>
    <row r="851" spans="1:11" ht="12.9" customHeight="1" thickBot="1" x14ac:dyDescent="0.3">
      <c r="A851" s="242"/>
      <c r="B851" s="243"/>
      <c r="C851" s="244"/>
      <c r="D851" s="244"/>
      <c r="E851" s="244"/>
      <c r="F851" s="244"/>
      <c r="G851" s="245"/>
      <c r="H851" s="246" t="s">
        <v>605</v>
      </c>
      <c r="I851" s="247"/>
      <c r="J851" s="247"/>
      <c r="K851" s="248">
        <f>ROUND(K850,-1)</f>
        <v>334540</v>
      </c>
    </row>
    <row r="852" spans="1:11" ht="14.1" customHeight="1" x14ac:dyDescent="0.25">
      <c r="A852" s="215">
        <v>64</v>
      </c>
      <c r="B852" s="651" t="s">
        <v>713</v>
      </c>
      <c r="C852" s="652"/>
      <c r="D852" s="216" t="s">
        <v>1624</v>
      </c>
      <c r="E852" s="217"/>
      <c r="F852" s="218"/>
      <c r="G852" s="218"/>
      <c r="H852" s="219"/>
      <c r="I852" s="220"/>
      <c r="J852" s="221"/>
      <c r="K852" s="222"/>
    </row>
    <row r="853" spans="1:11" ht="13.2" customHeight="1" x14ac:dyDescent="0.25">
      <c r="A853" s="223"/>
      <c r="B853" s="224" t="s">
        <v>4</v>
      </c>
      <c r="C853" s="281" t="s">
        <v>1625</v>
      </c>
      <c r="D853" s="226"/>
      <c r="E853" s="44"/>
      <c r="F853" s="227"/>
      <c r="G853" s="227"/>
      <c r="H853" s="228" t="s">
        <v>203</v>
      </c>
      <c r="I853" s="263">
        <v>1</v>
      </c>
      <c r="J853" s="60">
        <f>'Harga Satuan Dasar mat'!G76</f>
        <v>173000</v>
      </c>
      <c r="K853" s="230">
        <f>I853*J853</f>
        <v>173000</v>
      </c>
    </row>
    <row r="854" spans="1:11" ht="13.2" customHeight="1" x14ac:dyDescent="0.25">
      <c r="A854" s="223"/>
      <c r="B854" s="224" t="s">
        <v>30</v>
      </c>
      <c r="C854" s="225" t="s">
        <v>1630</v>
      </c>
      <c r="D854" s="226"/>
      <c r="E854" s="44"/>
      <c r="F854" s="227"/>
      <c r="G854" s="227"/>
      <c r="H854" s="228" t="s">
        <v>203</v>
      </c>
      <c r="I854" s="263">
        <v>1</v>
      </c>
      <c r="J854" s="60">
        <f t="shared" ref="J854:J855" si="87">J846</f>
        <v>59400</v>
      </c>
      <c r="K854" s="230">
        <f t="shared" ref="K854:K855" si="88">I854*J854</f>
        <v>59400</v>
      </c>
    </row>
    <row r="855" spans="1:11" ht="13.2" customHeight="1" x14ac:dyDescent="0.25">
      <c r="A855" s="223"/>
      <c r="B855" s="224" t="s">
        <v>57</v>
      </c>
      <c r="C855" s="225" t="s">
        <v>1281</v>
      </c>
      <c r="D855" s="226"/>
      <c r="E855" s="44"/>
      <c r="F855" s="227"/>
      <c r="G855" s="227"/>
      <c r="H855" s="228" t="s">
        <v>203</v>
      </c>
      <c r="I855" s="253">
        <v>3</v>
      </c>
      <c r="J855" s="60">
        <f t="shared" si="87"/>
        <v>14000</v>
      </c>
      <c r="K855" s="230">
        <f t="shared" si="88"/>
        <v>42000</v>
      </c>
    </row>
    <row r="856" spans="1:11" ht="12.9" customHeight="1" x14ac:dyDescent="0.25">
      <c r="A856" s="58"/>
      <c r="B856" s="231"/>
      <c r="C856" s="232"/>
      <c r="D856" s="232"/>
      <c r="E856" s="232"/>
      <c r="F856" s="232"/>
      <c r="G856" s="233"/>
      <c r="H856" s="234" t="s">
        <v>715</v>
      </c>
      <c r="I856" s="235"/>
      <c r="J856" s="235"/>
      <c r="K856" s="236">
        <f>SUM(K853:K855)</f>
        <v>274400</v>
      </c>
    </row>
    <row r="857" spans="1:11" ht="12.9" customHeight="1" x14ac:dyDescent="0.25">
      <c r="A857" s="58"/>
      <c r="B857" s="59"/>
      <c r="C857" s="56"/>
      <c r="D857" s="56"/>
      <c r="E857" s="56"/>
      <c r="F857" s="56"/>
      <c r="G857" s="237"/>
      <c r="H857" s="238" t="s">
        <v>603</v>
      </c>
      <c r="I857" s="239">
        <f>I849</f>
        <v>0.15</v>
      </c>
      <c r="J857" s="240"/>
      <c r="K857" s="241">
        <f>I857*K856</f>
        <v>41160</v>
      </c>
    </row>
    <row r="858" spans="1:11" ht="12.9" customHeight="1" x14ac:dyDescent="0.25">
      <c r="A858" s="58"/>
      <c r="B858" s="59"/>
      <c r="C858" s="56"/>
      <c r="D858" s="56"/>
      <c r="E858" s="56"/>
      <c r="F858" s="56"/>
      <c r="G858" s="237"/>
      <c r="H858" s="238" t="s">
        <v>604</v>
      </c>
      <c r="I858" s="226"/>
      <c r="J858" s="226"/>
      <c r="K858" s="241">
        <f>SUM(K856:K857)</f>
        <v>315560</v>
      </c>
    </row>
    <row r="859" spans="1:11" ht="12.9" customHeight="1" thickBot="1" x14ac:dyDescent="0.3">
      <c r="A859" s="242"/>
      <c r="B859" s="243"/>
      <c r="C859" s="244"/>
      <c r="D859" s="244"/>
      <c r="E859" s="244"/>
      <c r="F859" s="244"/>
      <c r="G859" s="245"/>
      <c r="H859" s="246" t="s">
        <v>605</v>
      </c>
      <c r="I859" s="247"/>
      <c r="J859" s="247"/>
      <c r="K859" s="248">
        <f>ROUND(K858,-1)</f>
        <v>315560</v>
      </c>
    </row>
    <row r="860" spans="1:11" ht="14.1" customHeight="1" x14ac:dyDescent="0.25">
      <c r="A860" s="215">
        <v>65</v>
      </c>
      <c r="B860" s="651" t="s">
        <v>713</v>
      </c>
      <c r="C860" s="652"/>
      <c r="D860" s="216" t="s">
        <v>1656</v>
      </c>
      <c r="E860" s="217"/>
      <c r="F860" s="218"/>
      <c r="G860" s="218"/>
      <c r="H860" s="219"/>
      <c r="I860" s="220"/>
      <c r="J860" s="221"/>
      <c r="K860" s="222"/>
    </row>
    <row r="861" spans="1:11" ht="13.2" customHeight="1" x14ac:dyDescent="0.25">
      <c r="A861" s="223"/>
      <c r="B861" s="224" t="s">
        <v>4</v>
      </c>
      <c r="C861" s="225" t="s">
        <v>1657</v>
      </c>
      <c r="D861" s="226"/>
      <c r="E861" s="44"/>
      <c r="F861" s="227"/>
      <c r="G861" s="227"/>
      <c r="H861" s="228" t="s">
        <v>235</v>
      </c>
      <c r="I861" s="263">
        <v>1</v>
      </c>
      <c r="J861" s="60">
        <f>'Harga Satuan Dasar mat'!G322</f>
        <v>454000</v>
      </c>
      <c r="K861" s="230">
        <f>I861*J861</f>
        <v>454000</v>
      </c>
    </row>
    <row r="862" spans="1:11" ht="13.2" customHeight="1" x14ac:dyDescent="0.25">
      <c r="A862" s="223"/>
      <c r="B862" s="224" t="s">
        <v>30</v>
      </c>
      <c r="C862" s="225" t="s">
        <v>370</v>
      </c>
      <c r="D862" s="226"/>
      <c r="E862" s="44"/>
      <c r="F862" s="227"/>
      <c r="G862" s="227"/>
      <c r="H862" s="228" t="s">
        <v>203</v>
      </c>
      <c r="I862" s="253">
        <v>1</v>
      </c>
      <c r="J862" s="60">
        <f>'Harga Satuan Dasar mat'!G482</f>
        <v>172000</v>
      </c>
      <c r="K862" s="230">
        <f>I862*J862</f>
        <v>172000</v>
      </c>
    </row>
    <row r="863" spans="1:11" ht="13.2" customHeight="1" x14ac:dyDescent="0.25">
      <c r="A863" s="223"/>
      <c r="B863" s="224" t="s">
        <v>57</v>
      </c>
      <c r="C863" s="225" t="s">
        <v>1655</v>
      </c>
      <c r="D863" s="226"/>
      <c r="E863" s="44"/>
      <c r="F863" s="227"/>
      <c r="G863" s="227"/>
      <c r="H863" s="228" t="s">
        <v>203</v>
      </c>
      <c r="I863" s="253">
        <v>6</v>
      </c>
      <c r="J863" s="60">
        <f>J855</f>
        <v>14000</v>
      </c>
      <c r="K863" s="230">
        <f>I863*J863</f>
        <v>84000</v>
      </c>
    </row>
    <row r="864" spans="1:11" ht="12.9" customHeight="1" x14ac:dyDescent="0.25">
      <c r="A864" s="58"/>
      <c r="B864" s="231"/>
      <c r="C864" s="232"/>
      <c r="D864" s="232"/>
      <c r="E864" s="232"/>
      <c r="F864" s="232"/>
      <c r="G864" s="233"/>
      <c r="H864" s="234" t="s">
        <v>715</v>
      </c>
      <c r="I864" s="235"/>
      <c r="J864" s="235"/>
      <c r="K864" s="236">
        <f>SUM(K861:K863)</f>
        <v>710000</v>
      </c>
    </row>
    <row r="865" spans="1:11" ht="12.9" customHeight="1" x14ac:dyDescent="0.25">
      <c r="A865" s="58"/>
      <c r="B865" s="59"/>
      <c r="C865" s="56"/>
      <c r="D865" s="56"/>
      <c r="E865" s="56"/>
      <c r="F865" s="56"/>
      <c r="G865" s="237"/>
      <c r="H865" s="238" t="s">
        <v>603</v>
      </c>
      <c r="I865" s="239">
        <f>$K$3</f>
        <v>0.15</v>
      </c>
      <c r="J865" s="240"/>
      <c r="K865" s="241">
        <f>I865*K864</f>
        <v>106500</v>
      </c>
    </row>
    <row r="866" spans="1:11" ht="12.9" customHeight="1" x14ac:dyDescent="0.25">
      <c r="A866" s="58"/>
      <c r="B866" s="59"/>
      <c r="C866" s="56"/>
      <c r="D866" s="56"/>
      <c r="E866" s="56"/>
      <c r="F866" s="56"/>
      <c r="G866" s="237"/>
      <c r="H866" s="238" t="s">
        <v>604</v>
      </c>
      <c r="I866" s="226"/>
      <c r="J866" s="226"/>
      <c r="K866" s="241">
        <f>SUM(K864:K865)</f>
        <v>816500</v>
      </c>
    </row>
    <row r="867" spans="1:11" ht="12.9" customHeight="1" thickBot="1" x14ac:dyDescent="0.3">
      <c r="A867" s="242"/>
      <c r="B867" s="243"/>
      <c r="C867" s="244"/>
      <c r="D867" s="244"/>
      <c r="E867" s="244"/>
      <c r="F867" s="244"/>
      <c r="G867" s="245"/>
      <c r="H867" s="246" t="s">
        <v>605</v>
      </c>
      <c r="I867" s="247"/>
      <c r="J867" s="247"/>
      <c r="K867" s="248">
        <f>ROUND(K866,-1)</f>
        <v>816500</v>
      </c>
    </row>
    <row r="868" spans="1:11" ht="14.1" customHeight="1" x14ac:dyDescent="0.25">
      <c r="A868" s="215">
        <v>66</v>
      </c>
      <c r="B868" s="651" t="s">
        <v>713</v>
      </c>
      <c r="C868" s="652"/>
      <c r="D868" s="216" t="s">
        <v>1211</v>
      </c>
      <c r="E868" s="217"/>
      <c r="F868" s="218"/>
      <c r="G868" s="218"/>
      <c r="H868" s="219"/>
      <c r="I868" s="220"/>
      <c r="J868" s="221"/>
      <c r="K868" s="222"/>
    </row>
    <row r="869" spans="1:11" ht="13.2" customHeight="1" x14ac:dyDescent="0.25">
      <c r="A869" s="223"/>
      <c r="B869" s="224" t="s">
        <v>4</v>
      </c>
      <c r="C869" s="281" t="s">
        <v>1658</v>
      </c>
      <c r="D869" s="226"/>
      <c r="E869" s="44"/>
      <c r="F869" s="227"/>
      <c r="G869" s="227"/>
      <c r="H869" s="228" t="s">
        <v>235</v>
      </c>
      <c r="I869" s="263">
        <v>2</v>
      </c>
      <c r="J869" s="60">
        <f>'Harga Satuan Dasar mat'!G147</f>
        <v>800000</v>
      </c>
      <c r="K869" s="230">
        <f>I869*J869</f>
        <v>1600000</v>
      </c>
    </row>
    <row r="870" spans="1:11" ht="13.2" customHeight="1" x14ac:dyDescent="0.25">
      <c r="A870" s="223"/>
      <c r="B870" s="224" t="s">
        <v>30</v>
      </c>
      <c r="C870" s="225" t="s">
        <v>1659</v>
      </c>
      <c r="D870" s="226"/>
      <c r="E870" s="44"/>
      <c r="F870" s="227"/>
      <c r="G870" s="227"/>
      <c r="H870" s="228" t="s">
        <v>203</v>
      </c>
      <c r="I870" s="263">
        <v>2</v>
      </c>
      <c r="J870" s="60">
        <f>'Harga Satuan Dasar mat'!G51</f>
        <v>150000</v>
      </c>
      <c r="K870" s="230">
        <f t="shared" ref="K870:K871" si="89">I870*J870</f>
        <v>300000</v>
      </c>
    </row>
    <row r="871" spans="1:11" ht="13.2" customHeight="1" x14ac:dyDescent="0.25">
      <c r="A871" s="223"/>
      <c r="B871" s="224" t="s">
        <v>57</v>
      </c>
      <c r="C871" s="225" t="s">
        <v>1281</v>
      </c>
      <c r="D871" s="226"/>
      <c r="E871" s="44"/>
      <c r="F871" s="227"/>
      <c r="G871" s="227"/>
      <c r="H871" s="228" t="s">
        <v>203</v>
      </c>
      <c r="I871" s="253">
        <v>4</v>
      </c>
      <c r="J871" s="60">
        <f>J863</f>
        <v>14000</v>
      </c>
      <c r="K871" s="230">
        <f t="shared" si="89"/>
        <v>56000</v>
      </c>
    </row>
    <row r="872" spans="1:11" ht="12.9" customHeight="1" x14ac:dyDescent="0.25">
      <c r="A872" s="58"/>
      <c r="B872" s="231"/>
      <c r="C872" s="232"/>
      <c r="D872" s="232"/>
      <c r="E872" s="232"/>
      <c r="F872" s="232"/>
      <c r="G872" s="233"/>
      <c r="H872" s="234" t="s">
        <v>715</v>
      </c>
      <c r="I872" s="235"/>
      <c r="J872" s="235"/>
      <c r="K872" s="236">
        <f>SUM(K869:K871)</f>
        <v>1956000</v>
      </c>
    </row>
    <row r="873" spans="1:11" ht="12.9" customHeight="1" x14ac:dyDescent="0.25">
      <c r="A873" s="58"/>
      <c r="B873" s="59"/>
      <c r="C873" s="56"/>
      <c r="D873" s="56"/>
      <c r="E873" s="56"/>
      <c r="F873" s="56"/>
      <c r="G873" s="237"/>
      <c r="H873" s="238" t="s">
        <v>603</v>
      </c>
      <c r="I873" s="239">
        <f>$K$3</f>
        <v>0.15</v>
      </c>
      <c r="J873" s="240"/>
      <c r="K873" s="241">
        <f>I873*K872</f>
        <v>293400</v>
      </c>
    </row>
    <row r="874" spans="1:11" ht="12.9" customHeight="1" x14ac:dyDescent="0.25">
      <c r="A874" s="58"/>
      <c r="B874" s="59"/>
      <c r="C874" s="56"/>
      <c r="D874" s="56"/>
      <c r="E874" s="56"/>
      <c r="F874" s="56"/>
      <c r="G874" s="237"/>
      <c r="H874" s="238" t="s">
        <v>604</v>
      </c>
      <c r="I874" s="226"/>
      <c r="J874" s="226"/>
      <c r="K874" s="241">
        <f>SUM(K872:K873)</f>
        <v>2249400</v>
      </c>
    </row>
    <row r="875" spans="1:11" ht="12.9" customHeight="1" thickBot="1" x14ac:dyDescent="0.3">
      <c r="A875" s="242"/>
      <c r="B875" s="243"/>
      <c r="C875" s="244"/>
      <c r="D875" s="244"/>
      <c r="E875" s="244"/>
      <c r="F875" s="244"/>
      <c r="G875" s="245"/>
      <c r="H875" s="246" t="s">
        <v>605</v>
      </c>
      <c r="I875" s="247"/>
      <c r="J875" s="247"/>
      <c r="K875" s="248">
        <f>ROUND(K874,-1)</f>
        <v>2249400</v>
      </c>
    </row>
  </sheetData>
  <mergeCells count="75">
    <mergeCell ref="B768:C768"/>
    <mergeCell ref="B752:C752"/>
    <mergeCell ref="B760:C760"/>
    <mergeCell ref="B651:C651"/>
    <mergeCell ref="B666:C666"/>
    <mergeCell ref="B681:C681"/>
    <mergeCell ref="B736:C736"/>
    <mergeCell ref="B744:C744"/>
    <mergeCell ref="B716:C716"/>
    <mergeCell ref="B726:C726"/>
    <mergeCell ref="B696:C696"/>
    <mergeCell ref="B706:C706"/>
    <mergeCell ref="B636:C636"/>
    <mergeCell ref="B457:C457"/>
    <mergeCell ref="B474:C474"/>
    <mergeCell ref="B491:C491"/>
    <mergeCell ref="B508:C508"/>
    <mergeCell ref="B524:C524"/>
    <mergeCell ref="B540:C540"/>
    <mergeCell ref="B556:C556"/>
    <mergeCell ref="B572:C572"/>
    <mergeCell ref="B588:C588"/>
    <mergeCell ref="B604:C604"/>
    <mergeCell ref="B620:C620"/>
    <mergeCell ref="B440:C440"/>
    <mergeCell ref="B259:C259"/>
    <mergeCell ref="B274:C274"/>
    <mergeCell ref="B289:C289"/>
    <mergeCell ref="B304:C304"/>
    <mergeCell ref="B321:C321"/>
    <mergeCell ref="B338:C338"/>
    <mergeCell ref="B355:C355"/>
    <mergeCell ref="B372:C372"/>
    <mergeCell ref="B389:C389"/>
    <mergeCell ref="B406:C406"/>
    <mergeCell ref="B423:C423"/>
    <mergeCell ref="B244:C244"/>
    <mergeCell ref="B85:C85"/>
    <mergeCell ref="B98:C98"/>
    <mergeCell ref="B111:C111"/>
    <mergeCell ref="B124:C124"/>
    <mergeCell ref="B139:C139"/>
    <mergeCell ref="B154:C154"/>
    <mergeCell ref="B169:C169"/>
    <mergeCell ref="B184:C184"/>
    <mergeCell ref="B199:C199"/>
    <mergeCell ref="B214:C214"/>
    <mergeCell ref="B229:C229"/>
    <mergeCell ref="B72:C72"/>
    <mergeCell ref="A1:K1"/>
    <mergeCell ref="A4:A6"/>
    <mergeCell ref="B4:G6"/>
    <mergeCell ref="H4:H6"/>
    <mergeCell ref="I4:I6"/>
    <mergeCell ref="J4:K4"/>
    <mergeCell ref="J5:J6"/>
    <mergeCell ref="K5:K6"/>
    <mergeCell ref="A2:K2"/>
    <mergeCell ref="B7:C7"/>
    <mergeCell ref="B20:C20"/>
    <mergeCell ref="B33:C33"/>
    <mergeCell ref="B46:C46"/>
    <mergeCell ref="B59:C59"/>
    <mergeCell ref="B860:C860"/>
    <mergeCell ref="B868:C868"/>
    <mergeCell ref="B777:C777"/>
    <mergeCell ref="B786:C786"/>
    <mergeCell ref="B795:C795"/>
    <mergeCell ref="B844:C844"/>
    <mergeCell ref="B852:C852"/>
    <mergeCell ref="B804:C804"/>
    <mergeCell ref="B812:C812"/>
    <mergeCell ref="B820:C820"/>
    <mergeCell ref="B828:C828"/>
    <mergeCell ref="B836:C836"/>
  </mergeCells>
  <pageMargins left="0.39370078740157483" right="0.11811023622047245" top="0.31496062992125984" bottom="0.11811023622047245" header="0.31496062992125984" footer="0.31496062992125984"/>
  <pageSetup paperSize="9" scale="87" orientation="portrait" verticalDpi="0" r:id="rId1"/>
  <rowBreaks count="10" manualBreakCount="10">
    <brk id="138" max="10" man="1"/>
    <brk id="198" max="10" man="1"/>
    <brk id="258" max="10" man="1"/>
    <brk id="320" max="10" man="1"/>
    <brk id="523" max="10" man="1"/>
    <brk id="587" max="10" man="1"/>
    <brk id="650" max="10" man="1"/>
    <brk id="715" max="10" man="1"/>
    <brk id="776" max="10" man="1"/>
    <brk id="84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055C-6F12-418C-A4CF-36411AF1D3DE}">
  <sheetPr>
    <tabColor rgb="FFFFC000"/>
  </sheetPr>
  <dimension ref="A1:K286"/>
  <sheetViews>
    <sheetView topLeftCell="A248" zoomScaleNormal="100" zoomScaleSheetLayoutView="88" workbookViewId="0">
      <selection activeCell="K288" sqref="K288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0.0976562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1441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0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76" t="s">
        <v>713</v>
      </c>
      <c r="C7" s="677"/>
      <c r="D7" s="137" t="s">
        <v>789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969</v>
      </c>
      <c r="D8" s="14"/>
      <c r="E8" s="22"/>
      <c r="F8" s="23"/>
      <c r="G8" s="23"/>
      <c r="H8" s="24" t="s">
        <v>235</v>
      </c>
      <c r="I8" s="41">
        <v>1</v>
      </c>
      <c r="J8" s="25">
        <f>'Harga Satuan Dasar mat'!G147</f>
        <v>800000</v>
      </c>
      <c r="K8" s="26">
        <f t="shared" ref="K8:K14" si="0">I8*J8</f>
        <v>800000</v>
      </c>
    </row>
    <row r="9" spans="1:11" ht="13.2" customHeight="1" x14ac:dyDescent="0.25">
      <c r="A9" s="2"/>
      <c r="B9" s="20" t="s">
        <v>30</v>
      </c>
      <c r="C9" s="21" t="s">
        <v>785</v>
      </c>
      <c r="D9" s="14"/>
      <c r="E9" s="22"/>
      <c r="F9" s="23"/>
      <c r="G9" s="23"/>
      <c r="H9" s="24" t="s">
        <v>203</v>
      </c>
      <c r="I9" s="36">
        <v>1</v>
      </c>
      <c r="J9" s="25">
        <f>'Harga Satuan Dasar mat'!G24</f>
        <v>105500</v>
      </c>
      <c r="K9" s="26">
        <f t="shared" si="0"/>
        <v>105500</v>
      </c>
    </row>
    <row r="10" spans="1:11" ht="13.2" customHeight="1" x14ac:dyDescent="0.25">
      <c r="A10" s="2"/>
      <c r="B10" s="20" t="s">
        <v>57</v>
      </c>
      <c r="C10" s="21" t="s">
        <v>786</v>
      </c>
      <c r="D10" s="14"/>
      <c r="E10" s="22"/>
      <c r="F10" s="23"/>
      <c r="G10" s="23"/>
      <c r="H10" s="24" t="s">
        <v>203</v>
      </c>
      <c r="I10" s="36">
        <v>1</v>
      </c>
      <c r="J10" s="25">
        <f>'Harga Satuan Dasar mat'!G77</f>
        <v>181000</v>
      </c>
      <c r="K10" s="26">
        <f t="shared" si="0"/>
        <v>181000</v>
      </c>
    </row>
    <row r="11" spans="1:11" ht="13.2" customHeight="1" x14ac:dyDescent="0.25">
      <c r="A11" s="2"/>
      <c r="B11" s="20" t="s">
        <v>83</v>
      </c>
      <c r="C11" s="21" t="s">
        <v>808</v>
      </c>
      <c r="D11" s="14"/>
      <c r="E11" s="22"/>
      <c r="F11" s="23"/>
      <c r="G11" s="23"/>
      <c r="H11" s="24" t="s">
        <v>235</v>
      </c>
      <c r="I11" s="36">
        <v>1</v>
      </c>
      <c r="J11" s="25">
        <f>'Harga Satuan Dasar mat'!G203</f>
        <v>283250</v>
      </c>
      <c r="K11" s="26">
        <f t="shared" si="0"/>
        <v>283250</v>
      </c>
    </row>
    <row r="12" spans="1:11" ht="13.2" customHeight="1" x14ac:dyDescent="0.25">
      <c r="A12" s="2"/>
      <c r="B12" s="20" t="s">
        <v>110</v>
      </c>
      <c r="C12" s="21" t="s">
        <v>784</v>
      </c>
      <c r="D12" s="14"/>
      <c r="E12" s="22"/>
      <c r="F12" s="23"/>
      <c r="G12" s="23"/>
      <c r="H12" s="24" t="s">
        <v>203</v>
      </c>
      <c r="I12" s="36">
        <v>2</v>
      </c>
      <c r="J12" s="25">
        <f>'Harga Satuan Dasar mat'!G416</f>
        <v>33500</v>
      </c>
      <c r="K12" s="26">
        <f t="shared" si="0"/>
        <v>67000</v>
      </c>
    </row>
    <row r="13" spans="1:11" ht="13.2" customHeight="1" x14ac:dyDescent="0.25">
      <c r="A13" s="2"/>
      <c r="B13" s="20" t="s">
        <v>137</v>
      </c>
      <c r="C13" s="21" t="s">
        <v>1015</v>
      </c>
      <c r="D13" s="14"/>
      <c r="E13" s="22"/>
      <c r="F13" s="23"/>
      <c r="G13" s="23"/>
      <c r="H13" s="24" t="s">
        <v>203</v>
      </c>
      <c r="I13" s="36">
        <v>5</v>
      </c>
      <c r="J13" s="25">
        <f>'Harga Satuan Dasar mat'!G252</f>
        <v>14000</v>
      </c>
      <c r="K13" s="26">
        <f t="shared" si="0"/>
        <v>70000</v>
      </c>
    </row>
    <row r="14" spans="1:11" ht="13.2" customHeight="1" x14ac:dyDescent="0.25">
      <c r="A14" s="2"/>
      <c r="B14" s="20" t="s">
        <v>156</v>
      </c>
      <c r="C14" s="21" t="s">
        <v>787</v>
      </c>
      <c r="D14" s="14"/>
      <c r="E14" s="22"/>
      <c r="F14" s="23"/>
      <c r="G14" s="23"/>
      <c r="H14" s="24" t="s">
        <v>203</v>
      </c>
      <c r="I14" s="36">
        <v>2</v>
      </c>
      <c r="J14" s="25">
        <f>'Harga Satuan Dasar mat'!G248</f>
        <v>27000</v>
      </c>
      <c r="K14" s="26">
        <f t="shared" si="0"/>
        <v>54000</v>
      </c>
    </row>
    <row r="15" spans="1:11" ht="12.9" customHeight="1" x14ac:dyDescent="0.25">
      <c r="A15" s="6"/>
      <c r="B15" s="7"/>
      <c r="C15" s="8"/>
      <c r="D15" s="8"/>
      <c r="E15" s="8"/>
      <c r="F15" s="8"/>
      <c r="G15" s="9"/>
      <c r="H15" s="10" t="s">
        <v>715</v>
      </c>
      <c r="I15" s="11"/>
      <c r="J15" s="11"/>
      <c r="K15" s="27">
        <f>SUM(K8:K14)</f>
        <v>1560750</v>
      </c>
    </row>
    <row r="16" spans="1:11" ht="12.9" customHeight="1" x14ac:dyDescent="0.25">
      <c r="A16" s="6"/>
      <c r="B16" s="5"/>
      <c r="C16" s="3"/>
      <c r="D16" s="3"/>
      <c r="E16" s="3"/>
      <c r="F16" s="3"/>
      <c r="G16" s="4"/>
      <c r="H16" s="12" t="s">
        <v>603</v>
      </c>
      <c r="I16" s="28">
        <f>$K$3</f>
        <v>0.15</v>
      </c>
      <c r="J16" s="13"/>
      <c r="K16" s="29">
        <f>I16*K15</f>
        <v>234112.5</v>
      </c>
    </row>
    <row r="17" spans="1:11" ht="12.9" customHeight="1" x14ac:dyDescent="0.25">
      <c r="A17" s="6"/>
      <c r="B17" s="5"/>
      <c r="C17" s="3"/>
      <c r="D17" s="3"/>
      <c r="E17" s="3"/>
      <c r="F17" s="3"/>
      <c r="G17" s="4"/>
      <c r="H17" s="12" t="s">
        <v>604</v>
      </c>
      <c r="I17" s="14"/>
      <c r="J17" s="14"/>
      <c r="K17" s="29">
        <f>SUM(K15:K16)</f>
        <v>1794862.5</v>
      </c>
    </row>
    <row r="18" spans="1:11" ht="12.9" customHeight="1" thickBot="1" x14ac:dyDescent="0.3">
      <c r="A18" s="15"/>
      <c r="B18" s="16"/>
      <c r="C18" s="17"/>
      <c r="D18" s="17"/>
      <c r="E18" s="17"/>
      <c r="F18" s="17"/>
      <c r="G18" s="18"/>
      <c r="H18" s="46" t="s">
        <v>605</v>
      </c>
      <c r="I18" s="47"/>
      <c r="J18" s="47"/>
      <c r="K18" s="144">
        <f>ROUND(K17,-1)</f>
        <v>1794860</v>
      </c>
    </row>
    <row r="19" spans="1:11" ht="14.1" customHeight="1" x14ac:dyDescent="0.25">
      <c r="A19" s="81">
        <v>2</v>
      </c>
      <c r="B19" s="676" t="s">
        <v>713</v>
      </c>
      <c r="C19" s="677"/>
      <c r="D19" s="137" t="s">
        <v>791</v>
      </c>
      <c r="E19" s="138"/>
      <c r="F19" s="139"/>
      <c r="G19" s="139"/>
      <c r="H19" s="140"/>
      <c r="I19" s="141"/>
      <c r="J19" s="142"/>
      <c r="K19" s="143"/>
    </row>
    <row r="20" spans="1:11" ht="13.2" customHeight="1" x14ac:dyDescent="0.25">
      <c r="A20" s="2"/>
      <c r="B20" s="20" t="s">
        <v>4</v>
      </c>
      <c r="C20" s="21" t="s">
        <v>969</v>
      </c>
      <c r="D20" s="14"/>
      <c r="E20" s="22"/>
      <c r="F20" s="23"/>
      <c r="G20" s="23"/>
      <c r="H20" s="24" t="s">
        <v>235</v>
      </c>
      <c r="I20" s="41">
        <v>1</v>
      </c>
      <c r="J20" s="25">
        <f>J8</f>
        <v>800000</v>
      </c>
      <c r="K20" s="26">
        <f t="shared" ref="K20:K26" si="1">I20*J20</f>
        <v>800000</v>
      </c>
    </row>
    <row r="21" spans="1:11" ht="13.2" customHeight="1" x14ac:dyDescent="0.25">
      <c r="A21" s="2"/>
      <c r="B21" s="20" t="s">
        <v>30</v>
      </c>
      <c r="C21" s="21" t="s">
        <v>792</v>
      </c>
      <c r="D21" s="14"/>
      <c r="E21" s="22"/>
      <c r="F21" s="23"/>
      <c r="G21" s="23"/>
      <c r="H21" s="24" t="s">
        <v>203</v>
      </c>
      <c r="I21" s="36">
        <v>1</v>
      </c>
      <c r="J21" s="25">
        <f>'Harga Satuan Dasar mat'!G26</f>
        <v>115000</v>
      </c>
      <c r="K21" s="26">
        <f t="shared" si="1"/>
        <v>115000</v>
      </c>
    </row>
    <row r="22" spans="1:11" ht="13.2" customHeight="1" x14ac:dyDescent="0.25">
      <c r="A22" s="2"/>
      <c r="B22" s="20" t="s">
        <v>57</v>
      </c>
      <c r="C22" s="21" t="s">
        <v>793</v>
      </c>
      <c r="D22" s="14"/>
      <c r="E22" s="22"/>
      <c r="F22" s="23"/>
      <c r="G22" s="23"/>
      <c r="H22" s="24" t="s">
        <v>203</v>
      </c>
      <c r="I22" s="36">
        <v>1</v>
      </c>
      <c r="J22" s="25">
        <f>'Harga Satuan Dasar mat'!G78</f>
        <v>189500</v>
      </c>
      <c r="K22" s="26">
        <f t="shared" si="1"/>
        <v>189500</v>
      </c>
    </row>
    <row r="23" spans="1:11" ht="13.2" customHeight="1" x14ac:dyDescent="0.25">
      <c r="A23" s="2"/>
      <c r="B23" s="20" t="s">
        <v>83</v>
      </c>
      <c r="C23" s="21" t="s">
        <v>808</v>
      </c>
      <c r="D23" s="14"/>
      <c r="E23" s="22"/>
      <c r="F23" s="23"/>
      <c r="G23" s="23"/>
      <c r="H23" s="24" t="s">
        <v>235</v>
      </c>
      <c r="I23" s="36">
        <v>1</v>
      </c>
      <c r="J23" s="25">
        <f>J11</f>
        <v>283250</v>
      </c>
      <c r="K23" s="26">
        <f t="shared" si="1"/>
        <v>283250</v>
      </c>
    </row>
    <row r="24" spans="1:11" ht="13.2" customHeight="1" x14ac:dyDescent="0.25">
      <c r="A24" s="2"/>
      <c r="B24" s="20" t="s">
        <v>110</v>
      </c>
      <c r="C24" s="21" t="s">
        <v>784</v>
      </c>
      <c r="D24" s="14"/>
      <c r="E24" s="22"/>
      <c r="F24" s="23"/>
      <c r="G24" s="23"/>
      <c r="H24" s="24" t="s">
        <v>203</v>
      </c>
      <c r="I24" s="36">
        <v>2</v>
      </c>
      <c r="J24" s="25">
        <f>J12</f>
        <v>33500</v>
      </c>
      <c r="K24" s="26">
        <f t="shared" si="1"/>
        <v>67000</v>
      </c>
    </row>
    <row r="25" spans="1:11" ht="13.2" customHeight="1" x14ac:dyDescent="0.25">
      <c r="A25" s="2"/>
      <c r="B25" s="20" t="s">
        <v>137</v>
      </c>
      <c r="C25" s="21" t="s">
        <v>979</v>
      </c>
      <c r="D25" s="14"/>
      <c r="E25" s="22"/>
      <c r="F25" s="23"/>
      <c r="G25" s="23"/>
      <c r="H25" s="24" t="s">
        <v>203</v>
      </c>
      <c r="I25" s="36">
        <v>5</v>
      </c>
      <c r="J25" s="25">
        <f>J13</f>
        <v>14000</v>
      </c>
      <c r="K25" s="26">
        <f t="shared" si="1"/>
        <v>70000</v>
      </c>
    </row>
    <row r="26" spans="1:11" ht="13.2" customHeight="1" x14ac:dyDescent="0.25">
      <c r="A26" s="2"/>
      <c r="B26" s="20" t="s">
        <v>156</v>
      </c>
      <c r="C26" s="21" t="s">
        <v>787</v>
      </c>
      <c r="D26" s="14"/>
      <c r="E26" s="22"/>
      <c r="F26" s="23"/>
      <c r="G26" s="23"/>
      <c r="H26" s="24" t="s">
        <v>203</v>
      </c>
      <c r="I26" s="36">
        <v>2</v>
      </c>
      <c r="J26" s="25">
        <f>J14</f>
        <v>27000</v>
      </c>
      <c r="K26" s="26">
        <f t="shared" si="1"/>
        <v>54000</v>
      </c>
    </row>
    <row r="27" spans="1:11" ht="12.9" customHeight="1" x14ac:dyDescent="0.25">
      <c r="A27" s="6"/>
      <c r="B27" s="7"/>
      <c r="C27" s="8"/>
      <c r="D27" s="8"/>
      <c r="E27" s="8"/>
      <c r="F27" s="8"/>
      <c r="G27" s="9"/>
      <c r="H27" s="10" t="s">
        <v>715</v>
      </c>
      <c r="I27" s="11"/>
      <c r="J27" s="11"/>
      <c r="K27" s="27">
        <f>SUM(K20:K26)</f>
        <v>1578750</v>
      </c>
    </row>
    <row r="28" spans="1:11" ht="12.9" customHeight="1" x14ac:dyDescent="0.25">
      <c r="A28" s="6"/>
      <c r="B28" s="5"/>
      <c r="C28" s="3"/>
      <c r="D28" s="3"/>
      <c r="E28" s="3"/>
      <c r="F28" s="3"/>
      <c r="G28" s="4"/>
      <c r="H28" s="12" t="s">
        <v>603</v>
      </c>
      <c r="I28" s="28">
        <f>$K$3</f>
        <v>0.15</v>
      </c>
      <c r="J28" s="13"/>
      <c r="K28" s="29">
        <f>I28*K27</f>
        <v>236812.5</v>
      </c>
    </row>
    <row r="29" spans="1:11" ht="12.9" customHeight="1" x14ac:dyDescent="0.25">
      <c r="A29" s="6"/>
      <c r="B29" s="5"/>
      <c r="C29" s="3"/>
      <c r="D29" s="3"/>
      <c r="E29" s="3"/>
      <c r="F29" s="3"/>
      <c r="G29" s="4"/>
      <c r="H29" s="12" t="s">
        <v>604</v>
      </c>
      <c r="I29" s="14"/>
      <c r="J29" s="14"/>
      <c r="K29" s="29">
        <f>SUM(K27:K28)</f>
        <v>1815562.5</v>
      </c>
    </row>
    <row r="30" spans="1:11" ht="12.9" customHeight="1" thickBot="1" x14ac:dyDescent="0.3">
      <c r="A30" s="15"/>
      <c r="B30" s="16"/>
      <c r="C30" s="17"/>
      <c r="D30" s="17"/>
      <c r="E30" s="17"/>
      <c r="F30" s="17"/>
      <c r="G30" s="18"/>
      <c r="H30" s="46" t="s">
        <v>605</v>
      </c>
      <c r="I30" s="47"/>
      <c r="J30" s="47"/>
      <c r="K30" s="144">
        <f>ROUND(K29,-1)</f>
        <v>1815560</v>
      </c>
    </row>
    <row r="31" spans="1:11" ht="14.1" customHeight="1" x14ac:dyDescent="0.25">
      <c r="A31" s="81">
        <v>3</v>
      </c>
      <c r="B31" s="676" t="s">
        <v>713</v>
      </c>
      <c r="C31" s="677"/>
      <c r="D31" s="137" t="s">
        <v>797</v>
      </c>
      <c r="E31" s="138"/>
      <c r="F31" s="139"/>
      <c r="G31" s="139"/>
      <c r="H31" s="140"/>
      <c r="I31" s="141"/>
      <c r="J31" s="142"/>
      <c r="K31" s="143"/>
    </row>
    <row r="32" spans="1:11" ht="13.2" customHeight="1" x14ac:dyDescent="0.25">
      <c r="A32" s="2"/>
      <c r="B32" s="20" t="s">
        <v>4</v>
      </c>
      <c r="C32" s="21" t="s">
        <v>969</v>
      </c>
      <c r="D32" s="14"/>
      <c r="E32" s="22"/>
      <c r="F32" s="23"/>
      <c r="G32" s="23"/>
      <c r="H32" s="24" t="s">
        <v>235</v>
      </c>
      <c r="I32" s="41">
        <v>1</v>
      </c>
      <c r="J32" s="25">
        <f>J20</f>
        <v>800000</v>
      </c>
      <c r="K32" s="26">
        <f t="shared" ref="K32:K38" si="2">I32*J32</f>
        <v>800000</v>
      </c>
    </row>
    <row r="33" spans="1:11" ht="13.2" customHeight="1" x14ac:dyDescent="0.25">
      <c r="A33" s="2"/>
      <c r="B33" s="20" t="s">
        <v>30</v>
      </c>
      <c r="C33" s="21" t="s">
        <v>795</v>
      </c>
      <c r="D33" s="14"/>
      <c r="E33" s="22"/>
      <c r="F33" s="23"/>
      <c r="G33" s="23"/>
      <c r="H33" s="24" t="s">
        <v>203</v>
      </c>
      <c r="I33" s="36">
        <v>1</v>
      </c>
      <c r="J33" s="25">
        <f>'Harga Satuan Dasar mat'!G22</f>
        <v>95500</v>
      </c>
      <c r="K33" s="26">
        <f t="shared" si="2"/>
        <v>95500</v>
      </c>
    </row>
    <row r="34" spans="1:11" ht="13.2" customHeight="1" x14ac:dyDescent="0.25">
      <c r="A34" s="2"/>
      <c r="B34" s="20" t="s">
        <v>57</v>
      </c>
      <c r="C34" s="21" t="s">
        <v>796</v>
      </c>
      <c r="D34" s="14"/>
      <c r="E34" s="22"/>
      <c r="F34" s="23"/>
      <c r="G34" s="23"/>
      <c r="H34" s="24" t="s">
        <v>203</v>
      </c>
      <c r="I34" s="36">
        <v>1</v>
      </c>
      <c r="J34" s="25">
        <f>'Harga Satuan Dasar mat'!G74</f>
        <v>156000</v>
      </c>
      <c r="K34" s="26">
        <f t="shared" si="2"/>
        <v>156000</v>
      </c>
    </row>
    <row r="35" spans="1:11" ht="13.2" customHeight="1" x14ac:dyDescent="0.25">
      <c r="A35" s="2"/>
      <c r="B35" s="20" t="s">
        <v>83</v>
      </c>
      <c r="C35" s="21" t="s">
        <v>808</v>
      </c>
      <c r="D35" s="14"/>
      <c r="E35" s="22"/>
      <c r="F35" s="23"/>
      <c r="G35" s="23"/>
      <c r="H35" s="24" t="s">
        <v>235</v>
      </c>
      <c r="I35" s="36">
        <v>1</v>
      </c>
      <c r="J35" s="25">
        <f>J23</f>
        <v>283250</v>
      </c>
      <c r="K35" s="26">
        <f t="shared" si="2"/>
        <v>283250</v>
      </c>
    </row>
    <row r="36" spans="1:11" ht="13.2" customHeight="1" x14ac:dyDescent="0.25">
      <c r="A36" s="2"/>
      <c r="B36" s="20" t="s">
        <v>110</v>
      </c>
      <c r="C36" s="21" t="s">
        <v>784</v>
      </c>
      <c r="D36" s="14"/>
      <c r="E36" s="22"/>
      <c r="F36" s="23"/>
      <c r="G36" s="23"/>
      <c r="H36" s="24" t="s">
        <v>203</v>
      </c>
      <c r="I36" s="36">
        <v>2</v>
      </c>
      <c r="J36" s="25">
        <f>J24</f>
        <v>33500</v>
      </c>
      <c r="K36" s="26">
        <f t="shared" si="2"/>
        <v>67000</v>
      </c>
    </row>
    <row r="37" spans="1:11" ht="13.2" customHeight="1" x14ac:dyDescent="0.25">
      <c r="A37" s="2"/>
      <c r="B37" s="20" t="s">
        <v>137</v>
      </c>
      <c r="C37" s="21" t="s">
        <v>979</v>
      </c>
      <c r="D37" s="14"/>
      <c r="E37" s="22"/>
      <c r="F37" s="23"/>
      <c r="G37" s="23"/>
      <c r="H37" s="24" t="s">
        <v>203</v>
      </c>
      <c r="I37" s="36">
        <v>5</v>
      </c>
      <c r="J37" s="25">
        <f>J25</f>
        <v>14000</v>
      </c>
      <c r="K37" s="26">
        <f t="shared" si="2"/>
        <v>70000</v>
      </c>
    </row>
    <row r="38" spans="1:11" ht="13.2" customHeight="1" x14ac:dyDescent="0.25">
      <c r="A38" s="2"/>
      <c r="B38" s="20" t="s">
        <v>156</v>
      </c>
      <c r="C38" s="21" t="s">
        <v>787</v>
      </c>
      <c r="D38" s="14"/>
      <c r="E38" s="22"/>
      <c r="F38" s="23"/>
      <c r="G38" s="23"/>
      <c r="H38" s="24" t="s">
        <v>203</v>
      </c>
      <c r="I38" s="36">
        <v>2</v>
      </c>
      <c r="J38" s="25">
        <f>J26</f>
        <v>27000</v>
      </c>
      <c r="K38" s="26">
        <f t="shared" si="2"/>
        <v>54000</v>
      </c>
    </row>
    <row r="39" spans="1:11" ht="12.9" customHeight="1" x14ac:dyDescent="0.25">
      <c r="A39" s="6"/>
      <c r="B39" s="7"/>
      <c r="C39" s="8"/>
      <c r="D39" s="8"/>
      <c r="E39" s="8"/>
      <c r="F39" s="8"/>
      <c r="G39" s="9"/>
      <c r="H39" s="10" t="s">
        <v>715</v>
      </c>
      <c r="I39" s="11"/>
      <c r="J39" s="11"/>
      <c r="K39" s="27">
        <f>SUM(K32:K38)</f>
        <v>1525750</v>
      </c>
    </row>
    <row r="40" spans="1:11" ht="12.9" customHeight="1" x14ac:dyDescent="0.25">
      <c r="A40" s="6"/>
      <c r="B40" s="5"/>
      <c r="C40" s="3"/>
      <c r="D40" s="3"/>
      <c r="E40" s="3"/>
      <c r="F40" s="3"/>
      <c r="G40" s="4"/>
      <c r="H40" s="12" t="s">
        <v>603</v>
      </c>
      <c r="I40" s="28">
        <f>$K$3</f>
        <v>0.15</v>
      </c>
      <c r="J40" s="13"/>
      <c r="K40" s="29">
        <f>I40*K39</f>
        <v>228862.5</v>
      </c>
    </row>
    <row r="41" spans="1:11" ht="12.9" customHeight="1" x14ac:dyDescent="0.25">
      <c r="A41" s="6"/>
      <c r="B41" s="5"/>
      <c r="C41" s="3"/>
      <c r="D41" s="3"/>
      <c r="E41" s="3"/>
      <c r="F41" s="3"/>
      <c r="G41" s="4"/>
      <c r="H41" s="12" t="s">
        <v>604</v>
      </c>
      <c r="I41" s="14"/>
      <c r="J41" s="14"/>
      <c r="K41" s="29">
        <f>SUM(K39:K40)</f>
        <v>1754612.5</v>
      </c>
    </row>
    <row r="42" spans="1:11" ht="12.9" customHeight="1" thickBot="1" x14ac:dyDescent="0.3">
      <c r="A42" s="15"/>
      <c r="B42" s="16"/>
      <c r="C42" s="17"/>
      <c r="D42" s="17"/>
      <c r="E42" s="17"/>
      <c r="F42" s="17"/>
      <c r="G42" s="18"/>
      <c r="H42" s="46" t="s">
        <v>605</v>
      </c>
      <c r="I42" s="47"/>
      <c r="J42" s="47"/>
      <c r="K42" s="144">
        <f>ROUND(K41,-1)</f>
        <v>1754610</v>
      </c>
    </row>
    <row r="43" spans="1:11" ht="14.1" customHeight="1" x14ac:dyDescent="0.25">
      <c r="A43" s="81">
        <v>4</v>
      </c>
      <c r="B43" s="676" t="s">
        <v>713</v>
      </c>
      <c r="C43" s="677"/>
      <c r="D43" s="137" t="s">
        <v>800</v>
      </c>
      <c r="E43" s="138"/>
      <c r="F43" s="139"/>
      <c r="G43" s="139"/>
      <c r="H43" s="140"/>
      <c r="I43" s="141"/>
      <c r="J43" s="142"/>
      <c r="K43" s="143"/>
    </row>
    <row r="44" spans="1:11" ht="13.2" customHeight="1" x14ac:dyDescent="0.25">
      <c r="A44" s="2"/>
      <c r="B44" s="20" t="s">
        <v>4</v>
      </c>
      <c r="C44" s="21" t="s">
        <v>969</v>
      </c>
      <c r="D44" s="14"/>
      <c r="E44" s="22"/>
      <c r="F44" s="23"/>
      <c r="G44" s="23"/>
      <c r="H44" s="24" t="s">
        <v>235</v>
      </c>
      <c r="I44" s="41">
        <v>1</v>
      </c>
      <c r="J44" s="25">
        <f>J32</f>
        <v>800000</v>
      </c>
      <c r="K44" s="26">
        <f t="shared" ref="K44:K50" si="3">I44*J44</f>
        <v>800000</v>
      </c>
    </row>
    <row r="45" spans="1:11" ht="13.2" customHeight="1" x14ac:dyDescent="0.25">
      <c r="A45" s="2"/>
      <c r="B45" s="20" t="s">
        <v>30</v>
      </c>
      <c r="C45" s="21" t="s">
        <v>801</v>
      </c>
      <c r="D45" s="14"/>
      <c r="E45" s="22"/>
      <c r="F45" s="23"/>
      <c r="G45" s="23"/>
      <c r="H45" s="24" t="s">
        <v>203</v>
      </c>
      <c r="I45" s="36">
        <v>1</v>
      </c>
      <c r="J45" s="25">
        <f>'Harga Satuan Dasar mat'!G20</f>
        <v>85000</v>
      </c>
      <c r="K45" s="26">
        <f t="shared" si="3"/>
        <v>85000</v>
      </c>
    </row>
    <row r="46" spans="1:11" ht="13.2" customHeight="1" x14ac:dyDescent="0.25">
      <c r="A46" s="2"/>
      <c r="B46" s="20" t="s">
        <v>57</v>
      </c>
      <c r="C46" s="21" t="s">
        <v>802</v>
      </c>
      <c r="D46" s="14"/>
      <c r="E46" s="22"/>
      <c r="F46" s="23"/>
      <c r="G46" s="23"/>
      <c r="H46" s="24" t="s">
        <v>203</v>
      </c>
      <c r="I46" s="36">
        <v>1</v>
      </c>
      <c r="J46" s="25">
        <f>'Harga Satuan Dasar mat'!G72</f>
        <v>138500</v>
      </c>
      <c r="K46" s="26">
        <f t="shared" si="3"/>
        <v>138500</v>
      </c>
    </row>
    <row r="47" spans="1:11" ht="13.2" customHeight="1" x14ac:dyDescent="0.25">
      <c r="A47" s="2"/>
      <c r="B47" s="20" t="s">
        <v>83</v>
      </c>
      <c r="C47" s="21" t="s">
        <v>808</v>
      </c>
      <c r="D47" s="14"/>
      <c r="E47" s="22"/>
      <c r="F47" s="23"/>
      <c r="G47" s="23"/>
      <c r="H47" s="24" t="s">
        <v>235</v>
      </c>
      <c r="I47" s="36">
        <v>1</v>
      </c>
      <c r="J47" s="25">
        <f>J35</f>
        <v>283250</v>
      </c>
      <c r="K47" s="26">
        <f t="shared" si="3"/>
        <v>283250</v>
      </c>
    </row>
    <row r="48" spans="1:11" ht="13.2" customHeight="1" x14ac:dyDescent="0.25">
      <c r="A48" s="2"/>
      <c r="B48" s="20" t="s">
        <v>110</v>
      </c>
      <c r="C48" s="21" t="s">
        <v>784</v>
      </c>
      <c r="D48" s="14"/>
      <c r="E48" s="22"/>
      <c r="F48" s="23"/>
      <c r="G48" s="23"/>
      <c r="H48" s="24" t="s">
        <v>203</v>
      </c>
      <c r="I48" s="36">
        <v>2</v>
      </c>
      <c r="J48" s="25">
        <f>J36</f>
        <v>33500</v>
      </c>
      <c r="K48" s="26">
        <f t="shared" si="3"/>
        <v>67000</v>
      </c>
    </row>
    <row r="49" spans="1:11" ht="13.2" customHeight="1" x14ac:dyDescent="0.25">
      <c r="A49" s="2"/>
      <c r="B49" s="20" t="s">
        <v>137</v>
      </c>
      <c r="C49" s="21" t="s">
        <v>979</v>
      </c>
      <c r="D49" s="14"/>
      <c r="E49" s="22"/>
      <c r="F49" s="23"/>
      <c r="G49" s="23"/>
      <c r="H49" s="24" t="s">
        <v>203</v>
      </c>
      <c r="I49" s="36">
        <v>5</v>
      </c>
      <c r="J49" s="25">
        <f>J37</f>
        <v>14000</v>
      </c>
      <c r="K49" s="26">
        <f t="shared" si="3"/>
        <v>70000</v>
      </c>
    </row>
    <row r="50" spans="1:11" ht="13.2" customHeight="1" x14ac:dyDescent="0.25">
      <c r="A50" s="2"/>
      <c r="B50" s="20" t="s">
        <v>156</v>
      </c>
      <c r="C50" s="21" t="s">
        <v>787</v>
      </c>
      <c r="D50" s="14"/>
      <c r="E50" s="22"/>
      <c r="F50" s="23"/>
      <c r="G50" s="23"/>
      <c r="H50" s="24" t="s">
        <v>203</v>
      </c>
      <c r="I50" s="36">
        <v>2</v>
      </c>
      <c r="J50" s="25">
        <f>J38</f>
        <v>27000</v>
      </c>
      <c r="K50" s="26">
        <f t="shared" si="3"/>
        <v>54000</v>
      </c>
    </row>
    <row r="51" spans="1:11" ht="12.9" customHeight="1" x14ac:dyDescent="0.25">
      <c r="A51" s="6"/>
      <c r="B51" s="7"/>
      <c r="C51" s="8"/>
      <c r="D51" s="8"/>
      <c r="E51" s="8"/>
      <c r="F51" s="8"/>
      <c r="G51" s="9"/>
      <c r="H51" s="10" t="s">
        <v>715</v>
      </c>
      <c r="I51" s="11"/>
      <c r="J51" s="11"/>
      <c r="K51" s="27">
        <f>SUM(K44:K50)</f>
        <v>1497750</v>
      </c>
    </row>
    <row r="52" spans="1:11" ht="12.9" customHeight="1" x14ac:dyDescent="0.25">
      <c r="A52" s="6"/>
      <c r="B52" s="5"/>
      <c r="C52" s="3"/>
      <c r="D52" s="3"/>
      <c r="E52" s="3"/>
      <c r="F52" s="3"/>
      <c r="G52" s="4"/>
      <c r="H52" s="12" t="s">
        <v>603</v>
      </c>
      <c r="I52" s="28">
        <f>$K$3</f>
        <v>0.15</v>
      </c>
      <c r="J52" s="13"/>
      <c r="K52" s="29">
        <f>I52*K51</f>
        <v>224662.5</v>
      </c>
    </row>
    <row r="53" spans="1:11" ht="12.9" customHeight="1" x14ac:dyDescent="0.25">
      <c r="A53" s="6"/>
      <c r="B53" s="5"/>
      <c r="C53" s="3"/>
      <c r="D53" s="3"/>
      <c r="E53" s="3"/>
      <c r="F53" s="3"/>
      <c r="G53" s="4"/>
      <c r="H53" s="12" t="s">
        <v>604</v>
      </c>
      <c r="I53" s="14"/>
      <c r="J53" s="14"/>
      <c r="K53" s="29">
        <f>SUM(K51:K52)</f>
        <v>1722412.5</v>
      </c>
    </row>
    <row r="54" spans="1:11" ht="12.9" customHeight="1" thickBot="1" x14ac:dyDescent="0.3">
      <c r="A54" s="15"/>
      <c r="B54" s="16"/>
      <c r="C54" s="17"/>
      <c r="D54" s="17"/>
      <c r="E54" s="17"/>
      <c r="F54" s="17"/>
      <c r="G54" s="18"/>
      <c r="H54" s="46" t="s">
        <v>605</v>
      </c>
      <c r="I54" s="47"/>
      <c r="J54" s="47"/>
      <c r="K54" s="144">
        <f>ROUND(K53,-1)</f>
        <v>1722410</v>
      </c>
    </row>
    <row r="55" spans="1:11" ht="14.1" customHeight="1" x14ac:dyDescent="0.25">
      <c r="A55" s="81">
        <v>5</v>
      </c>
      <c r="B55" s="676" t="s">
        <v>713</v>
      </c>
      <c r="C55" s="677"/>
      <c r="D55" s="137" t="s">
        <v>833</v>
      </c>
      <c r="E55" s="138"/>
      <c r="F55" s="139"/>
      <c r="G55" s="139"/>
      <c r="H55" s="140"/>
      <c r="I55" s="141"/>
      <c r="J55" s="142"/>
      <c r="K55" s="143"/>
    </row>
    <row r="56" spans="1:11" ht="13.2" customHeight="1" x14ac:dyDescent="0.25">
      <c r="A56" s="2"/>
      <c r="B56" s="20" t="s">
        <v>4</v>
      </c>
      <c r="C56" s="21" t="s">
        <v>969</v>
      </c>
      <c r="D56" s="14"/>
      <c r="E56" s="22"/>
      <c r="F56" s="23"/>
      <c r="G56" s="23"/>
      <c r="H56" s="24" t="s">
        <v>235</v>
      </c>
      <c r="I56" s="41">
        <v>1</v>
      </c>
      <c r="J56" s="25">
        <f>J44</f>
        <v>800000</v>
      </c>
      <c r="K56" s="26">
        <f>I56*J56</f>
        <v>800000</v>
      </c>
    </row>
    <row r="57" spans="1:11" ht="13.2" customHeight="1" x14ac:dyDescent="0.25">
      <c r="A57" s="2"/>
      <c r="B57" s="20" t="s">
        <v>30</v>
      </c>
      <c r="C57" s="21" t="s">
        <v>785</v>
      </c>
      <c r="D57" s="14"/>
      <c r="E57" s="22"/>
      <c r="F57" s="23"/>
      <c r="G57" s="23"/>
      <c r="H57" s="24" t="s">
        <v>203</v>
      </c>
      <c r="I57" s="36">
        <v>1</v>
      </c>
      <c r="J57" s="25">
        <f>'Harga Satuan Dasar mat'!G24</f>
        <v>105500</v>
      </c>
      <c r="K57" s="26">
        <f>I57*J57</f>
        <v>105500</v>
      </c>
    </row>
    <row r="58" spans="1:11" ht="13.2" customHeight="1" x14ac:dyDescent="0.25">
      <c r="A58" s="2"/>
      <c r="B58" s="20" t="s">
        <v>57</v>
      </c>
      <c r="C58" s="21" t="s">
        <v>786</v>
      </c>
      <c r="D58" s="14"/>
      <c r="E58" s="22"/>
      <c r="F58" s="23"/>
      <c r="G58" s="23"/>
      <c r="H58" s="24" t="s">
        <v>203</v>
      </c>
      <c r="I58" s="36">
        <v>1</v>
      </c>
      <c r="J58" s="25">
        <f>'Harga Satuan Dasar mat'!G77</f>
        <v>181000</v>
      </c>
      <c r="K58" s="26">
        <f>I58*J58</f>
        <v>181000</v>
      </c>
    </row>
    <row r="59" spans="1:11" ht="13.2" customHeight="1" x14ac:dyDescent="0.25">
      <c r="A59" s="2"/>
      <c r="B59" s="20" t="s">
        <v>83</v>
      </c>
      <c r="C59" s="21" t="s">
        <v>808</v>
      </c>
      <c r="D59" s="14"/>
      <c r="E59" s="22"/>
      <c r="F59" s="23"/>
      <c r="G59" s="23"/>
      <c r="H59" s="24" t="s">
        <v>235</v>
      </c>
      <c r="I59" s="36">
        <v>1</v>
      </c>
      <c r="J59" s="25">
        <f>J47</f>
        <v>283250</v>
      </c>
      <c r="K59" s="26">
        <f>I59*J59</f>
        <v>283250</v>
      </c>
    </row>
    <row r="60" spans="1:11" ht="13.2" customHeight="1" x14ac:dyDescent="0.25">
      <c r="A60" s="2"/>
      <c r="B60" s="20" t="s">
        <v>110</v>
      </c>
      <c r="C60" s="21" t="s">
        <v>979</v>
      </c>
      <c r="D60" s="14"/>
      <c r="E60" s="22"/>
      <c r="F60" s="23"/>
      <c r="G60" s="23"/>
      <c r="H60" s="24" t="s">
        <v>203</v>
      </c>
      <c r="I60" s="36">
        <v>7</v>
      </c>
      <c r="J60" s="25">
        <f>J49</f>
        <v>14000</v>
      </c>
      <c r="K60" s="26">
        <f>I60*J60</f>
        <v>98000</v>
      </c>
    </row>
    <row r="61" spans="1:11" ht="12.9" customHeight="1" x14ac:dyDescent="0.25">
      <c r="A61" s="6"/>
      <c r="B61" s="7"/>
      <c r="C61" s="8"/>
      <c r="D61" s="8"/>
      <c r="E61" s="8"/>
      <c r="F61" s="8"/>
      <c r="G61" s="9"/>
      <c r="H61" s="10" t="s">
        <v>715</v>
      </c>
      <c r="I61" s="11"/>
      <c r="J61" s="11"/>
      <c r="K61" s="27">
        <f>SUM(K56:K60)</f>
        <v>1467750</v>
      </c>
    </row>
    <row r="62" spans="1:11" ht="12.9" customHeight="1" x14ac:dyDescent="0.25">
      <c r="A62" s="6"/>
      <c r="B62" s="5"/>
      <c r="C62" s="3"/>
      <c r="D62" s="3"/>
      <c r="E62" s="3"/>
      <c r="F62" s="3"/>
      <c r="G62" s="4"/>
      <c r="H62" s="12" t="s">
        <v>603</v>
      </c>
      <c r="I62" s="28">
        <f>$K$3</f>
        <v>0.15</v>
      </c>
      <c r="J62" s="13"/>
      <c r="K62" s="29">
        <f>I62*K61</f>
        <v>220162.5</v>
      </c>
    </row>
    <row r="63" spans="1:11" ht="12.9" customHeight="1" x14ac:dyDescent="0.25">
      <c r="A63" s="6"/>
      <c r="B63" s="5"/>
      <c r="C63" s="3"/>
      <c r="D63" s="3"/>
      <c r="E63" s="3"/>
      <c r="F63" s="3"/>
      <c r="G63" s="4"/>
      <c r="H63" s="12" t="s">
        <v>604</v>
      </c>
      <c r="I63" s="14"/>
      <c r="J63" s="14"/>
      <c r="K63" s="29">
        <f>SUM(K61:K62)</f>
        <v>1687912.5</v>
      </c>
    </row>
    <row r="64" spans="1:11" ht="12.9" customHeight="1" thickBot="1" x14ac:dyDescent="0.3">
      <c r="A64" s="15"/>
      <c r="B64" s="16"/>
      <c r="C64" s="17"/>
      <c r="D64" s="17"/>
      <c r="E64" s="17"/>
      <c r="F64" s="17"/>
      <c r="G64" s="18"/>
      <c r="H64" s="46" t="s">
        <v>605</v>
      </c>
      <c r="I64" s="47"/>
      <c r="J64" s="47"/>
      <c r="K64" s="144">
        <f>ROUND(K63,-1)</f>
        <v>1687910</v>
      </c>
    </row>
    <row r="65" spans="1:11" ht="14.1" customHeight="1" x14ac:dyDescent="0.25">
      <c r="A65" s="81">
        <v>6</v>
      </c>
      <c r="B65" s="676" t="s">
        <v>713</v>
      </c>
      <c r="C65" s="677"/>
      <c r="D65" s="137" t="s">
        <v>834</v>
      </c>
      <c r="E65" s="138"/>
      <c r="F65" s="139"/>
      <c r="G65" s="139"/>
      <c r="H65" s="140"/>
      <c r="I65" s="141"/>
      <c r="J65" s="142"/>
      <c r="K65" s="143"/>
    </row>
    <row r="66" spans="1:11" ht="13.2" customHeight="1" x14ac:dyDescent="0.25">
      <c r="A66" s="2"/>
      <c r="B66" s="20" t="s">
        <v>4</v>
      </c>
      <c r="C66" s="21" t="s">
        <v>969</v>
      </c>
      <c r="D66" s="14"/>
      <c r="E66" s="22"/>
      <c r="F66" s="23"/>
      <c r="G66" s="23"/>
      <c r="H66" s="24" t="s">
        <v>235</v>
      </c>
      <c r="I66" s="41">
        <v>1</v>
      </c>
      <c r="J66" s="25">
        <f>J56</f>
        <v>800000</v>
      </c>
      <c r="K66" s="26">
        <f>I66*J66</f>
        <v>800000</v>
      </c>
    </row>
    <row r="67" spans="1:11" ht="13.2" customHeight="1" x14ac:dyDescent="0.25">
      <c r="A67" s="2"/>
      <c r="B67" s="20" t="s">
        <v>30</v>
      </c>
      <c r="C67" s="21" t="s">
        <v>792</v>
      </c>
      <c r="D67" s="14"/>
      <c r="E67" s="22"/>
      <c r="F67" s="23"/>
      <c r="G67" s="23"/>
      <c r="H67" s="24" t="s">
        <v>203</v>
      </c>
      <c r="I67" s="36">
        <v>1</v>
      </c>
      <c r="J67" s="25">
        <f>'Harga Satuan Dasar mat'!G26</f>
        <v>115000</v>
      </c>
      <c r="K67" s="26">
        <f>I67*J67</f>
        <v>115000</v>
      </c>
    </row>
    <row r="68" spans="1:11" ht="13.2" customHeight="1" x14ac:dyDescent="0.25">
      <c r="A68" s="2"/>
      <c r="B68" s="20" t="s">
        <v>57</v>
      </c>
      <c r="C68" s="21" t="s">
        <v>793</v>
      </c>
      <c r="D68" s="14"/>
      <c r="E68" s="22"/>
      <c r="F68" s="23"/>
      <c r="G68" s="23"/>
      <c r="H68" s="24" t="s">
        <v>203</v>
      </c>
      <c r="I68" s="36">
        <v>1</v>
      </c>
      <c r="J68" s="25">
        <f>'Harga Satuan Dasar mat'!G78</f>
        <v>189500</v>
      </c>
      <c r="K68" s="26">
        <f>I68*J68</f>
        <v>189500</v>
      </c>
    </row>
    <row r="69" spans="1:11" ht="13.2" customHeight="1" x14ac:dyDescent="0.25">
      <c r="A69" s="2"/>
      <c r="B69" s="20" t="s">
        <v>83</v>
      </c>
      <c r="C69" s="21" t="s">
        <v>808</v>
      </c>
      <c r="D69" s="14"/>
      <c r="E69" s="22"/>
      <c r="F69" s="23"/>
      <c r="G69" s="23"/>
      <c r="H69" s="24" t="s">
        <v>235</v>
      </c>
      <c r="I69" s="36">
        <v>1</v>
      </c>
      <c r="J69" s="25">
        <f>J59</f>
        <v>283250</v>
      </c>
      <c r="K69" s="26">
        <f>I69*J69</f>
        <v>283250</v>
      </c>
    </row>
    <row r="70" spans="1:11" ht="13.2" customHeight="1" x14ac:dyDescent="0.25">
      <c r="A70" s="2"/>
      <c r="B70" s="20" t="s">
        <v>110</v>
      </c>
      <c r="C70" s="21" t="s">
        <v>979</v>
      </c>
      <c r="D70" s="14"/>
      <c r="E70" s="22"/>
      <c r="F70" s="23"/>
      <c r="G70" s="23"/>
      <c r="H70" s="24" t="s">
        <v>203</v>
      </c>
      <c r="I70" s="36">
        <v>5</v>
      </c>
      <c r="J70" s="25">
        <f>J60</f>
        <v>14000</v>
      </c>
      <c r="K70" s="26">
        <f>I70*J70</f>
        <v>70000</v>
      </c>
    </row>
    <row r="71" spans="1:11" ht="12.9" customHeight="1" x14ac:dyDescent="0.25">
      <c r="A71" s="6"/>
      <c r="B71" s="7"/>
      <c r="C71" s="8"/>
      <c r="D71" s="8"/>
      <c r="E71" s="8"/>
      <c r="F71" s="8"/>
      <c r="G71" s="9"/>
      <c r="H71" s="10" t="s">
        <v>715</v>
      </c>
      <c r="I71" s="11"/>
      <c r="J71" s="11"/>
      <c r="K71" s="27">
        <f>SUM(K66:K70)</f>
        <v>1457750</v>
      </c>
    </row>
    <row r="72" spans="1:11" ht="12.9" customHeight="1" x14ac:dyDescent="0.25">
      <c r="A72" s="6"/>
      <c r="B72" s="5"/>
      <c r="C72" s="3"/>
      <c r="D72" s="3"/>
      <c r="E72" s="3"/>
      <c r="F72" s="3"/>
      <c r="G72" s="4"/>
      <c r="H72" s="12" t="s">
        <v>603</v>
      </c>
      <c r="I72" s="28">
        <f>$K$3</f>
        <v>0.15</v>
      </c>
      <c r="J72" s="13"/>
      <c r="K72" s="29">
        <f>I72*K71</f>
        <v>218662.5</v>
      </c>
    </row>
    <row r="73" spans="1:11" ht="12.9" customHeight="1" x14ac:dyDescent="0.25">
      <c r="A73" s="6"/>
      <c r="B73" s="5"/>
      <c r="C73" s="3"/>
      <c r="D73" s="3"/>
      <c r="E73" s="3"/>
      <c r="F73" s="3"/>
      <c r="G73" s="4"/>
      <c r="H73" s="12" t="s">
        <v>604</v>
      </c>
      <c r="I73" s="14"/>
      <c r="J73" s="14"/>
      <c r="K73" s="29">
        <f>SUM(K71:K72)</f>
        <v>1676412.5</v>
      </c>
    </row>
    <row r="74" spans="1:11" ht="12.9" customHeight="1" thickBot="1" x14ac:dyDescent="0.3">
      <c r="A74" s="15"/>
      <c r="B74" s="16"/>
      <c r="C74" s="17"/>
      <c r="D74" s="17"/>
      <c r="E74" s="17"/>
      <c r="F74" s="17"/>
      <c r="G74" s="18"/>
      <c r="H74" s="46" t="s">
        <v>605</v>
      </c>
      <c r="I74" s="47"/>
      <c r="J74" s="47"/>
      <c r="K74" s="144">
        <f>ROUND(K73,-1)</f>
        <v>1676410</v>
      </c>
    </row>
    <row r="75" spans="1:11" ht="14.1" customHeight="1" x14ac:dyDescent="0.25">
      <c r="A75" s="81">
        <v>7</v>
      </c>
      <c r="B75" s="676" t="s">
        <v>713</v>
      </c>
      <c r="C75" s="677"/>
      <c r="D75" s="137" t="s">
        <v>835</v>
      </c>
      <c r="E75" s="138"/>
      <c r="F75" s="139"/>
      <c r="G75" s="139"/>
      <c r="H75" s="140"/>
      <c r="I75" s="141"/>
      <c r="J75" s="142"/>
      <c r="K75" s="143"/>
    </row>
    <row r="76" spans="1:11" ht="13.2" customHeight="1" x14ac:dyDescent="0.25">
      <c r="A76" s="2"/>
      <c r="B76" s="20" t="s">
        <v>4</v>
      </c>
      <c r="C76" s="21" t="s">
        <v>980</v>
      </c>
      <c r="D76" s="14"/>
      <c r="E76" s="22"/>
      <c r="F76" s="23"/>
      <c r="G76" s="23"/>
      <c r="H76" s="24" t="s">
        <v>235</v>
      </c>
      <c r="I76" s="41">
        <v>1</v>
      </c>
      <c r="J76" s="25">
        <f>J66</f>
        <v>800000</v>
      </c>
      <c r="K76" s="26">
        <f>I76*J76</f>
        <v>800000</v>
      </c>
    </row>
    <row r="77" spans="1:11" ht="13.2" customHeight="1" x14ac:dyDescent="0.25">
      <c r="A77" s="2"/>
      <c r="B77" s="20" t="s">
        <v>30</v>
      </c>
      <c r="C77" s="21" t="s">
        <v>795</v>
      </c>
      <c r="D77" s="14"/>
      <c r="E77" s="22"/>
      <c r="F77" s="23"/>
      <c r="G77" s="23"/>
      <c r="H77" s="24" t="s">
        <v>203</v>
      </c>
      <c r="I77" s="36">
        <v>1</v>
      </c>
      <c r="J77" s="25">
        <f>'Harga Satuan Dasar mat'!G22</f>
        <v>95500</v>
      </c>
      <c r="K77" s="26">
        <f>I77*J77</f>
        <v>95500</v>
      </c>
    </row>
    <row r="78" spans="1:11" ht="13.2" customHeight="1" x14ac:dyDescent="0.25">
      <c r="A78" s="2"/>
      <c r="B78" s="20" t="s">
        <v>57</v>
      </c>
      <c r="C78" s="21" t="s">
        <v>796</v>
      </c>
      <c r="D78" s="14"/>
      <c r="E78" s="22"/>
      <c r="F78" s="23"/>
      <c r="G78" s="23"/>
      <c r="H78" s="24" t="s">
        <v>203</v>
      </c>
      <c r="I78" s="36">
        <v>1</v>
      </c>
      <c r="J78" s="25">
        <f>'Harga Satuan Dasar mat'!G74</f>
        <v>156000</v>
      </c>
      <c r="K78" s="26">
        <f>I78*J78</f>
        <v>156000</v>
      </c>
    </row>
    <row r="79" spans="1:11" ht="13.2" customHeight="1" x14ac:dyDescent="0.25">
      <c r="A79" s="2"/>
      <c r="B79" s="20" t="s">
        <v>83</v>
      </c>
      <c r="C79" s="21" t="s">
        <v>783</v>
      </c>
      <c r="D79" s="14"/>
      <c r="E79" s="22"/>
      <c r="F79" s="23"/>
      <c r="G79" s="23"/>
      <c r="H79" s="24" t="s">
        <v>235</v>
      </c>
      <c r="I79" s="36">
        <v>1</v>
      </c>
      <c r="J79" s="25">
        <f>J69</f>
        <v>283250</v>
      </c>
      <c r="K79" s="26">
        <f>I79*J79</f>
        <v>283250</v>
      </c>
    </row>
    <row r="80" spans="1:11" ht="13.2" customHeight="1" x14ac:dyDescent="0.25">
      <c r="A80" s="2"/>
      <c r="B80" s="20" t="s">
        <v>110</v>
      </c>
      <c r="C80" s="21" t="s">
        <v>979</v>
      </c>
      <c r="D80" s="14"/>
      <c r="E80" s="22"/>
      <c r="F80" s="23"/>
      <c r="G80" s="23"/>
      <c r="H80" s="24" t="s">
        <v>203</v>
      </c>
      <c r="I80" s="36">
        <v>5</v>
      </c>
      <c r="J80" s="25">
        <f>J37</f>
        <v>14000</v>
      </c>
      <c r="K80" s="26">
        <f>I80*J80</f>
        <v>70000</v>
      </c>
    </row>
    <row r="81" spans="1:11" ht="12.9" customHeight="1" x14ac:dyDescent="0.25">
      <c r="A81" s="6"/>
      <c r="B81" s="7"/>
      <c r="C81" s="8"/>
      <c r="D81" s="8"/>
      <c r="E81" s="8"/>
      <c r="F81" s="8"/>
      <c r="G81" s="9"/>
      <c r="H81" s="10" t="s">
        <v>715</v>
      </c>
      <c r="I81" s="11"/>
      <c r="J81" s="11"/>
      <c r="K81" s="27">
        <f>SUM(K76:K80)</f>
        <v>1404750</v>
      </c>
    </row>
    <row r="82" spans="1:11" ht="12.9" customHeight="1" x14ac:dyDescent="0.25">
      <c r="A82" s="6"/>
      <c r="B82" s="5"/>
      <c r="C82" s="3"/>
      <c r="D82" s="3"/>
      <c r="E82" s="3"/>
      <c r="F82" s="3"/>
      <c r="G82" s="4"/>
      <c r="H82" s="12" t="s">
        <v>603</v>
      </c>
      <c r="I82" s="28">
        <f>$K$3</f>
        <v>0.15</v>
      </c>
      <c r="J82" s="13"/>
      <c r="K82" s="29">
        <f>I82*K81</f>
        <v>210712.5</v>
      </c>
    </row>
    <row r="83" spans="1:11" ht="12.9" customHeight="1" x14ac:dyDescent="0.25">
      <c r="A83" s="6"/>
      <c r="B83" s="5"/>
      <c r="C83" s="3"/>
      <c r="D83" s="3"/>
      <c r="E83" s="3"/>
      <c r="F83" s="3"/>
      <c r="G83" s="4"/>
      <c r="H83" s="12" t="s">
        <v>604</v>
      </c>
      <c r="I83" s="14"/>
      <c r="J83" s="14"/>
      <c r="K83" s="29">
        <f>SUM(K81:K82)</f>
        <v>1615462.5</v>
      </c>
    </row>
    <row r="84" spans="1:11" ht="12.9" customHeight="1" thickBot="1" x14ac:dyDescent="0.3">
      <c r="A84" s="15"/>
      <c r="B84" s="16"/>
      <c r="C84" s="17"/>
      <c r="D84" s="17"/>
      <c r="E84" s="17"/>
      <c r="F84" s="17"/>
      <c r="G84" s="18"/>
      <c r="H84" s="46" t="s">
        <v>605</v>
      </c>
      <c r="I84" s="47"/>
      <c r="J84" s="47"/>
      <c r="K84" s="144">
        <f>ROUND(K83,-1)</f>
        <v>1615460</v>
      </c>
    </row>
    <row r="85" spans="1:11" ht="14.1" customHeight="1" x14ac:dyDescent="0.25">
      <c r="A85" s="81">
        <v>8</v>
      </c>
      <c r="B85" s="676" t="s">
        <v>713</v>
      </c>
      <c r="C85" s="677"/>
      <c r="D85" s="137" t="s">
        <v>836</v>
      </c>
      <c r="E85" s="138"/>
      <c r="F85" s="139"/>
      <c r="G85" s="139"/>
      <c r="H85" s="140"/>
      <c r="I85" s="141"/>
      <c r="J85" s="142"/>
      <c r="K85" s="143"/>
    </row>
    <row r="86" spans="1:11" ht="13.2" customHeight="1" x14ac:dyDescent="0.25">
      <c r="A86" s="2"/>
      <c r="B86" s="20" t="s">
        <v>4</v>
      </c>
      <c r="C86" s="21" t="s">
        <v>980</v>
      </c>
      <c r="D86" s="14"/>
      <c r="E86" s="22"/>
      <c r="F86" s="23"/>
      <c r="G86" s="23"/>
      <c r="H86" s="24" t="s">
        <v>235</v>
      </c>
      <c r="I86" s="41">
        <v>1</v>
      </c>
      <c r="J86" s="25">
        <f>J76</f>
        <v>800000</v>
      </c>
      <c r="K86" s="26">
        <f>I86*J86</f>
        <v>800000</v>
      </c>
    </row>
    <row r="87" spans="1:11" ht="13.2" customHeight="1" x14ac:dyDescent="0.25">
      <c r="A87" s="2"/>
      <c r="B87" s="20" t="s">
        <v>30</v>
      </c>
      <c r="C87" s="21" t="s">
        <v>801</v>
      </c>
      <c r="D87" s="14"/>
      <c r="E87" s="22"/>
      <c r="F87" s="23"/>
      <c r="G87" s="23"/>
      <c r="H87" s="24" t="s">
        <v>203</v>
      </c>
      <c r="I87" s="36">
        <v>1</v>
      </c>
      <c r="J87" s="25">
        <f>'Harga Satuan Dasar mat'!G20</f>
        <v>85000</v>
      </c>
      <c r="K87" s="26">
        <f>I87*J87</f>
        <v>85000</v>
      </c>
    </row>
    <row r="88" spans="1:11" ht="13.2" customHeight="1" x14ac:dyDescent="0.25">
      <c r="A88" s="2"/>
      <c r="B88" s="20" t="s">
        <v>57</v>
      </c>
      <c r="C88" s="21" t="s">
        <v>802</v>
      </c>
      <c r="D88" s="14"/>
      <c r="E88" s="22"/>
      <c r="F88" s="23"/>
      <c r="G88" s="23"/>
      <c r="H88" s="24" t="s">
        <v>203</v>
      </c>
      <c r="I88" s="36">
        <v>1</v>
      </c>
      <c r="J88" s="25">
        <f>'Harga Satuan Dasar mat'!G72</f>
        <v>138500</v>
      </c>
      <c r="K88" s="26">
        <f>I88*J88</f>
        <v>138500</v>
      </c>
    </row>
    <row r="89" spans="1:11" ht="13.2" customHeight="1" x14ac:dyDescent="0.25">
      <c r="A89" s="2"/>
      <c r="B89" s="20" t="s">
        <v>83</v>
      </c>
      <c r="C89" s="21" t="s">
        <v>808</v>
      </c>
      <c r="D89" s="14"/>
      <c r="E89" s="22"/>
      <c r="F89" s="23"/>
      <c r="G89" s="23"/>
      <c r="H89" s="24" t="s">
        <v>235</v>
      </c>
      <c r="I89" s="36">
        <v>1</v>
      </c>
      <c r="J89" s="25">
        <f>J79</f>
        <v>283250</v>
      </c>
      <c r="K89" s="26">
        <f>I89*J89</f>
        <v>283250</v>
      </c>
    </row>
    <row r="90" spans="1:11" ht="13.2" customHeight="1" x14ac:dyDescent="0.25">
      <c r="A90" s="2"/>
      <c r="B90" s="20" t="s">
        <v>110</v>
      </c>
      <c r="C90" s="21" t="s">
        <v>979</v>
      </c>
      <c r="D90" s="14"/>
      <c r="E90" s="22"/>
      <c r="F90" s="23"/>
      <c r="G90" s="23"/>
      <c r="H90" s="24" t="s">
        <v>203</v>
      </c>
      <c r="I90" s="36">
        <v>5</v>
      </c>
      <c r="J90" s="25">
        <f>J80</f>
        <v>14000</v>
      </c>
      <c r="K90" s="26">
        <f>I90*J90</f>
        <v>70000</v>
      </c>
    </row>
    <row r="91" spans="1:11" ht="12.9" customHeight="1" x14ac:dyDescent="0.25">
      <c r="A91" s="6"/>
      <c r="B91" s="7"/>
      <c r="C91" s="8"/>
      <c r="D91" s="8"/>
      <c r="E91" s="8"/>
      <c r="F91" s="8"/>
      <c r="G91" s="9"/>
      <c r="H91" s="10" t="s">
        <v>715</v>
      </c>
      <c r="I91" s="11"/>
      <c r="J91" s="11"/>
      <c r="K91" s="27">
        <f>SUM(K86:K90)</f>
        <v>1376750</v>
      </c>
    </row>
    <row r="92" spans="1:11" ht="12.9" customHeight="1" x14ac:dyDescent="0.25">
      <c r="A92" s="6"/>
      <c r="B92" s="5"/>
      <c r="C92" s="3"/>
      <c r="D92" s="3"/>
      <c r="E92" s="3"/>
      <c r="F92" s="3"/>
      <c r="G92" s="4"/>
      <c r="H92" s="12" t="s">
        <v>603</v>
      </c>
      <c r="I92" s="28">
        <f>$K$3</f>
        <v>0.15</v>
      </c>
      <c r="J92" s="13"/>
      <c r="K92" s="29">
        <f>I92*K91</f>
        <v>206512.5</v>
      </c>
    </row>
    <row r="93" spans="1:11" ht="12.9" customHeight="1" x14ac:dyDescent="0.25">
      <c r="A93" s="6"/>
      <c r="B93" s="5"/>
      <c r="C93" s="3"/>
      <c r="D93" s="3"/>
      <c r="E93" s="3"/>
      <c r="F93" s="3"/>
      <c r="G93" s="4"/>
      <c r="H93" s="12" t="s">
        <v>604</v>
      </c>
      <c r="I93" s="14"/>
      <c r="J93" s="14"/>
      <c r="K93" s="29">
        <f>SUM(K91:K92)</f>
        <v>1583262.5</v>
      </c>
    </row>
    <row r="94" spans="1:11" ht="12.9" customHeight="1" thickBot="1" x14ac:dyDescent="0.3">
      <c r="A94" s="15"/>
      <c r="B94" s="16"/>
      <c r="C94" s="17"/>
      <c r="D94" s="17"/>
      <c r="E94" s="17"/>
      <c r="F94" s="17"/>
      <c r="G94" s="18"/>
      <c r="H94" s="46" t="s">
        <v>605</v>
      </c>
      <c r="I94" s="47"/>
      <c r="J94" s="47"/>
      <c r="K94" s="144">
        <f>ROUND(K93,-1)</f>
        <v>1583260</v>
      </c>
    </row>
    <row r="95" spans="1:11" ht="14.1" customHeight="1" x14ac:dyDescent="0.25">
      <c r="A95" s="81">
        <v>9</v>
      </c>
      <c r="B95" s="676" t="s">
        <v>713</v>
      </c>
      <c r="C95" s="677"/>
      <c r="D95" s="137" t="s">
        <v>804</v>
      </c>
      <c r="E95" s="138"/>
      <c r="F95" s="139"/>
      <c r="G95" s="139"/>
      <c r="H95" s="140"/>
      <c r="I95" s="141"/>
      <c r="J95" s="142"/>
      <c r="K95" s="143"/>
    </row>
    <row r="96" spans="1:11" ht="13.2" customHeight="1" x14ac:dyDescent="0.25">
      <c r="A96" s="2"/>
      <c r="B96" s="20" t="s">
        <v>4</v>
      </c>
      <c r="C96" s="21" t="s">
        <v>969</v>
      </c>
      <c r="D96" s="14"/>
      <c r="E96" s="22"/>
      <c r="F96" s="23"/>
      <c r="G96" s="23"/>
      <c r="H96" s="24" t="s">
        <v>235</v>
      </c>
      <c r="I96" s="41">
        <v>2</v>
      </c>
      <c r="J96" s="25">
        <f>J86</f>
        <v>800000</v>
      </c>
      <c r="K96" s="26">
        <f t="shared" ref="K96:K104" si="4">I96*J96</f>
        <v>1600000</v>
      </c>
    </row>
    <row r="97" spans="1:11" ht="13.2" customHeight="1" x14ac:dyDescent="0.25">
      <c r="A97" s="2"/>
      <c r="B97" s="20" t="s">
        <v>30</v>
      </c>
      <c r="C97" s="21" t="s">
        <v>807</v>
      </c>
      <c r="D97" s="14"/>
      <c r="E97" s="22"/>
      <c r="F97" s="23"/>
      <c r="G97" s="23"/>
      <c r="H97" s="24" t="s">
        <v>203</v>
      </c>
      <c r="I97" s="36">
        <v>1</v>
      </c>
      <c r="J97" s="25">
        <f>'Harga Satuan Dasar mat'!G50</f>
        <v>143000</v>
      </c>
      <c r="K97" s="26">
        <f t="shared" si="4"/>
        <v>143000</v>
      </c>
    </row>
    <row r="98" spans="1:11" ht="13.2" customHeight="1" x14ac:dyDescent="0.25">
      <c r="A98" s="2"/>
      <c r="B98" s="20" t="s">
        <v>57</v>
      </c>
      <c r="C98" s="21" t="s">
        <v>805</v>
      </c>
      <c r="D98" s="14"/>
      <c r="E98" s="22"/>
      <c r="F98" s="23"/>
      <c r="G98" s="23"/>
      <c r="H98" s="24" t="s">
        <v>203</v>
      </c>
      <c r="I98" s="36">
        <v>1</v>
      </c>
      <c r="J98" s="25">
        <f>'Harga Satuan Dasar mat'!G77</f>
        <v>181000</v>
      </c>
      <c r="K98" s="26">
        <f t="shared" si="4"/>
        <v>181000</v>
      </c>
    </row>
    <row r="99" spans="1:11" ht="13.2" customHeight="1" x14ac:dyDescent="0.25">
      <c r="A99" s="2"/>
      <c r="B99" s="20" t="s">
        <v>83</v>
      </c>
      <c r="C99" s="21" t="s">
        <v>808</v>
      </c>
      <c r="D99" s="14"/>
      <c r="E99" s="22"/>
      <c r="F99" s="23"/>
      <c r="G99" s="23"/>
      <c r="H99" s="24" t="s">
        <v>235</v>
      </c>
      <c r="I99" s="36">
        <v>1</v>
      </c>
      <c r="J99" s="25">
        <f>J47</f>
        <v>283250</v>
      </c>
      <c r="K99" s="26">
        <f t="shared" si="4"/>
        <v>283250</v>
      </c>
    </row>
    <row r="100" spans="1:11" ht="13.2" customHeight="1" x14ac:dyDescent="0.25">
      <c r="A100" s="2"/>
      <c r="B100" s="20" t="s">
        <v>110</v>
      </c>
      <c r="C100" s="21" t="s">
        <v>806</v>
      </c>
      <c r="D100" s="14"/>
      <c r="E100" s="22"/>
      <c r="F100" s="23"/>
      <c r="G100" s="23"/>
      <c r="H100" s="24" t="s">
        <v>203</v>
      </c>
      <c r="I100" s="36">
        <v>4</v>
      </c>
      <c r="J100" s="25">
        <f>'Harga Satuan Dasar mat'!G415</f>
        <v>68500</v>
      </c>
      <c r="K100" s="26">
        <f t="shared" si="4"/>
        <v>274000</v>
      </c>
    </row>
    <row r="101" spans="1:11" ht="13.2" customHeight="1" x14ac:dyDescent="0.25">
      <c r="A101" s="2"/>
      <c r="B101" s="20" t="s">
        <v>137</v>
      </c>
      <c r="C101" s="21" t="s">
        <v>784</v>
      </c>
      <c r="D101" s="14"/>
      <c r="E101" s="22"/>
      <c r="F101" s="23"/>
      <c r="G101" s="23"/>
      <c r="H101" s="24" t="s">
        <v>203</v>
      </c>
      <c r="I101" s="36">
        <v>4</v>
      </c>
      <c r="J101" s="25">
        <f>'Harga Satuan Dasar mat'!G416</f>
        <v>33500</v>
      </c>
      <c r="K101" s="26">
        <f t="shared" si="4"/>
        <v>134000</v>
      </c>
    </row>
    <row r="102" spans="1:11" ht="13.2" customHeight="1" x14ac:dyDescent="0.25">
      <c r="A102" s="2"/>
      <c r="B102" s="20" t="s">
        <v>156</v>
      </c>
      <c r="C102" s="21" t="s">
        <v>979</v>
      </c>
      <c r="D102" s="14"/>
      <c r="E102" s="22"/>
      <c r="F102" s="23"/>
      <c r="G102" s="23"/>
      <c r="H102" s="24" t="s">
        <v>203</v>
      </c>
      <c r="I102" s="36">
        <v>5</v>
      </c>
      <c r="J102" s="25">
        <f>J90</f>
        <v>14000</v>
      </c>
      <c r="K102" s="26">
        <f t="shared" si="4"/>
        <v>70000</v>
      </c>
    </row>
    <row r="103" spans="1:11" ht="13.2" customHeight="1" x14ac:dyDescent="0.25">
      <c r="A103" s="2"/>
      <c r="B103" s="20" t="s">
        <v>175</v>
      </c>
      <c r="C103" s="21" t="s">
        <v>787</v>
      </c>
      <c r="D103" s="14"/>
      <c r="E103" s="22"/>
      <c r="F103" s="23"/>
      <c r="G103" s="23"/>
      <c r="H103" s="24" t="s">
        <v>203</v>
      </c>
      <c r="I103" s="36">
        <v>10</v>
      </c>
      <c r="J103" s="25">
        <f>J50</f>
        <v>27000</v>
      </c>
      <c r="K103" s="26">
        <f t="shared" si="4"/>
        <v>270000</v>
      </c>
    </row>
    <row r="104" spans="1:11" ht="13.2" customHeight="1" x14ac:dyDescent="0.25">
      <c r="A104" s="2"/>
      <c r="B104" s="20" t="s">
        <v>177</v>
      </c>
      <c r="C104" s="21" t="s">
        <v>971</v>
      </c>
      <c r="D104" s="14"/>
      <c r="E104" s="22"/>
      <c r="F104" s="23"/>
      <c r="G104" s="23"/>
      <c r="H104" s="24" t="s">
        <v>203</v>
      </c>
      <c r="I104" s="42">
        <v>2</v>
      </c>
      <c r="J104" s="40">
        <f>'Harga Satuan Dasar mat'!G257</f>
        <v>52500</v>
      </c>
      <c r="K104" s="26">
        <f t="shared" si="4"/>
        <v>105000</v>
      </c>
    </row>
    <row r="105" spans="1:11" ht="12.9" customHeight="1" x14ac:dyDescent="0.25">
      <c r="A105" s="6"/>
      <c r="B105" s="7"/>
      <c r="C105" s="8"/>
      <c r="D105" s="8"/>
      <c r="E105" s="8"/>
      <c r="F105" s="8"/>
      <c r="G105" s="9"/>
      <c r="H105" s="10" t="s">
        <v>715</v>
      </c>
      <c r="I105" s="11"/>
      <c r="J105" s="11"/>
      <c r="K105" s="27">
        <f>SUM(K96:K104)</f>
        <v>3060250</v>
      </c>
    </row>
    <row r="106" spans="1:11" ht="12.9" customHeight="1" x14ac:dyDescent="0.25">
      <c r="A106" s="6"/>
      <c r="B106" s="5"/>
      <c r="C106" s="3"/>
      <c r="D106" s="3"/>
      <c r="E106" s="3"/>
      <c r="F106" s="3"/>
      <c r="G106" s="4"/>
      <c r="H106" s="12" t="s">
        <v>603</v>
      </c>
      <c r="I106" s="28">
        <f>$K$3</f>
        <v>0.15</v>
      </c>
      <c r="J106" s="13"/>
      <c r="K106" s="29">
        <f>I106*K105</f>
        <v>459037.5</v>
      </c>
    </row>
    <row r="107" spans="1:11" ht="12.9" customHeight="1" x14ac:dyDescent="0.25">
      <c r="A107" s="6"/>
      <c r="B107" s="5"/>
      <c r="C107" s="3"/>
      <c r="D107" s="3"/>
      <c r="E107" s="3"/>
      <c r="F107" s="3"/>
      <c r="G107" s="4"/>
      <c r="H107" s="12" t="s">
        <v>604</v>
      </c>
      <c r="I107" s="14"/>
      <c r="J107" s="14"/>
      <c r="K107" s="29">
        <f>SUM(K105:K106)</f>
        <v>3519287.5</v>
      </c>
    </row>
    <row r="108" spans="1:11" ht="12.9" customHeight="1" thickBot="1" x14ac:dyDescent="0.3">
      <c r="A108" s="15"/>
      <c r="B108" s="16"/>
      <c r="C108" s="17"/>
      <c r="D108" s="17"/>
      <c r="E108" s="17"/>
      <c r="F108" s="17"/>
      <c r="G108" s="18"/>
      <c r="H108" s="46" t="s">
        <v>605</v>
      </c>
      <c r="I108" s="47"/>
      <c r="J108" s="47"/>
      <c r="K108" s="144">
        <f>ROUND(K107,-1)</f>
        <v>3519290</v>
      </c>
    </row>
    <row r="109" spans="1:11" ht="14.1" customHeight="1" x14ac:dyDescent="0.25">
      <c r="A109" s="81">
        <v>10</v>
      </c>
      <c r="B109" s="676" t="s">
        <v>713</v>
      </c>
      <c r="C109" s="677"/>
      <c r="D109" s="137" t="s">
        <v>809</v>
      </c>
      <c r="E109" s="138"/>
      <c r="F109" s="139"/>
      <c r="G109" s="139"/>
      <c r="H109" s="140"/>
      <c r="I109" s="141"/>
      <c r="J109" s="142"/>
      <c r="K109" s="143"/>
    </row>
    <row r="110" spans="1:11" ht="13.2" customHeight="1" x14ac:dyDescent="0.25">
      <c r="A110" s="2"/>
      <c r="B110" s="20" t="s">
        <v>4</v>
      </c>
      <c r="C110" s="21" t="s">
        <v>969</v>
      </c>
      <c r="D110" s="14"/>
      <c r="E110" s="22"/>
      <c r="F110" s="23"/>
      <c r="G110" s="23"/>
      <c r="H110" s="24" t="s">
        <v>235</v>
      </c>
      <c r="I110" s="41">
        <v>2</v>
      </c>
      <c r="J110" s="25">
        <f>J96</f>
        <v>800000</v>
      </c>
      <c r="K110" s="26">
        <f t="shared" ref="K110:K118" si="5">I110*J110</f>
        <v>1600000</v>
      </c>
    </row>
    <row r="111" spans="1:11" ht="13.2" customHeight="1" x14ac:dyDescent="0.25">
      <c r="A111" s="2"/>
      <c r="B111" s="20" t="s">
        <v>30</v>
      </c>
      <c r="C111" s="21" t="s">
        <v>810</v>
      </c>
      <c r="D111" s="14"/>
      <c r="E111" s="22"/>
      <c r="F111" s="23"/>
      <c r="G111" s="23"/>
      <c r="H111" s="24" t="s">
        <v>203</v>
      </c>
      <c r="I111" s="36">
        <v>1</v>
      </c>
      <c r="J111" s="25">
        <f>'Harga Satuan Dasar mat'!G52</f>
        <v>157500</v>
      </c>
      <c r="K111" s="26">
        <f t="shared" si="5"/>
        <v>157500</v>
      </c>
    </row>
    <row r="112" spans="1:11" ht="13.2" customHeight="1" x14ac:dyDescent="0.25">
      <c r="A112" s="2"/>
      <c r="B112" s="20" t="s">
        <v>57</v>
      </c>
      <c r="C112" s="21" t="s">
        <v>793</v>
      </c>
      <c r="D112" s="14"/>
      <c r="E112" s="22"/>
      <c r="F112" s="23"/>
      <c r="G112" s="23"/>
      <c r="H112" s="24" t="s">
        <v>203</v>
      </c>
      <c r="I112" s="36">
        <v>1</v>
      </c>
      <c r="J112" s="25">
        <f>'Harga Satuan Dasar mat'!G78</f>
        <v>189500</v>
      </c>
      <c r="K112" s="26">
        <f t="shared" si="5"/>
        <v>189500</v>
      </c>
    </row>
    <row r="113" spans="1:11" ht="13.2" customHeight="1" x14ac:dyDescent="0.25">
      <c r="A113" s="2"/>
      <c r="B113" s="20" t="s">
        <v>83</v>
      </c>
      <c r="C113" s="21" t="s">
        <v>808</v>
      </c>
      <c r="D113" s="14"/>
      <c r="E113" s="22"/>
      <c r="F113" s="23"/>
      <c r="G113" s="23"/>
      <c r="H113" s="24" t="s">
        <v>235</v>
      </c>
      <c r="I113" s="36">
        <v>1</v>
      </c>
      <c r="J113" s="25">
        <f t="shared" ref="J113:J118" si="6">J99</f>
        <v>283250</v>
      </c>
      <c r="K113" s="26">
        <f t="shared" si="5"/>
        <v>283250</v>
      </c>
    </row>
    <row r="114" spans="1:11" ht="13.2" customHeight="1" x14ac:dyDescent="0.25">
      <c r="A114" s="2"/>
      <c r="B114" s="20" t="s">
        <v>110</v>
      </c>
      <c r="C114" s="21" t="s">
        <v>806</v>
      </c>
      <c r="D114" s="14"/>
      <c r="E114" s="22"/>
      <c r="F114" s="23"/>
      <c r="G114" s="23"/>
      <c r="H114" s="24" t="s">
        <v>203</v>
      </c>
      <c r="I114" s="36">
        <v>4</v>
      </c>
      <c r="J114" s="25">
        <f t="shared" si="6"/>
        <v>68500</v>
      </c>
      <c r="K114" s="26">
        <f t="shared" si="5"/>
        <v>274000</v>
      </c>
    </row>
    <row r="115" spans="1:11" ht="13.2" customHeight="1" x14ac:dyDescent="0.25">
      <c r="A115" s="2"/>
      <c r="B115" s="20" t="s">
        <v>137</v>
      </c>
      <c r="C115" s="21" t="s">
        <v>784</v>
      </c>
      <c r="D115" s="14"/>
      <c r="E115" s="22"/>
      <c r="F115" s="23"/>
      <c r="G115" s="23"/>
      <c r="H115" s="24" t="s">
        <v>203</v>
      </c>
      <c r="I115" s="36">
        <v>4</v>
      </c>
      <c r="J115" s="25">
        <f t="shared" si="6"/>
        <v>33500</v>
      </c>
      <c r="K115" s="26">
        <f t="shared" si="5"/>
        <v>134000</v>
      </c>
    </row>
    <row r="116" spans="1:11" ht="13.2" customHeight="1" x14ac:dyDescent="0.25">
      <c r="A116" s="2"/>
      <c r="B116" s="20" t="s">
        <v>156</v>
      </c>
      <c r="C116" s="21" t="s">
        <v>979</v>
      </c>
      <c r="D116" s="14"/>
      <c r="E116" s="22"/>
      <c r="F116" s="23"/>
      <c r="G116" s="23"/>
      <c r="H116" s="24" t="s">
        <v>203</v>
      </c>
      <c r="I116" s="36">
        <v>5</v>
      </c>
      <c r="J116" s="25">
        <f t="shared" si="6"/>
        <v>14000</v>
      </c>
      <c r="K116" s="26">
        <f t="shared" si="5"/>
        <v>70000</v>
      </c>
    </row>
    <row r="117" spans="1:11" ht="13.2" customHeight="1" x14ac:dyDescent="0.25">
      <c r="A117" s="2"/>
      <c r="B117" s="20" t="s">
        <v>175</v>
      </c>
      <c r="C117" s="21" t="s">
        <v>787</v>
      </c>
      <c r="D117" s="14"/>
      <c r="E117" s="22"/>
      <c r="F117" s="23"/>
      <c r="G117" s="23"/>
      <c r="H117" s="24" t="s">
        <v>203</v>
      </c>
      <c r="I117" s="36">
        <v>10</v>
      </c>
      <c r="J117" s="25">
        <f t="shared" si="6"/>
        <v>27000</v>
      </c>
      <c r="K117" s="26">
        <f t="shared" si="5"/>
        <v>270000</v>
      </c>
    </row>
    <row r="118" spans="1:11" ht="13.2" customHeight="1" x14ac:dyDescent="0.25">
      <c r="A118" s="2"/>
      <c r="B118" s="20" t="s">
        <v>177</v>
      </c>
      <c r="C118" s="21" t="s">
        <v>971</v>
      </c>
      <c r="D118" s="14"/>
      <c r="E118" s="22"/>
      <c r="F118" s="23"/>
      <c r="G118" s="23"/>
      <c r="H118" s="24" t="s">
        <v>203</v>
      </c>
      <c r="I118" s="42">
        <v>2</v>
      </c>
      <c r="J118" s="40">
        <f t="shared" si="6"/>
        <v>52500</v>
      </c>
      <c r="K118" s="26">
        <f t="shared" si="5"/>
        <v>105000</v>
      </c>
    </row>
    <row r="119" spans="1:11" ht="12.9" customHeight="1" x14ac:dyDescent="0.25">
      <c r="A119" s="6"/>
      <c r="B119" s="7"/>
      <c r="C119" s="8"/>
      <c r="D119" s="8"/>
      <c r="E119" s="8"/>
      <c r="F119" s="8"/>
      <c r="G119" s="9"/>
      <c r="H119" s="10" t="s">
        <v>715</v>
      </c>
      <c r="I119" s="11"/>
      <c r="J119" s="11"/>
      <c r="K119" s="27">
        <f>SUM(K110:K118)</f>
        <v>3083250</v>
      </c>
    </row>
    <row r="120" spans="1:11" ht="12.9" customHeight="1" x14ac:dyDescent="0.25">
      <c r="A120" s="6"/>
      <c r="B120" s="5"/>
      <c r="C120" s="3"/>
      <c r="D120" s="3"/>
      <c r="E120" s="3"/>
      <c r="F120" s="3"/>
      <c r="G120" s="4"/>
      <c r="H120" s="12" t="s">
        <v>603</v>
      </c>
      <c r="I120" s="28">
        <f>$K$3</f>
        <v>0.15</v>
      </c>
      <c r="J120" s="13"/>
      <c r="K120" s="29">
        <f>I120*K119</f>
        <v>462487.5</v>
      </c>
    </row>
    <row r="121" spans="1:11" ht="12.9" customHeight="1" x14ac:dyDescent="0.25">
      <c r="A121" s="6"/>
      <c r="B121" s="5"/>
      <c r="C121" s="3"/>
      <c r="D121" s="3"/>
      <c r="E121" s="3"/>
      <c r="F121" s="3"/>
      <c r="G121" s="4"/>
      <c r="H121" s="12" t="s">
        <v>604</v>
      </c>
      <c r="I121" s="14"/>
      <c r="J121" s="14"/>
      <c r="K121" s="29">
        <f>SUM(K119:K120)</f>
        <v>3545737.5</v>
      </c>
    </row>
    <row r="122" spans="1:11" ht="12.9" customHeight="1" thickBot="1" x14ac:dyDescent="0.3">
      <c r="A122" s="15"/>
      <c r="B122" s="16"/>
      <c r="C122" s="17"/>
      <c r="D122" s="17"/>
      <c r="E122" s="17"/>
      <c r="F122" s="17"/>
      <c r="G122" s="18"/>
      <c r="H122" s="46" t="s">
        <v>605</v>
      </c>
      <c r="I122" s="47"/>
      <c r="J122" s="47"/>
      <c r="K122" s="144">
        <f>ROUND(K121,-1)</f>
        <v>3545740</v>
      </c>
    </row>
    <row r="123" spans="1:11" ht="14.1" customHeight="1" x14ac:dyDescent="0.25">
      <c r="A123" s="81">
        <v>11</v>
      </c>
      <c r="B123" s="676" t="s">
        <v>713</v>
      </c>
      <c r="C123" s="677"/>
      <c r="D123" s="137" t="s">
        <v>811</v>
      </c>
      <c r="E123" s="138"/>
      <c r="F123" s="139"/>
      <c r="G123" s="139"/>
      <c r="H123" s="140"/>
      <c r="I123" s="141"/>
      <c r="J123" s="142"/>
      <c r="K123" s="143"/>
    </row>
    <row r="124" spans="1:11" ht="13.2" customHeight="1" x14ac:dyDescent="0.25">
      <c r="A124" s="2"/>
      <c r="B124" s="20" t="s">
        <v>4</v>
      </c>
      <c r="C124" s="21" t="s">
        <v>969</v>
      </c>
      <c r="D124" s="14"/>
      <c r="E124" s="22"/>
      <c r="F124" s="23"/>
      <c r="G124" s="23"/>
      <c r="H124" s="24" t="s">
        <v>235</v>
      </c>
      <c r="I124" s="41">
        <v>2</v>
      </c>
      <c r="J124" s="25">
        <f>J110</f>
        <v>800000</v>
      </c>
      <c r="K124" s="26">
        <f t="shared" ref="K124:K132" si="7">I124*J124</f>
        <v>1600000</v>
      </c>
    </row>
    <row r="125" spans="1:11" ht="13.2" customHeight="1" x14ac:dyDescent="0.25">
      <c r="A125" s="2"/>
      <c r="B125" s="20" t="s">
        <v>30</v>
      </c>
      <c r="C125" s="21" t="s">
        <v>812</v>
      </c>
      <c r="D125" s="14"/>
      <c r="E125" s="22"/>
      <c r="F125" s="23"/>
      <c r="G125" s="23"/>
      <c r="H125" s="24" t="s">
        <v>203</v>
      </c>
      <c r="I125" s="36">
        <v>1</v>
      </c>
      <c r="J125" s="25">
        <f>'Harga Satuan Dasar mat'!G48</f>
        <v>128000</v>
      </c>
      <c r="K125" s="26">
        <f t="shared" si="7"/>
        <v>128000</v>
      </c>
    </row>
    <row r="126" spans="1:11" ht="13.2" customHeight="1" x14ac:dyDescent="0.25">
      <c r="A126" s="2"/>
      <c r="B126" s="20" t="s">
        <v>57</v>
      </c>
      <c r="C126" s="21" t="s">
        <v>796</v>
      </c>
      <c r="D126" s="14"/>
      <c r="E126" s="22"/>
      <c r="F126" s="23"/>
      <c r="G126" s="23"/>
      <c r="H126" s="24" t="s">
        <v>203</v>
      </c>
      <c r="I126" s="36">
        <v>1</v>
      </c>
      <c r="J126" s="25">
        <f>'Harga Satuan Dasar mat'!G74</f>
        <v>156000</v>
      </c>
      <c r="K126" s="26">
        <f t="shared" si="7"/>
        <v>156000</v>
      </c>
    </row>
    <row r="127" spans="1:11" ht="13.2" customHeight="1" x14ac:dyDescent="0.25">
      <c r="A127" s="2"/>
      <c r="B127" s="20" t="s">
        <v>83</v>
      </c>
      <c r="C127" s="21" t="s">
        <v>808</v>
      </c>
      <c r="D127" s="14"/>
      <c r="E127" s="22"/>
      <c r="F127" s="23"/>
      <c r="G127" s="23"/>
      <c r="H127" s="24" t="s">
        <v>235</v>
      </c>
      <c r="I127" s="36">
        <v>1</v>
      </c>
      <c r="J127" s="25">
        <f t="shared" ref="J127:J132" si="8">J113</f>
        <v>283250</v>
      </c>
      <c r="K127" s="26">
        <f t="shared" si="7"/>
        <v>283250</v>
      </c>
    </row>
    <row r="128" spans="1:11" ht="13.2" customHeight="1" x14ac:dyDescent="0.25">
      <c r="A128" s="2"/>
      <c r="B128" s="20" t="s">
        <v>110</v>
      </c>
      <c r="C128" s="21" t="s">
        <v>806</v>
      </c>
      <c r="D128" s="14"/>
      <c r="E128" s="22"/>
      <c r="F128" s="23"/>
      <c r="G128" s="23"/>
      <c r="H128" s="24" t="s">
        <v>203</v>
      </c>
      <c r="I128" s="36">
        <v>4</v>
      </c>
      <c r="J128" s="25">
        <f t="shared" si="8"/>
        <v>68500</v>
      </c>
      <c r="K128" s="26">
        <f t="shared" si="7"/>
        <v>274000</v>
      </c>
    </row>
    <row r="129" spans="1:11" ht="13.2" customHeight="1" x14ac:dyDescent="0.25">
      <c r="A129" s="2"/>
      <c r="B129" s="20" t="s">
        <v>137</v>
      </c>
      <c r="C129" s="21" t="s">
        <v>784</v>
      </c>
      <c r="D129" s="14"/>
      <c r="E129" s="22"/>
      <c r="F129" s="23"/>
      <c r="G129" s="23"/>
      <c r="H129" s="24" t="s">
        <v>203</v>
      </c>
      <c r="I129" s="36">
        <v>4</v>
      </c>
      <c r="J129" s="25">
        <f t="shared" si="8"/>
        <v>33500</v>
      </c>
      <c r="K129" s="26">
        <f t="shared" si="7"/>
        <v>134000</v>
      </c>
    </row>
    <row r="130" spans="1:11" ht="13.2" customHeight="1" x14ac:dyDescent="0.25">
      <c r="A130" s="2"/>
      <c r="B130" s="20" t="s">
        <v>156</v>
      </c>
      <c r="C130" s="21" t="s">
        <v>979</v>
      </c>
      <c r="D130" s="14"/>
      <c r="E130" s="22"/>
      <c r="F130" s="23"/>
      <c r="G130" s="23"/>
      <c r="H130" s="24" t="s">
        <v>203</v>
      </c>
      <c r="I130" s="36">
        <v>5</v>
      </c>
      <c r="J130" s="25">
        <f t="shared" si="8"/>
        <v>14000</v>
      </c>
      <c r="K130" s="26">
        <f t="shared" si="7"/>
        <v>70000</v>
      </c>
    </row>
    <row r="131" spans="1:11" ht="13.2" customHeight="1" x14ac:dyDescent="0.25">
      <c r="A131" s="2"/>
      <c r="B131" s="20" t="s">
        <v>175</v>
      </c>
      <c r="C131" s="21" t="s">
        <v>787</v>
      </c>
      <c r="D131" s="14"/>
      <c r="E131" s="22"/>
      <c r="F131" s="23"/>
      <c r="G131" s="23"/>
      <c r="H131" s="24" t="s">
        <v>203</v>
      </c>
      <c r="I131" s="36">
        <v>10</v>
      </c>
      <c r="J131" s="25">
        <f t="shared" si="8"/>
        <v>27000</v>
      </c>
      <c r="K131" s="26">
        <f t="shared" si="7"/>
        <v>270000</v>
      </c>
    </row>
    <row r="132" spans="1:11" ht="13.2" customHeight="1" x14ac:dyDescent="0.25">
      <c r="A132" s="2"/>
      <c r="B132" s="20" t="s">
        <v>177</v>
      </c>
      <c r="C132" s="21" t="s">
        <v>971</v>
      </c>
      <c r="D132" s="14"/>
      <c r="E132" s="22"/>
      <c r="F132" s="23"/>
      <c r="G132" s="23"/>
      <c r="H132" s="24" t="s">
        <v>203</v>
      </c>
      <c r="I132" s="42">
        <v>2</v>
      </c>
      <c r="J132" s="40">
        <f t="shared" si="8"/>
        <v>52500</v>
      </c>
      <c r="K132" s="26">
        <f t="shared" si="7"/>
        <v>105000</v>
      </c>
    </row>
    <row r="133" spans="1:11" ht="12.9" customHeight="1" x14ac:dyDescent="0.25">
      <c r="A133" s="6"/>
      <c r="B133" s="7"/>
      <c r="C133" s="8"/>
      <c r="D133" s="8"/>
      <c r="E133" s="8"/>
      <c r="F133" s="8"/>
      <c r="G133" s="9"/>
      <c r="H133" s="10" t="s">
        <v>715</v>
      </c>
      <c r="I133" s="11"/>
      <c r="J133" s="11"/>
      <c r="K133" s="27">
        <f>SUM(K124:K132)</f>
        <v>3020250</v>
      </c>
    </row>
    <row r="134" spans="1:11" ht="12.9" customHeight="1" x14ac:dyDescent="0.25">
      <c r="A134" s="6"/>
      <c r="B134" s="5"/>
      <c r="C134" s="3"/>
      <c r="D134" s="3"/>
      <c r="E134" s="3"/>
      <c r="F134" s="3"/>
      <c r="G134" s="4"/>
      <c r="H134" s="12" t="s">
        <v>603</v>
      </c>
      <c r="I134" s="28">
        <f>$K$3</f>
        <v>0.15</v>
      </c>
      <c r="J134" s="13"/>
      <c r="K134" s="29">
        <f>I134*K133</f>
        <v>453037.5</v>
      </c>
    </row>
    <row r="135" spans="1:11" ht="12.9" customHeight="1" x14ac:dyDescent="0.25">
      <c r="A135" s="6"/>
      <c r="B135" s="5"/>
      <c r="C135" s="3"/>
      <c r="D135" s="3"/>
      <c r="E135" s="3"/>
      <c r="F135" s="3"/>
      <c r="G135" s="4"/>
      <c r="H135" s="12" t="s">
        <v>604</v>
      </c>
      <c r="I135" s="14"/>
      <c r="J135" s="14"/>
      <c r="K135" s="29">
        <f>SUM(K133:K134)</f>
        <v>3473287.5</v>
      </c>
    </row>
    <row r="136" spans="1:11" ht="12.9" customHeight="1" thickBot="1" x14ac:dyDescent="0.3">
      <c r="A136" s="15"/>
      <c r="B136" s="16"/>
      <c r="C136" s="17"/>
      <c r="D136" s="17"/>
      <c r="E136" s="17"/>
      <c r="F136" s="17"/>
      <c r="G136" s="18"/>
      <c r="H136" s="46" t="s">
        <v>605</v>
      </c>
      <c r="I136" s="47"/>
      <c r="J136" s="47"/>
      <c r="K136" s="144">
        <f>ROUND(K135,-1)</f>
        <v>3473290</v>
      </c>
    </row>
    <row r="137" spans="1:11" ht="14.1" customHeight="1" x14ac:dyDescent="0.25">
      <c r="A137" s="81">
        <v>12</v>
      </c>
      <c r="B137" s="676" t="s">
        <v>713</v>
      </c>
      <c r="C137" s="677"/>
      <c r="D137" s="137" t="s">
        <v>813</v>
      </c>
      <c r="E137" s="138"/>
      <c r="F137" s="139"/>
      <c r="G137" s="139"/>
      <c r="H137" s="140"/>
      <c r="I137" s="141"/>
      <c r="J137" s="142"/>
      <c r="K137" s="143"/>
    </row>
    <row r="138" spans="1:11" ht="13.2" customHeight="1" x14ac:dyDescent="0.25">
      <c r="A138" s="2"/>
      <c r="B138" s="20" t="s">
        <v>4</v>
      </c>
      <c r="C138" s="21" t="s">
        <v>969</v>
      </c>
      <c r="D138" s="14"/>
      <c r="E138" s="22"/>
      <c r="F138" s="23"/>
      <c r="G138" s="23"/>
      <c r="H138" s="24" t="s">
        <v>235</v>
      </c>
      <c r="I138" s="41">
        <v>2</v>
      </c>
      <c r="J138" s="25">
        <f>J124</f>
        <v>800000</v>
      </c>
      <c r="K138" s="26">
        <f t="shared" ref="K138:K146" si="9">I138*J138</f>
        <v>1600000</v>
      </c>
    </row>
    <row r="139" spans="1:11" ht="13.2" customHeight="1" x14ac:dyDescent="0.25">
      <c r="A139" s="2"/>
      <c r="B139" s="20" t="s">
        <v>30</v>
      </c>
      <c r="C139" s="21" t="s">
        <v>814</v>
      </c>
      <c r="D139" s="14"/>
      <c r="E139" s="22"/>
      <c r="F139" s="23"/>
      <c r="G139" s="23"/>
      <c r="H139" s="24" t="s">
        <v>203</v>
      </c>
      <c r="I139" s="36">
        <v>1</v>
      </c>
      <c r="J139" s="25">
        <f>'Harga Satuan Dasar mat'!G46</f>
        <v>112500</v>
      </c>
      <c r="K139" s="26">
        <f t="shared" si="9"/>
        <v>112500</v>
      </c>
    </row>
    <row r="140" spans="1:11" ht="13.2" customHeight="1" x14ac:dyDescent="0.25">
      <c r="A140" s="2"/>
      <c r="B140" s="20" t="s">
        <v>57</v>
      </c>
      <c r="C140" s="21" t="s">
        <v>802</v>
      </c>
      <c r="D140" s="14"/>
      <c r="E140" s="22"/>
      <c r="F140" s="23"/>
      <c r="G140" s="23"/>
      <c r="H140" s="24" t="s">
        <v>203</v>
      </c>
      <c r="I140" s="36">
        <v>1</v>
      </c>
      <c r="J140" s="25">
        <f>'Harga Satuan Dasar mat'!G72</f>
        <v>138500</v>
      </c>
      <c r="K140" s="26">
        <f t="shared" si="9"/>
        <v>138500</v>
      </c>
    </row>
    <row r="141" spans="1:11" ht="13.2" customHeight="1" x14ac:dyDescent="0.25">
      <c r="A141" s="2"/>
      <c r="B141" s="20" t="s">
        <v>83</v>
      </c>
      <c r="C141" s="21" t="s">
        <v>808</v>
      </c>
      <c r="D141" s="14"/>
      <c r="E141" s="22"/>
      <c r="F141" s="23"/>
      <c r="G141" s="23"/>
      <c r="H141" s="24" t="s">
        <v>235</v>
      </c>
      <c r="I141" s="36">
        <v>1</v>
      </c>
      <c r="J141" s="25">
        <f t="shared" ref="J141:J146" si="10">J127</f>
        <v>283250</v>
      </c>
      <c r="K141" s="26">
        <f t="shared" si="9"/>
        <v>283250</v>
      </c>
    </row>
    <row r="142" spans="1:11" ht="13.2" customHeight="1" x14ac:dyDescent="0.25">
      <c r="A142" s="2"/>
      <c r="B142" s="20" t="s">
        <v>110</v>
      </c>
      <c r="C142" s="21" t="s">
        <v>806</v>
      </c>
      <c r="D142" s="14"/>
      <c r="E142" s="22"/>
      <c r="F142" s="23"/>
      <c r="G142" s="23"/>
      <c r="H142" s="24" t="s">
        <v>203</v>
      </c>
      <c r="I142" s="36">
        <v>4</v>
      </c>
      <c r="J142" s="25">
        <f t="shared" si="10"/>
        <v>68500</v>
      </c>
      <c r="K142" s="26">
        <f t="shared" si="9"/>
        <v>274000</v>
      </c>
    </row>
    <row r="143" spans="1:11" ht="13.2" customHeight="1" x14ac:dyDescent="0.25">
      <c r="A143" s="2"/>
      <c r="B143" s="20" t="s">
        <v>137</v>
      </c>
      <c r="C143" s="21" t="s">
        <v>784</v>
      </c>
      <c r="D143" s="14"/>
      <c r="E143" s="22"/>
      <c r="F143" s="23"/>
      <c r="G143" s="23"/>
      <c r="H143" s="24" t="s">
        <v>203</v>
      </c>
      <c r="I143" s="36">
        <v>4</v>
      </c>
      <c r="J143" s="25">
        <f t="shared" si="10"/>
        <v>33500</v>
      </c>
      <c r="K143" s="26">
        <f t="shared" si="9"/>
        <v>134000</v>
      </c>
    </row>
    <row r="144" spans="1:11" ht="13.2" customHeight="1" x14ac:dyDescent="0.25">
      <c r="A144" s="2"/>
      <c r="B144" s="20" t="s">
        <v>156</v>
      </c>
      <c r="C144" s="21" t="s">
        <v>979</v>
      </c>
      <c r="D144" s="14"/>
      <c r="E144" s="22"/>
      <c r="F144" s="23"/>
      <c r="G144" s="23"/>
      <c r="H144" s="24" t="s">
        <v>203</v>
      </c>
      <c r="I144" s="36">
        <v>5</v>
      </c>
      <c r="J144" s="25">
        <f t="shared" si="10"/>
        <v>14000</v>
      </c>
      <c r="K144" s="26">
        <f t="shared" si="9"/>
        <v>70000</v>
      </c>
    </row>
    <row r="145" spans="1:11" ht="13.2" customHeight="1" x14ac:dyDescent="0.25">
      <c r="A145" s="2"/>
      <c r="B145" s="20" t="s">
        <v>175</v>
      </c>
      <c r="C145" s="21" t="s">
        <v>787</v>
      </c>
      <c r="D145" s="14"/>
      <c r="E145" s="22"/>
      <c r="F145" s="23"/>
      <c r="G145" s="23"/>
      <c r="H145" s="24" t="s">
        <v>203</v>
      </c>
      <c r="I145" s="36">
        <v>10</v>
      </c>
      <c r="J145" s="25">
        <f t="shared" si="10"/>
        <v>27000</v>
      </c>
      <c r="K145" s="26">
        <f t="shared" si="9"/>
        <v>270000</v>
      </c>
    </row>
    <row r="146" spans="1:11" ht="13.2" customHeight="1" x14ac:dyDescent="0.25">
      <c r="A146" s="2"/>
      <c r="B146" s="20" t="s">
        <v>177</v>
      </c>
      <c r="C146" s="21" t="s">
        <v>971</v>
      </c>
      <c r="D146" s="14"/>
      <c r="E146" s="22"/>
      <c r="F146" s="23"/>
      <c r="G146" s="23"/>
      <c r="H146" s="24" t="s">
        <v>203</v>
      </c>
      <c r="I146" s="42">
        <v>2</v>
      </c>
      <c r="J146" s="40">
        <f t="shared" si="10"/>
        <v>52500</v>
      </c>
      <c r="K146" s="26">
        <f t="shared" si="9"/>
        <v>105000</v>
      </c>
    </row>
    <row r="147" spans="1:11" ht="12.9" customHeight="1" x14ac:dyDescent="0.25">
      <c r="A147" s="6"/>
      <c r="B147" s="7"/>
      <c r="C147" s="8"/>
      <c r="D147" s="8"/>
      <c r="E147" s="8"/>
      <c r="F147" s="8"/>
      <c r="G147" s="9"/>
      <c r="H147" s="10" t="s">
        <v>715</v>
      </c>
      <c r="I147" s="11"/>
      <c r="J147" s="11"/>
      <c r="K147" s="27">
        <f>SUM(K138:K146)</f>
        <v>2987250</v>
      </c>
    </row>
    <row r="148" spans="1:11" ht="12.9" customHeight="1" x14ac:dyDescent="0.25">
      <c r="A148" s="6"/>
      <c r="B148" s="5"/>
      <c r="C148" s="3"/>
      <c r="D148" s="3"/>
      <c r="E148" s="3"/>
      <c r="F148" s="3"/>
      <c r="G148" s="4"/>
      <c r="H148" s="12" t="s">
        <v>603</v>
      </c>
      <c r="I148" s="28">
        <f>$K$3</f>
        <v>0.15</v>
      </c>
      <c r="J148" s="13"/>
      <c r="K148" s="29">
        <f>I148*K147</f>
        <v>448087.5</v>
      </c>
    </row>
    <row r="149" spans="1:11" ht="12.9" customHeight="1" x14ac:dyDescent="0.25">
      <c r="A149" s="6"/>
      <c r="B149" s="5"/>
      <c r="C149" s="3"/>
      <c r="D149" s="3"/>
      <c r="E149" s="3"/>
      <c r="F149" s="3"/>
      <c r="G149" s="4"/>
      <c r="H149" s="12" t="s">
        <v>604</v>
      </c>
      <c r="I149" s="14"/>
      <c r="J149" s="14"/>
      <c r="K149" s="29">
        <f>SUM(K147:K148)</f>
        <v>3435337.5</v>
      </c>
    </row>
    <row r="150" spans="1:11" ht="12.9" customHeight="1" thickBot="1" x14ac:dyDescent="0.3">
      <c r="A150" s="15"/>
      <c r="B150" s="16"/>
      <c r="C150" s="17"/>
      <c r="D150" s="17"/>
      <c r="E150" s="17"/>
      <c r="F150" s="17"/>
      <c r="G150" s="18"/>
      <c r="H150" s="46" t="s">
        <v>605</v>
      </c>
      <c r="I150" s="47"/>
      <c r="J150" s="47"/>
      <c r="K150" s="144">
        <f>ROUND(K149,-1)</f>
        <v>3435340</v>
      </c>
    </row>
    <row r="151" spans="1:11" ht="14.1" customHeight="1" x14ac:dyDescent="0.25">
      <c r="A151" s="81">
        <v>13</v>
      </c>
      <c r="B151" s="676" t="s">
        <v>713</v>
      </c>
      <c r="C151" s="677"/>
      <c r="D151" s="137" t="s">
        <v>820</v>
      </c>
      <c r="E151" s="138"/>
      <c r="F151" s="139"/>
      <c r="G151" s="139"/>
      <c r="H151" s="140"/>
      <c r="I151" s="141"/>
      <c r="J151" s="142"/>
      <c r="K151" s="143"/>
    </row>
    <row r="152" spans="1:11" ht="13.2" customHeight="1" x14ac:dyDescent="0.25">
      <c r="A152" s="2"/>
      <c r="B152" s="20" t="s">
        <v>4</v>
      </c>
      <c r="C152" s="21" t="s">
        <v>969</v>
      </c>
      <c r="D152" s="14"/>
      <c r="E152" s="22"/>
      <c r="F152" s="23"/>
      <c r="G152" s="23"/>
      <c r="H152" s="24" t="s">
        <v>235</v>
      </c>
      <c r="I152" s="41">
        <v>2</v>
      </c>
      <c r="J152" s="161">
        <f>'Harga Satuan Dasar mat'!G147</f>
        <v>800000</v>
      </c>
      <c r="K152" s="26">
        <f t="shared" ref="K152:K160" si="11">I152*J152</f>
        <v>1600000</v>
      </c>
    </row>
    <row r="153" spans="1:11" ht="13.2" customHeight="1" x14ac:dyDescent="0.25">
      <c r="A153" s="2"/>
      <c r="B153" s="20" t="s">
        <v>30</v>
      </c>
      <c r="C153" s="21" t="s">
        <v>807</v>
      </c>
      <c r="D153" s="14"/>
      <c r="E153" s="22"/>
      <c r="F153" s="23"/>
      <c r="G153" s="23"/>
      <c r="H153" s="24" t="s">
        <v>203</v>
      </c>
      <c r="I153" s="36">
        <v>1</v>
      </c>
      <c r="J153" s="25">
        <f>'Harga Satuan Dasar mat'!G50</f>
        <v>143000</v>
      </c>
      <c r="K153" s="26">
        <f t="shared" si="11"/>
        <v>143000</v>
      </c>
    </row>
    <row r="154" spans="1:11" ht="13.2" customHeight="1" x14ac:dyDescent="0.25">
      <c r="A154" s="2"/>
      <c r="B154" s="20" t="s">
        <v>57</v>
      </c>
      <c r="C154" s="21" t="s">
        <v>805</v>
      </c>
      <c r="D154" s="14"/>
      <c r="E154" s="22"/>
      <c r="F154" s="23"/>
      <c r="G154" s="23"/>
      <c r="H154" s="24" t="s">
        <v>203</v>
      </c>
      <c r="I154" s="36">
        <v>1</v>
      </c>
      <c r="J154" s="25">
        <f>'Harga Satuan Dasar mat'!G77</f>
        <v>181000</v>
      </c>
      <c r="K154" s="26">
        <f t="shared" si="11"/>
        <v>181000</v>
      </c>
    </row>
    <row r="155" spans="1:11" ht="13.2" customHeight="1" x14ac:dyDescent="0.25">
      <c r="A155" s="2"/>
      <c r="B155" s="20" t="s">
        <v>83</v>
      </c>
      <c r="C155" s="21" t="s">
        <v>808</v>
      </c>
      <c r="D155" s="14"/>
      <c r="E155" s="22"/>
      <c r="F155" s="23"/>
      <c r="G155" s="23"/>
      <c r="H155" s="24" t="s">
        <v>235</v>
      </c>
      <c r="I155" s="36">
        <v>1</v>
      </c>
      <c r="J155" s="25">
        <f t="shared" ref="J155:J160" si="12">J141</f>
        <v>283250</v>
      </c>
      <c r="K155" s="26">
        <f t="shared" si="11"/>
        <v>283250</v>
      </c>
    </row>
    <row r="156" spans="1:11" ht="13.2" customHeight="1" x14ac:dyDescent="0.25">
      <c r="A156" s="2"/>
      <c r="B156" s="20" t="s">
        <v>110</v>
      </c>
      <c r="C156" s="21" t="s">
        <v>806</v>
      </c>
      <c r="D156" s="14"/>
      <c r="E156" s="22"/>
      <c r="F156" s="23"/>
      <c r="G156" s="23"/>
      <c r="H156" s="24" t="s">
        <v>203</v>
      </c>
      <c r="I156" s="36">
        <v>4</v>
      </c>
      <c r="J156" s="25">
        <f t="shared" si="12"/>
        <v>68500</v>
      </c>
      <c r="K156" s="26">
        <f t="shared" si="11"/>
        <v>274000</v>
      </c>
    </row>
    <row r="157" spans="1:11" ht="13.2" customHeight="1" x14ac:dyDescent="0.25">
      <c r="A157" s="2"/>
      <c r="B157" s="20" t="s">
        <v>137</v>
      </c>
      <c r="C157" s="21" t="s">
        <v>784</v>
      </c>
      <c r="D157" s="14"/>
      <c r="E157" s="22"/>
      <c r="F157" s="23"/>
      <c r="G157" s="23"/>
      <c r="H157" s="24" t="s">
        <v>203</v>
      </c>
      <c r="I157" s="36">
        <v>4</v>
      </c>
      <c r="J157" s="25">
        <f t="shared" si="12"/>
        <v>33500</v>
      </c>
      <c r="K157" s="26">
        <f t="shared" si="11"/>
        <v>134000</v>
      </c>
    </row>
    <row r="158" spans="1:11" ht="13.2" customHeight="1" x14ac:dyDescent="0.25">
      <c r="A158" s="2"/>
      <c r="B158" s="20" t="s">
        <v>156</v>
      </c>
      <c r="C158" s="21" t="s">
        <v>979</v>
      </c>
      <c r="D158" s="14"/>
      <c r="E158" s="22"/>
      <c r="F158" s="23"/>
      <c r="G158" s="23"/>
      <c r="H158" s="24" t="s">
        <v>203</v>
      </c>
      <c r="I158" s="36">
        <v>5</v>
      </c>
      <c r="J158" s="25">
        <f t="shared" si="12"/>
        <v>14000</v>
      </c>
      <c r="K158" s="26">
        <f t="shared" si="11"/>
        <v>70000</v>
      </c>
    </row>
    <row r="159" spans="1:11" ht="13.2" customHeight="1" x14ac:dyDescent="0.25">
      <c r="A159" s="2"/>
      <c r="B159" s="20" t="s">
        <v>175</v>
      </c>
      <c r="C159" s="21" t="s">
        <v>787</v>
      </c>
      <c r="D159" s="14"/>
      <c r="E159" s="22"/>
      <c r="F159" s="23"/>
      <c r="G159" s="23"/>
      <c r="H159" s="24" t="s">
        <v>203</v>
      </c>
      <c r="I159" s="36">
        <v>10</v>
      </c>
      <c r="J159" s="25">
        <f t="shared" si="12"/>
        <v>27000</v>
      </c>
      <c r="K159" s="26">
        <f t="shared" si="11"/>
        <v>270000</v>
      </c>
    </row>
    <row r="160" spans="1:11" ht="13.2" customHeight="1" x14ac:dyDescent="0.25">
      <c r="A160" s="2"/>
      <c r="B160" s="20" t="s">
        <v>177</v>
      </c>
      <c r="C160" s="21" t="s">
        <v>971</v>
      </c>
      <c r="D160" s="14"/>
      <c r="E160" s="22"/>
      <c r="F160" s="23"/>
      <c r="G160" s="23"/>
      <c r="H160" s="24" t="s">
        <v>203</v>
      </c>
      <c r="I160" s="42">
        <v>2</v>
      </c>
      <c r="J160" s="40">
        <f t="shared" si="12"/>
        <v>52500</v>
      </c>
      <c r="K160" s="26">
        <f t="shared" si="11"/>
        <v>105000</v>
      </c>
    </row>
    <row r="161" spans="1:11" ht="12.9" customHeight="1" x14ac:dyDescent="0.25">
      <c r="A161" s="6"/>
      <c r="B161" s="7"/>
      <c r="C161" s="8"/>
      <c r="D161" s="8"/>
      <c r="E161" s="8"/>
      <c r="F161" s="8"/>
      <c r="G161" s="9"/>
      <c r="H161" s="10" t="s">
        <v>715</v>
      </c>
      <c r="I161" s="11"/>
      <c r="J161" s="11"/>
      <c r="K161" s="27">
        <f>SUM(K152:K160)</f>
        <v>3060250</v>
      </c>
    </row>
    <row r="162" spans="1:11" ht="12.9" customHeight="1" x14ac:dyDescent="0.25">
      <c r="A162" s="6"/>
      <c r="B162" s="5"/>
      <c r="C162" s="3"/>
      <c r="D162" s="3"/>
      <c r="E162" s="3"/>
      <c r="F162" s="3"/>
      <c r="G162" s="4"/>
      <c r="H162" s="12" t="s">
        <v>603</v>
      </c>
      <c r="I162" s="28">
        <f>$K$3</f>
        <v>0.15</v>
      </c>
      <c r="J162" s="13"/>
      <c r="K162" s="29">
        <f>I162*K161</f>
        <v>459037.5</v>
      </c>
    </row>
    <row r="163" spans="1:11" ht="12.9" customHeight="1" x14ac:dyDescent="0.25">
      <c r="A163" s="6"/>
      <c r="B163" s="5"/>
      <c r="C163" s="3"/>
      <c r="D163" s="3"/>
      <c r="E163" s="3"/>
      <c r="F163" s="3"/>
      <c r="G163" s="4"/>
      <c r="H163" s="12" t="s">
        <v>604</v>
      </c>
      <c r="I163" s="14"/>
      <c r="J163" s="14"/>
      <c r="K163" s="29">
        <f>SUM(K161:K162)</f>
        <v>3519287.5</v>
      </c>
    </row>
    <row r="164" spans="1:11" ht="12.9" customHeight="1" thickBot="1" x14ac:dyDescent="0.3">
      <c r="A164" s="15"/>
      <c r="B164" s="16"/>
      <c r="C164" s="17"/>
      <c r="D164" s="17"/>
      <c r="E164" s="17"/>
      <c r="F164" s="17"/>
      <c r="G164" s="18"/>
      <c r="H164" s="46" t="s">
        <v>605</v>
      </c>
      <c r="I164" s="47"/>
      <c r="J164" s="47"/>
      <c r="K164" s="144">
        <f>ROUND(K163,-1)</f>
        <v>3519290</v>
      </c>
    </row>
    <row r="165" spans="1:11" ht="14.1" customHeight="1" x14ac:dyDescent="0.25">
      <c r="A165" s="81">
        <v>14</v>
      </c>
      <c r="B165" s="676" t="s">
        <v>713</v>
      </c>
      <c r="C165" s="677"/>
      <c r="D165" s="137" t="s">
        <v>821</v>
      </c>
      <c r="E165" s="138"/>
      <c r="F165" s="139"/>
      <c r="G165" s="139"/>
      <c r="H165" s="140"/>
      <c r="I165" s="141"/>
      <c r="J165" s="142"/>
      <c r="K165" s="143"/>
    </row>
    <row r="166" spans="1:11" ht="13.2" customHeight="1" x14ac:dyDescent="0.25">
      <c r="A166" s="2"/>
      <c r="B166" s="20" t="s">
        <v>4</v>
      </c>
      <c r="C166" s="21" t="s">
        <v>969</v>
      </c>
      <c r="D166" s="14"/>
      <c r="E166" s="22"/>
      <c r="F166" s="23"/>
      <c r="G166" s="23"/>
      <c r="H166" s="24" t="s">
        <v>235</v>
      </c>
      <c r="I166" s="41">
        <v>2</v>
      </c>
      <c r="J166" s="25">
        <f t="shared" ref="J166:J171" si="13">J110</f>
        <v>800000</v>
      </c>
      <c r="K166" s="26">
        <f t="shared" ref="K166:K174" si="14">I166*J166</f>
        <v>1600000</v>
      </c>
    </row>
    <row r="167" spans="1:11" ht="13.2" customHeight="1" x14ac:dyDescent="0.25">
      <c r="A167" s="2"/>
      <c r="B167" s="20" t="s">
        <v>30</v>
      </c>
      <c r="C167" s="21" t="s">
        <v>810</v>
      </c>
      <c r="D167" s="14"/>
      <c r="E167" s="22"/>
      <c r="F167" s="23"/>
      <c r="G167" s="23"/>
      <c r="H167" s="24" t="s">
        <v>203</v>
      </c>
      <c r="I167" s="36">
        <v>1</v>
      </c>
      <c r="J167" s="25">
        <f t="shared" si="13"/>
        <v>157500</v>
      </c>
      <c r="K167" s="26">
        <f t="shared" si="14"/>
        <v>157500</v>
      </c>
    </row>
    <row r="168" spans="1:11" ht="13.2" customHeight="1" x14ac:dyDescent="0.25">
      <c r="A168" s="2"/>
      <c r="B168" s="20" t="s">
        <v>57</v>
      </c>
      <c r="C168" s="21" t="s">
        <v>793</v>
      </c>
      <c r="D168" s="14"/>
      <c r="E168" s="22"/>
      <c r="F168" s="23"/>
      <c r="G168" s="23"/>
      <c r="H168" s="24" t="s">
        <v>203</v>
      </c>
      <c r="I168" s="36">
        <v>1</v>
      </c>
      <c r="J168" s="25">
        <f t="shared" si="13"/>
        <v>189500</v>
      </c>
      <c r="K168" s="26">
        <f t="shared" si="14"/>
        <v>189500</v>
      </c>
    </row>
    <row r="169" spans="1:11" ht="13.2" customHeight="1" x14ac:dyDescent="0.25">
      <c r="A169" s="2"/>
      <c r="B169" s="20" t="s">
        <v>83</v>
      </c>
      <c r="C169" s="21" t="s">
        <v>808</v>
      </c>
      <c r="D169" s="14"/>
      <c r="E169" s="22"/>
      <c r="F169" s="23"/>
      <c r="G169" s="23"/>
      <c r="H169" s="24" t="s">
        <v>235</v>
      </c>
      <c r="I169" s="36">
        <v>1</v>
      </c>
      <c r="J169" s="25">
        <f t="shared" si="13"/>
        <v>283250</v>
      </c>
      <c r="K169" s="26">
        <f t="shared" si="14"/>
        <v>283250</v>
      </c>
    </row>
    <row r="170" spans="1:11" ht="13.2" customHeight="1" x14ac:dyDescent="0.25">
      <c r="A170" s="2"/>
      <c r="B170" s="20" t="s">
        <v>110</v>
      </c>
      <c r="C170" s="21" t="s">
        <v>806</v>
      </c>
      <c r="D170" s="14"/>
      <c r="E170" s="22"/>
      <c r="F170" s="23"/>
      <c r="G170" s="23"/>
      <c r="H170" s="24" t="s">
        <v>203</v>
      </c>
      <c r="I170" s="36">
        <v>4</v>
      </c>
      <c r="J170" s="25">
        <f t="shared" si="13"/>
        <v>68500</v>
      </c>
      <c r="K170" s="26">
        <f t="shared" si="14"/>
        <v>274000</v>
      </c>
    </row>
    <row r="171" spans="1:11" ht="13.2" customHeight="1" x14ac:dyDescent="0.25">
      <c r="A171" s="2"/>
      <c r="B171" s="20" t="s">
        <v>137</v>
      </c>
      <c r="C171" s="21" t="s">
        <v>784</v>
      </c>
      <c r="D171" s="14"/>
      <c r="E171" s="22"/>
      <c r="F171" s="23"/>
      <c r="G171" s="23"/>
      <c r="H171" s="24" t="s">
        <v>203</v>
      </c>
      <c r="I171" s="36">
        <v>4</v>
      </c>
      <c r="J171" s="25">
        <f t="shared" si="13"/>
        <v>33500</v>
      </c>
      <c r="K171" s="26">
        <f t="shared" si="14"/>
        <v>134000</v>
      </c>
    </row>
    <row r="172" spans="1:11" ht="13.2" customHeight="1" x14ac:dyDescent="0.25">
      <c r="A172" s="2"/>
      <c r="B172" s="20" t="s">
        <v>156</v>
      </c>
      <c r="C172" s="21" t="s">
        <v>979</v>
      </c>
      <c r="D172" s="14"/>
      <c r="E172" s="22"/>
      <c r="F172" s="23"/>
      <c r="G172" s="23"/>
      <c r="H172" s="24" t="s">
        <v>203</v>
      </c>
      <c r="I172" s="36">
        <v>5</v>
      </c>
      <c r="J172" s="25">
        <f>J158</f>
        <v>14000</v>
      </c>
      <c r="K172" s="26">
        <f t="shared" si="14"/>
        <v>70000</v>
      </c>
    </row>
    <row r="173" spans="1:11" ht="13.2" customHeight="1" x14ac:dyDescent="0.25">
      <c r="A173" s="2"/>
      <c r="B173" s="20" t="s">
        <v>175</v>
      </c>
      <c r="C173" s="21" t="s">
        <v>787</v>
      </c>
      <c r="D173" s="14"/>
      <c r="E173" s="22"/>
      <c r="F173" s="23"/>
      <c r="G173" s="23"/>
      <c r="H173" s="24" t="s">
        <v>203</v>
      </c>
      <c r="I173" s="36">
        <v>10</v>
      </c>
      <c r="J173" s="25">
        <f>J117</f>
        <v>27000</v>
      </c>
      <c r="K173" s="26">
        <f t="shared" si="14"/>
        <v>270000</v>
      </c>
    </row>
    <row r="174" spans="1:11" ht="13.2" customHeight="1" x14ac:dyDescent="0.25">
      <c r="A174" s="2"/>
      <c r="B174" s="20" t="s">
        <v>177</v>
      </c>
      <c r="C174" s="21" t="s">
        <v>971</v>
      </c>
      <c r="D174" s="14"/>
      <c r="E174" s="22"/>
      <c r="F174" s="23"/>
      <c r="G174" s="23"/>
      <c r="H174" s="24" t="s">
        <v>203</v>
      </c>
      <c r="I174" s="42">
        <v>2</v>
      </c>
      <c r="J174" s="40">
        <f>J160</f>
        <v>52500</v>
      </c>
      <c r="K174" s="26">
        <f t="shared" si="14"/>
        <v>105000</v>
      </c>
    </row>
    <row r="175" spans="1:11" ht="12.9" customHeight="1" x14ac:dyDescent="0.25">
      <c r="A175" s="6"/>
      <c r="B175" s="7"/>
      <c r="C175" s="8"/>
      <c r="D175" s="8"/>
      <c r="E175" s="8"/>
      <c r="F175" s="8"/>
      <c r="G175" s="9"/>
      <c r="H175" s="10" t="s">
        <v>715</v>
      </c>
      <c r="I175" s="11"/>
      <c r="J175" s="11"/>
      <c r="K175" s="27">
        <f>SUM(K166:K174)</f>
        <v>3083250</v>
      </c>
    </row>
    <row r="176" spans="1:11" ht="12.9" customHeight="1" x14ac:dyDescent="0.25">
      <c r="A176" s="6"/>
      <c r="B176" s="5"/>
      <c r="C176" s="3"/>
      <c r="D176" s="3"/>
      <c r="E176" s="3"/>
      <c r="F176" s="3"/>
      <c r="G176" s="4"/>
      <c r="H176" s="12" t="s">
        <v>603</v>
      </c>
      <c r="I176" s="28">
        <f>$K$3</f>
        <v>0.15</v>
      </c>
      <c r="J176" s="13"/>
      <c r="K176" s="29">
        <f>I176*K175</f>
        <v>462487.5</v>
      </c>
    </row>
    <row r="177" spans="1:11" ht="12.9" customHeight="1" x14ac:dyDescent="0.25">
      <c r="A177" s="6"/>
      <c r="B177" s="5"/>
      <c r="C177" s="3"/>
      <c r="D177" s="3"/>
      <c r="E177" s="3"/>
      <c r="F177" s="3"/>
      <c r="G177" s="4"/>
      <c r="H177" s="12" t="s">
        <v>604</v>
      </c>
      <c r="I177" s="14"/>
      <c r="J177" s="14"/>
      <c r="K177" s="29">
        <f>SUM(K175:K176)</f>
        <v>3545737.5</v>
      </c>
    </row>
    <row r="178" spans="1:11" ht="12.9" customHeight="1" thickBot="1" x14ac:dyDescent="0.3">
      <c r="A178" s="15"/>
      <c r="B178" s="16"/>
      <c r="C178" s="17"/>
      <c r="D178" s="17"/>
      <c r="E178" s="17"/>
      <c r="F178" s="17"/>
      <c r="G178" s="18"/>
      <c r="H178" s="46" t="s">
        <v>605</v>
      </c>
      <c r="I178" s="47"/>
      <c r="J178" s="47"/>
      <c r="K178" s="144">
        <f>ROUND(K177,-1)</f>
        <v>3545740</v>
      </c>
    </row>
    <row r="179" spans="1:11" ht="14.1" customHeight="1" x14ac:dyDescent="0.25">
      <c r="A179" s="81">
        <v>15</v>
      </c>
      <c r="B179" s="676" t="s">
        <v>713</v>
      </c>
      <c r="C179" s="677"/>
      <c r="D179" s="137" t="s">
        <v>822</v>
      </c>
      <c r="E179" s="138"/>
      <c r="F179" s="139"/>
      <c r="G179" s="139"/>
      <c r="H179" s="140"/>
      <c r="I179" s="141"/>
      <c r="J179" s="142"/>
      <c r="K179" s="143"/>
    </row>
    <row r="180" spans="1:11" ht="13.2" customHeight="1" x14ac:dyDescent="0.25">
      <c r="A180" s="2"/>
      <c r="B180" s="20" t="s">
        <v>4</v>
      </c>
      <c r="C180" s="21" t="s">
        <v>969</v>
      </c>
      <c r="D180" s="14"/>
      <c r="E180" s="22"/>
      <c r="F180" s="23"/>
      <c r="G180" s="23"/>
      <c r="H180" s="24" t="s">
        <v>235</v>
      </c>
      <c r="I180" s="41">
        <v>2</v>
      </c>
      <c r="J180" s="25">
        <f t="shared" ref="J180:J185" si="15">J124</f>
        <v>800000</v>
      </c>
      <c r="K180" s="26">
        <f t="shared" ref="K180:K188" si="16">I180*J180</f>
        <v>1600000</v>
      </c>
    </row>
    <row r="181" spans="1:11" ht="13.2" customHeight="1" x14ac:dyDescent="0.25">
      <c r="A181" s="2"/>
      <c r="B181" s="20" t="s">
        <v>30</v>
      </c>
      <c r="C181" s="21" t="s">
        <v>812</v>
      </c>
      <c r="D181" s="14"/>
      <c r="E181" s="22"/>
      <c r="F181" s="23"/>
      <c r="G181" s="23"/>
      <c r="H181" s="24" t="s">
        <v>203</v>
      </c>
      <c r="I181" s="36">
        <v>1</v>
      </c>
      <c r="J181" s="25">
        <f t="shared" si="15"/>
        <v>128000</v>
      </c>
      <c r="K181" s="26">
        <f t="shared" si="16"/>
        <v>128000</v>
      </c>
    </row>
    <row r="182" spans="1:11" ht="13.2" customHeight="1" x14ac:dyDescent="0.25">
      <c r="A182" s="2"/>
      <c r="B182" s="20" t="s">
        <v>57</v>
      </c>
      <c r="C182" s="21" t="s">
        <v>796</v>
      </c>
      <c r="D182" s="14"/>
      <c r="E182" s="22"/>
      <c r="F182" s="23"/>
      <c r="G182" s="23"/>
      <c r="H182" s="24" t="s">
        <v>203</v>
      </c>
      <c r="I182" s="36">
        <v>1</v>
      </c>
      <c r="J182" s="25">
        <f t="shared" si="15"/>
        <v>156000</v>
      </c>
      <c r="K182" s="26">
        <f t="shared" si="16"/>
        <v>156000</v>
      </c>
    </row>
    <row r="183" spans="1:11" ht="13.2" customHeight="1" x14ac:dyDescent="0.25">
      <c r="A183" s="2"/>
      <c r="B183" s="20" t="s">
        <v>83</v>
      </c>
      <c r="C183" s="21" t="s">
        <v>808</v>
      </c>
      <c r="D183" s="14"/>
      <c r="E183" s="22"/>
      <c r="F183" s="23"/>
      <c r="G183" s="23"/>
      <c r="H183" s="24" t="s">
        <v>235</v>
      </c>
      <c r="I183" s="36">
        <v>1</v>
      </c>
      <c r="J183" s="25">
        <f t="shared" si="15"/>
        <v>283250</v>
      </c>
      <c r="K183" s="26">
        <f t="shared" si="16"/>
        <v>283250</v>
      </c>
    </row>
    <row r="184" spans="1:11" ht="13.2" customHeight="1" x14ac:dyDescent="0.25">
      <c r="A184" s="2"/>
      <c r="B184" s="20" t="s">
        <v>110</v>
      </c>
      <c r="C184" s="21" t="s">
        <v>806</v>
      </c>
      <c r="D184" s="14"/>
      <c r="E184" s="22"/>
      <c r="F184" s="23"/>
      <c r="G184" s="23"/>
      <c r="H184" s="24" t="s">
        <v>203</v>
      </c>
      <c r="I184" s="36">
        <v>4</v>
      </c>
      <c r="J184" s="25">
        <f t="shared" si="15"/>
        <v>68500</v>
      </c>
      <c r="K184" s="26">
        <f t="shared" si="16"/>
        <v>274000</v>
      </c>
    </row>
    <row r="185" spans="1:11" ht="13.2" customHeight="1" x14ac:dyDescent="0.25">
      <c r="A185" s="2"/>
      <c r="B185" s="20" t="s">
        <v>137</v>
      </c>
      <c r="C185" s="21" t="s">
        <v>784</v>
      </c>
      <c r="D185" s="14"/>
      <c r="E185" s="22"/>
      <c r="F185" s="23"/>
      <c r="G185" s="23"/>
      <c r="H185" s="24" t="s">
        <v>203</v>
      </c>
      <c r="I185" s="36">
        <v>4</v>
      </c>
      <c r="J185" s="25">
        <f t="shared" si="15"/>
        <v>33500</v>
      </c>
      <c r="K185" s="26">
        <f t="shared" si="16"/>
        <v>134000</v>
      </c>
    </row>
    <row r="186" spans="1:11" ht="13.2" customHeight="1" x14ac:dyDescent="0.25">
      <c r="A186" s="2"/>
      <c r="B186" s="20" t="s">
        <v>156</v>
      </c>
      <c r="C186" s="21" t="s">
        <v>979</v>
      </c>
      <c r="D186" s="14"/>
      <c r="E186" s="22"/>
      <c r="F186" s="23"/>
      <c r="G186" s="23"/>
      <c r="H186" s="24" t="s">
        <v>203</v>
      </c>
      <c r="I186" s="36">
        <v>5</v>
      </c>
      <c r="J186" s="25">
        <f>J172</f>
        <v>14000</v>
      </c>
      <c r="K186" s="26">
        <f t="shared" si="16"/>
        <v>70000</v>
      </c>
    </row>
    <row r="187" spans="1:11" ht="13.2" customHeight="1" x14ac:dyDescent="0.25">
      <c r="A187" s="2"/>
      <c r="B187" s="20" t="s">
        <v>175</v>
      </c>
      <c r="C187" s="21" t="s">
        <v>787</v>
      </c>
      <c r="D187" s="14"/>
      <c r="E187" s="22"/>
      <c r="F187" s="23"/>
      <c r="G187" s="23"/>
      <c r="H187" s="24" t="s">
        <v>203</v>
      </c>
      <c r="I187" s="36">
        <v>10</v>
      </c>
      <c r="J187" s="25">
        <f>J131</f>
        <v>27000</v>
      </c>
      <c r="K187" s="26">
        <f t="shared" si="16"/>
        <v>270000</v>
      </c>
    </row>
    <row r="188" spans="1:11" ht="13.2" customHeight="1" x14ac:dyDescent="0.25">
      <c r="A188" s="2"/>
      <c r="B188" s="20" t="s">
        <v>177</v>
      </c>
      <c r="C188" s="21" t="s">
        <v>971</v>
      </c>
      <c r="D188" s="14"/>
      <c r="E188" s="22"/>
      <c r="F188" s="23"/>
      <c r="G188" s="23"/>
      <c r="H188" s="24" t="s">
        <v>203</v>
      </c>
      <c r="I188" s="42">
        <v>2</v>
      </c>
      <c r="J188" s="40">
        <f>J174</f>
        <v>52500</v>
      </c>
      <c r="K188" s="26">
        <f t="shared" si="16"/>
        <v>105000</v>
      </c>
    </row>
    <row r="189" spans="1:11" ht="12.9" customHeight="1" x14ac:dyDescent="0.25">
      <c r="A189" s="6"/>
      <c r="B189" s="7"/>
      <c r="C189" s="8"/>
      <c r="D189" s="8"/>
      <c r="E189" s="8"/>
      <c r="F189" s="8"/>
      <c r="G189" s="9"/>
      <c r="H189" s="10" t="s">
        <v>715</v>
      </c>
      <c r="I189" s="11"/>
      <c r="J189" s="11"/>
      <c r="K189" s="27">
        <f>SUM(K180:K188)</f>
        <v>3020250</v>
      </c>
    </row>
    <row r="190" spans="1:11" ht="12.9" customHeight="1" x14ac:dyDescent="0.25">
      <c r="A190" s="6"/>
      <c r="B190" s="5"/>
      <c r="C190" s="3"/>
      <c r="D190" s="3"/>
      <c r="E190" s="3"/>
      <c r="F190" s="3"/>
      <c r="G190" s="4"/>
      <c r="H190" s="12" t="s">
        <v>603</v>
      </c>
      <c r="I190" s="28">
        <f>$K$3</f>
        <v>0.15</v>
      </c>
      <c r="J190" s="13"/>
      <c r="K190" s="29">
        <f>I190*K189</f>
        <v>453037.5</v>
      </c>
    </row>
    <row r="191" spans="1:11" ht="12.9" customHeight="1" x14ac:dyDescent="0.25">
      <c r="A191" s="6"/>
      <c r="B191" s="5"/>
      <c r="C191" s="3"/>
      <c r="D191" s="3"/>
      <c r="E191" s="3"/>
      <c r="F191" s="3"/>
      <c r="G191" s="4"/>
      <c r="H191" s="12" t="s">
        <v>604</v>
      </c>
      <c r="I191" s="14"/>
      <c r="J191" s="14"/>
      <c r="K191" s="29">
        <f>SUM(K189:K190)</f>
        <v>3473287.5</v>
      </c>
    </row>
    <row r="192" spans="1:11" ht="12.9" customHeight="1" thickBot="1" x14ac:dyDescent="0.3">
      <c r="A192" s="15"/>
      <c r="B192" s="16"/>
      <c r="C192" s="17"/>
      <c r="D192" s="17"/>
      <c r="E192" s="17"/>
      <c r="F192" s="17"/>
      <c r="G192" s="18"/>
      <c r="H192" s="46" t="s">
        <v>605</v>
      </c>
      <c r="I192" s="47"/>
      <c r="J192" s="47"/>
      <c r="K192" s="144">
        <f>ROUND(K191,-1)</f>
        <v>3473290</v>
      </c>
    </row>
    <row r="193" spans="1:11" ht="14.1" customHeight="1" x14ac:dyDescent="0.25">
      <c r="A193" s="81">
        <v>16</v>
      </c>
      <c r="B193" s="676" t="s">
        <v>713</v>
      </c>
      <c r="C193" s="677"/>
      <c r="D193" s="137" t="s">
        <v>823</v>
      </c>
      <c r="E193" s="138"/>
      <c r="F193" s="139"/>
      <c r="G193" s="139"/>
      <c r="H193" s="140"/>
      <c r="I193" s="141"/>
      <c r="J193" s="142"/>
      <c r="K193" s="143"/>
    </row>
    <row r="194" spans="1:11" ht="12.75" customHeight="1" x14ac:dyDescent="0.25">
      <c r="A194" s="2"/>
      <c r="B194" s="20" t="s">
        <v>4</v>
      </c>
      <c r="C194" s="21" t="s">
        <v>969</v>
      </c>
      <c r="D194" s="14"/>
      <c r="E194" s="22"/>
      <c r="F194" s="23"/>
      <c r="G194" s="23"/>
      <c r="H194" s="24" t="s">
        <v>235</v>
      </c>
      <c r="I194" s="41">
        <v>2</v>
      </c>
      <c r="J194" s="25">
        <f t="shared" ref="J194:J199" si="17">J138</f>
        <v>800000</v>
      </c>
      <c r="K194" s="26">
        <f t="shared" ref="K194:K202" si="18">I194*J194</f>
        <v>1600000</v>
      </c>
    </row>
    <row r="195" spans="1:11" ht="12.75" customHeight="1" x14ac:dyDescent="0.25">
      <c r="A195" s="2"/>
      <c r="B195" s="20" t="s">
        <v>30</v>
      </c>
      <c r="C195" s="21" t="s">
        <v>814</v>
      </c>
      <c r="D195" s="14"/>
      <c r="E195" s="22"/>
      <c r="F195" s="23"/>
      <c r="G195" s="23"/>
      <c r="H195" s="24" t="s">
        <v>203</v>
      </c>
      <c r="I195" s="36">
        <v>1</v>
      </c>
      <c r="J195" s="25">
        <f t="shared" si="17"/>
        <v>112500</v>
      </c>
      <c r="K195" s="26">
        <f t="shared" si="18"/>
        <v>112500</v>
      </c>
    </row>
    <row r="196" spans="1:11" ht="12.75" customHeight="1" x14ac:dyDescent="0.25">
      <c r="A196" s="2"/>
      <c r="B196" s="20" t="s">
        <v>57</v>
      </c>
      <c r="C196" s="21" t="s">
        <v>802</v>
      </c>
      <c r="D196" s="14"/>
      <c r="E196" s="22"/>
      <c r="F196" s="23"/>
      <c r="G196" s="23"/>
      <c r="H196" s="24" t="s">
        <v>203</v>
      </c>
      <c r="I196" s="36">
        <v>1</v>
      </c>
      <c r="J196" s="25">
        <f t="shared" si="17"/>
        <v>138500</v>
      </c>
      <c r="K196" s="26">
        <f t="shared" si="18"/>
        <v>138500</v>
      </c>
    </row>
    <row r="197" spans="1:11" ht="12.75" customHeight="1" x14ac:dyDescent="0.25">
      <c r="A197" s="2"/>
      <c r="B197" s="20" t="s">
        <v>83</v>
      </c>
      <c r="C197" s="21" t="s">
        <v>808</v>
      </c>
      <c r="D197" s="14"/>
      <c r="E197" s="22"/>
      <c r="F197" s="23"/>
      <c r="G197" s="23"/>
      <c r="H197" s="24" t="s">
        <v>235</v>
      </c>
      <c r="I197" s="36">
        <v>1</v>
      </c>
      <c r="J197" s="25">
        <f t="shared" si="17"/>
        <v>283250</v>
      </c>
      <c r="K197" s="26">
        <f t="shared" si="18"/>
        <v>283250</v>
      </c>
    </row>
    <row r="198" spans="1:11" ht="12.75" customHeight="1" x14ac:dyDescent="0.25">
      <c r="A198" s="2"/>
      <c r="B198" s="20" t="s">
        <v>110</v>
      </c>
      <c r="C198" s="21" t="s">
        <v>806</v>
      </c>
      <c r="D198" s="14"/>
      <c r="E198" s="22"/>
      <c r="F198" s="23"/>
      <c r="G198" s="23"/>
      <c r="H198" s="24" t="s">
        <v>203</v>
      </c>
      <c r="I198" s="36">
        <v>4</v>
      </c>
      <c r="J198" s="25">
        <f t="shared" si="17"/>
        <v>68500</v>
      </c>
      <c r="K198" s="26">
        <f t="shared" si="18"/>
        <v>274000</v>
      </c>
    </row>
    <row r="199" spans="1:11" ht="12.75" customHeight="1" x14ac:dyDescent="0.25">
      <c r="A199" s="2"/>
      <c r="B199" s="20" t="s">
        <v>137</v>
      </c>
      <c r="C199" s="21" t="s">
        <v>784</v>
      </c>
      <c r="D199" s="14"/>
      <c r="E199" s="22"/>
      <c r="F199" s="23"/>
      <c r="G199" s="23"/>
      <c r="H199" s="24" t="s">
        <v>203</v>
      </c>
      <c r="I199" s="36">
        <v>4</v>
      </c>
      <c r="J199" s="25">
        <f t="shared" si="17"/>
        <v>33500</v>
      </c>
      <c r="K199" s="26">
        <f t="shared" si="18"/>
        <v>134000</v>
      </c>
    </row>
    <row r="200" spans="1:11" ht="12.75" customHeight="1" x14ac:dyDescent="0.25">
      <c r="A200" s="2"/>
      <c r="B200" s="20" t="s">
        <v>156</v>
      </c>
      <c r="C200" s="21" t="s">
        <v>979</v>
      </c>
      <c r="D200" s="14"/>
      <c r="E200" s="22"/>
      <c r="F200" s="23"/>
      <c r="G200" s="23"/>
      <c r="H200" s="24" t="s">
        <v>203</v>
      </c>
      <c r="I200" s="36">
        <v>5</v>
      </c>
      <c r="J200" s="25">
        <f>J186</f>
        <v>14000</v>
      </c>
      <c r="K200" s="26">
        <f t="shared" si="18"/>
        <v>70000</v>
      </c>
    </row>
    <row r="201" spans="1:11" ht="12.75" customHeight="1" x14ac:dyDescent="0.25">
      <c r="A201" s="2"/>
      <c r="B201" s="20" t="s">
        <v>175</v>
      </c>
      <c r="C201" s="21" t="s">
        <v>787</v>
      </c>
      <c r="D201" s="14"/>
      <c r="E201" s="22"/>
      <c r="F201" s="23"/>
      <c r="G201" s="23"/>
      <c r="H201" s="24" t="s">
        <v>203</v>
      </c>
      <c r="I201" s="36">
        <v>10</v>
      </c>
      <c r="J201" s="25">
        <f>J145</f>
        <v>27000</v>
      </c>
      <c r="K201" s="26">
        <f t="shared" si="18"/>
        <v>270000</v>
      </c>
    </row>
    <row r="202" spans="1:11" ht="12.75" customHeight="1" x14ac:dyDescent="0.25">
      <c r="A202" s="2"/>
      <c r="B202" s="20" t="s">
        <v>177</v>
      </c>
      <c r="C202" s="21" t="s">
        <v>971</v>
      </c>
      <c r="D202" s="14"/>
      <c r="E202" s="22"/>
      <c r="F202" s="23"/>
      <c r="G202" s="23"/>
      <c r="H202" s="24" t="s">
        <v>203</v>
      </c>
      <c r="I202" s="42">
        <v>2</v>
      </c>
      <c r="J202" s="40">
        <f>J188</f>
        <v>52500</v>
      </c>
      <c r="K202" s="26">
        <f t="shared" si="18"/>
        <v>105000</v>
      </c>
    </row>
    <row r="203" spans="1:11" ht="12.9" customHeight="1" x14ac:dyDescent="0.25">
      <c r="A203" s="6"/>
      <c r="B203" s="7"/>
      <c r="C203" s="8"/>
      <c r="D203" s="8"/>
      <c r="E203" s="8"/>
      <c r="F203" s="8"/>
      <c r="G203" s="9"/>
      <c r="H203" s="10" t="s">
        <v>715</v>
      </c>
      <c r="I203" s="11"/>
      <c r="J203" s="11"/>
      <c r="K203" s="27">
        <f>SUM(K194:K202)</f>
        <v>2987250</v>
      </c>
    </row>
    <row r="204" spans="1:11" ht="12.9" customHeight="1" x14ac:dyDescent="0.25">
      <c r="A204" s="6"/>
      <c r="B204" s="5"/>
      <c r="C204" s="3"/>
      <c r="D204" s="3"/>
      <c r="E204" s="3"/>
      <c r="F204" s="3"/>
      <c r="G204" s="4"/>
      <c r="H204" s="12" t="s">
        <v>603</v>
      </c>
      <c r="I204" s="28">
        <f>$K$3</f>
        <v>0.15</v>
      </c>
      <c r="J204" s="13"/>
      <c r="K204" s="29">
        <f>I204*K203</f>
        <v>448087.5</v>
      </c>
    </row>
    <row r="205" spans="1:11" ht="12.9" customHeight="1" x14ac:dyDescent="0.25">
      <c r="A205" s="6"/>
      <c r="B205" s="5"/>
      <c r="C205" s="3"/>
      <c r="D205" s="3"/>
      <c r="E205" s="3"/>
      <c r="F205" s="3"/>
      <c r="G205" s="4"/>
      <c r="H205" s="12" t="s">
        <v>604</v>
      </c>
      <c r="I205" s="14"/>
      <c r="J205" s="14"/>
      <c r="K205" s="29">
        <f>SUM(K203:K204)</f>
        <v>3435337.5</v>
      </c>
    </row>
    <row r="206" spans="1:11" ht="12.9" customHeight="1" thickBot="1" x14ac:dyDescent="0.3">
      <c r="A206" s="15"/>
      <c r="B206" s="16"/>
      <c r="C206" s="17"/>
      <c r="D206" s="17"/>
      <c r="E206" s="17"/>
      <c r="F206" s="17"/>
      <c r="G206" s="18"/>
      <c r="H206" s="46" t="s">
        <v>605</v>
      </c>
      <c r="I206" s="47"/>
      <c r="J206" s="47"/>
      <c r="K206" s="144">
        <f>ROUND(K205,-1)</f>
        <v>3435340</v>
      </c>
    </row>
    <row r="207" spans="1:11" ht="14.1" customHeight="1" x14ac:dyDescent="0.25">
      <c r="A207" s="81">
        <v>17</v>
      </c>
      <c r="B207" s="676" t="s">
        <v>713</v>
      </c>
      <c r="C207" s="677"/>
      <c r="D207" s="137" t="s">
        <v>1016</v>
      </c>
      <c r="E207" s="138"/>
      <c r="F207" s="139"/>
      <c r="G207" s="139"/>
      <c r="H207" s="140"/>
      <c r="I207" s="141"/>
      <c r="J207" s="142"/>
      <c r="K207" s="143"/>
    </row>
    <row r="208" spans="1:11" ht="12.75" customHeight="1" x14ac:dyDescent="0.25">
      <c r="A208" s="2"/>
      <c r="B208" s="20" t="s">
        <v>4</v>
      </c>
      <c r="C208" s="21" t="s">
        <v>982</v>
      </c>
      <c r="D208" s="14"/>
      <c r="E208" s="22"/>
      <c r="F208" s="23"/>
      <c r="G208" s="23"/>
      <c r="H208" s="24" t="s">
        <v>235</v>
      </c>
      <c r="I208" s="41">
        <v>4</v>
      </c>
      <c r="J208" s="25">
        <f>'Harga Satuan Dasar mat'!G145</f>
        <v>1000000</v>
      </c>
      <c r="K208" s="26">
        <f>I208*J208</f>
        <v>4000000</v>
      </c>
    </row>
    <row r="209" spans="1:11" ht="12.75" customHeight="1" x14ac:dyDescent="0.25">
      <c r="A209" s="2"/>
      <c r="B209" s="20" t="s">
        <v>30</v>
      </c>
      <c r="C209" s="21" t="s">
        <v>981</v>
      </c>
      <c r="D209" s="14"/>
      <c r="E209" s="22"/>
      <c r="F209" s="23"/>
      <c r="G209" s="23"/>
      <c r="H209" s="24" t="s">
        <v>203</v>
      </c>
      <c r="I209" s="36">
        <v>4</v>
      </c>
      <c r="J209" s="25">
        <f>'Harga Satuan Dasar mat'!G50</f>
        <v>143000</v>
      </c>
      <c r="K209" s="26">
        <f>I209*J209</f>
        <v>572000</v>
      </c>
    </row>
    <row r="210" spans="1:11" ht="12.75" customHeight="1" x14ac:dyDescent="0.25">
      <c r="A210" s="2"/>
      <c r="B210" s="20" t="s">
        <v>57</v>
      </c>
      <c r="C210" s="21" t="s">
        <v>806</v>
      </c>
      <c r="D210" s="14"/>
      <c r="E210" s="22"/>
      <c r="F210" s="23"/>
      <c r="G210" s="23"/>
      <c r="H210" s="24" t="s">
        <v>203</v>
      </c>
      <c r="I210" s="36">
        <v>6</v>
      </c>
      <c r="J210" s="25">
        <f>J198</f>
        <v>68500</v>
      </c>
      <c r="K210" s="26">
        <f>I210*J210</f>
        <v>411000</v>
      </c>
    </row>
    <row r="211" spans="1:11" ht="12.75" customHeight="1" x14ac:dyDescent="0.25">
      <c r="A211" s="2"/>
      <c r="B211" s="20" t="s">
        <v>83</v>
      </c>
      <c r="C211" s="21" t="s">
        <v>787</v>
      </c>
      <c r="D211" s="14"/>
      <c r="E211" s="22"/>
      <c r="F211" s="23"/>
      <c r="G211" s="23"/>
      <c r="H211" s="24" t="s">
        <v>203</v>
      </c>
      <c r="I211" s="36">
        <v>12</v>
      </c>
      <c r="J211" s="25">
        <f>J201</f>
        <v>27000</v>
      </c>
      <c r="K211" s="26">
        <f>I211*J211</f>
        <v>324000</v>
      </c>
    </row>
    <row r="212" spans="1:11" ht="12.75" customHeight="1" x14ac:dyDescent="0.25">
      <c r="A212" s="2"/>
      <c r="B212" s="20" t="s">
        <v>110</v>
      </c>
      <c r="C212" s="21" t="s">
        <v>971</v>
      </c>
      <c r="D212" s="14"/>
      <c r="E212" s="22"/>
      <c r="F212" s="23"/>
      <c r="G212" s="23"/>
      <c r="H212" s="24" t="s">
        <v>203</v>
      </c>
      <c r="I212" s="42">
        <v>8</v>
      </c>
      <c r="J212" s="40">
        <f>J202</f>
        <v>52500</v>
      </c>
      <c r="K212" s="35">
        <f>I212*J212</f>
        <v>420000</v>
      </c>
    </row>
    <row r="213" spans="1:11" ht="12.9" customHeight="1" x14ac:dyDescent="0.25">
      <c r="A213" s="6"/>
      <c r="B213" s="7"/>
      <c r="C213" s="8"/>
      <c r="D213" s="8"/>
      <c r="E213" s="8"/>
      <c r="F213" s="8"/>
      <c r="G213" s="9"/>
      <c r="H213" s="10" t="s">
        <v>715</v>
      </c>
      <c r="I213" s="11"/>
      <c r="J213" s="11"/>
      <c r="K213" s="27">
        <f>SUM(K208:K212)</f>
        <v>5727000</v>
      </c>
    </row>
    <row r="214" spans="1:11" ht="12.9" customHeight="1" x14ac:dyDescent="0.25">
      <c r="A214" s="6"/>
      <c r="B214" s="5"/>
      <c r="C214" s="3"/>
      <c r="D214" s="3"/>
      <c r="E214" s="3"/>
      <c r="F214" s="3"/>
      <c r="G214" s="4"/>
      <c r="H214" s="12" t="s">
        <v>603</v>
      </c>
      <c r="I214" s="28">
        <f>$K$3</f>
        <v>0.15</v>
      </c>
      <c r="J214" s="13"/>
      <c r="K214" s="29">
        <f>I214*K213</f>
        <v>859050</v>
      </c>
    </row>
    <row r="215" spans="1:11" ht="12.9" customHeight="1" x14ac:dyDescent="0.25">
      <c r="A215" s="6"/>
      <c r="B215" s="5"/>
      <c r="C215" s="3"/>
      <c r="D215" s="3"/>
      <c r="E215" s="3"/>
      <c r="F215" s="3"/>
      <c r="G215" s="4"/>
      <c r="H215" s="12" t="s">
        <v>604</v>
      </c>
      <c r="I215" s="14"/>
      <c r="J215" s="14"/>
      <c r="K215" s="29">
        <f>SUM(K213:K214)</f>
        <v>6586050</v>
      </c>
    </row>
    <row r="216" spans="1:11" ht="12.9" customHeight="1" thickBot="1" x14ac:dyDescent="0.3">
      <c r="A216" s="15"/>
      <c r="B216" s="16"/>
      <c r="C216" s="17"/>
      <c r="D216" s="17"/>
      <c r="E216" s="17"/>
      <c r="F216" s="17"/>
      <c r="G216" s="18"/>
      <c r="H216" s="46" t="s">
        <v>605</v>
      </c>
      <c r="I216" s="47"/>
      <c r="J216" s="47"/>
      <c r="K216" s="144">
        <f>ROUND(K215,-1)</f>
        <v>6586050</v>
      </c>
    </row>
    <row r="217" spans="1:11" ht="14.1" customHeight="1" x14ac:dyDescent="0.25">
      <c r="A217" s="81">
        <v>18</v>
      </c>
      <c r="B217" s="676" t="s">
        <v>713</v>
      </c>
      <c r="C217" s="677"/>
      <c r="D217" s="137" t="s">
        <v>1017</v>
      </c>
      <c r="E217" s="138"/>
      <c r="F217" s="139"/>
      <c r="G217" s="139"/>
      <c r="H217" s="140"/>
      <c r="I217" s="141"/>
      <c r="J217" s="142"/>
      <c r="K217" s="143"/>
    </row>
    <row r="218" spans="1:11" ht="12.75" customHeight="1" x14ac:dyDescent="0.25">
      <c r="A218" s="2"/>
      <c r="B218" s="20" t="s">
        <v>4</v>
      </c>
      <c r="C218" s="21" t="s">
        <v>982</v>
      </c>
      <c r="D218" s="14"/>
      <c r="E218" s="22"/>
      <c r="F218" s="23"/>
      <c r="G218" s="23"/>
      <c r="H218" s="24" t="s">
        <v>235</v>
      </c>
      <c r="I218" s="41">
        <v>4</v>
      </c>
      <c r="J218" s="25">
        <f>J208</f>
        <v>1000000</v>
      </c>
      <c r="K218" s="26">
        <f>I218*J218</f>
        <v>4000000</v>
      </c>
    </row>
    <row r="219" spans="1:11" ht="12.75" customHeight="1" x14ac:dyDescent="0.25">
      <c r="A219" s="2"/>
      <c r="B219" s="20" t="s">
        <v>30</v>
      </c>
      <c r="C219" s="21" t="s">
        <v>810</v>
      </c>
      <c r="D219" s="14"/>
      <c r="E219" s="22"/>
      <c r="F219" s="23"/>
      <c r="G219" s="23"/>
      <c r="H219" s="24" t="s">
        <v>203</v>
      </c>
      <c r="I219" s="36">
        <v>4</v>
      </c>
      <c r="J219" s="25">
        <f>'Harga Satuan Dasar mat'!G52</f>
        <v>157500</v>
      </c>
      <c r="K219" s="26">
        <f>I219*J219</f>
        <v>630000</v>
      </c>
    </row>
    <row r="220" spans="1:11" ht="12.75" customHeight="1" x14ac:dyDescent="0.25">
      <c r="A220" s="2"/>
      <c r="B220" s="20" t="s">
        <v>57</v>
      </c>
      <c r="C220" s="21" t="s">
        <v>806</v>
      </c>
      <c r="D220" s="14"/>
      <c r="E220" s="22"/>
      <c r="F220" s="23"/>
      <c r="G220" s="23"/>
      <c r="H220" s="24" t="s">
        <v>203</v>
      </c>
      <c r="I220" s="36">
        <v>6</v>
      </c>
      <c r="J220" s="25">
        <f>J210</f>
        <v>68500</v>
      </c>
      <c r="K220" s="26">
        <f>I220*J220</f>
        <v>411000</v>
      </c>
    </row>
    <row r="221" spans="1:11" ht="12.75" customHeight="1" x14ac:dyDescent="0.25">
      <c r="A221" s="2"/>
      <c r="B221" s="20" t="s">
        <v>83</v>
      </c>
      <c r="C221" s="21" t="s">
        <v>787</v>
      </c>
      <c r="D221" s="14"/>
      <c r="E221" s="22"/>
      <c r="F221" s="23"/>
      <c r="G221" s="23"/>
      <c r="H221" s="24" t="s">
        <v>203</v>
      </c>
      <c r="I221" s="36">
        <v>12</v>
      </c>
      <c r="J221" s="25">
        <f>J211</f>
        <v>27000</v>
      </c>
      <c r="K221" s="26">
        <f>I221*J221</f>
        <v>324000</v>
      </c>
    </row>
    <row r="222" spans="1:11" ht="12.75" customHeight="1" x14ac:dyDescent="0.25">
      <c r="A222" s="2"/>
      <c r="B222" s="20" t="s">
        <v>110</v>
      </c>
      <c r="C222" s="21" t="s">
        <v>971</v>
      </c>
      <c r="D222" s="14"/>
      <c r="E222" s="22"/>
      <c r="F222" s="23"/>
      <c r="G222" s="23"/>
      <c r="H222" s="24" t="s">
        <v>203</v>
      </c>
      <c r="I222" s="42">
        <v>8</v>
      </c>
      <c r="J222" s="25">
        <f>J212</f>
        <v>52500</v>
      </c>
      <c r="K222" s="26">
        <f>I222*J222</f>
        <v>420000</v>
      </c>
    </row>
    <row r="223" spans="1:11" ht="12.9" customHeight="1" x14ac:dyDescent="0.25">
      <c r="A223" s="6"/>
      <c r="B223" s="7"/>
      <c r="C223" s="8"/>
      <c r="D223" s="8"/>
      <c r="E223" s="8"/>
      <c r="F223" s="8"/>
      <c r="G223" s="9"/>
      <c r="H223" s="10" t="s">
        <v>715</v>
      </c>
      <c r="I223" s="11"/>
      <c r="J223" s="11"/>
      <c r="K223" s="27">
        <f>SUM(K218:K222)</f>
        <v>5785000</v>
      </c>
    </row>
    <row r="224" spans="1:11" ht="12.9" customHeight="1" x14ac:dyDescent="0.25">
      <c r="A224" s="6"/>
      <c r="B224" s="5"/>
      <c r="C224" s="3"/>
      <c r="D224" s="3"/>
      <c r="E224" s="3"/>
      <c r="F224" s="3"/>
      <c r="G224" s="4"/>
      <c r="H224" s="12" t="s">
        <v>603</v>
      </c>
      <c r="I224" s="28">
        <f>$K$3</f>
        <v>0.15</v>
      </c>
      <c r="J224" s="13"/>
      <c r="K224" s="29">
        <f>I224*K223</f>
        <v>867750</v>
      </c>
    </row>
    <row r="225" spans="1:11" ht="12.9" customHeight="1" x14ac:dyDescent="0.25">
      <c r="A225" s="6"/>
      <c r="B225" s="5"/>
      <c r="C225" s="3"/>
      <c r="D225" s="3"/>
      <c r="E225" s="3"/>
      <c r="F225" s="3"/>
      <c r="G225" s="4"/>
      <c r="H225" s="12" t="s">
        <v>604</v>
      </c>
      <c r="I225" s="14"/>
      <c r="J225" s="14"/>
      <c r="K225" s="29">
        <f>SUM(K223:K224)</f>
        <v>6652750</v>
      </c>
    </row>
    <row r="226" spans="1:11" ht="12.9" customHeight="1" thickBot="1" x14ac:dyDescent="0.3">
      <c r="A226" s="15"/>
      <c r="B226" s="16"/>
      <c r="C226" s="17"/>
      <c r="D226" s="17"/>
      <c r="E226" s="17"/>
      <c r="F226" s="17"/>
      <c r="G226" s="18"/>
      <c r="H226" s="46" t="s">
        <v>605</v>
      </c>
      <c r="I226" s="47"/>
      <c r="J226" s="47"/>
      <c r="K226" s="144">
        <f>ROUND(K225,-1)</f>
        <v>6652750</v>
      </c>
    </row>
    <row r="227" spans="1:11" ht="14.1" customHeight="1" x14ac:dyDescent="0.25">
      <c r="A227" s="81">
        <v>19</v>
      </c>
      <c r="B227" s="676" t="s">
        <v>713</v>
      </c>
      <c r="C227" s="677"/>
      <c r="D227" s="137" t="s">
        <v>1018</v>
      </c>
      <c r="E227" s="138"/>
      <c r="F227" s="139"/>
      <c r="G227" s="139"/>
      <c r="H227" s="140"/>
      <c r="I227" s="141"/>
      <c r="J227" s="142"/>
      <c r="K227" s="143"/>
    </row>
    <row r="228" spans="1:11" ht="13.2" customHeight="1" x14ac:dyDescent="0.25">
      <c r="A228" s="2"/>
      <c r="B228" s="20" t="s">
        <v>4</v>
      </c>
      <c r="C228" s="21" t="s">
        <v>982</v>
      </c>
      <c r="D228" s="14"/>
      <c r="E228" s="22"/>
      <c r="F228" s="23"/>
      <c r="G228" s="23"/>
      <c r="H228" s="24" t="s">
        <v>235</v>
      </c>
      <c r="I228" s="41">
        <v>4</v>
      </c>
      <c r="J228" s="25">
        <f>J218</f>
        <v>1000000</v>
      </c>
      <c r="K228" s="26">
        <f>I228*J228</f>
        <v>4000000</v>
      </c>
    </row>
    <row r="229" spans="1:11" ht="13.2" customHeight="1" x14ac:dyDescent="0.25">
      <c r="A229" s="2"/>
      <c r="B229" s="20" t="s">
        <v>30</v>
      </c>
      <c r="C229" s="21" t="s">
        <v>812</v>
      </c>
      <c r="D229" s="14"/>
      <c r="E229" s="22"/>
      <c r="F229" s="23"/>
      <c r="G229" s="23"/>
      <c r="H229" s="24" t="s">
        <v>203</v>
      </c>
      <c r="I229" s="36">
        <v>4</v>
      </c>
      <c r="J229" s="25">
        <f>'Harga Satuan Dasar mat'!G48</f>
        <v>128000</v>
      </c>
      <c r="K229" s="26">
        <f>I229*J229</f>
        <v>512000</v>
      </c>
    </row>
    <row r="230" spans="1:11" ht="13.2" customHeight="1" x14ac:dyDescent="0.25">
      <c r="A230" s="2"/>
      <c r="B230" s="20" t="s">
        <v>57</v>
      </c>
      <c r="C230" s="21" t="s">
        <v>806</v>
      </c>
      <c r="D230" s="14"/>
      <c r="E230" s="22"/>
      <c r="F230" s="23"/>
      <c r="G230" s="23"/>
      <c r="H230" s="24" t="s">
        <v>203</v>
      </c>
      <c r="I230" s="36">
        <v>6</v>
      </c>
      <c r="J230" s="25">
        <f>J220</f>
        <v>68500</v>
      </c>
      <c r="K230" s="26">
        <f>I230*J230</f>
        <v>411000</v>
      </c>
    </row>
    <row r="231" spans="1:11" ht="13.2" customHeight="1" x14ac:dyDescent="0.25">
      <c r="A231" s="2"/>
      <c r="B231" s="20" t="s">
        <v>83</v>
      </c>
      <c r="C231" s="21" t="s">
        <v>787</v>
      </c>
      <c r="D231" s="14"/>
      <c r="E231" s="22"/>
      <c r="F231" s="23"/>
      <c r="G231" s="23"/>
      <c r="H231" s="24" t="s">
        <v>203</v>
      </c>
      <c r="I231" s="36">
        <v>12</v>
      </c>
      <c r="J231" s="25">
        <f>J221</f>
        <v>27000</v>
      </c>
      <c r="K231" s="26">
        <f>I231*J231</f>
        <v>324000</v>
      </c>
    </row>
    <row r="232" spans="1:11" ht="13.2" customHeight="1" x14ac:dyDescent="0.25">
      <c r="A232" s="2"/>
      <c r="B232" s="20" t="s">
        <v>110</v>
      </c>
      <c r="C232" s="21" t="s">
        <v>971</v>
      </c>
      <c r="D232" s="14"/>
      <c r="E232" s="22"/>
      <c r="F232" s="23"/>
      <c r="G232" s="23"/>
      <c r="H232" s="24" t="s">
        <v>203</v>
      </c>
      <c r="I232" s="42">
        <v>8</v>
      </c>
      <c r="J232" s="25">
        <f>J222</f>
        <v>52500</v>
      </c>
      <c r="K232" s="26">
        <f>I232*J232</f>
        <v>420000</v>
      </c>
    </row>
    <row r="233" spans="1:11" ht="12.9" customHeight="1" x14ac:dyDescent="0.25">
      <c r="A233" s="6"/>
      <c r="B233" s="7"/>
      <c r="C233" s="8"/>
      <c r="D233" s="8"/>
      <c r="E233" s="8"/>
      <c r="F233" s="8"/>
      <c r="G233" s="9"/>
      <c r="H233" s="10" t="s">
        <v>715</v>
      </c>
      <c r="I233" s="11"/>
      <c r="J233" s="11"/>
      <c r="K233" s="27">
        <f>SUM(K228:K232)</f>
        <v>5667000</v>
      </c>
    </row>
    <row r="234" spans="1:11" ht="12.9" customHeight="1" x14ac:dyDescent="0.25">
      <c r="A234" s="6"/>
      <c r="B234" s="5"/>
      <c r="C234" s="3"/>
      <c r="D234" s="3"/>
      <c r="E234" s="3"/>
      <c r="F234" s="3"/>
      <c r="G234" s="4"/>
      <c r="H234" s="12" t="s">
        <v>603</v>
      </c>
      <c r="I234" s="28">
        <f>$K$3</f>
        <v>0.15</v>
      </c>
      <c r="J234" s="13"/>
      <c r="K234" s="29">
        <f>I234*K233</f>
        <v>850050</v>
      </c>
    </row>
    <row r="235" spans="1:11" ht="12.9" customHeight="1" x14ac:dyDescent="0.25">
      <c r="A235" s="6"/>
      <c r="B235" s="5"/>
      <c r="C235" s="3"/>
      <c r="D235" s="3"/>
      <c r="E235" s="3"/>
      <c r="F235" s="3"/>
      <c r="G235" s="4"/>
      <c r="H235" s="12" t="s">
        <v>604</v>
      </c>
      <c r="I235" s="14"/>
      <c r="J235" s="14"/>
      <c r="K235" s="29">
        <f>SUM(K233:K234)</f>
        <v>6517050</v>
      </c>
    </row>
    <row r="236" spans="1:11" ht="12.9" customHeight="1" thickBot="1" x14ac:dyDescent="0.3">
      <c r="A236" s="15"/>
      <c r="B236" s="16"/>
      <c r="C236" s="17"/>
      <c r="D236" s="17"/>
      <c r="E236" s="17"/>
      <c r="F236" s="17"/>
      <c r="G236" s="18"/>
      <c r="H236" s="46" t="s">
        <v>605</v>
      </c>
      <c r="I236" s="47"/>
      <c r="J236" s="47"/>
      <c r="K236" s="144">
        <f>ROUND(K235,-1)</f>
        <v>6517050</v>
      </c>
    </row>
    <row r="237" spans="1:11" ht="14.1" customHeight="1" x14ac:dyDescent="0.25">
      <c r="A237" s="81">
        <v>20</v>
      </c>
      <c r="B237" s="676" t="s">
        <v>713</v>
      </c>
      <c r="C237" s="677"/>
      <c r="D237" s="137" t="s">
        <v>1019</v>
      </c>
      <c r="E237" s="138"/>
      <c r="F237" s="139"/>
      <c r="G237" s="139"/>
      <c r="H237" s="140"/>
      <c r="I237" s="141"/>
      <c r="J237" s="142"/>
      <c r="K237" s="143"/>
    </row>
    <row r="238" spans="1:11" ht="13.2" customHeight="1" x14ac:dyDescent="0.25">
      <c r="A238" s="2"/>
      <c r="B238" s="20" t="s">
        <v>4</v>
      </c>
      <c r="C238" s="21" t="s">
        <v>982</v>
      </c>
      <c r="D238" s="14"/>
      <c r="E238" s="22"/>
      <c r="F238" s="23"/>
      <c r="G238" s="23"/>
      <c r="H238" s="24" t="s">
        <v>235</v>
      </c>
      <c r="I238" s="41">
        <v>4</v>
      </c>
      <c r="J238" s="25">
        <f>J228</f>
        <v>1000000</v>
      </c>
      <c r="K238" s="26">
        <f>I238*J238</f>
        <v>4000000</v>
      </c>
    </row>
    <row r="239" spans="1:11" ht="13.2" customHeight="1" x14ac:dyDescent="0.25">
      <c r="A239" s="2"/>
      <c r="B239" s="20" t="s">
        <v>30</v>
      </c>
      <c r="C239" s="21" t="s">
        <v>814</v>
      </c>
      <c r="D239" s="14"/>
      <c r="E239" s="22"/>
      <c r="F239" s="23"/>
      <c r="G239" s="23"/>
      <c r="H239" s="24" t="s">
        <v>203</v>
      </c>
      <c r="I239" s="36">
        <v>4</v>
      </c>
      <c r="J239" s="25">
        <f>'Harga Satuan Dasar mat'!G46</f>
        <v>112500</v>
      </c>
      <c r="K239" s="26">
        <f>I239*J239</f>
        <v>450000</v>
      </c>
    </row>
    <row r="240" spans="1:11" ht="13.2" customHeight="1" x14ac:dyDescent="0.25">
      <c r="A240" s="2"/>
      <c r="B240" s="20" t="s">
        <v>57</v>
      </c>
      <c r="C240" s="21" t="s">
        <v>806</v>
      </c>
      <c r="D240" s="14"/>
      <c r="E240" s="22"/>
      <c r="F240" s="23"/>
      <c r="G240" s="23"/>
      <c r="H240" s="24" t="s">
        <v>203</v>
      </c>
      <c r="I240" s="36">
        <v>6</v>
      </c>
      <c r="J240" s="25">
        <f>J230</f>
        <v>68500</v>
      </c>
      <c r="K240" s="26">
        <f>I240*J240</f>
        <v>411000</v>
      </c>
    </row>
    <row r="241" spans="1:11" ht="13.2" customHeight="1" x14ac:dyDescent="0.25">
      <c r="A241" s="2"/>
      <c r="B241" s="20" t="s">
        <v>83</v>
      </c>
      <c r="C241" s="21" t="s">
        <v>787</v>
      </c>
      <c r="D241" s="14"/>
      <c r="E241" s="22"/>
      <c r="F241" s="23"/>
      <c r="G241" s="23"/>
      <c r="H241" s="24" t="s">
        <v>203</v>
      </c>
      <c r="I241" s="36">
        <v>12</v>
      </c>
      <c r="J241" s="25">
        <f>J231</f>
        <v>27000</v>
      </c>
      <c r="K241" s="26">
        <f>I241*J241</f>
        <v>324000</v>
      </c>
    </row>
    <row r="242" spans="1:11" ht="13.2" customHeight="1" x14ac:dyDescent="0.25">
      <c r="A242" s="2"/>
      <c r="B242" s="20" t="s">
        <v>110</v>
      </c>
      <c r="C242" s="21" t="s">
        <v>971</v>
      </c>
      <c r="D242" s="14"/>
      <c r="E242" s="22"/>
      <c r="F242" s="23"/>
      <c r="G242" s="23"/>
      <c r="H242" s="24" t="s">
        <v>203</v>
      </c>
      <c r="I242" s="42">
        <v>8</v>
      </c>
      <c r="J242" s="25">
        <f>J232</f>
        <v>52500</v>
      </c>
      <c r="K242" s="26">
        <f>I242*J242</f>
        <v>420000</v>
      </c>
    </row>
    <row r="243" spans="1:11" ht="12.9" customHeight="1" x14ac:dyDescent="0.25">
      <c r="A243" s="6"/>
      <c r="B243" s="7"/>
      <c r="C243" s="8"/>
      <c r="D243" s="8"/>
      <c r="E243" s="8"/>
      <c r="F243" s="8"/>
      <c r="G243" s="9"/>
      <c r="H243" s="10" t="s">
        <v>715</v>
      </c>
      <c r="I243" s="11"/>
      <c r="J243" s="11"/>
      <c r="K243" s="27">
        <f>SUM(K238:K242)</f>
        <v>5605000</v>
      </c>
    </row>
    <row r="244" spans="1:11" ht="12.9" customHeight="1" x14ac:dyDescent="0.25">
      <c r="A244" s="6"/>
      <c r="B244" s="5"/>
      <c r="C244" s="3"/>
      <c r="D244" s="3"/>
      <c r="E244" s="3"/>
      <c r="F244" s="3"/>
      <c r="G244" s="4"/>
      <c r="H244" s="12" t="s">
        <v>603</v>
      </c>
      <c r="I244" s="28">
        <f>$K$3</f>
        <v>0.15</v>
      </c>
      <c r="J244" s="13"/>
      <c r="K244" s="29">
        <f>I244*K243</f>
        <v>840750</v>
      </c>
    </row>
    <row r="245" spans="1:11" ht="12.9" customHeight="1" x14ac:dyDescent="0.25">
      <c r="A245" s="6"/>
      <c r="B245" s="5"/>
      <c r="C245" s="3"/>
      <c r="D245" s="3"/>
      <c r="E245" s="3"/>
      <c r="F245" s="3"/>
      <c r="G245" s="4"/>
      <c r="H245" s="12" t="s">
        <v>604</v>
      </c>
      <c r="I245" s="14"/>
      <c r="J245" s="14"/>
      <c r="K245" s="29">
        <f>SUM(K243:K244)</f>
        <v>6445750</v>
      </c>
    </row>
    <row r="246" spans="1:11" ht="12.9" customHeight="1" thickBot="1" x14ac:dyDescent="0.3">
      <c r="A246" s="15"/>
      <c r="B246" s="16"/>
      <c r="C246" s="17"/>
      <c r="D246" s="17"/>
      <c r="E246" s="17"/>
      <c r="F246" s="17"/>
      <c r="G246" s="18"/>
      <c r="H246" s="46" t="s">
        <v>605</v>
      </c>
      <c r="I246" s="47"/>
      <c r="J246" s="47"/>
      <c r="K246" s="144">
        <f>ROUND(K245,-1)</f>
        <v>6445750</v>
      </c>
    </row>
    <row r="247" spans="1:11" ht="14.1" customHeight="1" x14ac:dyDescent="0.25">
      <c r="A247" s="81">
        <v>21</v>
      </c>
      <c r="B247" s="676" t="s">
        <v>713</v>
      </c>
      <c r="C247" s="677"/>
      <c r="D247" s="137" t="s">
        <v>1020</v>
      </c>
      <c r="E247" s="138"/>
      <c r="F247" s="139"/>
      <c r="G247" s="139"/>
      <c r="H247" s="140"/>
      <c r="I247" s="141"/>
      <c r="J247" s="142"/>
      <c r="K247" s="143"/>
    </row>
    <row r="248" spans="1:11" ht="13.2" customHeight="1" x14ac:dyDescent="0.25">
      <c r="A248" s="2"/>
      <c r="B248" s="20" t="s">
        <v>4</v>
      </c>
      <c r="C248" s="21" t="s">
        <v>982</v>
      </c>
      <c r="D248" s="14"/>
      <c r="E248" s="22"/>
      <c r="F248" s="23"/>
      <c r="G248" s="23"/>
      <c r="H248" s="24" t="s">
        <v>235</v>
      </c>
      <c r="I248" s="41">
        <v>2</v>
      </c>
      <c r="J248" s="25">
        <f>J208</f>
        <v>1000000</v>
      </c>
      <c r="K248" s="26">
        <f>I248*J248</f>
        <v>2000000</v>
      </c>
    </row>
    <row r="249" spans="1:11" ht="13.2" customHeight="1" x14ac:dyDescent="0.25">
      <c r="A249" s="2"/>
      <c r="B249" s="20" t="s">
        <v>30</v>
      </c>
      <c r="C249" s="21" t="s">
        <v>981</v>
      </c>
      <c r="D249" s="14"/>
      <c r="E249" s="22"/>
      <c r="F249" s="23"/>
      <c r="G249" s="23"/>
      <c r="H249" s="24" t="s">
        <v>203</v>
      </c>
      <c r="I249" s="36">
        <v>2</v>
      </c>
      <c r="J249" s="25">
        <f>J209</f>
        <v>143000</v>
      </c>
      <c r="K249" s="26">
        <f>I249*J249</f>
        <v>286000</v>
      </c>
    </row>
    <row r="250" spans="1:11" ht="13.2" customHeight="1" x14ac:dyDescent="0.25">
      <c r="A250" s="2"/>
      <c r="B250" s="20" t="s">
        <v>57</v>
      </c>
      <c r="C250" s="21" t="s">
        <v>806</v>
      </c>
      <c r="D250" s="14"/>
      <c r="E250" s="22"/>
      <c r="F250" s="23"/>
      <c r="G250" s="23"/>
      <c r="H250" s="24" t="s">
        <v>203</v>
      </c>
      <c r="I250" s="36">
        <v>6</v>
      </c>
      <c r="J250" s="25">
        <f>J210</f>
        <v>68500</v>
      </c>
      <c r="K250" s="26">
        <f>I250*J250</f>
        <v>411000</v>
      </c>
    </row>
    <row r="251" spans="1:11" ht="13.2" customHeight="1" x14ac:dyDescent="0.25">
      <c r="A251" s="2"/>
      <c r="B251" s="20" t="s">
        <v>83</v>
      </c>
      <c r="C251" s="21" t="s">
        <v>787</v>
      </c>
      <c r="D251" s="14"/>
      <c r="E251" s="22"/>
      <c r="F251" s="23"/>
      <c r="G251" s="23"/>
      <c r="H251" s="24" t="s">
        <v>203</v>
      </c>
      <c r="I251" s="36">
        <v>12</v>
      </c>
      <c r="J251" s="25">
        <f>J211</f>
        <v>27000</v>
      </c>
      <c r="K251" s="26">
        <f>I251*J251</f>
        <v>324000</v>
      </c>
    </row>
    <row r="252" spans="1:11" ht="13.2" customHeight="1" x14ac:dyDescent="0.25">
      <c r="A252" s="2"/>
      <c r="B252" s="20" t="s">
        <v>110</v>
      </c>
      <c r="C252" s="21" t="s">
        <v>971</v>
      </c>
      <c r="D252" s="14"/>
      <c r="E252" s="22"/>
      <c r="F252" s="23"/>
      <c r="G252" s="23"/>
      <c r="H252" s="24" t="s">
        <v>203</v>
      </c>
      <c r="I252" s="42">
        <v>4</v>
      </c>
      <c r="J252" s="25">
        <f>J212</f>
        <v>52500</v>
      </c>
      <c r="K252" s="35">
        <f>I252*J252</f>
        <v>210000</v>
      </c>
    </row>
    <row r="253" spans="1:11" ht="12.9" customHeight="1" x14ac:dyDescent="0.25">
      <c r="A253" s="6"/>
      <c r="B253" s="7"/>
      <c r="C253" s="8"/>
      <c r="D253" s="8"/>
      <c r="E253" s="8"/>
      <c r="F253" s="8"/>
      <c r="G253" s="9"/>
      <c r="H253" s="10" t="s">
        <v>715</v>
      </c>
      <c r="I253" s="11"/>
      <c r="J253" s="11"/>
      <c r="K253" s="27">
        <f>SUM(K248:K252)</f>
        <v>3231000</v>
      </c>
    </row>
    <row r="254" spans="1:11" ht="12.9" customHeight="1" x14ac:dyDescent="0.25">
      <c r="A254" s="6"/>
      <c r="B254" s="5"/>
      <c r="C254" s="3"/>
      <c r="D254" s="3"/>
      <c r="E254" s="3"/>
      <c r="F254" s="3"/>
      <c r="G254" s="4"/>
      <c r="H254" s="12" t="s">
        <v>603</v>
      </c>
      <c r="I254" s="28">
        <f>$K$3</f>
        <v>0.15</v>
      </c>
      <c r="J254" s="13"/>
      <c r="K254" s="29">
        <f>I254*K253</f>
        <v>484650</v>
      </c>
    </row>
    <row r="255" spans="1:11" ht="12.9" customHeight="1" x14ac:dyDescent="0.25">
      <c r="A255" s="6"/>
      <c r="B255" s="5"/>
      <c r="C255" s="3"/>
      <c r="D255" s="3"/>
      <c r="E255" s="3"/>
      <c r="F255" s="3"/>
      <c r="G255" s="4"/>
      <c r="H255" s="12" t="s">
        <v>604</v>
      </c>
      <c r="I255" s="14"/>
      <c r="J255" s="14"/>
      <c r="K255" s="29">
        <f>SUM(K253:K254)</f>
        <v>3715650</v>
      </c>
    </row>
    <row r="256" spans="1:11" ht="12.9" customHeight="1" thickBot="1" x14ac:dyDescent="0.3">
      <c r="A256" s="15"/>
      <c r="B256" s="16"/>
      <c r="C256" s="17"/>
      <c r="D256" s="17"/>
      <c r="E256" s="17"/>
      <c r="F256" s="17"/>
      <c r="G256" s="18"/>
      <c r="H256" s="46" t="s">
        <v>605</v>
      </c>
      <c r="I256" s="47"/>
      <c r="J256" s="47"/>
      <c r="K256" s="144">
        <f>ROUND(K255,-1)</f>
        <v>3715650</v>
      </c>
    </row>
    <row r="257" spans="1:11" ht="14.1" customHeight="1" x14ac:dyDescent="0.25">
      <c r="A257" s="81">
        <v>22</v>
      </c>
      <c r="B257" s="676" t="s">
        <v>713</v>
      </c>
      <c r="C257" s="677"/>
      <c r="D257" s="137" t="s">
        <v>1021</v>
      </c>
      <c r="E257" s="138"/>
      <c r="F257" s="139"/>
      <c r="G257" s="139"/>
      <c r="H257" s="140"/>
      <c r="I257" s="141"/>
      <c r="J257" s="142"/>
      <c r="K257" s="143"/>
    </row>
    <row r="258" spans="1:11" ht="13.2" customHeight="1" x14ac:dyDescent="0.25">
      <c r="A258" s="2"/>
      <c r="B258" s="20" t="s">
        <v>4</v>
      </c>
      <c r="C258" s="21" t="s">
        <v>982</v>
      </c>
      <c r="D258" s="14"/>
      <c r="E258" s="22"/>
      <c r="F258" s="23"/>
      <c r="G258" s="23"/>
      <c r="H258" s="24" t="s">
        <v>235</v>
      </c>
      <c r="I258" s="41">
        <v>2</v>
      </c>
      <c r="J258" s="25">
        <f>J248</f>
        <v>1000000</v>
      </c>
      <c r="K258" s="26">
        <f>I258*J258</f>
        <v>2000000</v>
      </c>
    </row>
    <row r="259" spans="1:11" ht="13.2" customHeight="1" x14ac:dyDescent="0.25">
      <c r="A259" s="2"/>
      <c r="B259" s="20" t="s">
        <v>30</v>
      </c>
      <c r="C259" s="21" t="s">
        <v>810</v>
      </c>
      <c r="D259" s="14"/>
      <c r="E259" s="22"/>
      <c r="F259" s="23"/>
      <c r="G259" s="23"/>
      <c r="H259" s="24" t="s">
        <v>203</v>
      </c>
      <c r="I259" s="36">
        <v>2</v>
      </c>
      <c r="J259" s="25">
        <f>J219</f>
        <v>157500</v>
      </c>
      <c r="K259" s="26">
        <f>I259*J259</f>
        <v>315000</v>
      </c>
    </row>
    <row r="260" spans="1:11" ht="13.2" customHeight="1" x14ac:dyDescent="0.25">
      <c r="A260" s="2"/>
      <c r="B260" s="20" t="s">
        <v>57</v>
      </c>
      <c r="C260" s="21" t="s">
        <v>806</v>
      </c>
      <c r="D260" s="14"/>
      <c r="E260" s="22"/>
      <c r="F260" s="23"/>
      <c r="G260" s="23"/>
      <c r="H260" s="24" t="s">
        <v>203</v>
      </c>
      <c r="I260" s="36">
        <v>6</v>
      </c>
      <c r="J260" s="25">
        <f>J250</f>
        <v>68500</v>
      </c>
      <c r="K260" s="26">
        <f>I260*J260</f>
        <v>411000</v>
      </c>
    </row>
    <row r="261" spans="1:11" ht="13.2" customHeight="1" x14ac:dyDescent="0.25">
      <c r="A261" s="2"/>
      <c r="B261" s="20" t="s">
        <v>83</v>
      </c>
      <c r="C261" s="21" t="s">
        <v>787</v>
      </c>
      <c r="D261" s="14"/>
      <c r="E261" s="22"/>
      <c r="F261" s="23"/>
      <c r="G261" s="23"/>
      <c r="H261" s="24" t="s">
        <v>203</v>
      </c>
      <c r="I261" s="36">
        <v>12</v>
      </c>
      <c r="J261" s="25">
        <f>J251</f>
        <v>27000</v>
      </c>
      <c r="K261" s="26">
        <f>I261*J261</f>
        <v>324000</v>
      </c>
    </row>
    <row r="262" spans="1:11" ht="13.2" customHeight="1" x14ac:dyDescent="0.25">
      <c r="A262" s="2"/>
      <c r="B262" s="20" t="s">
        <v>110</v>
      </c>
      <c r="C262" s="21" t="s">
        <v>971</v>
      </c>
      <c r="D262" s="14"/>
      <c r="E262" s="22"/>
      <c r="F262" s="23"/>
      <c r="G262" s="23"/>
      <c r="H262" s="24" t="s">
        <v>203</v>
      </c>
      <c r="I262" s="42">
        <v>4</v>
      </c>
      <c r="J262" s="25">
        <f>J252</f>
        <v>52500</v>
      </c>
      <c r="K262" s="26">
        <f>I262*J262</f>
        <v>210000</v>
      </c>
    </row>
    <row r="263" spans="1:11" ht="12.9" customHeight="1" x14ac:dyDescent="0.25">
      <c r="A263" s="6"/>
      <c r="B263" s="7"/>
      <c r="C263" s="8"/>
      <c r="D263" s="8"/>
      <c r="E263" s="8"/>
      <c r="F263" s="8"/>
      <c r="G263" s="9"/>
      <c r="H263" s="10" t="s">
        <v>715</v>
      </c>
      <c r="I263" s="11"/>
      <c r="J263" s="11"/>
      <c r="K263" s="27">
        <f>SUM(K258:K262)</f>
        <v>3260000</v>
      </c>
    </row>
    <row r="264" spans="1:11" ht="12.9" customHeight="1" x14ac:dyDescent="0.25">
      <c r="A264" s="6"/>
      <c r="B264" s="5"/>
      <c r="C264" s="3"/>
      <c r="D264" s="3"/>
      <c r="E264" s="3"/>
      <c r="F264" s="3"/>
      <c r="G264" s="4"/>
      <c r="H264" s="12" t="s">
        <v>603</v>
      </c>
      <c r="I264" s="28">
        <f>$K$3</f>
        <v>0.15</v>
      </c>
      <c r="J264" s="13"/>
      <c r="K264" s="29">
        <f>I264*K263</f>
        <v>489000</v>
      </c>
    </row>
    <row r="265" spans="1:11" ht="12.9" customHeight="1" x14ac:dyDescent="0.25">
      <c r="A265" s="6"/>
      <c r="B265" s="5"/>
      <c r="C265" s="3"/>
      <c r="D265" s="3"/>
      <c r="E265" s="3"/>
      <c r="F265" s="3"/>
      <c r="G265" s="4"/>
      <c r="H265" s="12" t="s">
        <v>604</v>
      </c>
      <c r="I265" s="14"/>
      <c r="J265" s="14"/>
      <c r="K265" s="29">
        <f>SUM(K263:K264)</f>
        <v>3749000</v>
      </c>
    </row>
    <row r="266" spans="1:11" ht="12.9" customHeight="1" thickBot="1" x14ac:dyDescent="0.3">
      <c r="A266" s="15"/>
      <c r="B266" s="16"/>
      <c r="C266" s="17"/>
      <c r="D266" s="17"/>
      <c r="E266" s="17"/>
      <c r="F266" s="17"/>
      <c r="G266" s="18"/>
      <c r="H266" s="46" t="s">
        <v>605</v>
      </c>
      <c r="I266" s="47"/>
      <c r="J266" s="47"/>
      <c r="K266" s="144">
        <f>ROUND(K265,-1)</f>
        <v>3749000</v>
      </c>
    </row>
    <row r="267" spans="1:11" ht="14.1" customHeight="1" x14ac:dyDescent="0.25">
      <c r="A267" s="81">
        <v>23</v>
      </c>
      <c r="B267" s="676" t="s">
        <v>713</v>
      </c>
      <c r="C267" s="677"/>
      <c r="D267" s="137" t="s">
        <v>1022</v>
      </c>
      <c r="E267" s="138"/>
      <c r="F267" s="139"/>
      <c r="G267" s="139"/>
      <c r="H267" s="140"/>
      <c r="I267" s="141"/>
      <c r="J267" s="142"/>
      <c r="K267" s="143"/>
    </row>
    <row r="268" spans="1:11" ht="13.2" customHeight="1" x14ac:dyDescent="0.25">
      <c r="A268" s="2"/>
      <c r="B268" s="20" t="s">
        <v>4</v>
      </c>
      <c r="C268" s="21" t="s">
        <v>982</v>
      </c>
      <c r="D268" s="14"/>
      <c r="E268" s="22"/>
      <c r="F268" s="23"/>
      <c r="G268" s="23"/>
      <c r="H268" s="24" t="s">
        <v>235</v>
      </c>
      <c r="I268" s="41">
        <v>2</v>
      </c>
      <c r="J268" s="25">
        <f>J258</f>
        <v>1000000</v>
      </c>
      <c r="K268" s="26">
        <f>I268*J268</f>
        <v>2000000</v>
      </c>
    </row>
    <row r="269" spans="1:11" ht="13.2" customHeight="1" x14ac:dyDescent="0.25">
      <c r="A269" s="2"/>
      <c r="B269" s="20" t="s">
        <v>30</v>
      </c>
      <c r="C269" s="21" t="s">
        <v>812</v>
      </c>
      <c r="D269" s="14"/>
      <c r="E269" s="22"/>
      <c r="F269" s="23"/>
      <c r="G269" s="23"/>
      <c r="H269" s="24" t="s">
        <v>203</v>
      </c>
      <c r="I269" s="36">
        <v>2</v>
      </c>
      <c r="J269" s="25">
        <f>J229</f>
        <v>128000</v>
      </c>
      <c r="K269" s="26">
        <f>I269*J269</f>
        <v>256000</v>
      </c>
    </row>
    <row r="270" spans="1:11" ht="13.2" customHeight="1" x14ac:dyDescent="0.25">
      <c r="A270" s="2"/>
      <c r="B270" s="20" t="s">
        <v>57</v>
      </c>
      <c r="C270" s="21" t="s">
        <v>806</v>
      </c>
      <c r="D270" s="14"/>
      <c r="E270" s="22"/>
      <c r="F270" s="23"/>
      <c r="G270" s="23"/>
      <c r="H270" s="24" t="s">
        <v>203</v>
      </c>
      <c r="I270" s="36">
        <v>6</v>
      </c>
      <c r="J270" s="25">
        <f>J260</f>
        <v>68500</v>
      </c>
      <c r="K270" s="26">
        <f>I270*J270</f>
        <v>411000</v>
      </c>
    </row>
    <row r="271" spans="1:11" ht="13.2" customHeight="1" x14ac:dyDescent="0.25">
      <c r="A271" s="2"/>
      <c r="B271" s="20" t="s">
        <v>83</v>
      </c>
      <c r="C271" s="21" t="s">
        <v>787</v>
      </c>
      <c r="D271" s="14"/>
      <c r="E271" s="22"/>
      <c r="F271" s="23"/>
      <c r="G271" s="23"/>
      <c r="H271" s="24" t="s">
        <v>203</v>
      </c>
      <c r="I271" s="36">
        <v>12</v>
      </c>
      <c r="J271" s="25">
        <f>J261</f>
        <v>27000</v>
      </c>
      <c r="K271" s="26">
        <f>I271*J271</f>
        <v>324000</v>
      </c>
    </row>
    <row r="272" spans="1:11" ht="13.2" customHeight="1" x14ac:dyDescent="0.25">
      <c r="A272" s="2"/>
      <c r="B272" s="20" t="s">
        <v>110</v>
      </c>
      <c r="C272" s="21" t="s">
        <v>971</v>
      </c>
      <c r="D272" s="14"/>
      <c r="E272" s="22"/>
      <c r="F272" s="23"/>
      <c r="G272" s="23"/>
      <c r="H272" s="24" t="s">
        <v>203</v>
      </c>
      <c r="I272" s="42">
        <v>4</v>
      </c>
      <c r="J272" s="25">
        <f>J262</f>
        <v>52500</v>
      </c>
      <c r="K272" s="26">
        <f>I272*J272</f>
        <v>210000</v>
      </c>
    </row>
    <row r="273" spans="1:11" ht="12.9" customHeight="1" x14ac:dyDescent="0.25">
      <c r="A273" s="6"/>
      <c r="B273" s="7"/>
      <c r="C273" s="8"/>
      <c r="D273" s="8"/>
      <c r="E273" s="8"/>
      <c r="F273" s="8"/>
      <c r="G273" s="9"/>
      <c r="H273" s="10" t="s">
        <v>715</v>
      </c>
      <c r="I273" s="11"/>
      <c r="J273" s="11"/>
      <c r="K273" s="27">
        <f>SUM(K268:K272)</f>
        <v>3201000</v>
      </c>
    </row>
    <row r="274" spans="1:11" ht="12.9" customHeight="1" x14ac:dyDescent="0.25">
      <c r="A274" s="6"/>
      <c r="B274" s="5"/>
      <c r="C274" s="3"/>
      <c r="D274" s="3"/>
      <c r="E274" s="3"/>
      <c r="F274" s="3"/>
      <c r="G274" s="4"/>
      <c r="H274" s="12" t="s">
        <v>603</v>
      </c>
      <c r="I274" s="28">
        <f>$K$3</f>
        <v>0.15</v>
      </c>
      <c r="J274" s="13"/>
      <c r="K274" s="29">
        <f>I274*K273</f>
        <v>480150</v>
      </c>
    </row>
    <row r="275" spans="1:11" ht="12.9" customHeight="1" x14ac:dyDescent="0.25">
      <c r="A275" s="6"/>
      <c r="B275" s="5"/>
      <c r="C275" s="3"/>
      <c r="D275" s="3"/>
      <c r="E275" s="3"/>
      <c r="F275" s="3"/>
      <c r="G275" s="4"/>
      <c r="H275" s="12" t="s">
        <v>604</v>
      </c>
      <c r="I275" s="14"/>
      <c r="J275" s="14"/>
      <c r="K275" s="29">
        <f>SUM(K273:K274)</f>
        <v>3681150</v>
      </c>
    </row>
    <row r="276" spans="1:11" ht="12.9" customHeight="1" thickBot="1" x14ac:dyDescent="0.3">
      <c r="A276" s="15"/>
      <c r="B276" s="16"/>
      <c r="C276" s="17"/>
      <c r="D276" s="17"/>
      <c r="E276" s="17"/>
      <c r="F276" s="17"/>
      <c r="G276" s="18"/>
      <c r="H276" s="46" t="s">
        <v>605</v>
      </c>
      <c r="I276" s="47"/>
      <c r="J276" s="47"/>
      <c r="K276" s="144">
        <f>ROUND(K275,-1)</f>
        <v>3681150</v>
      </c>
    </row>
    <row r="277" spans="1:11" ht="14.1" customHeight="1" x14ac:dyDescent="0.25">
      <c r="A277" s="81">
        <v>24</v>
      </c>
      <c r="B277" s="676" t="s">
        <v>713</v>
      </c>
      <c r="C277" s="677"/>
      <c r="D277" s="137" t="s">
        <v>1023</v>
      </c>
      <c r="E277" s="138"/>
      <c r="F277" s="139"/>
      <c r="G277" s="139"/>
      <c r="H277" s="140"/>
      <c r="I277" s="141"/>
      <c r="J277" s="142"/>
      <c r="K277" s="143"/>
    </row>
    <row r="278" spans="1:11" ht="13.2" customHeight="1" x14ac:dyDescent="0.25">
      <c r="A278" s="2"/>
      <c r="B278" s="20" t="s">
        <v>4</v>
      </c>
      <c r="C278" s="21" t="s">
        <v>982</v>
      </c>
      <c r="D278" s="14"/>
      <c r="E278" s="22"/>
      <c r="F278" s="23"/>
      <c r="G278" s="23"/>
      <c r="H278" s="24" t="s">
        <v>235</v>
      </c>
      <c r="I278" s="41">
        <v>2</v>
      </c>
      <c r="J278" s="25">
        <f>J268</f>
        <v>1000000</v>
      </c>
      <c r="K278" s="26">
        <f>I278*J278</f>
        <v>2000000</v>
      </c>
    </row>
    <row r="279" spans="1:11" ht="13.2" customHeight="1" x14ac:dyDescent="0.25">
      <c r="A279" s="2"/>
      <c r="B279" s="20" t="s">
        <v>30</v>
      </c>
      <c r="C279" s="21" t="s">
        <v>814</v>
      </c>
      <c r="D279" s="14"/>
      <c r="E279" s="22"/>
      <c r="F279" s="23"/>
      <c r="G279" s="23"/>
      <c r="H279" s="24" t="s">
        <v>203</v>
      </c>
      <c r="I279" s="36">
        <v>2</v>
      </c>
      <c r="J279" s="25">
        <f>J239</f>
        <v>112500</v>
      </c>
      <c r="K279" s="26">
        <f>I279*J279</f>
        <v>225000</v>
      </c>
    </row>
    <row r="280" spans="1:11" ht="13.2" customHeight="1" x14ac:dyDescent="0.25">
      <c r="A280" s="2"/>
      <c r="B280" s="20" t="s">
        <v>57</v>
      </c>
      <c r="C280" s="21" t="s">
        <v>806</v>
      </c>
      <c r="D280" s="14"/>
      <c r="E280" s="22"/>
      <c r="F280" s="23"/>
      <c r="G280" s="23"/>
      <c r="H280" s="24" t="s">
        <v>203</v>
      </c>
      <c r="I280" s="36">
        <v>6</v>
      </c>
      <c r="J280" s="25">
        <f>J270</f>
        <v>68500</v>
      </c>
      <c r="K280" s="26">
        <f>I280*J280</f>
        <v>411000</v>
      </c>
    </row>
    <row r="281" spans="1:11" ht="13.2" customHeight="1" x14ac:dyDescent="0.25">
      <c r="A281" s="2"/>
      <c r="B281" s="20" t="s">
        <v>83</v>
      </c>
      <c r="C281" s="21" t="s">
        <v>787</v>
      </c>
      <c r="D281" s="14"/>
      <c r="E281" s="22"/>
      <c r="F281" s="23"/>
      <c r="G281" s="23"/>
      <c r="H281" s="24" t="s">
        <v>203</v>
      </c>
      <c r="I281" s="36">
        <v>12</v>
      </c>
      <c r="J281" s="25">
        <f>J271</f>
        <v>27000</v>
      </c>
      <c r="K281" s="26">
        <f>I281*J281</f>
        <v>324000</v>
      </c>
    </row>
    <row r="282" spans="1:11" ht="13.2" customHeight="1" x14ac:dyDescent="0.25">
      <c r="A282" s="2"/>
      <c r="B282" s="20" t="s">
        <v>110</v>
      </c>
      <c r="C282" s="21" t="s">
        <v>971</v>
      </c>
      <c r="D282" s="14"/>
      <c r="E282" s="22"/>
      <c r="F282" s="23"/>
      <c r="G282" s="23"/>
      <c r="H282" s="24" t="s">
        <v>203</v>
      </c>
      <c r="I282" s="42">
        <v>4</v>
      </c>
      <c r="J282" s="25">
        <f>J272</f>
        <v>52500</v>
      </c>
      <c r="K282" s="26">
        <f>I282*J282</f>
        <v>210000</v>
      </c>
    </row>
    <row r="283" spans="1:11" ht="12.9" customHeight="1" x14ac:dyDescent="0.25">
      <c r="A283" s="6"/>
      <c r="B283" s="7"/>
      <c r="C283" s="8"/>
      <c r="D283" s="8"/>
      <c r="E283" s="8"/>
      <c r="F283" s="8"/>
      <c r="G283" s="9"/>
      <c r="H283" s="10" t="s">
        <v>715</v>
      </c>
      <c r="I283" s="11"/>
      <c r="J283" s="11"/>
      <c r="K283" s="27">
        <f>SUM(K278:K282)</f>
        <v>3170000</v>
      </c>
    </row>
    <row r="284" spans="1:11" ht="12.9" customHeight="1" x14ac:dyDescent="0.25">
      <c r="A284" s="6"/>
      <c r="B284" s="5"/>
      <c r="C284" s="3"/>
      <c r="D284" s="3"/>
      <c r="E284" s="3"/>
      <c r="F284" s="3"/>
      <c r="G284" s="4"/>
      <c r="H284" s="12" t="s">
        <v>603</v>
      </c>
      <c r="I284" s="28">
        <f>$K$3</f>
        <v>0.15</v>
      </c>
      <c r="J284" s="13"/>
      <c r="K284" s="29">
        <f>I284*K283</f>
        <v>475500</v>
      </c>
    </row>
    <row r="285" spans="1:11" ht="12.9" customHeight="1" x14ac:dyDescent="0.25">
      <c r="A285" s="6"/>
      <c r="B285" s="5"/>
      <c r="C285" s="3"/>
      <c r="D285" s="3"/>
      <c r="E285" s="3"/>
      <c r="F285" s="3"/>
      <c r="G285" s="4"/>
      <c r="H285" s="12" t="s">
        <v>604</v>
      </c>
      <c r="I285" s="14"/>
      <c r="J285" s="14"/>
      <c r="K285" s="29">
        <f>SUM(K283:K284)</f>
        <v>3645500</v>
      </c>
    </row>
    <row r="286" spans="1:11" ht="12.9" customHeight="1" thickBot="1" x14ac:dyDescent="0.3">
      <c r="A286" s="15"/>
      <c r="B286" s="16"/>
      <c r="C286" s="17"/>
      <c r="D286" s="17"/>
      <c r="E286" s="17"/>
      <c r="F286" s="17"/>
      <c r="G286" s="18"/>
      <c r="H286" s="46" t="s">
        <v>605</v>
      </c>
      <c r="I286" s="47"/>
      <c r="J286" s="47"/>
      <c r="K286" s="144">
        <f>ROUND(K285,-1)</f>
        <v>3645500</v>
      </c>
    </row>
  </sheetData>
  <mergeCells count="33">
    <mergeCell ref="B257:C257"/>
    <mergeCell ref="B267:C267"/>
    <mergeCell ref="B277:C277"/>
    <mergeCell ref="B193:C193"/>
    <mergeCell ref="B207:C207"/>
    <mergeCell ref="B217:C217"/>
    <mergeCell ref="B227:C227"/>
    <mergeCell ref="B237:C237"/>
    <mergeCell ref="B247:C247"/>
    <mergeCell ref="B179:C179"/>
    <mergeCell ref="B43:C43"/>
    <mergeCell ref="B55:C55"/>
    <mergeCell ref="B65:C65"/>
    <mergeCell ref="B75:C75"/>
    <mergeCell ref="B85:C85"/>
    <mergeCell ref="B95:C95"/>
    <mergeCell ref="B109:C109"/>
    <mergeCell ref="B123:C123"/>
    <mergeCell ref="B137:C137"/>
    <mergeCell ref="B151:C151"/>
    <mergeCell ref="B165:C165"/>
    <mergeCell ref="B7:C7"/>
    <mergeCell ref="B19:C19"/>
    <mergeCell ref="B31:C31"/>
    <mergeCell ref="A1:K1"/>
    <mergeCell ref="A4:A6"/>
    <mergeCell ref="B4:G6"/>
    <mergeCell ref="H4:H6"/>
    <mergeCell ref="I4:I6"/>
    <mergeCell ref="J4:K4"/>
    <mergeCell ref="J5:J6"/>
    <mergeCell ref="K5:K6"/>
    <mergeCell ref="A2:K2"/>
  </mergeCells>
  <pageMargins left="0.47244094488188981" right="0.11811023622047245" top="0.31496062992125984" bottom="0.15748031496062992" header="0.31496062992125984" footer="0.31496062992125984"/>
  <pageSetup paperSize="9" scale="87" orientation="portrait" verticalDpi="0" r:id="rId1"/>
  <rowBreaks count="3" manualBreakCount="3">
    <brk id="64" max="10" man="1"/>
    <brk id="122" max="10" man="1"/>
    <brk id="178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A5C9-60BA-453D-AF8D-7136BBFC47EE}">
  <sheetPr>
    <tabColor rgb="FFFFC000"/>
  </sheetPr>
  <dimension ref="A1:K802"/>
  <sheetViews>
    <sheetView topLeftCell="A764" zoomScaleNormal="100" zoomScaleSheetLayoutView="90" workbookViewId="0">
      <selection activeCell="K804" sqref="K804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0.0976562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1442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0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76" t="s">
        <v>713</v>
      </c>
      <c r="C7" s="677"/>
      <c r="D7" s="137" t="s">
        <v>1234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1235</v>
      </c>
      <c r="D8" s="14"/>
      <c r="E8" s="22"/>
      <c r="F8" s="23"/>
      <c r="G8" s="23"/>
      <c r="H8" s="24" t="s">
        <v>203</v>
      </c>
      <c r="I8" s="45">
        <v>1</v>
      </c>
      <c r="J8" s="25">
        <f>'Harga Satuan Dasar mat'!G102</f>
        <v>203000</v>
      </c>
      <c r="K8" s="26">
        <f>I8*J8</f>
        <v>203000</v>
      </c>
    </row>
    <row r="9" spans="1:11" ht="13.2" customHeight="1" x14ac:dyDescent="0.25">
      <c r="A9" s="2"/>
      <c r="B9" s="20" t="s">
        <v>30</v>
      </c>
      <c r="C9" s="21" t="s">
        <v>714</v>
      </c>
      <c r="D9" s="14"/>
      <c r="E9" s="22"/>
      <c r="F9" s="23"/>
      <c r="G9" s="23"/>
      <c r="H9" s="24" t="s">
        <v>203</v>
      </c>
      <c r="I9" s="45">
        <v>4</v>
      </c>
      <c r="J9" s="25">
        <f>'Harga Satuan Dasar mat'!G252</f>
        <v>14000</v>
      </c>
      <c r="K9" s="26">
        <f t="shared" ref="K9:K10" si="0">I9*J9</f>
        <v>56000</v>
      </c>
    </row>
    <row r="10" spans="1:11" ht="13.2" customHeight="1" x14ac:dyDescent="0.25">
      <c r="A10" s="2"/>
      <c r="B10" s="20" t="s">
        <v>57</v>
      </c>
      <c r="C10" s="21" t="s">
        <v>582</v>
      </c>
      <c r="D10" s="14"/>
      <c r="E10" s="22"/>
      <c r="F10" s="23"/>
      <c r="G10" s="23"/>
      <c r="H10" s="24" t="s">
        <v>203</v>
      </c>
      <c r="I10" s="65">
        <v>1</v>
      </c>
      <c r="J10" s="25">
        <f>'Harga Satuan Dasar mat'!G709</f>
        <v>74500</v>
      </c>
      <c r="K10" s="26">
        <f t="shared" si="0"/>
        <v>74500</v>
      </c>
    </row>
    <row r="11" spans="1:11" ht="12.9" customHeight="1" x14ac:dyDescent="0.25">
      <c r="A11" s="6"/>
      <c r="B11" s="7"/>
      <c r="C11" s="8"/>
      <c r="D11" s="8"/>
      <c r="E11" s="8"/>
      <c r="F11" s="8"/>
      <c r="G11" s="9"/>
      <c r="H11" s="10" t="s">
        <v>715</v>
      </c>
      <c r="I11" s="11"/>
      <c r="J11" s="11"/>
      <c r="K11" s="27">
        <f>SUM(K8:K10)</f>
        <v>333500</v>
      </c>
    </row>
    <row r="12" spans="1:11" ht="12.9" customHeight="1" x14ac:dyDescent="0.25">
      <c r="A12" s="6"/>
      <c r="B12" s="5"/>
      <c r="C12" s="3"/>
      <c r="D12" s="3"/>
      <c r="E12" s="3"/>
      <c r="F12" s="3"/>
      <c r="G12" s="4"/>
      <c r="H12" s="12" t="s">
        <v>603</v>
      </c>
      <c r="I12" s="28">
        <f>$K$3</f>
        <v>0.15</v>
      </c>
      <c r="J12" s="13"/>
      <c r="K12" s="29">
        <f>I12*K11</f>
        <v>50025</v>
      </c>
    </row>
    <row r="13" spans="1:11" ht="12.9" customHeight="1" x14ac:dyDescent="0.25">
      <c r="A13" s="6"/>
      <c r="B13" s="5"/>
      <c r="C13" s="3"/>
      <c r="D13" s="3"/>
      <c r="E13" s="3"/>
      <c r="F13" s="3"/>
      <c r="G13" s="4"/>
      <c r="H13" s="12" t="s">
        <v>604</v>
      </c>
      <c r="I13" s="14"/>
      <c r="J13" s="14"/>
      <c r="K13" s="29">
        <f>SUM(K11:K12)</f>
        <v>383525</v>
      </c>
    </row>
    <row r="14" spans="1:11" ht="12.9" customHeight="1" thickBot="1" x14ac:dyDescent="0.3">
      <c r="A14" s="15"/>
      <c r="B14" s="16"/>
      <c r="C14" s="17"/>
      <c r="D14" s="17"/>
      <c r="E14" s="17"/>
      <c r="F14" s="17"/>
      <c r="G14" s="18"/>
      <c r="H14" s="46" t="s">
        <v>605</v>
      </c>
      <c r="I14" s="47"/>
      <c r="J14" s="47"/>
      <c r="K14" s="144">
        <f>ROUND(K13,-1)</f>
        <v>383530</v>
      </c>
    </row>
    <row r="15" spans="1:11" ht="14.1" customHeight="1" x14ac:dyDescent="0.25">
      <c r="A15" s="81">
        <v>2</v>
      </c>
      <c r="B15" s="676" t="s">
        <v>713</v>
      </c>
      <c r="C15" s="677"/>
      <c r="D15" s="137" t="s">
        <v>1237</v>
      </c>
      <c r="E15" s="138"/>
      <c r="F15" s="139"/>
      <c r="G15" s="139"/>
      <c r="H15" s="140"/>
      <c r="I15" s="141"/>
      <c r="J15" s="142"/>
      <c r="K15" s="143"/>
    </row>
    <row r="16" spans="1:11" ht="13.2" customHeight="1" x14ac:dyDescent="0.25">
      <c r="A16" s="2"/>
      <c r="B16" s="20" t="s">
        <v>4</v>
      </c>
      <c r="C16" s="21" t="s">
        <v>1238</v>
      </c>
      <c r="D16" s="14"/>
      <c r="E16" s="22"/>
      <c r="F16" s="23"/>
      <c r="G16" s="23"/>
      <c r="H16" s="24" t="s">
        <v>203</v>
      </c>
      <c r="I16" s="45">
        <v>1</v>
      </c>
      <c r="J16" s="25">
        <f>'Harga Satuan Dasar mat'!G104</f>
        <v>221500</v>
      </c>
      <c r="K16" s="26">
        <f>I16*J16</f>
        <v>221500</v>
      </c>
    </row>
    <row r="17" spans="1:11" ht="13.2" customHeight="1" x14ac:dyDescent="0.25">
      <c r="A17" s="2"/>
      <c r="B17" s="20" t="s">
        <v>30</v>
      </c>
      <c r="C17" s="21" t="s">
        <v>714</v>
      </c>
      <c r="D17" s="14"/>
      <c r="E17" s="22"/>
      <c r="F17" s="23"/>
      <c r="G17" s="23"/>
      <c r="H17" s="24" t="s">
        <v>203</v>
      </c>
      <c r="I17" s="45">
        <v>4</v>
      </c>
      <c r="J17" s="25">
        <f t="shared" ref="J17:J18" si="1">J9</f>
        <v>14000</v>
      </c>
      <c r="K17" s="26">
        <f t="shared" ref="K17:K18" si="2">I17*J17</f>
        <v>56000</v>
      </c>
    </row>
    <row r="18" spans="1:11" ht="13.2" customHeight="1" x14ac:dyDescent="0.25">
      <c r="A18" s="2"/>
      <c r="B18" s="20" t="s">
        <v>57</v>
      </c>
      <c r="C18" s="21" t="s">
        <v>582</v>
      </c>
      <c r="D18" s="14"/>
      <c r="E18" s="22"/>
      <c r="F18" s="23"/>
      <c r="G18" s="23"/>
      <c r="H18" s="24" t="s">
        <v>203</v>
      </c>
      <c r="I18" s="65">
        <v>1</v>
      </c>
      <c r="J18" s="25">
        <f t="shared" si="1"/>
        <v>74500</v>
      </c>
      <c r="K18" s="26">
        <f t="shared" si="2"/>
        <v>74500</v>
      </c>
    </row>
    <row r="19" spans="1:11" ht="12.9" customHeight="1" x14ac:dyDescent="0.25">
      <c r="A19" s="6"/>
      <c r="B19" s="7"/>
      <c r="C19" s="8"/>
      <c r="D19" s="8"/>
      <c r="E19" s="8"/>
      <c r="F19" s="8"/>
      <c r="G19" s="9"/>
      <c r="H19" s="10" t="s">
        <v>715</v>
      </c>
      <c r="I19" s="11"/>
      <c r="J19" s="11"/>
      <c r="K19" s="27">
        <f>SUM(K16:K18)</f>
        <v>352000</v>
      </c>
    </row>
    <row r="20" spans="1:11" ht="12.9" customHeight="1" x14ac:dyDescent="0.25">
      <c r="A20" s="6"/>
      <c r="B20" s="5"/>
      <c r="C20" s="3"/>
      <c r="D20" s="3"/>
      <c r="E20" s="3"/>
      <c r="F20" s="3"/>
      <c r="G20" s="4"/>
      <c r="H20" s="12" t="s">
        <v>603</v>
      </c>
      <c r="I20" s="28">
        <f>$K$3</f>
        <v>0.15</v>
      </c>
      <c r="J20" s="13"/>
      <c r="K20" s="29">
        <f>I20*K19</f>
        <v>52800</v>
      </c>
    </row>
    <row r="21" spans="1:11" ht="12.9" customHeight="1" x14ac:dyDescent="0.25">
      <c r="A21" s="6"/>
      <c r="B21" s="5"/>
      <c r="C21" s="3"/>
      <c r="D21" s="3"/>
      <c r="E21" s="3"/>
      <c r="F21" s="3"/>
      <c r="G21" s="4"/>
      <c r="H21" s="12" t="s">
        <v>604</v>
      </c>
      <c r="I21" s="14"/>
      <c r="J21" s="14"/>
      <c r="K21" s="29">
        <f>SUM(K19:K20)</f>
        <v>404800</v>
      </c>
    </row>
    <row r="22" spans="1:11" ht="12.9" customHeight="1" thickBot="1" x14ac:dyDescent="0.3">
      <c r="A22" s="15"/>
      <c r="B22" s="16"/>
      <c r="C22" s="17"/>
      <c r="D22" s="17"/>
      <c r="E22" s="17"/>
      <c r="F22" s="17"/>
      <c r="G22" s="18"/>
      <c r="H22" s="46" t="s">
        <v>605</v>
      </c>
      <c r="I22" s="47"/>
      <c r="J22" s="47"/>
      <c r="K22" s="144">
        <f>ROUND(K21,-1)</f>
        <v>404800</v>
      </c>
    </row>
    <row r="23" spans="1:11" ht="14.1" customHeight="1" x14ac:dyDescent="0.25">
      <c r="A23" s="81">
        <v>3</v>
      </c>
      <c r="B23" s="676" t="s">
        <v>713</v>
      </c>
      <c r="C23" s="677"/>
      <c r="D23" s="137" t="s">
        <v>1239</v>
      </c>
      <c r="E23" s="138"/>
      <c r="F23" s="139"/>
      <c r="G23" s="139"/>
      <c r="H23" s="140"/>
      <c r="I23" s="141"/>
      <c r="J23" s="142"/>
      <c r="K23" s="143"/>
    </row>
    <row r="24" spans="1:11" ht="13.2" customHeight="1" x14ac:dyDescent="0.25">
      <c r="A24" s="2"/>
      <c r="B24" s="20" t="s">
        <v>4</v>
      </c>
      <c r="C24" s="21" t="s">
        <v>1240</v>
      </c>
      <c r="D24" s="14"/>
      <c r="E24" s="22"/>
      <c r="F24" s="23"/>
      <c r="G24" s="23"/>
      <c r="H24" s="24" t="s">
        <v>203</v>
      </c>
      <c r="I24" s="45">
        <v>1</v>
      </c>
      <c r="J24" s="25">
        <f>'Harga Satuan Dasar mat'!G100</f>
        <v>184000</v>
      </c>
      <c r="K24" s="26">
        <f>I24*J24</f>
        <v>184000</v>
      </c>
    </row>
    <row r="25" spans="1:11" ht="13.2" customHeight="1" x14ac:dyDescent="0.25">
      <c r="A25" s="2"/>
      <c r="B25" s="20" t="s">
        <v>30</v>
      </c>
      <c r="C25" s="21" t="s">
        <v>714</v>
      </c>
      <c r="D25" s="14"/>
      <c r="E25" s="22"/>
      <c r="F25" s="23"/>
      <c r="G25" s="23"/>
      <c r="H25" s="24" t="s">
        <v>203</v>
      </c>
      <c r="I25" s="45">
        <v>4</v>
      </c>
      <c r="J25" s="25">
        <f t="shared" ref="J25:J26" si="3">J17</f>
        <v>14000</v>
      </c>
      <c r="K25" s="26">
        <f t="shared" ref="K25:K26" si="4">I25*J25</f>
        <v>56000</v>
      </c>
    </row>
    <row r="26" spans="1:11" ht="13.2" customHeight="1" x14ac:dyDescent="0.25">
      <c r="A26" s="2"/>
      <c r="B26" s="20" t="s">
        <v>57</v>
      </c>
      <c r="C26" s="21" t="s">
        <v>582</v>
      </c>
      <c r="D26" s="14"/>
      <c r="E26" s="22"/>
      <c r="F26" s="23"/>
      <c r="G26" s="23"/>
      <c r="H26" s="24" t="s">
        <v>203</v>
      </c>
      <c r="I26" s="65">
        <v>1</v>
      </c>
      <c r="J26" s="25">
        <f t="shared" si="3"/>
        <v>74500</v>
      </c>
      <c r="K26" s="26">
        <f t="shared" si="4"/>
        <v>74500</v>
      </c>
    </row>
    <row r="27" spans="1:11" ht="12.9" customHeight="1" x14ac:dyDescent="0.25">
      <c r="A27" s="6"/>
      <c r="B27" s="7"/>
      <c r="C27" s="8"/>
      <c r="D27" s="8"/>
      <c r="E27" s="8"/>
      <c r="F27" s="8"/>
      <c r="G27" s="9"/>
      <c r="H27" s="10" t="s">
        <v>715</v>
      </c>
      <c r="I27" s="11"/>
      <c r="J27" s="11"/>
      <c r="K27" s="27">
        <f>SUM(K24:K26)</f>
        <v>314500</v>
      </c>
    </row>
    <row r="28" spans="1:11" ht="12.9" customHeight="1" x14ac:dyDescent="0.25">
      <c r="A28" s="6"/>
      <c r="B28" s="5"/>
      <c r="C28" s="3"/>
      <c r="D28" s="3"/>
      <c r="E28" s="3"/>
      <c r="F28" s="3"/>
      <c r="G28" s="4"/>
      <c r="H28" s="12" t="s">
        <v>603</v>
      </c>
      <c r="I28" s="28">
        <f>$K$3</f>
        <v>0.15</v>
      </c>
      <c r="J28" s="13"/>
      <c r="K28" s="29">
        <f>I28*K27</f>
        <v>47175</v>
      </c>
    </row>
    <row r="29" spans="1:11" ht="12.9" customHeight="1" x14ac:dyDescent="0.25">
      <c r="A29" s="6"/>
      <c r="B29" s="5"/>
      <c r="C29" s="3"/>
      <c r="D29" s="3"/>
      <c r="E29" s="3"/>
      <c r="F29" s="3"/>
      <c r="G29" s="4"/>
      <c r="H29" s="12" t="s">
        <v>604</v>
      </c>
      <c r="I29" s="14"/>
      <c r="J29" s="14"/>
      <c r="K29" s="29">
        <f>SUM(K27:K28)</f>
        <v>361675</v>
      </c>
    </row>
    <row r="30" spans="1:11" ht="12.9" customHeight="1" thickBot="1" x14ac:dyDescent="0.3">
      <c r="A30" s="15"/>
      <c r="B30" s="16"/>
      <c r="C30" s="17"/>
      <c r="D30" s="17"/>
      <c r="E30" s="17"/>
      <c r="F30" s="17"/>
      <c r="G30" s="18"/>
      <c r="H30" s="46" t="s">
        <v>605</v>
      </c>
      <c r="I30" s="47"/>
      <c r="J30" s="47"/>
      <c r="K30" s="144">
        <f>ROUND(K29,-1)</f>
        <v>361680</v>
      </c>
    </row>
    <row r="31" spans="1:11" ht="14.1" customHeight="1" x14ac:dyDescent="0.25">
      <c r="A31" s="81">
        <v>4</v>
      </c>
      <c r="B31" s="676" t="s">
        <v>713</v>
      </c>
      <c r="C31" s="677"/>
      <c r="D31" s="137" t="s">
        <v>1241</v>
      </c>
      <c r="E31" s="138"/>
      <c r="F31" s="139"/>
      <c r="G31" s="139"/>
      <c r="H31" s="140"/>
      <c r="I31" s="141"/>
      <c r="J31" s="142"/>
      <c r="K31" s="143"/>
    </row>
    <row r="32" spans="1:11" ht="13.2" customHeight="1" x14ac:dyDescent="0.25">
      <c r="A32" s="2"/>
      <c r="B32" s="20" t="s">
        <v>4</v>
      </c>
      <c r="C32" s="21" t="s">
        <v>1242</v>
      </c>
      <c r="D32" s="14"/>
      <c r="E32" s="22"/>
      <c r="F32" s="23"/>
      <c r="G32" s="23"/>
      <c r="H32" s="24" t="s">
        <v>203</v>
      </c>
      <c r="I32" s="45">
        <v>1</v>
      </c>
      <c r="J32" s="25">
        <f>'Harga Satuan Dasar mat'!G98</f>
        <v>164500</v>
      </c>
      <c r="K32" s="26">
        <f>I32*J32</f>
        <v>164500</v>
      </c>
    </row>
    <row r="33" spans="1:11" ht="13.2" customHeight="1" x14ac:dyDescent="0.25">
      <c r="A33" s="2"/>
      <c r="B33" s="20" t="s">
        <v>30</v>
      </c>
      <c r="C33" s="21" t="s">
        <v>714</v>
      </c>
      <c r="D33" s="14"/>
      <c r="E33" s="22"/>
      <c r="F33" s="23"/>
      <c r="G33" s="23"/>
      <c r="H33" s="24" t="s">
        <v>203</v>
      </c>
      <c r="I33" s="45">
        <v>4</v>
      </c>
      <c r="J33" s="25">
        <f t="shared" ref="J33:J34" si="5">J25</f>
        <v>14000</v>
      </c>
      <c r="K33" s="26">
        <f t="shared" ref="K33:K34" si="6">I33*J33</f>
        <v>56000</v>
      </c>
    </row>
    <row r="34" spans="1:11" ht="13.2" customHeight="1" x14ac:dyDescent="0.25">
      <c r="A34" s="2"/>
      <c r="B34" s="20" t="s">
        <v>57</v>
      </c>
      <c r="C34" s="21" t="s">
        <v>582</v>
      </c>
      <c r="D34" s="14"/>
      <c r="E34" s="22"/>
      <c r="F34" s="23"/>
      <c r="G34" s="23"/>
      <c r="H34" s="24" t="s">
        <v>203</v>
      </c>
      <c r="I34" s="65">
        <v>1</v>
      </c>
      <c r="J34" s="25">
        <f t="shared" si="5"/>
        <v>74500</v>
      </c>
      <c r="K34" s="26">
        <f t="shared" si="6"/>
        <v>74500</v>
      </c>
    </row>
    <row r="35" spans="1:11" ht="12.9" customHeight="1" x14ac:dyDescent="0.25">
      <c r="A35" s="6"/>
      <c r="B35" s="7"/>
      <c r="C35" s="8"/>
      <c r="D35" s="8"/>
      <c r="E35" s="8"/>
      <c r="F35" s="8"/>
      <c r="G35" s="9"/>
      <c r="H35" s="10" t="s">
        <v>715</v>
      </c>
      <c r="I35" s="11"/>
      <c r="J35" s="11"/>
      <c r="K35" s="27">
        <f>SUM(K32:K34)</f>
        <v>295000</v>
      </c>
    </row>
    <row r="36" spans="1:11" ht="12.9" customHeight="1" x14ac:dyDescent="0.25">
      <c r="A36" s="6"/>
      <c r="B36" s="5"/>
      <c r="C36" s="3"/>
      <c r="D36" s="3"/>
      <c r="E36" s="3"/>
      <c r="F36" s="3"/>
      <c r="G36" s="4"/>
      <c r="H36" s="12" t="s">
        <v>603</v>
      </c>
      <c r="I36" s="28">
        <f>$K$3</f>
        <v>0.15</v>
      </c>
      <c r="J36" s="13"/>
      <c r="K36" s="29">
        <f>I36*K35</f>
        <v>44250</v>
      </c>
    </row>
    <row r="37" spans="1:11" ht="12.9" customHeight="1" x14ac:dyDescent="0.25">
      <c r="A37" s="6"/>
      <c r="B37" s="5"/>
      <c r="C37" s="3"/>
      <c r="D37" s="3"/>
      <c r="E37" s="3"/>
      <c r="F37" s="3"/>
      <c r="G37" s="4"/>
      <c r="H37" s="12" t="s">
        <v>604</v>
      </c>
      <c r="I37" s="14"/>
      <c r="J37" s="14"/>
      <c r="K37" s="29">
        <f>SUM(K35:K36)</f>
        <v>339250</v>
      </c>
    </row>
    <row r="38" spans="1:11" ht="12.9" customHeight="1" thickBot="1" x14ac:dyDescent="0.3">
      <c r="A38" s="15"/>
      <c r="B38" s="16"/>
      <c r="C38" s="17"/>
      <c r="D38" s="17"/>
      <c r="E38" s="17"/>
      <c r="F38" s="17"/>
      <c r="G38" s="18"/>
      <c r="H38" s="46" t="s">
        <v>605</v>
      </c>
      <c r="I38" s="47"/>
      <c r="J38" s="47"/>
      <c r="K38" s="144">
        <f>ROUND(K37,-1)</f>
        <v>339250</v>
      </c>
    </row>
    <row r="39" spans="1:11" ht="14.1" customHeight="1" x14ac:dyDescent="0.25">
      <c r="A39" s="81">
        <v>5</v>
      </c>
      <c r="B39" s="676" t="s">
        <v>713</v>
      </c>
      <c r="C39" s="677"/>
      <c r="D39" s="137" t="s">
        <v>1251</v>
      </c>
      <c r="E39" s="138"/>
      <c r="F39" s="139"/>
      <c r="G39" s="139"/>
      <c r="H39" s="140"/>
      <c r="I39" s="141"/>
      <c r="J39" s="142"/>
      <c r="K39" s="143"/>
    </row>
    <row r="40" spans="1:11" ht="13.2" customHeight="1" x14ac:dyDescent="0.25">
      <c r="A40" s="2"/>
      <c r="B40" s="20" t="s">
        <v>4</v>
      </c>
      <c r="C40" s="21" t="s">
        <v>1235</v>
      </c>
      <c r="D40" s="14"/>
      <c r="E40" s="22"/>
      <c r="F40" s="23"/>
      <c r="G40" s="23"/>
      <c r="H40" s="24" t="s">
        <v>203</v>
      </c>
      <c r="I40" s="45">
        <v>1</v>
      </c>
      <c r="J40" s="25">
        <f>'Harga Satuan Dasar mat'!G102</f>
        <v>203000</v>
      </c>
      <c r="K40" s="26">
        <f>I40*J40</f>
        <v>203000</v>
      </c>
    </row>
    <row r="41" spans="1:11" ht="13.2" customHeight="1" x14ac:dyDescent="0.25">
      <c r="A41" s="2"/>
      <c r="B41" s="20" t="s">
        <v>30</v>
      </c>
      <c r="C41" s="21" t="s">
        <v>1247</v>
      </c>
      <c r="D41" s="14"/>
      <c r="E41" s="22"/>
      <c r="F41" s="23"/>
      <c r="G41" s="23"/>
      <c r="H41" s="24" t="s">
        <v>203</v>
      </c>
      <c r="I41" s="45">
        <v>2</v>
      </c>
      <c r="J41" s="25">
        <f>'Harga Satuan Dasar mat'!G737</f>
        <v>27550</v>
      </c>
      <c r="K41" s="26">
        <f t="shared" ref="K41:K45" si="7">I41*J41</f>
        <v>55100</v>
      </c>
    </row>
    <row r="42" spans="1:11" ht="13.2" customHeight="1" x14ac:dyDescent="0.25">
      <c r="A42" s="2"/>
      <c r="B42" s="20" t="s">
        <v>57</v>
      </c>
      <c r="C42" s="21" t="s">
        <v>590</v>
      </c>
      <c r="D42" s="14"/>
      <c r="E42" s="22"/>
      <c r="F42" s="23"/>
      <c r="G42" s="23"/>
      <c r="H42" s="24" t="s">
        <v>203</v>
      </c>
      <c r="I42" s="45">
        <v>2</v>
      </c>
      <c r="J42" s="25">
        <f>'Harga Satuan Dasar mat'!G738</f>
        <v>128700</v>
      </c>
      <c r="K42" s="26">
        <f t="shared" si="7"/>
        <v>257400</v>
      </c>
    </row>
    <row r="43" spans="1:11" ht="13.2" customHeight="1" x14ac:dyDescent="0.25">
      <c r="A43" s="2"/>
      <c r="B43" s="20" t="s">
        <v>83</v>
      </c>
      <c r="C43" s="21" t="s">
        <v>1250</v>
      </c>
      <c r="D43" s="14"/>
      <c r="E43" s="22"/>
      <c r="F43" s="23"/>
      <c r="G43" s="23"/>
      <c r="H43" s="24" t="s">
        <v>203</v>
      </c>
      <c r="I43" s="45">
        <v>2</v>
      </c>
      <c r="J43" s="25">
        <f>'Harga Satuan Dasar mat'!G390</f>
        <v>175000</v>
      </c>
      <c r="K43" s="26">
        <f t="shared" si="7"/>
        <v>350000</v>
      </c>
    </row>
    <row r="44" spans="1:11" ht="13.2" customHeight="1" x14ac:dyDescent="0.25">
      <c r="A44" s="2"/>
      <c r="B44" s="20" t="s">
        <v>110</v>
      </c>
      <c r="C44" s="21" t="s">
        <v>1249</v>
      </c>
      <c r="D44" s="14"/>
      <c r="E44" s="22"/>
      <c r="F44" s="23"/>
      <c r="G44" s="23"/>
      <c r="H44" s="24" t="s">
        <v>203</v>
      </c>
      <c r="I44" s="45">
        <v>2</v>
      </c>
      <c r="J44" s="25">
        <f>'Harga Satuan Dasar mat'!G549</f>
        <v>75120</v>
      </c>
      <c r="K44" s="26">
        <f t="shared" si="7"/>
        <v>150240</v>
      </c>
    </row>
    <row r="45" spans="1:11" ht="13.2" customHeight="1" x14ac:dyDescent="0.25">
      <c r="A45" s="2"/>
      <c r="B45" s="20" t="s">
        <v>137</v>
      </c>
      <c r="C45" s="21" t="s">
        <v>714</v>
      </c>
      <c r="D45" s="14"/>
      <c r="E45" s="22"/>
      <c r="F45" s="23"/>
      <c r="G45" s="23"/>
      <c r="H45" s="24" t="s">
        <v>203</v>
      </c>
      <c r="I45" s="65">
        <v>4</v>
      </c>
      <c r="J45" s="25">
        <f>J33</f>
        <v>14000</v>
      </c>
      <c r="K45" s="26">
        <f t="shared" si="7"/>
        <v>56000</v>
      </c>
    </row>
    <row r="46" spans="1:11" ht="12.9" customHeight="1" x14ac:dyDescent="0.25">
      <c r="A46" s="6"/>
      <c r="B46" s="7"/>
      <c r="C46" s="8"/>
      <c r="D46" s="8"/>
      <c r="E46" s="8"/>
      <c r="F46" s="8"/>
      <c r="G46" s="9"/>
      <c r="H46" s="10" t="s">
        <v>715</v>
      </c>
      <c r="I46" s="11"/>
      <c r="J46" s="11"/>
      <c r="K46" s="27">
        <f>SUM(K40:K45)</f>
        <v>1071740</v>
      </c>
    </row>
    <row r="47" spans="1:11" ht="12.9" customHeight="1" x14ac:dyDescent="0.25">
      <c r="A47" s="6"/>
      <c r="B47" s="5"/>
      <c r="C47" s="3"/>
      <c r="D47" s="3"/>
      <c r="E47" s="3"/>
      <c r="F47" s="3"/>
      <c r="G47" s="4"/>
      <c r="H47" s="12" t="s">
        <v>603</v>
      </c>
      <c r="I47" s="28">
        <f>$K$3</f>
        <v>0.15</v>
      </c>
      <c r="J47" s="13"/>
      <c r="K47" s="29">
        <f>I47*K46</f>
        <v>160761</v>
      </c>
    </row>
    <row r="48" spans="1:11" ht="12.9" customHeight="1" x14ac:dyDescent="0.25">
      <c r="A48" s="6"/>
      <c r="B48" s="5"/>
      <c r="C48" s="3"/>
      <c r="D48" s="3"/>
      <c r="E48" s="3"/>
      <c r="F48" s="3"/>
      <c r="G48" s="4"/>
      <c r="H48" s="12" t="s">
        <v>604</v>
      </c>
      <c r="I48" s="14"/>
      <c r="J48" s="14"/>
      <c r="K48" s="29">
        <f>SUM(K46:K47)</f>
        <v>1232501</v>
      </c>
    </row>
    <row r="49" spans="1:11" ht="12.9" customHeight="1" thickBot="1" x14ac:dyDescent="0.3">
      <c r="A49" s="15"/>
      <c r="B49" s="16"/>
      <c r="C49" s="17"/>
      <c r="D49" s="17"/>
      <c r="E49" s="17"/>
      <c r="F49" s="17"/>
      <c r="G49" s="18"/>
      <c r="H49" s="46" t="s">
        <v>605</v>
      </c>
      <c r="I49" s="47"/>
      <c r="J49" s="47"/>
      <c r="K49" s="144">
        <f>ROUND(K48,-1)</f>
        <v>1232500</v>
      </c>
    </row>
    <row r="50" spans="1:11" ht="14.1" customHeight="1" x14ac:dyDescent="0.25">
      <c r="A50" s="81">
        <v>6</v>
      </c>
      <c r="B50" s="676" t="s">
        <v>713</v>
      </c>
      <c r="C50" s="677"/>
      <c r="D50" s="137" t="s">
        <v>1252</v>
      </c>
      <c r="E50" s="138"/>
      <c r="F50" s="139"/>
      <c r="G50" s="139"/>
      <c r="H50" s="140"/>
      <c r="I50" s="141"/>
      <c r="J50" s="142"/>
      <c r="K50" s="143"/>
    </row>
    <row r="51" spans="1:11" ht="13.2" customHeight="1" x14ac:dyDescent="0.25">
      <c r="A51" s="2"/>
      <c r="B51" s="20" t="s">
        <v>4</v>
      </c>
      <c r="C51" s="21" t="s">
        <v>1238</v>
      </c>
      <c r="D51" s="14"/>
      <c r="E51" s="22"/>
      <c r="F51" s="23"/>
      <c r="G51" s="23"/>
      <c r="H51" s="24" t="s">
        <v>203</v>
      </c>
      <c r="I51" s="45">
        <v>1</v>
      </c>
      <c r="J51" s="25">
        <f>'Harga Satuan Dasar mat'!G104</f>
        <v>221500</v>
      </c>
      <c r="K51" s="26">
        <f>I51*J51</f>
        <v>221500</v>
      </c>
    </row>
    <row r="52" spans="1:11" ht="13.2" customHeight="1" x14ac:dyDescent="0.25">
      <c r="A52" s="2"/>
      <c r="B52" s="20" t="s">
        <v>30</v>
      </c>
      <c r="C52" s="21" t="s">
        <v>1247</v>
      </c>
      <c r="D52" s="14"/>
      <c r="E52" s="22"/>
      <c r="F52" s="23"/>
      <c r="G52" s="23"/>
      <c r="H52" s="24" t="s">
        <v>203</v>
      </c>
      <c r="I52" s="45">
        <v>2</v>
      </c>
      <c r="J52" s="25">
        <f>J41</f>
        <v>27550</v>
      </c>
      <c r="K52" s="26">
        <f t="shared" ref="K52:K56" si="8">I52*J52</f>
        <v>55100</v>
      </c>
    </row>
    <row r="53" spans="1:11" ht="13.2" customHeight="1" x14ac:dyDescent="0.25">
      <c r="A53" s="2"/>
      <c r="B53" s="20" t="s">
        <v>57</v>
      </c>
      <c r="C53" s="21" t="s">
        <v>590</v>
      </c>
      <c r="D53" s="14"/>
      <c r="E53" s="22"/>
      <c r="F53" s="23"/>
      <c r="G53" s="23"/>
      <c r="H53" s="24" t="s">
        <v>203</v>
      </c>
      <c r="I53" s="45">
        <v>2</v>
      </c>
      <c r="J53" s="25">
        <f t="shared" ref="J53:J56" si="9">J42</f>
        <v>128700</v>
      </c>
      <c r="K53" s="26">
        <f t="shared" si="8"/>
        <v>257400</v>
      </c>
    </row>
    <row r="54" spans="1:11" ht="13.2" customHeight="1" x14ac:dyDescent="0.25">
      <c r="A54" s="2"/>
      <c r="B54" s="20" t="s">
        <v>83</v>
      </c>
      <c r="C54" s="21" t="s">
        <v>1248</v>
      </c>
      <c r="D54" s="14"/>
      <c r="E54" s="22"/>
      <c r="F54" s="23"/>
      <c r="G54" s="23"/>
      <c r="H54" s="24" t="s">
        <v>203</v>
      </c>
      <c r="I54" s="45">
        <v>2</v>
      </c>
      <c r="J54" s="25">
        <f t="shared" si="9"/>
        <v>175000</v>
      </c>
      <c r="K54" s="26">
        <f t="shared" si="8"/>
        <v>350000</v>
      </c>
    </row>
    <row r="55" spans="1:11" ht="13.2" customHeight="1" x14ac:dyDescent="0.25">
      <c r="A55" s="2"/>
      <c r="B55" s="20" t="s">
        <v>110</v>
      </c>
      <c r="C55" s="21" t="s">
        <v>1249</v>
      </c>
      <c r="D55" s="14"/>
      <c r="E55" s="22"/>
      <c r="F55" s="23"/>
      <c r="G55" s="23"/>
      <c r="H55" s="24" t="s">
        <v>203</v>
      </c>
      <c r="I55" s="45">
        <v>2</v>
      </c>
      <c r="J55" s="25">
        <f t="shared" si="9"/>
        <v>75120</v>
      </c>
      <c r="K55" s="26">
        <f t="shared" si="8"/>
        <v>150240</v>
      </c>
    </row>
    <row r="56" spans="1:11" ht="13.2" customHeight="1" x14ac:dyDescent="0.25">
      <c r="A56" s="2"/>
      <c r="B56" s="20" t="s">
        <v>137</v>
      </c>
      <c r="C56" s="21" t="s">
        <v>714</v>
      </c>
      <c r="D56" s="14"/>
      <c r="E56" s="22"/>
      <c r="F56" s="23"/>
      <c r="G56" s="23"/>
      <c r="H56" s="24" t="s">
        <v>203</v>
      </c>
      <c r="I56" s="65">
        <v>4</v>
      </c>
      <c r="J56" s="25">
        <f t="shared" si="9"/>
        <v>14000</v>
      </c>
      <c r="K56" s="26">
        <f t="shared" si="8"/>
        <v>56000</v>
      </c>
    </row>
    <row r="57" spans="1:11" ht="12.9" customHeight="1" x14ac:dyDescent="0.25">
      <c r="A57" s="6"/>
      <c r="B57" s="7"/>
      <c r="C57" s="8"/>
      <c r="D57" s="8"/>
      <c r="E57" s="8"/>
      <c r="F57" s="8"/>
      <c r="G57" s="9"/>
      <c r="H57" s="10" t="s">
        <v>715</v>
      </c>
      <c r="I57" s="11"/>
      <c r="J57" s="11"/>
      <c r="K57" s="27">
        <f>SUM(K51:K56)</f>
        <v>1090240</v>
      </c>
    </row>
    <row r="58" spans="1:11" ht="12.9" customHeight="1" x14ac:dyDescent="0.25">
      <c r="A58" s="6"/>
      <c r="B58" s="5"/>
      <c r="C58" s="3"/>
      <c r="D58" s="3"/>
      <c r="E58" s="3"/>
      <c r="F58" s="3"/>
      <c r="G58" s="4"/>
      <c r="H58" s="12" t="s">
        <v>603</v>
      </c>
      <c r="I58" s="28">
        <f>$K$3</f>
        <v>0.15</v>
      </c>
      <c r="J58" s="13"/>
      <c r="K58" s="29">
        <f>I58*K57</f>
        <v>163536</v>
      </c>
    </row>
    <row r="59" spans="1:11" ht="12.9" customHeight="1" x14ac:dyDescent="0.25">
      <c r="A59" s="6"/>
      <c r="B59" s="5"/>
      <c r="C59" s="3"/>
      <c r="D59" s="3"/>
      <c r="E59" s="3"/>
      <c r="F59" s="3"/>
      <c r="G59" s="4"/>
      <c r="H59" s="12" t="s">
        <v>604</v>
      </c>
      <c r="I59" s="14"/>
      <c r="J59" s="14"/>
      <c r="K59" s="29">
        <f>SUM(K57:K58)</f>
        <v>1253776</v>
      </c>
    </row>
    <row r="60" spans="1:11" ht="12.9" customHeight="1" thickBot="1" x14ac:dyDescent="0.3">
      <c r="A60" s="15"/>
      <c r="B60" s="16"/>
      <c r="C60" s="17"/>
      <c r="D60" s="17"/>
      <c r="E60" s="17"/>
      <c r="F60" s="17"/>
      <c r="G60" s="18"/>
      <c r="H60" s="46" t="s">
        <v>605</v>
      </c>
      <c r="I60" s="47"/>
      <c r="J60" s="47"/>
      <c r="K60" s="144">
        <f>ROUND(K59,-1)</f>
        <v>1253780</v>
      </c>
    </row>
    <row r="61" spans="1:11" ht="14.1" customHeight="1" x14ac:dyDescent="0.25">
      <c r="A61" s="81">
        <v>7</v>
      </c>
      <c r="B61" s="676" t="s">
        <v>713</v>
      </c>
      <c r="C61" s="677"/>
      <c r="D61" s="137" t="s">
        <v>1253</v>
      </c>
      <c r="E61" s="138"/>
      <c r="F61" s="139"/>
      <c r="G61" s="139"/>
      <c r="H61" s="140"/>
      <c r="I61" s="141"/>
      <c r="J61" s="142"/>
      <c r="K61" s="143"/>
    </row>
    <row r="62" spans="1:11" ht="13.2" customHeight="1" x14ac:dyDescent="0.25">
      <c r="A62" s="2"/>
      <c r="B62" s="20" t="s">
        <v>4</v>
      </c>
      <c r="C62" s="21" t="s">
        <v>1240</v>
      </c>
      <c r="D62" s="14"/>
      <c r="E62" s="22"/>
      <c r="F62" s="23"/>
      <c r="G62" s="23"/>
      <c r="H62" s="24" t="s">
        <v>203</v>
      </c>
      <c r="I62" s="45">
        <v>1</v>
      </c>
      <c r="J62" s="25">
        <f>'Harga Satuan Dasar mat'!G100</f>
        <v>184000</v>
      </c>
      <c r="K62" s="26">
        <f>I62*J62</f>
        <v>184000</v>
      </c>
    </row>
    <row r="63" spans="1:11" ht="13.2" customHeight="1" x14ac:dyDescent="0.25">
      <c r="A63" s="2"/>
      <c r="B63" s="20" t="s">
        <v>30</v>
      </c>
      <c r="C63" s="21" t="s">
        <v>1247</v>
      </c>
      <c r="D63" s="14"/>
      <c r="E63" s="22"/>
      <c r="F63" s="23"/>
      <c r="G63" s="23"/>
      <c r="H63" s="24" t="s">
        <v>203</v>
      </c>
      <c r="I63" s="45">
        <v>2</v>
      </c>
      <c r="J63" s="25">
        <f>J52</f>
        <v>27550</v>
      </c>
      <c r="K63" s="26">
        <f t="shared" ref="K63:K67" si="10">I63*J63</f>
        <v>55100</v>
      </c>
    </row>
    <row r="64" spans="1:11" ht="13.2" customHeight="1" x14ac:dyDescent="0.25">
      <c r="A64" s="2"/>
      <c r="B64" s="20" t="s">
        <v>57</v>
      </c>
      <c r="C64" s="21" t="s">
        <v>590</v>
      </c>
      <c r="D64" s="14"/>
      <c r="E64" s="22"/>
      <c r="F64" s="23"/>
      <c r="G64" s="23"/>
      <c r="H64" s="24" t="s">
        <v>203</v>
      </c>
      <c r="I64" s="45">
        <v>2</v>
      </c>
      <c r="J64" s="25">
        <f t="shared" ref="J64:J67" si="11">J53</f>
        <v>128700</v>
      </c>
      <c r="K64" s="26">
        <f t="shared" si="10"/>
        <v>257400</v>
      </c>
    </row>
    <row r="65" spans="1:11" ht="13.2" customHeight="1" x14ac:dyDescent="0.25">
      <c r="A65" s="2"/>
      <c r="B65" s="20" t="s">
        <v>83</v>
      </c>
      <c r="C65" s="21" t="s">
        <v>1248</v>
      </c>
      <c r="D65" s="14"/>
      <c r="E65" s="22"/>
      <c r="F65" s="23"/>
      <c r="G65" s="23"/>
      <c r="H65" s="24" t="s">
        <v>203</v>
      </c>
      <c r="I65" s="45">
        <v>2</v>
      </c>
      <c r="J65" s="25">
        <f t="shared" si="11"/>
        <v>175000</v>
      </c>
      <c r="K65" s="26">
        <f t="shared" si="10"/>
        <v>350000</v>
      </c>
    </row>
    <row r="66" spans="1:11" ht="13.2" customHeight="1" x14ac:dyDescent="0.25">
      <c r="A66" s="2"/>
      <c r="B66" s="20" t="s">
        <v>110</v>
      </c>
      <c r="C66" s="21" t="s">
        <v>1249</v>
      </c>
      <c r="D66" s="14"/>
      <c r="E66" s="22"/>
      <c r="F66" s="23"/>
      <c r="G66" s="23"/>
      <c r="H66" s="24" t="s">
        <v>203</v>
      </c>
      <c r="I66" s="45">
        <v>2</v>
      </c>
      <c r="J66" s="25">
        <f t="shared" si="11"/>
        <v>75120</v>
      </c>
      <c r="K66" s="26">
        <f t="shared" si="10"/>
        <v>150240</v>
      </c>
    </row>
    <row r="67" spans="1:11" ht="13.2" customHeight="1" x14ac:dyDescent="0.25">
      <c r="A67" s="2"/>
      <c r="B67" s="20" t="s">
        <v>137</v>
      </c>
      <c r="C67" s="21" t="s">
        <v>714</v>
      </c>
      <c r="D67" s="14"/>
      <c r="E67" s="22"/>
      <c r="F67" s="23"/>
      <c r="G67" s="23"/>
      <c r="H67" s="24" t="s">
        <v>203</v>
      </c>
      <c r="I67" s="65">
        <v>4</v>
      </c>
      <c r="J67" s="25">
        <f t="shared" si="11"/>
        <v>14000</v>
      </c>
      <c r="K67" s="26">
        <f t="shared" si="10"/>
        <v>56000</v>
      </c>
    </row>
    <row r="68" spans="1:11" ht="12.9" customHeight="1" x14ac:dyDescent="0.25">
      <c r="A68" s="6"/>
      <c r="B68" s="7"/>
      <c r="C68" s="8"/>
      <c r="D68" s="8"/>
      <c r="E68" s="8"/>
      <c r="F68" s="8"/>
      <c r="G68" s="9"/>
      <c r="H68" s="10" t="s">
        <v>715</v>
      </c>
      <c r="I68" s="11"/>
      <c r="J68" s="11"/>
      <c r="K68" s="27">
        <f>SUM(K62:K67)</f>
        <v>1052740</v>
      </c>
    </row>
    <row r="69" spans="1:11" ht="12.9" customHeight="1" x14ac:dyDescent="0.25">
      <c r="A69" s="6"/>
      <c r="B69" s="5"/>
      <c r="C69" s="3"/>
      <c r="D69" s="3"/>
      <c r="E69" s="3"/>
      <c r="F69" s="3"/>
      <c r="G69" s="4"/>
      <c r="H69" s="12" t="s">
        <v>603</v>
      </c>
      <c r="I69" s="28">
        <f>$K$3</f>
        <v>0.15</v>
      </c>
      <c r="J69" s="13"/>
      <c r="K69" s="29">
        <f>I69*K68</f>
        <v>157911</v>
      </c>
    </row>
    <row r="70" spans="1:11" ht="12.9" customHeight="1" x14ac:dyDescent="0.25">
      <c r="A70" s="6"/>
      <c r="B70" s="5"/>
      <c r="C70" s="3"/>
      <c r="D70" s="3"/>
      <c r="E70" s="3"/>
      <c r="F70" s="3"/>
      <c r="G70" s="4"/>
      <c r="H70" s="12" t="s">
        <v>604</v>
      </c>
      <c r="I70" s="14"/>
      <c r="J70" s="14"/>
      <c r="K70" s="29">
        <f>SUM(K68:K69)</f>
        <v>1210651</v>
      </c>
    </row>
    <row r="71" spans="1:11" ht="12.9" customHeight="1" thickBot="1" x14ac:dyDescent="0.3">
      <c r="A71" s="15"/>
      <c r="B71" s="16"/>
      <c r="C71" s="17"/>
      <c r="D71" s="17"/>
      <c r="E71" s="17"/>
      <c r="F71" s="17"/>
      <c r="G71" s="18"/>
      <c r="H71" s="46" t="s">
        <v>605</v>
      </c>
      <c r="I71" s="47"/>
      <c r="J71" s="47"/>
      <c r="K71" s="144">
        <f>ROUND(K70,-1)</f>
        <v>1210650</v>
      </c>
    </row>
    <row r="72" spans="1:11" ht="14.1" customHeight="1" x14ac:dyDescent="0.25">
      <c r="A72" s="81">
        <v>8</v>
      </c>
      <c r="B72" s="676" t="s">
        <v>713</v>
      </c>
      <c r="C72" s="677"/>
      <c r="D72" s="137" t="s">
        <v>1254</v>
      </c>
      <c r="E72" s="138"/>
      <c r="F72" s="139"/>
      <c r="G72" s="139"/>
      <c r="H72" s="140"/>
      <c r="I72" s="141"/>
      <c r="J72" s="142"/>
      <c r="K72" s="143"/>
    </row>
    <row r="73" spans="1:11" ht="13.2" customHeight="1" x14ac:dyDescent="0.25">
      <c r="A73" s="2"/>
      <c r="B73" s="20" t="s">
        <v>4</v>
      </c>
      <c r="C73" s="21" t="s">
        <v>1242</v>
      </c>
      <c r="D73" s="14"/>
      <c r="E73" s="22"/>
      <c r="F73" s="23"/>
      <c r="G73" s="23"/>
      <c r="H73" s="24" t="s">
        <v>203</v>
      </c>
      <c r="I73" s="45">
        <v>1</v>
      </c>
      <c r="J73" s="25">
        <f>'Harga Satuan Dasar mat'!G98</f>
        <v>164500</v>
      </c>
      <c r="K73" s="26">
        <f>I73*J73</f>
        <v>164500</v>
      </c>
    </row>
    <row r="74" spans="1:11" ht="13.2" customHeight="1" x14ac:dyDescent="0.25">
      <c r="A74" s="2"/>
      <c r="B74" s="20" t="s">
        <v>30</v>
      </c>
      <c r="C74" s="21" t="s">
        <v>1247</v>
      </c>
      <c r="D74" s="14"/>
      <c r="E74" s="22"/>
      <c r="F74" s="23"/>
      <c r="G74" s="23"/>
      <c r="H74" s="24" t="s">
        <v>203</v>
      </c>
      <c r="I74" s="45">
        <v>2</v>
      </c>
      <c r="J74" s="25">
        <f>J63</f>
        <v>27550</v>
      </c>
      <c r="K74" s="26">
        <f t="shared" ref="K74:K78" si="12">I74*J74</f>
        <v>55100</v>
      </c>
    </row>
    <row r="75" spans="1:11" ht="13.2" customHeight="1" x14ac:dyDescent="0.25">
      <c r="A75" s="2"/>
      <c r="B75" s="20" t="s">
        <v>57</v>
      </c>
      <c r="C75" s="21" t="s">
        <v>590</v>
      </c>
      <c r="D75" s="14"/>
      <c r="E75" s="22"/>
      <c r="F75" s="23"/>
      <c r="G75" s="23"/>
      <c r="H75" s="24" t="s">
        <v>203</v>
      </c>
      <c r="I75" s="45">
        <v>2</v>
      </c>
      <c r="J75" s="25">
        <f t="shared" ref="J75:J78" si="13">J64</f>
        <v>128700</v>
      </c>
      <c r="K75" s="26">
        <f t="shared" si="12"/>
        <v>257400</v>
      </c>
    </row>
    <row r="76" spans="1:11" ht="13.2" customHeight="1" x14ac:dyDescent="0.25">
      <c r="A76" s="2"/>
      <c r="B76" s="20" t="s">
        <v>83</v>
      </c>
      <c r="C76" s="21" t="s">
        <v>1248</v>
      </c>
      <c r="D76" s="14"/>
      <c r="E76" s="22"/>
      <c r="F76" s="23"/>
      <c r="G76" s="23"/>
      <c r="H76" s="24" t="s">
        <v>203</v>
      </c>
      <c r="I76" s="45">
        <v>2</v>
      </c>
      <c r="J76" s="25">
        <f t="shared" si="13"/>
        <v>175000</v>
      </c>
      <c r="K76" s="26">
        <f t="shared" si="12"/>
        <v>350000</v>
      </c>
    </row>
    <row r="77" spans="1:11" ht="13.2" customHeight="1" x14ac:dyDescent="0.25">
      <c r="A77" s="2"/>
      <c r="B77" s="20" t="s">
        <v>110</v>
      </c>
      <c r="C77" s="21" t="s">
        <v>1249</v>
      </c>
      <c r="D77" s="14"/>
      <c r="E77" s="22"/>
      <c r="F77" s="23"/>
      <c r="G77" s="23"/>
      <c r="H77" s="24" t="s">
        <v>203</v>
      </c>
      <c r="I77" s="45">
        <v>2</v>
      </c>
      <c r="J77" s="25">
        <f t="shared" si="13"/>
        <v>75120</v>
      </c>
      <c r="K77" s="26">
        <f t="shared" si="12"/>
        <v>150240</v>
      </c>
    </row>
    <row r="78" spans="1:11" ht="13.2" customHeight="1" x14ac:dyDescent="0.25">
      <c r="A78" s="2"/>
      <c r="B78" s="20" t="s">
        <v>137</v>
      </c>
      <c r="C78" s="21" t="s">
        <v>714</v>
      </c>
      <c r="D78" s="14"/>
      <c r="E78" s="22"/>
      <c r="F78" s="23"/>
      <c r="G78" s="23"/>
      <c r="H78" s="24" t="s">
        <v>203</v>
      </c>
      <c r="I78" s="65">
        <v>4</v>
      </c>
      <c r="J78" s="25">
        <f t="shared" si="13"/>
        <v>14000</v>
      </c>
      <c r="K78" s="26">
        <f t="shared" si="12"/>
        <v>56000</v>
      </c>
    </row>
    <row r="79" spans="1:11" ht="12.9" customHeight="1" x14ac:dyDescent="0.25">
      <c r="A79" s="6"/>
      <c r="B79" s="7"/>
      <c r="C79" s="8"/>
      <c r="D79" s="8"/>
      <c r="E79" s="8"/>
      <c r="F79" s="8"/>
      <c r="G79" s="9"/>
      <c r="H79" s="10" t="s">
        <v>715</v>
      </c>
      <c r="I79" s="11"/>
      <c r="J79" s="11"/>
      <c r="K79" s="27">
        <f>SUM(K73:K78)</f>
        <v>1033240</v>
      </c>
    </row>
    <row r="80" spans="1:11" ht="12.9" customHeight="1" x14ac:dyDescent="0.25">
      <c r="A80" s="6"/>
      <c r="B80" s="5"/>
      <c r="C80" s="3"/>
      <c r="D80" s="3"/>
      <c r="E80" s="3"/>
      <c r="F80" s="3"/>
      <c r="G80" s="4"/>
      <c r="H80" s="12" t="s">
        <v>603</v>
      </c>
      <c r="I80" s="28">
        <f>$K$3</f>
        <v>0.15</v>
      </c>
      <c r="J80" s="13"/>
      <c r="K80" s="29">
        <f>I80*K79</f>
        <v>154986</v>
      </c>
    </row>
    <row r="81" spans="1:11" ht="12.9" customHeight="1" x14ac:dyDescent="0.25">
      <c r="A81" s="6"/>
      <c r="B81" s="5"/>
      <c r="C81" s="3"/>
      <c r="D81" s="3"/>
      <c r="E81" s="3"/>
      <c r="F81" s="3"/>
      <c r="G81" s="4"/>
      <c r="H81" s="12" t="s">
        <v>604</v>
      </c>
      <c r="I81" s="14"/>
      <c r="J81" s="14"/>
      <c r="K81" s="29">
        <f>SUM(K79:K80)</f>
        <v>1188226</v>
      </c>
    </row>
    <row r="82" spans="1:11" ht="12.9" customHeight="1" thickBot="1" x14ac:dyDescent="0.3">
      <c r="A82" s="15"/>
      <c r="B82" s="16"/>
      <c r="C82" s="17"/>
      <c r="D82" s="17"/>
      <c r="E82" s="17"/>
      <c r="F82" s="17"/>
      <c r="G82" s="18"/>
      <c r="H82" s="46" t="s">
        <v>605</v>
      </c>
      <c r="I82" s="47"/>
      <c r="J82" s="47"/>
      <c r="K82" s="144">
        <f>ROUND(K81,-1)</f>
        <v>1188230</v>
      </c>
    </row>
    <row r="83" spans="1:11" ht="14.1" customHeight="1" x14ac:dyDescent="0.25">
      <c r="A83" s="81">
        <v>9</v>
      </c>
      <c r="B83" s="676" t="s">
        <v>713</v>
      </c>
      <c r="C83" s="677"/>
      <c r="D83" s="137" t="s">
        <v>1255</v>
      </c>
      <c r="E83" s="138"/>
      <c r="F83" s="139"/>
      <c r="G83" s="139"/>
      <c r="H83" s="140"/>
      <c r="I83" s="141"/>
      <c r="J83" s="142"/>
      <c r="K83" s="143"/>
    </row>
    <row r="84" spans="1:11" ht="13.2" customHeight="1" x14ac:dyDescent="0.25">
      <c r="A84" s="2"/>
      <c r="B84" s="20" t="s">
        <v>4</v>
      </c>
      <c r="C84" s="21" t="s">
        <v>1235</v>
      </c>
      <c r="D84" s="14"/>
      <c r="E84" s="22"/>
      <c r="F84" s="23"/>
      <c r="G84" s="23"/>
      <c r="H84" s="24" t="s">
        <v>203</v>
      </c>
      <c r="I84" s="45">
        <v>1</v>
      </c>
      <c r="J84" s="25">
        <f>J40</f>
        <v>203000</v>
      </c>
      <c r="K84" s="26">
        <f>I84*J84</f>
        <v>203000</v>
      </c>
    </row>
    <row r="85" spans="1:11" ht="13.2" customHeight="1" x14ac:dyDescent="0.25">
      <c r="A85" s="2"/>
      <c r="B85" s="20" t="s">
        <v>30</v>
      </c>
      <c r="C85" s="21" t="s">
        <v>1247</v>
      </c>
      <c r="D85" s="14"/>
      <c r="E85" s="22"/>
      <c r="F85" s="23"/>
      <c r="G85" s="23"/>
      <c r="H85" s="24" t="s">
        <v>203</v>
      </c>
      <c r="I85" s="45">
        <v>2</v>
      </c>
      <c r="J85" s="25">
        <f>J41</f>
        <v>27550</v>
      </c>
      <c r="K85" s="26">
        <f t="shared" ref="K85:K89" si="14">I85*J85</f>
        <v>55100</v>
      </c>
    </row>
    <row r="86" spans="1:11" ht="13.2" customHeight="1" x14ac:dyDescent="0.25">
      <c r="A86" s="2"/>
      <c r="B86" s="20" t="s">
        <v>57</v>
      </c>
      <c r="C86" s="21" t="s">
        <v>590</v>
      </c>
      <c r="D86" s="14"/>
      <c r="E86" s="22"/>
      <c r="F86" s="23"/>
      <c r="G86" s="23"/>
      <c r="H86" s="24" t="s">
        <v>203</v>
      </c>
      <c r="I86" s="45">
        <v>2</v>
      </c>
      <c r="J86" s="25">
        <f>J42</f>
        <v>128700</v>
      </c>
      <c r="K86" s="26">
        <f t="shared" si="14"/>
        <v>257400</v>
      </c>
    </row>
    <row r="87" spans="1:11" ht="13.2" customHeight="1" x14ac:dyDescent="0.25">
      <c r="A87" s="2"/>
      <c r="B87" s="20" t="s">
        <v>83</v>
      </c>
      <c r="C87" s="21" t="s">
        <v>1250</v>
      </c>
      <c r="D87" s="14"/>
      <c r="E87" s="22"/>
      <c r="F87" s="23"/>
      <c r="G87" s="23"/>
      <c r="H87" s="24" t="s">
        <v>203</v>
      </c>
      <c r="I87" s="45">
        <v>2</v>
      </c>
      <c r="J87" s="25">
        <f>J43</f>
        <v>175000</v>
      </c>
      <c r="K87" s="26">
        <f t="shared" si="14"/>
        <v>350000</v>
      </c>
    </row>
    <row r="88" spans="1:11" ht="13.2" customHeight="1" x14ac:dyDescent="0.25">
      <c r="A88" s="2"/>
      <c r="B88" s="20" t="s">
        <v>110</v>
      </c>
      <c r="C88" s="21" t="s">
        <v>1256</v>
      </c>
      <c r="D88" s="14"/>
      <c r="E88" s="22"/>
      <c r="F88" s="23"/>
      <c r="G88" s="23"/>
      <c r="H88" s="24" t="s">
        <v>203</v>
      </c>
      <c r="I88" s="45">
        <v>2</v>
      </c>
      <c r="J88" s="25">
        <f>'Harga Satuan Dasar mat'!G551</f>
        <v>99720</v>
      </c>
      <c r="K88" s="26">
        <f t="shared" si="14"/>
        <v>199440</v>
      </c>
    </row>
    <row r="89" spans="1:11" ht="13.2" customHeight="1" x14ac:dyDescent="0.25">
      <c r="A89" s="2"/>
      <c r="B89" s="20" t="s">
        <v>137</v>
      </c>
      <c r="C89" s="21" t="s">
        <v>714</v>
      </c>
      <c r="D89" s="14"/>
      <c r="E89" s="22"/>
      <c r="F89" s="23"/>
      <c r="G89" s="23"/>
      <c r="H89" s="24" t="s">
        <v>203</v>
      </c>
      <c r="I89" s="65">
        <v>4</v>
      </c>
      <c r="J89" s="25">
        <f>J45</f>
        <v>14000</v>
      </c>
      <c r="K89" s="26">
        <f t="shared" si="14"/>
        <v>56000</v>
      </c>
    </row>
    <row r="90" spans="1:11" ht="12.9" customHeight="1" x14ac:dyDescent="0.25">
      <c r="A90" s="6"/>
      <c r="B90" s="7"/>
      <c r="C90" s="8"/>
      <c r="D90" s="8"/>
      <c r="E90" s="8"/>
      <c r="F90" s="8"/>
      <c r="G90" s="9"/>
      <c r="H90" s="10" t="s">
        <v>715</v>
      </c>
      <c r="I90" s="11"/>
      <c r="J90" s="11"/>
      <c r="K90" s="27">
        <f>SUM(K84:K89)</f>
        <v>1120940</v>
      </c>
    </row>
    <row r="91" spans="1:11" ht="12.9" customHeight="1" x14ac:dyDescent="0.25">
      <c r="A91" s="6"/>
      <c r="B91" s="5"/>
      <c r="C91" s="3"/>
      <c r="D91" s="3"/>
      <c r="E91" s="3"/>
      <c r="F91" s="3"/>
      <c r="G91" s="4"/>
      <c r="H91" s="12" t="s">
        <v>603</v>
      </c>
      <c r="I91" s="28">
        <f>$K$3</f>
        <v>0.15</v>
      </c>
      <c r="J91" s="13"/>
      <c r="K91" s="29">
        <f>I91*K90</f>
        <v>168141</v>
      </c>
    </row>
    <row r="92" spans="1:11" ht="12.9" customHeight="1" x14ac:dyDescent="0.25">
      <c r="A92" s="6"/>
      <c r="B92" s="5"/>
      <c r="C92" s="3"/>
      <c r="D92" s="3"/>
      <c r="E92" s="3"/>
      <c r="F92" s="3"/>
      <c r="G92" s="4"/>
      <c r="H92" s="12" t="s">
        <v>604</v>
      </c>
      <c r="I92" s="14"/>
      <c r="J92" s="14"/>
      <c r="K92" s="29">
        <f>SUM(K90:K91)</f>
        <v>1289081</v>
      </c>
    </row>
    <row r="93" spans="1:11" ht="12.9" customHeight="1" thickBot="1" x14ac:dyDescent="0.3">
      <c r="A93" s="15"/>
      <c r="B93" s="16"/>
      <c r="C93" s="17"/>
      <c r="D93" s="17"/>
      <c r="E93" s="17"/>
      <c r="F93" s="17"/>
      <c r="G93" s="18"/>
      <c r="H93" s="46" t="s">
        <v>605</v>
      </c>
      <c r="I93" s="47"/>
      <c r="J93" s="47"/>
      <c r="K93" s="144">
        <f>ROUND(K92,-1)</f>
        <v>1289080</v>
      </c>
    </row>
    <row r="94" spans="1:11" ht="14.1" customHeight="1" x14ac:dyDescent="0.25">
      <c r="A94" s="81">
        <v>10</v>
      </c>
      <c r="B94" s="676" t="s">
        <v>713</v>
      </c>
      <c r="C94" s="677"/>
      <c r="D94" s="137" t="s">
        <v>1257</v>
      </c>
      <c r="E94" s="138"/>
      <c r="F94" s="139"/>
      <c r="G94" s="139"/>
      <c r="H94" s="140"/>
      <c r="I94" s="141"/>
      <c r="J94" s="142"/>
      <c r="K94" s="143"/>
    </row>
    <row r="95" spans="1:11" ht="13.2" customHeight="1" x14ac:dyDescent="0.25">
      <c r="A95" s="2"/>
      <c r="B95" s="20" t="s">
        <v>4</v>
      </c>
      <c r="C95" s="21" t="s">
        <v>1238</v>
      </c>
      <c r="D95" s="14"/>
      <c r="E95" s="22"/>
      <c r="F95" s="23"/>
      <c r="G95" s="23"/>
      <c r="H95" s="24" t="s">
        <v>203</v>
      </c>
      <c r="I95" s="45">
        <v>1</v>
      </c>
      <c r="J95" s="25">
        <f>J51</f>
        <v>221500</v>
      </c>
      <c r="K95" s="26">
        <f>I95*J95</f>
        <v>221500</v>
      </c>
    </row>
    <row r="96" spans="1:11" ht="13.2" customHeight="1" x14ac:dyDescent="0.25">
      <c r="A96" s="2"/>
      <c r="B96" s="20" t="s">
        <v>30</v>
      </c>
      <c r="C96" s="21" t="s">
        <v>1247</v>
      </c>
      <c r="D96" s="14"/>
      <c r="E96" s="22"/>
      <c r="F96" s="23"/>
      <c r="G96" s="23"/>
      <c r="H96" s="24" t="s">
        <v>203</v>
      </c>
      <c r="I96" s="45">
        <v>2</v>
      </c>
      <c r="J96" s="25">
        <f>J52</f>
        <v>27550</v>
      </c>
      <c r="K96" s="26">
        <f t="shared" ref="K96:K100" si="15">I96*J96</f>
        <v>55100</v>
      </c>
    </row>
    <row r="97" spans="1:11" ht="13.2" customHeight="1" x14ac:dyDescent="0.25">
      <c r="A97" s="2"/>
      <c r="B97" s="20" t="s">
        <v>57</v>
      </c>
      <c r="C97" s="21" t="s">
        <v>590</v>
      </c>
      <c r="D97" s="14"/>
      <c r="E97" s="22"/>
      <c r="F97" s="23"/>
      <c r="G97" s="23"/>
      <c r="H97" s="24" t="s">
        <v>203</v>
      </c>
      <c r="I97" s="45">
        <v>2</v>
      </c>
      <c r="J97" s="25">
        <f>J53</f>
        <v>128700</v>
      </c>
      <c r="K97" s="26">
        <f t="shared" si="15"/>
        <v>257400</v>
      </c>
    </row>
    <row r="98" spans="1:11" ht="13.2" customHeight="1" x14ac:dyDescent="0.25">
      <c r="A98" s="2"/>
      <c r="B98" s="20" t="s">
        <v>83</v>
      </c>
      <c r="C98" s="21" t="s">
        <v>1248</v>
      </c>
      <c r="D98" s="14"/>
      <c r="E98" s="22"/>
      <c r="F98" s="23"/>
      <c r="G98" s="23"/>
      <c r="H98" s="24" t="s">
        <v>203</v>
      </c>
      <c r="I98" s="45">
        <v>2</v>
      </c>
      <c r="J98" s="25">
        <f>J54</f>
        <v>175000</v>
      </c>
      <c r="K98" s="26">
        <f t="shared" si="15"/>
        <v>350000</v>
      </c>
    </row>
    <row r="99" spans="1:11" ht="13.2" customHeight="1" x14ac:dyDescent="0.25">
      <c r="A99" s="2"/>
      <c r="B99" s="20" t="s">
        <v>110</v>
      </c>
      <c r="C99" s="21" t="s">
        <v>1256</v>
      </c>
      <c r="D99" s="14"/>
      <c r="E99" s="22"/>
      <c r="F99" s="23"/>
      <c r="G99" s="23"/>
      <c r="H99" s="24" t="s">
        <v>203</v>
      </c>
      <c r="I99" s="45">
        <v>2</v>
      </c>
      <c r="J99" s="25">
        <f>J88</f>
        <v>99720</v>
      </c>
      <c r="K99" s="26">
        <f t="shared" si="15"/>
        <v>199440</v>
      </c>
    </row>
    <row r="100" spans="1:11" ht="13.2" customHeight="1" x14ac:dyDescent="0.25">
      <c r="A100" s="2"/>
      <c r="B100" s="20" t="s">
        <v>137</v>
      </c>
      <c r="C100" s="21" t="s">
        <v>714</v>
      </c>
      <c r="D100" s="14"/>
      <c r="E100" s="22"/>
      <c r="F100" s="23"/>
      <c r="G100" s="23"/>
      <c r="H100" s="24" t="s">
        <v>203</v>
      </c>
      <c r="I100" s="65">
        <v>4</v>
      </c>
      <c r="J100" s="25">
        <f>J56</f>
        <v>14000</v>
      </c>
      <c r="K100" s="26">
        <f t="shared" si="15"/>
        <v>56000</v>
      </c>
    </row>
    <row r="101" spans="1:11" ht="12.9" customHeight="1" x14ac:dyDescent="0.25">
      <c r="A101" s="6"/>
      <c r="B101" s="7"/>
      <c r="C101" s="8"/>
      <c r="D101" s="8"/>
      <c r="E101" s="8"/>
      <c r="F101" s="8"/>
      <c r="G101" s="9"/>
      <c r="H101" s="10" t="s">
        <v>715</v>
      </c>
      <c r="I101" s="11"/>
      <c r="J101" s="11"/>
      <c r="K101" s="27">
        <f>SUM(K95:K100)</f>
        <v>1139440</v>
      </c>
    </row>
    <row r="102" spans="1:11" ht="12.9" customHeight="1" x14ac:dyDescent="0.25">
      <c r="A102" s="6"/>
      <c r="B102" s="5"/>
      <c r="C102" s="3"/>
      <c r="D102" s="3"/>
      <c r="E102" s="3"/>
      <c r="F102" s="3"/>
      <c r="G102" s="4"/>
      <c r="H102" s="12" t="s">
        <v>603</v>
      </c>
      <c r="I102" s="28">
        <f>$K$3</f>
        <v>0.15</v>
      </c>
      <c r="J102" s="13"/>
      <c r="K102" s="29">
        <f>I102*K101</f>
        <v>170916</v>
      </c>
    </row>
    <row r="103" spans="1:11" ht="12.9" customHeight="1" x14ac:dyDescent="0.25">
      <c r="A103" s="6"/>
      <c r="B103" s="5"/>
      <c r="C103" s="3"/>
      <c r="D103" s="3"/>
      <c r="E103" s="3"/>
      <c r="F103" s="3"/>
      <c r="G103" s="4"/>
      <c r="H103" s="12" t="s">
        <v>604</v>
      </c>
      <c r="I103" s="14"/>
      <c r="J103" s="14"/>
      <c r="K103" s="29">
        <f>SUM(K101:K102)</f>
        <v>1310356</v>
      </c>
    </row>
    <row r="104" spans="1:11" ht="12.9" customHeight="1" thickBot="1" x14ac:dyDescent="0.3">
      <c r="A104" s="15"/>
      <c r="B104" s="16"/>
      <c r="C104" s="17"/>
      <c r="D104" s="17"/>
      <c r="E104" s="17"/>
      <c r="F104" s="17"/>
      <c r="G104" s="18"/>
      <c r="H104" s="46" t="s">
        <v>605</v>
      </c>
      <c r="I104" s="47"/>
      <c r="J104" s="47"/>
      <c r="K104" s="144">
        <f>ROUND(K103,-1)</f>
        <v>1310360</v>
      </c>
    </row>
    <row r="105" spans="1:11" ht="14.1" customHeight="1" x14ac:dyDescent="0.25">
      <c r="A105" s="81">
        <v>11</v>
      </c>
      <c r="B105" s="676" t="s">
        <v>713</v>
      </c>
      <c r="C105" s="677"/>
      <c r="D105" s="137" t="s">
        <v>1258</v>
      </c>
      <c r="E105" s="138"/>
      <c r="F105" s="139"/>
      <c r="G105" s="139"/>
      <c r="H105" s="140"/>
      <c r="I105" s="141"/>
      <c r="J105" s="142"/>
      <c r="K105" s="143"/>
    </row>
    <row r="106" spans="1:11" ht="13.2" customHeight="1" x14ac:dyDescent="0.25">
      <c r="A106" s="2"/>
      <c r="B106" s="20" t="s">
        <v>4</v>
      </c>
      <c r="C106" s="21" t="s">
        <v>1240</v>
      </c>
      <c r="D106" s="14"/>
      <c r="E106" s="22"/>
      <c r="F106" s="23"/>
      <c r="G106" s="23"/>
      <c r="H106" s="24" t="s">
        <v>203</v>
      </c>
      <c r="I106" s="45">
        <v>1</v>
      </c>
      <c r="J106" s="25">
        <f>J62</f>
        <v>184000</v>
      </c>
      <c r="K106" s="26">
        <f>I106*J106</f>
        <v>184000</v>
      </c>
    </row>
    <row r="107" spans="1:11" ht="13.2" customHeight="1" x14ac:dyDescent="0.25">
      <c r="A107" s="2"/>
      <c r="B107" s="20" t="s">
        <v>30</v>
      </c>
      <c r="C107" s="21" t="s">
        <v>1247</v>
      </c>
      <c r="D107" s="14"/>
      <c r="E107" s="22"/>
      <c r="F107" s="23"/>
      <c r="G107" s="23"/>
      <c r="H107" s="24" t="s">
        <v>203</v>
      </c>
      <c r="I107" s="45">
        <v>2</v>
      </c>
      <c r="J107" s="25">
        <f>J63</f>
        <v>27550</v>
      </c>
      <c r="K107" s="26">
        <f t="shared" ref="K107:K111" si="16">I107*J107</f>
        <v>55100</v>
      </c>
    </row>
    <row r="108" spans="1:11" ht="13.2" customHeight="1" x14ac:dyDescent="0.25">
      <c r="A108" s="2"/>
      <c r="B108" s="20" t="s">
        <v>57</v>
      </c>
      <c r="C108" s="21" t="s">
        <v>590</v>
      </c>
      <c r="D108" s="14"/>
      <c r="E108" s="22"/>
      <c r="F108" s="23"/>
      <c r="G108" s="23"/>
      <c r="H108" s="24" t="s">
        <v>203</v>
      </c>
      <c r="I108" s="45">
        <v>2</v>
      </c>
      <c r="J108" s="25">
        <f>J64</f>
        <v>128700</v>
      </c>
      <c r="K108" s="26">
        <f t="shared" si="16"/>
        <v>257400</v>
      </c>
    </row>
    <row r="109" spans="1:11" ht="13.2" customHeight="1" x14ac:dyDescent="0.25">
      <c r="A109" s="2"/>
      <c r="B109" s="20" t="s">
        <v>83</v>
      </c>
      <c r="C109" s="21" t="s">
        <v>1248</v>
      </c>
      <c r="D109" s="14"/>
      <c r="E109" s="22"/>
      <c r="F109" s="23"/>
      <c r="G109" s="23"/>
      <c r="H109" s="24" t="s">
        <v>203</v>
      </c>
      <c r="I109" s="45">
        <v>2</v>
      </c>
      <c r="J109" s="25">
        <f>J65</f>
        <v>175000</v>
      </c>
      <c r="K109" s="26">
        <f t="shared" si="16"/>
        <v>350000</v>
      </c>
    </row>
    <row r="110" spans="1:11" ht="13.2" customHeight="1" x14ac:dyDescent="0.25">
      <c r="A110" s="2"/>
      <c r="B110" s="20" t="s">
        <v>110</v>
      </c>
      <c r="C110" s="21" t="s">
        <v>1256</v>
      </c>
      <c r="D110" s="14"/>
      <c r="E110" s="22"/>
      <c r="F110" s="23"/>
      <c r="G110" s="23"/>
      <c r="H110" s="24" t="s">
        <v>203</v>
      </c>
      <c r="I110" s="45">
        <v>2</v>
      </c>
      <c r="J110" s="25">
        <f>J99</f>
        <v>99720</v>
      </c>
      <c r="K110" s="26">
        <f t="shared" si="16"/>
        <v>199440</v>
      </c>
    </row>
    <row r="111" spans="1:11" ht="13.2" customHeight="1" x14ac:dyDescent="0.25">
      <c r="A111" s="2"/>
      <c r="B111" s="20" t="s">
        <v>137</v>
      </c>
      <c r="C111" s="21" t="s">
        <v>714</v>
      </c>
      <c r="D111" s="14"/>
      <c r="E111" s="22"/>
      <c r="F111" s="23"/>
      <c r="G111" s="23"/>
      <c r="H111" s="24" t="s">
        <v>203</v>
      </c>
      <c r="I111" s="65">
        <v>4</v>
      </c>
      <c r="J111" s="25">
        <f>J67</f>
        <v>14000</v>
      </c>
      <c r="K111" s="26">
        <f t="shared" si="16"/>
        <v>56000</v>
      </c>
    </row>
    <row r="112" spans="1:11" ht="12.9" customHeight="1" x14ac:dyDescent="0.25">
      <c r="A112" s="6"/>
      <c r="B112" s="7"/>
      <c r="C112" s="8"/>
      <c r="D112" s="8"/>
      <c r="E112" s="8"/>
      <c r="F112" s="8"/>
      <c r="G112" s="9"/>
      <c r="H112" s="10" t="s">
        <v>715</v>
      </c>
      <c r="I112" s="11"/>
      <c r="J112" s="11"/>
      <c r="K112" s="27">
        <f>SUM(K106:K111)</f>
        <v>1101940</v>
      </c>
    </row>
    <row r="113" spans="1:11" ht="12.9" customHeight="1" x14ac:dyDescent="0.25">
      <c r="A113" s="6"/>
      <c r="B113" s="5"/>
      <c r="C113" s="3"/>
      <c r="D113" s="3"/>
      <c r="E113" s="3"/>
      <c r="F113" s="3"/>
      <c r="G113" s="4"/>
      <c r="H113" s="12" t="s">
        <v>603</v>
      </c>
      <c r="I113" s="28">
        <f>$K$3</f>
        <v>0.15</v>
      </c>
      <c r="J113" s="13"/>
      <c r="K113" s="29">
        <f>I113*K112</f>
        <v>165291</v>
      </c>
    </row>
    <row r="114" spans="1:11" ht="12.9" customHeight="1" x14ac:dyDescent="0.25">
      <c r="A114" s="6"/>
      <c r="B114" s="5"/>
      <c r="C114" s="3"/>
      <c r="D114" s="3"/>
      <c r="E114" s="3"/>
      <c r="F114" s="3"/>
      <c r="G114" s="4"/>
      <c r="H114" s="12" t="s">
        <v>604</v>
      </c>
      <c r="I114" s="14"/>
      <c r="J114" s="14"/>
      <c r="K114" s="29">
        <f>SUM(K112:K113)</f>
        <v>1267231</v>
      </c>
    </row>
    <row r="115" spans="1:11" ht="12.9" customHeight="1" thickBot="1" x14ac:dyDescent="0.3">
      <c r="A115" s="15"/>
      <c r="B115" s="16"/>
      <c r="C115" s="17"/>
      <c r="D115" s="17"/>
      <c r="E115" s="17"/>
      <c r="F115" s="17"/>
      <c r="G115" s="18"/>
      <c r="H115" s="46" t="s">
        <v>605</v>
      </c>
      <c r="I115" s="47"/>
      <c r="J115" s="47"/>
      <c r="K115" s="144">
        <f>ROUND(K114,-1)</f>
        <v>1267230</v>
      </c>
    </row>
    <row r="116" spans="1:11" ht="14.1" customHeight="1" x14ac:dyDescent="0.25">
      <c r="A116" s="81">
        <v>12</v>
      </c>
      <c r="B116" s="676" t="s">
        <v>713</v>
      </c>
      <c r="C116" s="677"/>
      <c r="D116" s="137" t="s">
        <v>1259</v>
      </c>
      <c r="E116" s="138"/>
      <c r="F116" s="139"/>
      <c r="G116" s="139"/>
      <c r="H116" s="140"/>
      <c r="I116" s="141"/>
      <c r="J116" s="142"/>
      <c r="K116" s="143"/>
    </row>
    <row r="117" spans="1:11" ht="13.2" customHeight="1" x14ac:dyDescent="0.25">
      <c r="A117" s="2"/>
      <c r="B117" s="20" t="s">
        <v>4</v>
      </c>
      <c r="C117" s="21" t="s">
        <v>1242</v>
      </c>
      <c r="D117" s="14"/>
      <c r="E117" s="22"/>
      <c r="F117" s="23"/>
      <c r="G117" s="23"/>
      <c r="H117" s="24" t="s">
        <v>203</v>
      </c>
      <c r="I117" s="45">
        <v>1</v>
      </c>
      <c r="J117" s="25">
        <f>J73</f>
        <v>164500</v>
      </c>
      <c r="K117" s="26">
        <f>I117*J117</f>
        <v>164500</v>
      </c>
    </row>
    <row r="118" spans="1:11" ht="13.2" customHeight="1" x14ac:dyDescent="0.25">
      <c r="A118" s="2"/>
      <c r="B118" s="20" t="s">
        <v>30</v>
      </c>
      <c r="C118" s="21" t="s">
        <v>1247</v>
      </c>
      <c r="D118" s="14"/>
      <c r="E118" s="22"/>
      <c r="F118" s="23"/>
      <c r="G118" s="23"/>
      <c r="H118" s="24" t="s">
        <v>203</v>
      </c>
      <c r="I118" s="45">
        <v>2</v>
      </c>
      <c r="J118" s="25">
        <f>J74</f>
        <v>27550</v>
      </c>
      <c r="K118" s="26">
        <f t="shared" ref="K118:K122" si="17">I118*J118</f>
        <v>55100</v>
      </c>
    </row>
    <row r="119" spans="1:11" ht="13.2" customHeight="1" x14ac:dyDescent="0.25">
      <c r="A119" s="2"/>
      <c r="B119" s="20" t="s">
        <v>57</v>
      </c>
      <c r="C119" s="21" t="s">
        <v>590</v>
      </c>
      <c r="D119" s="14"/>
      <c r="E119" s="22"/>
      <c r="F119" s="23"/>
      <c r="G119" s="23"/>
      <c r="H119" s="24" t="s">
        <v>203</v>
      </c>
      <c r="I119" s="45">
        <v>2</v>
      </c>
      <c r="J119" s="25">
        <f>J75</f>
        <v>128700</v>
      </c>
      <c r="K119" s="26">
        <f t="shared" si="17"/>
        <v>257400</v>
      </c>
    </row>
    <row r="120" spans="1:11" ht="13.2" customHeight="1" x14ac:dyDescent="0.25">
      <c r="A120" s="2"/>
      <c r="B120" s="20" t="s">
        <v>83</v>
      </c>
      <c r="C120" s="21" t="s">
        <v>1248</v>
      </c>
      <c r="D120" s="14"/>
      <c r="E120" s="22"/>
      <c r="F120" s="23"/>
      <c r="G120" s="23"/>
      <c r="H120" s="24" t="s">
        <v>203</v>
      </c>
      <c r="I120" s="45">
        <v>2</v>
      </c>
      <c r="J120" s="25">
        <f>J76</f>
        <v>175000</v>
      </c>
      <c r="K120" s="26">
        <f t="shared" si="17"/>
        <v>350000</v>
      </c>
    </row>
    <row r="121" spans="1:11" ht="13.2" customHeight="1" x14ac:dyDescent="0.25">
      <c r="A121" s="2"/>
      <c r="B121" s="20" t="s">
        <v>110</v>
      </c>
      <c r="C121" s="21" t="s">
        <v>1256</v>
      </c>
      <c r="D121" s="14"/>
      <c r="E121" s="22"/>
      <c r="F121" s="23"/>
      <c r="G121" s="23"/>
      <c r="H121" s="24" t="s">
        <v>203</v>
      </c>
      <c r="I121" s="45">
        <v>2</v>
      </c>
      <c r="J121" s="25">
        <f>J110</f>
        <v>99720</v>
      </c>
      <c r="K121" s="26">
        <f t="shared" si="17"/>
        <v>199440</v>
      </c>
    </row>
    <row r="122" spans="1:11" ht="13.2" customHeight="1" x14ac:dyDescent="0.25">
      <c r="A122" s="2"/>
      <c r="B122" s="20" t="s">
        <v>137</v>
      </c>
      <c r="C122" s="21" t="s">
        <v>714</v>
      </c>
      <c r="D122" s="14"/>
      <c r="E122" s="22"/>
      <c r="F122" s="23"/>
      <c r="G122" s="23"/>
      <c r="H122" s="24" t="s">
        <v>203</v>
      </c>
      <c r="I122" s="65">
        <v>4</v>
      </c>
      <c r="J122" s="25">
        <f>J78</f>
        <v>14000</v>
      </c>
      <c r="K122" s="26">
        <f t="shared" si="17"/>
        <v>56000</v>
      </c>
    </row>
    <row r="123" spans="1:11" ht="12.9" customHeight="1" x14ac:dyDescent="0.25">
      <c r="A123" s="6"/>
      <c r="B123" s="7"/>
      <c r="C123" s="8"/>
      <c r="D123" s="8"/>
      <c r="E123" s="8"/>
      <c r="F123" s="8"/>
      <c r="G123" s="9"/>
      <c r="H123" s="10" t="s">
        <v>715</v>
      </c>
      <c r="I123" s="11"/>
      <c r="J123" s="11"/>
      <c r="K123" s="27">
        <f>SUM(K117:K122)</f>
        <v>1082440</v>
      </c>
    </row>
    <row r="124" spans="1:11" ht="12.9" customHeight="1" x14ac:dyDescent="0.25">
      <c r="A124" s="6"/>
      <c r="B124" s="5"/>
      <c r="C124" s="3"/>
      <c r="D124" s="3"/>
      <c r="E124" s="3"/>
      <c r="F124" s="3"/>
      <c r="G124" s="4"/>
      <c r="H124" s="12" t="s">
        <v>603</v>
      </c>
      <c r="I124" s="28">
        <f>$K$3</f>
        <v>0.15</v>
      </c>
      <c r="J124" s="13"/>
      <c r="K124" s="29">
        <f>I124*K123</f>
        <v>162366</v>
      </c>
    </row>
    <row r="125" spans="1:11" ht="12.9" customHeight="1" x14ac:dyDescent="0.25">
      <c r="A125" s="6"/>
      <c r="B125" s="5"/>
      <c r="C125" s="3"/>
      <c r="D125" s="3"/>
      <c r="E125" s="3"/>
      <c r="F125" s="3"/>
      <c r="G125" s="4"/>
      <c r="H125" s="12" t="s">
        <v>604</v>
      </c>
      <c r="I125" s="14"/>
      <c r="J125" s="14"/>
      <c r="K125" s="29">
        <f>SUM(K123:K124)</f>
        <v>1244806</v>
      </c>
    </row>
    <row r="126" spans="1:11" ht="12.9" customHeight="1" thickBot="1" x14ac:dyDescent="0.3">
      <c r="A126" s="15"/>
      <c r="B126" s="16"/>
      <c r="C126" s="17"/>
      <c r="D126" s="17"/>
      <c r="E126" s="17"/>
      <c r="F126" s="17"/>
      <c r="G126" s="18"/>
      <c r="H126" s="46" t="s">
        <v>605</v>
      </c>
      <c r="I126" s="47"/>
      <c r="J126" s="47"/>
      <c r="K126" s="144">
        <f>ROUND(K125,-1)</f>
        <v>1244810</v>
      </c>
    </row>
    <row r="127" spans="1:11" ht="14.1" customHeight="1" x14ac:dyDescent="0.25">
      <c r="A127" s="81">
        <v>13</v>
      </c>
      <c r="B127" s="676" t="s">
        <v>713</v>
      </c>
      <c r="C127" s="677"/>
      <c r="D127" s="137" t="s">
        <v>1260</v>
      </c>
      <c r="E127" s="138"/>
      <c r="F127" s="139"/>
      <c r="G127" s="139"/>
      <c r="H127" s="140"/>
      <c r="I127" s="141"/>
      <c r="J127" s="142"/>
      <c r="K127" s="143"/>
    </row>
    <row r="128" spans="1:11" ht="13.2" customHeight="1" x14ac:dyDescent="0.25">
      <c r="A128" s="2"/>
      <c r="B128" s="20" t="s">
        <v>4</v>
      </c>
      <c r="C128" s="21" t="s">
        <v>1235</v>
      </c>
      <c r="D128" s="14"/>
      <c r="E128" s="22"/>
      <c r="F128" s="23"/>
      <c r="G128" s="23"/>
      <c r="H128" s="24" t="s">
        <v>203</v>
      </c>
      <c r="I128" s="45">
        <v>1</v>
      </c>
      <c r="J128" s="25">
        <f>J84</f>
        <v>203000</v>
      </c>
      <c r="K128" s="26">
        <f>I128*J128</f>
        <v>203000</v>
      </c>
    </row>
    <row r="129" spans="1:11" ht="13.2" customHeight="1" x14ac:dyDescent="0.25">
      <c r="A129" s="2"/>
      <c r="B129" s="20" t="s">
        <v>30</v>
      </c>
      <c r="C129" s="21" t="s">
        <v>1247</v>
      </c>
      <c r="D129" s="14"/>
      <c r="E129" s="22"/>
      <c r="F129" s="23"/>
      <c r="G129" s="23"/>
      <c r="H129" s="24" t="s">
        <v>203</v>
      </c>
      <c r="I129" s="45">
        <v>2</v>
      </c>
      <c r="J129" s="25">
        <f>J85</f>
        <v>27550</v>
      </c>
      <c r="K129" s="26">
        <f t="shared" ref="K129:K133" si="18">I129*J129</f>
        <v>55100</v>
      </c>
    </row>
    <row r="130" spans="1:11" ht="13.2" customHeight="1" x14ac:dyDescent="0.25">
      <c r="A130" s="2"/>
      <c r="B130" s="20" t="s">
        <v>57</v>
      </c>
      <c r="C130" s="21" t="s">
        <v>590</v>
      </c>
      <c r="D130" s="14"/>
      <c r="E130" s="22"/>
      <c r="F130" s="23"/>
      <c r="G130" s="23"/>
      <c r="H130" s="24" t="s">
        <v>203</v>
      </c>
      <c r="I130" s="45">
        <v>2</v>
      </c>
      <c r="J130" s="25">
        <f>J86</f>
        <v>128700</v>
      </c>
      <c r="K130" s="26">
        <f t="shared" si="18"/>
        <v>257400</v>
      </c>
    </row>
    <row r="131" spans="1:11" ht="13.2" customHeight="1" x14ac:dyDescent="0.25">
      <c r="A131" s="2"/>
      <c r="B131" s="20" t="s">
        <v>83</v>
      </c>
      <c r="C131" s="21" t="s">
        <v>1250</v>
      </c>
      <c r="D131" s="14"/>
      <c r="E131" s="22"/>
      <c r="F131" s="23"/>
      <c r="G131" s="23"/>
      <c r="H131" s="24" t="s">
        <v>203</v>
      </c>
      <c r="I131" s="45">
        <v>2</v>
      </c>
      <c r="J131" s="25">
        <f>J87</f>
        <v>175000</v>
      </c>
      <c r="K131" s="26">
        <f t="shared" si="18"/>
        <v>350000</v>
      </c>
    </row>
    <row r="132" spans="1:11" ht="13.2" customHeight="1" x14ac:dyDescent="0.25">
      <c r="A132" s="2"/>
      <c r="B132" s="20" t="s">
        <v>110</v>
      </c>
      <c r="C132" s="21" t="s">
        <v>1261</v>
      </c>
      <c r="D132" s="14"/>
      <c r="E132" s="22"/>
      <c r="F132" s="23"/>
      <c r="G132" s="23"/>
      <c r="H132" s="24" t="s">
        <v>203</v>
      </c>
      <c r="I132" s="45">
        <v>2</v>
      </c>
      <c r="J132" s="25">
        <f>'Harga Satuan Dasar mat'!G553</f>
        <v>196560</v>
      </c>
      <c r="K132" s="26">
        <f t="shared" si="18"/>
        <v>393120</v>
      </c>
    </row>
    <row r="133" spans="1:11" ht="13.2" customHeight="1" x14ac:dyDescent="0.25">
      <c r="A133" s="2"/>
      <c r="B133" s="20" t="s">
        <v>137</v>
      </c>
      <c r="C133" s="21" t="s">
        <v>714</v>
      </c>
      <c r="D133" s="14"/>
      <c r="E133" s="22"/>
      <c r="F133" s="23"/>
      <c r="G133" s="23"/>
      <c r="H133" s="24" t="s">
        <v>203</v>
      </c>
      <c r="I133" s="65">
        <v>4</v>
      </c>
      <c r="J133" s="25">
        <f>J89</f>
        <v>14000</v>
      </c>
      <c r="K133" s="26">
        <f t="shared" si="18"/>
        <v>56000</v>
      </c>
    </row>
    <row r="134" spans="1:11" ht="12.9" customHeight="1" x14ac:dyDescent="0.25">
      <c r="A134" s="6"/>
      <c r="B134" s="7"/>
      <c r="C134" s="8"/>
      <c r="D134" s="8"/>
      <c r="E134" s="8"/>
      <c r="F134" s="8"/>
      <c r="G134" s="9"/>
      <c r="H134" s="10" t="s">
        <v>715</v>
      </c>
      <c r="I134" s="11"/>
      <c r="J134" s="11"/>
      <c r="K134" s="27">
        <f>SUM(K128:K133)</f>
        <v>1314620</v>
      </c>
    </row>
    <row r="135" spans="1:11" ht="12.9" customHeight="1" x14ac:dyDescent="0.25">
      <c r="A135" s="6"/>
      <c r="B135" s="5"/>
      <c r="C135" s="3"/>
      <c r="D135" s="3"/>
      <c r="E135" s="3"/>
      <c r="F135" s="3"/>
      <c r="G135" s="4"/>
      <c r="H135" s="12" t="s">
        <v>603</v>
      </c>
      <c r="I135" s="28">
        <f>$K$3</f>
        <v>0.15</v>
      </c>
      <c r="J135" s="13"/>
      <c r="K135" s="29">
        <f>I135*K134</f>
        <v>197193</v>
      </c>
    </row>
    <row r="136" spans="1:11" ht="12.9" customHeight="1" x14ac:dyDescent="0.25">
      <c r="A136" s="6"/>
      <c r="B136" s="5"/>
      <c r="C136" s="3"/>
      <c r="D136" s="3"/>
      <c r="E136" s="3"/>
      <c r="F136" s="3"/>
      <c r="G136" s="4"/>
      <c r="H136" s="12" t="s">
        <v>604</v>
      </c>
      <c r="I136" s="14"/>
      <c r="J136" s="14"/>
      <c r="K136" s="29">
        <f>SUM(K134:K135)</f>
        <v>1511813</v>
      </c>
    </row>
    <row r="137" spans="1:11" ht="12.9" customHeight="1" thickBot="1" x14ac:dyDescent="0.3">
      <c r="A137" s="15"/>
      <c r="B137" s="16"/>
      <c r="C137" s="17"/>
      <c r="D137" s="17"/>
      <c r="E137" s="17"/>
      <c r="F137" s="17"/>
      <c r="G137" s="18"/>
      <c r="H137" s="46" t="s">
        <v>605</v>
      </c>
      <c r="I137" s="47"/>
      <c r="J137" s="47"/>
      <c r="K137" s="144">
        <f>ROUND(K136,-1)</f>
        <v>1511810</v>
      </c>
    </row>
    <row r="138" spans="1:11" ht="14.1" customHeight="1" x14ac:dyDescent="0.25">
      <c r="A138" s="81">
        <v>14</v>
      </c>
      <c r="B138" s="676" t="s">
        <v>713</v>
      </c>
      <c r="C138" s="677"/>
      <c r="D138" s="137" t="s">
        <v>1262</v>
      </c>
      <c r="E138" s="138"/>
      <c r="F138" s="139"/>
      <c r="G138" s="139"/>
      <c r="H138" s="140"/>
      <c r="I138" s="141"/>
      <c r="J138" s="142"/>
      <c r="K138" s="143"/>
    </row>
    <row r="139" spans="1:11" ht="13.2" customHeight="1" x14ac:dyDescent="0.25">
      <c r="A139" s="2"/>
      <c r="B139" s="20" t="s">
        <v>4</v>
      </c>
      <c r="C139" s="21" t="s">
        <v>1238</v>
      </c>
      <c r="D139" s="14"/>
      <c r="E139" s="22"/>
      <c r="F139" s="23"/>
      <c r="G139" s="23"/>
      <c r="H139" s="24" t="s">
        <v>203</v>
      </c>
      <c r="I139" s="45">
        <v>1</v>
      </c>
      <c r="J139" s="25">
        <f>J95</f>
        <v>221500</v>
      </c>
      <c r="K139" s="26">
        <f>I139*J139</f>
        <v>221500</v>
      </c>
    </row>
    <row r="140" spans="1:11" ht="13.2" customHeight="1" x14ac:dyDescent="0.25">
      <c r="A140" s="2"/>
      <c r="B140" s="20" t="s">
        <v>30</v>
      </c>
      <c r="C140" s="21" t="s">
        <v>1247</v>
      </c>
      <c r="D140" s="14"/>
      <c r="E140" s="22"/>
      <c r="F140" s="23"/>
      <c r="G140" s="23"/>
      <c r="H140" s="24" t="s">
        <v>203</v>
      </c>
      <c r="I140" s="45">
        <v>2</v>
      </c>
      <c r="J140" s="25">
        <f>J96</f>
        <v>27550</v>
      </c>
      <c r="K140" s="26">
        <f t="shared" ref="K140:K144" si="19">I140*J140</f>
        <v>55100</v>
      </c>
    </row>
    <row r="141" spans="1:11" ht="13.2" customHeight="1" x14ac:dyDescent="0.25">
      <c r="A141" s="2"/>
      <c r="B141" s="20" t="s">
        <v>57</v>
      </c>
      <c r="C141" s="21" t="s">
        <v>590</v>
      </c>
      <c r="D141" s="14"/>
      <c r="E141" s="22"/>
      <c r="F141" s="23"/>
      <c r="G141" s="23"/>
      <c r="H141" s="24" t="s">
        <v>203</v>
      </c>
      <c r="I141" s="45">
        <v>2</v>
      </c>
      <c r="J141" s="25">
        <f>J97</f>
        <v>128700</v>
      </c>
      <c r="K141" s="26">
        <f t="shared" si="19"/>
        <v>257400</v>
      </c>
    </row>
    <row r="142" spans="1:11" ht="13.2" customHeight="1" x14ac:dyDescent="0.25">
      <c r="A142" s="2"/>
      <c r="B142" s="20" t="s">
        <v>83</v>
      </c>
      <c r="C142" s="21" t="s">
        <v>1248</v>
      </c>
      <c r="D142" s="14"/>
      <c r="E142" s="22"/>
      <c r="F142" s="23"/>
      <c r="G142" s="23"/>
      <c r="H142" s="24" t="s">
        <v>203</v>
      </c>
      <c r="I142" s="45">
        <v>2</v>
      </c>
      <c r="J142" s="25">
        <f>J98</f>
        <v>175000</v>
      </c>
      <c r="K142" s="26">
        <f t="shared" si="19"/>
        <v>350000</v>
      </c>
    </row>
    <row r="143" spans="1:11" ht="13.2" customHeight="1" x14ac:dyDescent="0.25">
      <c r="A143" s="2"/>
      <c r="B143" s="20" t="s">
        <v>110</v>
      </c>
      <c r="C143" s="21" t="s">
        <v>1261</v>
      </c>
      <c r="D143" s="14"/>
      <c r="E143" s="22"/>
      <c r="F143" s="23"/>
      <c r="G143" s="23"/>
      <c r="H143" s="24" t="s">
        <v>203</v>
      </c>
      <c r="I143" s="45">
        <v>2</v>
      </c>
      <c r="J143" s="25">
        <f>J132</f>
        <v>196560</v>
      </c>
      <c r="K143" s="26">
        <f t="shared" si="19"/>
        <v>393120</v>
      </c>
    </row>
    <row r="144" spans="1:11" ht="13.2" customHeight="1" x14ac:dyDescent="0.25">
      <c r="A144" s="2"/>
      <c r="B144" s="20" t="s">
        <v>137</v>
      </c>
      <c r="C144" s="21" t="s">
        <v>714</v>
      </c>
      <c r="D144" s="14"/>
      <c r="E144" s="22"/>
      <c r="F144" s="23"/>
      <c r="G144" s="23"/>
      <c r="H144" s="24" t="s">
        <v>203</v>
      </c>
      <c r="I144" s="65">
        <v>4</v>
      </c>
      <c r="J144" s="25">
        <f>J100</f>
        <v>14000</v>
      </c>
      <c r="K144" s="26">
        <f t="shared" si="19"/>
        <v>56000</v>
      </c>
    </row>
    <row r="145" spans="1:11" ht="12.9" customHeight="1" x14ac:dyDescent="0.25">
      <c r="A145" s="6"/>
      <c r="B145" s="7"/>
      <c r="C145" s="8"/>
      <c r="D145" s="8"/>
      <c r="E145" s="8"/>
      <c r="F145" s="8"/>
      <c r="G145" s="9"/>
      <c r="H145" s="10" t="s">
        <v>715</v>
      </c>
      <c r="I145" s="11"/>
      <c r="J145" s="11"/>
      <c r="K145" s="27">
        <f>SUM(K139:K144)</f>
        <v>1333120</v>
      </c>
    </row>
    <row r="146" spans="1:11" ht="12.9" customHeight="1" x14ac:dyDescent="0.25">
      <c r="A146" s="6"/>
      <c r="B146" s="5"/>
      <c r="C146" s="3"/>
      <c r="D146" s="3"/>
      <c r="E146" s="3"/>
      <c r="F146" s="3"/>
      <c r="G146" s="4"/>
      <c r="H146" s="12" t="s">
        <v>603</v>
      </c>
      <c r="I146" s="28">
        <f>$K$3</f>
        <v>0.15</v>
      </c>
      <c r="J146" s="13"/>
      <c r="K146" s="29">
        <f>I146*K145</f>
        <v>199968</v>
      </c>
    </row>
    <row r="147" spans="1:11" ht="12.9" customHeight="1" x14ac:dyDescent="0.25">
      <c r="A147" s="6"/>
      <c r="B147" s="5"/>
      <c r="C147" s="3"/>
      <c r="D147" s="3"/>
      <c r="E147" s="3"/>
      <c r="F147" s="3"/>
      <c r="G147" s="4"/>
      <c r="H147" s="12" t="s">
        <v>604</v>
      </c>
      <c r="I147" s="14"/>
      <c r="J147" s="14"/>
      <c r="K147" s="29">
        <f>SUM(K145:K146)</f>
        <v>1533088</v>
      </c>
    </row>
    <row r="148" spans="1:11" ht="12.9" customHeight="1" thickBot="1" x14ac:dyDescent="0.3">
      <c r="A148" s="15"/>
      <c r="B148" s="16"/>
      <c r="C148" s="17"/>
      <c r="D148" s="17"/>
      <c r="E148" s="17"/>
      <c r="F148" s="17"/>
      <c r="G148" s="18"/>
      <c r="H148" s="46" t="s">
        <v>605</v>
      </c>
      <c r="I148" s="47"/>
      <c r="J148" s="47"/>
      <c r="K148" s="144">
        <f>ROUND(K147,-1)</f>
        <v>1533090</v>
      </c>
    </row>
    <row r="149" spans="1:11" ht="14.1" customHeight="1" x14ac:dyDescent="0.25">
      <c r="A149" s="81">
        <v>15</v>
      </c>
      <c r="B149" s="676" t="s">
        <v>713</v>
      </c>
      <c r="C149" s="677"/>
      <c r="D149" s="137" t="s">
        <v>1263</v>
      </c>
      <c r="E149" s="138"/>
      <c r="F149" s="139"/>
      <c r="G149" s="139"/>
      <c r="H149" s="140"/>
      <c r="I149" s="141"/>
      <c r="J149" s="142"/>
      <c r="K149" s="143"/>
    </row>
    <row r="150" spans="1:11" ht="13.2" customHeight="1" x14ac:dyDescent="0.25">
      <c r="A150" s="2"/>
      <c r="B150" s="20" t="s">
        <v>4</v>
      </c>
      <c r="C150" s="21" t="s">
        <v>1240</v>
      </c>
      <c r="D150" s="14"/>
      <c r="E150" s="22"/>
      <c r="F150" s="23"/>
      <c r="G150" s="23"/>
      <c r="H150" s="24" t="s">
        <v>203</v>
      </c>
      <c r="I150" s="45">
        <v>1</v>
      </c>
      <c r="J150" s="25">
        <f>J106</f>
        <v>184000</v>
      </c>
      <c r="K150" s="26">
        <f>I150*J150</f>
        <v>184000</v>
      </c>
    </row>
    <row r="151" spans="1:11" ht="13.2" customHeight="1" x14ac:dyDescent="0.25">
      <c r="A151" s="2"/>
      <c r="B151" s="20" t="s">
        <v>30</v>
      </c>
      <c r="C151" s="21" t="s">
        <v>1247</v>
      </c>
      <c r="D151" s="14"/>
      <c r="E151" s="22"/>
      <c r="F151" s="23"/>
      <c r="G151" s="23"/>
      <c r="H151" s="24" t="s">
        <v>203</v>
      </c>
      <c r="I151" s="45">
        <v>2</v>
      </c>
      <c r="J151" s="25">
        <f>J107</f>
        <v>27550</v>
      </c>
      <c r="K151" s="26">
        <f t="shared" ref="K151:K155" si="20">I151*J151</f>
        <v>55100</v>
      </c>
    </row>
    <row r="152" spans="1:11" ht="13.2" customHeight="1" x14ac:dyDescent="0.25">
      <c r="A152" s="2"/>
      <c r="B152" s="20" t="s">
        <v>57</v>
      </c>
      <c r="C152" s="21" t="s">
        <v>590</v>
      </c>
      <c r="D152" s="14"/>
      <c r="E152" s="22"/>
      <c r="F152" s="23"/>
      <c r="G152" s="23"/>
      <c r="H152" s="24" t="s">
        <v>203</v>
      </c>
      <c r="I152" s="45">
        <v>2</v>
      </c>
      <c r="J152" s="25">
        <f>J108</f>
        <v>128700</v>
      </c>
      <c r="K152" s="26">
        <f t="shared" si="20"/>
        <v>257400</v>
      </c>
    </row>
    <row r="153" spans="1:11" ht="13.2" customHeight="1" x14ac:dyDescent="0.25">
      <c r="A153" s="2"/>
      <c r="B153" s="20" t="s">
        <v>83</v>
      </c>
      <c r="C153" s="21" t="s">
        <v>1248</v>
      </c>
      <c r="D153" s="14"/>
      <c r="E153" s="22"/>
      <c r="F153" s="23"/>
      <c r="G153" s="23"/>
      <c r="H153" s="24" t="s">
        <v>203</v>
      </c>
      <c r="I153" s="45">
        <v>2</v>
      </c>
      <c r="J153" s="25">
        <f>J109</f>
        <v>175000</v>
      </c>
      <c r="K153" s="26">
        <f t="shared" si="20"/>
        <v>350000</v>
      </c>
    </row>
    <row r="154" spans="1:11" ht="13.2" customHeight="1" x14ac:dyDescent="0.25">
      <c r="A154" s="2"/>
      <c r="B154" s="20" t="s">
        <v>110</v>
      </c>
      <c r="C154" s="21" t="s">
        <v>1261</v>
      </c>
      <c r="D154" s="14"/>
      <c r="E154" s="22"/>
      <c r="F154" s="23"/>
      <c r="G154" s="23"/>
      <c r="H154" s="24" t="s">
        <v>203</v>
      </c>
      <c r="I154" s="45">
        <v>2</v>
      </c>
      <c r="J154" s="25">
        <f>J143</f>
        <v>196560</v>
      </c>
      <c r="K154" s="26">
        <f t="shared" si="20"/>
        <v>393120</v>
      </c>
    </row>
    <row r="155" spans="1:11" ht="13.2" customHeight="1" x14ac:dyDescent="0.25">
      <c r="A155" s="2"/>
      <c r="B155" s="20" t="s">
        <v>137</v>
      </c>
      <c r="C155" s="21" t="s">
        <v>714</v>
      </c>
      <c r="D155" s="14"/>
      <c r="E155" s="22"/>
      <c r="F155" s="23"/>
      <c r="G155" s="23"/>
      <c r="H155" s="24" t="s">
        <v>203</v>
      </c>
      <c r="I155" s="65">
        <v>4</v>
      </c>
      <c r="J155" s="25">
        <f>J111</f>
        <v>14000</v>
      </c>
      <c r="K155" s="26">
        <f t="shared" si="20"/>
        <v>56000</v>
      </c>
    </row>
    <row r="156" spans="1:11" ht="12.9" customHeight="1" x14ac:dyDescent="0.25">
      <c r="A156" s="6"/>
      <c r="B156" s="7"/>
      <c r="C156" s="8"/>
      <c r="D156" s="8"/>
      <c r="E156" s="8"/>
      <c r="F156" s="8"/>
      <c r="G156" s="9"/>
      <c r="H156" s="10" t="s">
        <v>715</v>
      </c>
      <c r="I156" s="11"/>
      <c r="J156" s="11"/>
      <c r="K156" s="27">
        <f>SUM(K150:K155)</f>
        <v>1295620</v>
      </c>
    </row>
    <row r="157" spans="1:11" ht="12.9" customHeight="1" x14ac:dyDescent="0.25">
      <c r="A157" s="6"/>
      <c r="B157" s="5"/>
      <c r="C157" s="3"/>
      <c r="D157" s="3"/>
      <c r="E157" s="3"/>
      <c r="F157" s="3"/>
      <c r="G157" s="4"/>
      <c r="H157" s="12" t="s">
        <v>603</v>
      </c>
      <c r="I157" s="28">
        <f>$K$3</f>
        <v>0.15</v>
      </c>
      <c r="J157" s="13"/>
      <c r="K157" s="29">
        <f>I157*K156</f>
        <v>194343</v>
      </c>
    </row>
    <row r="158" spans="1:11" ht="12.9" customHeight="1" x14ac:dyDescent="0.25">
      <c r="A158" s="6"/>
      <c r="B158" s="5"/>
      <c r="C158" s="3"/>
      <c r="D158" s="3"/>
      <c r="E158" s="3"/>
      <c r="F158" s="3"/>
      <c r="G158" s="4"/>
      <c r="H158" s="12" t="s">
        <v>604</v>
      </c>
      <c r="I158" s="14"/>
      <c r="J158" s="14"/>
      <c r="K158" s="29">
        <f>SUM(K156:K157)</f>
        <v>1489963</v>
      </c>
    </row>
    <row r="159" spans="1:11" ht="12.9" customHeight="1" thickBot="1" x14ac:dyDescent="0.3">
      <c r="A159" s="15"/>
      <c r="B159" s="16"/>
      <c r="C159" s="17"/>
      <c r="D159" s="17"/>
      <c r="E159" s="17"/>
      <c r="F159" s="17"/>
      <c r="G159" s="18"/>
      <c r="H159" s="46" t="s">
        <v>605</v>
      </c>
      <c r="I159" s="47"/>
      <c r="J159" s="47"/>
      <c r="K159" s="144">
        <f>ROUND(K158,-1)</f>
        <v>1489960</v>
      </c>
    </row>
    <row r="160" spans="1:11" ht="14.1" customHeight="1" x14ac:dyDescent="0.25">
      <c r="A160" s="81">
        <v>16</v>
      </c>
      <c r="B160" s="676" t="s">
        <v>713</v>
      </c>
      <c r="C160" s="677"/>
      <c r="D160" s="137" t="s">
        <v>1264</v>
      </c>
      <c r="E160" s="138"/>
      <c r="F160" s="139"/>
      <c r="G160" s="139"/>
      <c r="H160" s="140"/>
      <c r="I160" s="141"/>
      <c r="J160" s="142"/>
      <c r="K160" s="143"/>
    </row>
    <row r="161" spans="1:11" ht="13.2" customHeight="1" x14ac:dyDescent="0.25">
      <c r="A161" s="2"/>
      <c r="B161" s="20" t="s">
        <v>4</v>
      </c>
      <c r="C161" s="21" t="s">
        <v>1242</v>
      </c>
      <c r="D161" s="14"/>
      <c r="E161" s="22"/>
      <c r="F161" s="23"/>
      <c r="G161" s="23"/>
      <c r="H161" s="24" t="s">
        <v>203</v>
      </c>
      <c r="I161" s="45">
        <v>1</v>
      </c>
      <c r="J161" s="25">
        <f>J117</f>
        <v>164500</v>
      </c>
      <c r="K161" s="26">
        <f>I161*J161</f>
        <v>164500</v>
      </c>
    </row>
    <row r="162" spans="1:11" ht="13.2" customHeight="1" x14ac:dyDescent="0.25">
      <c r="A162" s="2"/>
      <c r="B162" s="20" t="s">
        <v>30</v>
      </c>
      <c r="C162" s="21" t="s">
        <v>1247</v>
      </c>
      <c r="D162" s="14"/>
      <c r="E162" s="22"/>
      <c r="F162" s="23"/>
      <c r="G162" s="23"/>
      <c r="H162" s="24" t="s">
        <v>203</v>
      </c>
      <c r="I162" s="45">
        <v>2</v>
      </c>
      <c r="J162" s="25">
        <f>J118</f>
        <v>27550</v>
      </c>
      <c r="K162" s="26">
        <f t="shared" ref="K162:K166" si="21">I162*J162</f>
        <v>55100</v>
      </c>
    </row>
    <row r="163" spans="1:11" ht="13.2" customHeight="1" x14ac:dyDescent="0.25">
      <c r="A163" s="2"/>
      <c r="B163" s="20" t="s">
        <v>57</v>
      </c>
      <c r="C163" s="21" t="s">
        <v>590</v>
      </c>
      <c r="D163" s="14"/>
      <c r="E163" s="22"/>
      <c r="F163" s="23"/>
      <c r="G163" s="23"/>
      <c r="H163" s="24" t="s">
        <v>203</v>
      </c>
      <c r="I163" s="45">
        <v>2</v>
      </c>
      <c r="J163" s="25">
        <f>J119</f>
        <v>128700</v>
      </c>
      <c r="K163" s="26">
        <f t="shared" si="21"/>
        <v>257400</v>
      </c>
    </row>
    <row r="164" spans="1:11" ht="13.2" customHeight="1" x14ac:dyDescent="0.25">
      <c r="A164" s="2"/>
      <c r="B164" s="20" t="s">
        <v>83</v>
      </c>
      <c r="C164" s="21" t="s">
        <v>1248</v>
      </c>
      <c r="D164" s="14"/>
      <c r="E164" s="22"/>
      <c r="F164" s="23"/>
      <c r="G164" s="23"/>
      <c r="H164" s="24" t="s">
        <v>203</v>
      </c>
      <c r="I164" s="45">
        <v>2</v>
      </c>
      <c r="J164" s="25">
        <f>J120</f>
        <v>175000</v>
      </c>
      <c r="K164" s="26">
        <f t="shared" si="21"/>
        <v>350000</v>
      </c>
    </row>
    <row r="165" spans="1:11" ht="13.2" customHeight="1" x14ac:dyDescent="0.25">
      <c r="A165" s="2"/>
      <c r="B165" s="20" t="s">
        <v>110</v>
      </c>
      <c r="C165" s="21" t="s">
        <v>1261</v>
      </c>
      <c r="D165" s="14"/>
      <c r="E165" s="22"/>
      <c r="F165" s="23"/>
      <c r="G165" s="23"/>
      <c r="H165" s="24" t="s">
        <v>203</v>
      </c>
      <c r="I165" s="45">
        <v>2</v>
      </c>
      <c r="J165" s="25">
        <f>J154</f>
        <v>196560</v>
      </c>
      <c r="K165" s="26">
        <f t="shared" si="21"/>
        <v>393120</v>
      </c>
    </row>
    <row r="166" spans="1:11" ht="13.2" customHeight="1" x14ac:dyDescent="0.25">
      <c r="A166" s="2"/>
      <c r="B166" s="20" t="s">
        <v>137</v>
      </c>
      <c r="C166" s="21" t="s">
        <v>714</v>
      </c>
      <c r="D166" s="14"/>
      <c r="E166" s="22"/>
      <c r="F166" s="23"/>
      <c r="G166" s="23"/>
      <c r="H166" s="24" t="s">
        <v>203</v>
      </c>
      <c r="I166" s="65">
        <v>4</v>
      </c>
      <c r="J166" s="25">
        <f>J122</f>
        <v>14000</v>
      </c>
      <c r="K166" s="26">
        <f t="shared" si="21"/>
        <v>56000</v>
      </c>
    </row>
    <row r="167" spans="1:11" ht="12.9" customHeight="1" x14ac:dyDescent="0.25">
      <c r="A167" s="6"/>
      <c r="B167" s="7"/>
      <c r="C167" s="8"/>
      <c r="D167" s="8"/>
      <c r="E167" s="8"/>
      <c r="F167" s="8"/>
      <c r="G167" s="9"/>
      <c r="H167" s="10" t="s">
        <v>715</v>
      </c>
      <c r="I167" s="11"/>
      <c r="J167" s="11"/>
      <c r="K167" s="27">
        <f>SUM(K161:K166)</f>
        <v>1276120</v>
      </c>
    </row>
    <row r="168" spans="1:11" ht="12.9" customHeight="1" x14ac:dyDescent="0.25">
      <c r="A168" s="6"/>
      <c r="B168" s="5"/>
      <c r="C168" s="3"/>
      <c r="D168" s="3"/>
      <c r="E168" s="3"/>
      <c r="F168" s="3"/>
      <c r="G168" s="4"/>
      <c r="H168" s="12" t="s">
        <v>603</v>
      </c>
      <c r="I168" s="28">
        <f>$K$3</f>
        <v>0.15</v>
      </c>
      <c r="J168" s="13"/>
      <c r="K168" s="29">
        <f>I168*K167</f>
        <v>191418</v>
      </c>
    </row>
    <row r="169" spans="1:11" ht="12.9" customHeight="1" x14ac:dyDescent="0.25">
      <c r="A169" s="6"/>
      <c r="B169" s="5"/>
      <c r="C169" s="3"/>
      <c r="D169" s="3"/>
      <c r="E169" s="3"/>
      <c r="F169" s="3"/>
      <c r="G169" s="4"/>
      <c r="H169" s="12" t="s">
        <v>604</v>
      </c>
      <c r="I169" s="14"/>
      <c r="J169" s="14"/>
      <c r="K169" s="29">
        <f>SUM(K167:K168)</f>
        <v>1467538</v>
      </c>
    </row>
    <row r="170" spans="1:11" ht="12.9" customHeight="1" thickBot="1" x14ac:dyDescent="0.3">
      <c r="A170" s="15"/>
      <c r="B170" s="16"/>
      <c r="C170" s="17"/>
      <c r="D170" s="17"/>
      <c r="E170" s="17"/>
      <c r="F170" s="17"/>
      <c r="G170" s="18"/>
      <c r="H170" s="46" t="s">
        <v>605</v>
      </c>
      <c r="I170" s="47"/>
      <c r="J170" s="47"/>
      <c r="K170" s="144">
        <f>ROUND(K169,-1)</f>
        <v>1467540</v>
      </c>
    </row>
    <row r="171" spans="1:11" ht="14.1" customHeight="1" x14ac:dyDescent="0.25">
      <c r="A171" s="81">
        <v>17</v>
      </c>
      <c r="B171" s="676" t="s">
        <v>713</v>
      </c>
      <c r="C171" s="677"/>
      <c r="D171" s="137" t="s">
        <v>1267</v>
      </c>
      <c r="E171" s="138"/>
      <c r="F171" s="139"/>
      <c r="G171" s="139"/>
      <c r="H171" s="140"/>
      <c r="I171" s="141"/>
      <c r="J171" s="142"/>
      <c r="K171" s="143"/>
    </row>
    <row r="172" spans="1:11" ht="13.2" customHeight="1" x14ac:dyDescent="0.25">
      <c r="A172" s="2"/>
      <c r="B172" s="20" t="s">
        <v>4</v>
      </c>
      <c r="C172" s="21" t="s">
        <v>1265</v>
      </c>
      <c r="D172" s="14"/>
      <c r="E172" s="22"/>
      <c r="F172" s="23"/>
      <c r="G172" s="23"/>
      <c r="H172" s="24" t="s">
        <v>203</v>
      </c>
      <c r="I172" s="45">
        <v>1</v>
      </c>
      <c r="J172" s="25">
        <f>'Harga Satuan Dasar mat'!G76</f>
        <v>173000</v>
      </c>
      <c r="K172" s="26">
        <f>I172*J172</f>
        <v>173000</v>
      </c>
    </row>
    <row r="173" spans="1:11" ht="13.2" customHeight="1" x14ac:dyDescent="0.25">
      <c r="A173" s="2"/>
      <c r="B173" s="20" t="s">
        <v>30</v>
      </c>
      <c r="C173" s="21" t="s">
        <v>1247</v>
      </c>
      <c r="D173" s="14"/>
      <c r="E173" s="22"/>
      <c r="F173" s="23"/>
      <c r="G173" s="23"/>
      <c r="H173" s="24" t="s">
        <v>203</v>
      </c>
      <c r="I173" s="45">
        <v>2</v>
      </c>
      <c r="J173" s="25">
        <f>J41</f>
        <v>27550</v>
      </c>
      <c r="K173" s="26">
        <f t="shared" ref="K173:K177" si="22">I173*J173</f>
        <v>55100</v>
      </c>
    </row>
    <row r="174" spans="1:11" ht="13.2" customHeight="1" x14ac:dyDescent="0.25">
      <c r="A174" s="2"/>
      <c r="B174" s="20" t="s">
        <v>57</v>
      </c>
      <c r="C174" s="21" t="s">
        <v>590</v>
      </c>
      <c r="D174" s="14"/>
      <c r="E174" s="22"/>
      <c r="F174" s="23"/>
      <c r="G174" s="23"/>
      <c r="H174" s="24" t="s">
        <v>203</v>
      </c>
      <c r="I174" s="45">
        <v>2</v>
      </c>
      <c r="J174" s="25">
        <f>J42</f>
        <v>128700</v>
      </c>
      <c r="K174" s="26">
        <f t="shared" si="22"/>
        <v>257400</v>
      </c>
    </row>
    <row r="175" spans="1:11" ht="13.2" customHeight="1" x14ac:dyDescent="0.25">
      <c r="A175" s="2"/>
      <c r="B175" s="20" t="s">
        <v>83</v>
      </c>
      <c r="C175" s="21" t="s">
        <v>1250</v>
      </c>
      <c r="D175" s="14"/>
      <c r="E175" s="22"/>
      <c r="F175" s="23"/>
      <c r="G175" s="23"/>
      <c r="H175" s="24" t="s">
        <v>203</v>
      </c>
      <c r="I175" s="45">
        <v>2</v>
      </c>
      <c r="J175" s="25">
        <f>J43</f>
        <v>175000</v>
      </c>
      <c r="K175" s="26">
        <f t="shared" si="22"/>
        <v>350000</v>
      </c>
    </row>
    <row r="176" spans="1:11" ht="13.2" customHeight="1" x14ac:dyDescent="0.25">
      <c r="A176" s="2"/>
      <c r="B176" s="20" t="s">
        <v>110</v>
      </c>
      <c r="C176" s="21" t="s">
        <v>1249</v>
      </c>
      <c r="D176" s="14"/>
      <c r="E176" s="22"/>
      <c r="F176" s="23"/>
      <c r="G176" s="23"/>
      <c r="H176" s="24" t="s">
        <v>203</v>
      </c>
      <c r="I176" s="45">
        <v>2</v>
      </c>
      <c r="J176" s="25">
        <f>J44</f>
        <v>75120</v>
      </c>
      <c r="K176" s="26">
        <f t="shared" si="22"/>
        <v>150240</v>
      </c>
    </row>
    <row r="177" spans="1:11" ht="13.2" customHeight="1" x14ac:dyDescent="0.25">
      <c r="A177" s="2"/>
      <c r="B177" s="20" t="s">
        <v>137</v>
      </c>
      <c r="C177" s="21" t="s">
        <v>714</v>
      </c>
      <c r="D177" s="14"/>
      <c r="E177" s="22"/>
      <c r="F177" s="23"/>
      <c r="G177" s="23"/>
      <c r="H177" s="24" t="s">
        <v>203</v>
      </c>
      <c r="I177" s="65">
        <v>4</v>
      </c>
      <c r="J177" s="25">
        <f>J45</f>
        <v>14000</v>
      </c>
      <c r="K177" s="26">
        <f t="shared" si="22"/>
        <v>56000</v>
      </c>
    </row>
    <row r="178" spans="1:11" ht="12.9" customHeight="1" x14ac:dyDescent="0.25">
      <c r="A178" s="6"/>
      <c r="B178" s="7"/>
      <c r="C178" s="8"/>
      <c r="D178" s="8"/>
      <c r="E178" s="8"/>
      <c r="F178" s="8"/>
      <c r="G178" s="9"/>
      <c r="H178" s="10" t="s">
        <v>715</v>
      </c>
      <c r="I178" s="11"/>
      <c r="J178" s="11"/>
      <c r="K178" s="27">
        <f>SUM(K172:K177)</f>
        <v>1041740</v>
      </c>
    </row>
    <row r="179" spans="1:11" ht="12.9" customHeight="1" x14ac:dyDescent="0.25">
      <c r="A179" s="6"/>
      <c r="B179" s="5"/>
      <c r="C179" s="3"/>
      <c r="D179" s="3"/>
      <c r="E179" s="3"/>
      <c r="F179" s="3"/>
      <c r="G179" s="4"/>
      <c r="H179" s="12" t="s">
        <v>603</v>
      </c>
      <c r="I179" s="28">
        <f>$K$3</f>
        <v>0.15</v>
      </c>
      <c r="J179" s="13"/>
      <c r="K179" s="29">
        <f>I179*K178</f>
        <v>156261</v>
      </c>
    </row>
    <row r="180" spans="1:11" ht="12.9" customHeight="1" x14ac:dyDescent="0.25">
      <c r="A180" s="6"/>
      <c r="B180" s="5"/>
      <c r="C180" s="3"/>
      <c r="D180" s="3"/>
      <c r="E180" s="3"/>
      <c r="F180" s="3"/>
      <c r="G180" s="4"/>
      <c r="H180" s="12" t="s">
        <v>604</v>
      </c>
      <c r="I180" s="14"/>
      <c r="J180" s="14"/>
      <c r="K180" s="29">
        <f>SUM(K178:K179)</f>
        <v>1198001</v>
      </c>
    </row>
    <row r="181" spans="1:11" ht="12.9" customHeight="1" thickBot="1" x14ac:dyDescent="0.3">
      <c r="A181" s="15"/>
      <c r="B181" s="16"/>
      <c r="C181" s="17"/>
      <c r="D181" s="17"/>
      <c r="E181" s="17"/>
      <c r="F181" s="17"/>
      <c r="G181" s="18"/>
      <c r="H181" s="46" t="s">
        <v>605</v>
      </c>
      <c r="I181" s="47"/>
      <c r="J181" s="47"/>
      <c r="K181" s="144">
        <f>ROUND(K180,-1)</f>
        <v>1198000</v>
      </c>
    </row>
    <row r="182" spans="1:11" ht="14.1" customHeight="1" x14ac:dyDescent="0.25">
      <c r="A182" s="81">
        <v>18</v>
      </c>
      <c r="B182" s="676" t="s">
        <v>713</v>
      </c>
      <c r="C182" s="677"/>
      <c r="D182" s="137" t="s">
        <v>1268</v>
      </c>
      <c r="E182" s="138"/>
      <c r="F182" s="139"/>
      <c r="G182" s="139"/>
      <c r="H182" s="140"/>
      <c r="I182" s="141"/>
      <c r="J182" s="142"/>
      <c r="K182" s="143"/>
    </row>
    <row r="183" spans="1:11" ht="13.2" customHeight="1" x14ac:dyDescent="0.25">
      <c r="A183" s="2"/>
      <c r="B183" s="20" t="s">
        <v>4</v>
      </c>
      <c r="C183" s="21" t="s">
        <v>1266</v>
      </c>
      <c r="D183" s="14"/>
      <c r="E183" s="22"/>
      <c r="F183" s="23"/>
      <c r="G183" s="23"/>
      <c r="H183" s="24" t="s">
        <v>203</v>
      </c>
      <c r="I183" s="45">
        <v>1</v>
      </c>
      <c r="J183" s="25">
        <f>'Harga Satuan Dasar mat'!G78</f>
        <v>189500</v>
      </c>
      <c r="K183" s="26">
        <f>I183*J183</f>
        <v>189500</v>
      </c>
    </row>
    <row r="184" spans="1:11" ht="13.2" customHeight="1" x14ac:dyDescent="0.25">
      <c r="A184" s="2"/>
      <c r="B184" s="20" t="s">
        <v>30</v>
      </c>
      <c r="C184" s="21" t="s">
        <v>1247</v>
      </c>
      <c r="D184" s="14"/>
      <c r="E184" s="22"/>
      <c r="F184" s="23"/>
      <c r="G184" s="23"/>
      <c r="H184" s="24" t="s">
        <v>203</v>
      </c>
      <c r="I184" s="45">
        <v>2</v>
      </c>
      <c r="J184" s="25">
        <f>J173</f>
        <v>27550</v>
      </c>
      <c r="K184" s="26">
        <f t="shared" ref="K184:K188" si="23">I184*J184</f>
        <v>55100</v>
      </c>
    </row>
    <row r="185" spans="1:11" ht="13.2" customHeight="1" x14ac:dyDescent="0.25">
      <c r="A185" s="2"/>
      <c r="B185" s="20" t="s">
        <v>57</v>
      </c>
      <c r="C185" s="21" t="s">
        <v>590</v>
      </c>
      <c r="D185" s="14"/>
      <c r="E185" s="22"/>
      <c r="F185" s="23"/>
      <c r="G185" s="23"/>
      <c r="H185" s="24" t="s">
        <v>203</v>
      </c>
      <c r="I185" s="45">
        <v>2</v>
      </c>
      <c r="J185" s="25">
        <f t="shared" ref="J185:J188" si="24">J174</f>
        <v>128700</v>
      </c>
      <c r="K185" s="26">
        <f t="shared" si="23"/>
        <v>257400</v>
      </c>
    </row>
    <row r="186" spans="1:11" ht="13.2" customHeight="1" x14ac:dyDescent="0.25">
      <c r="A186" s="2"/>
      <c r="B186" s="20" t="s">
        <v>83</v>
      </c>
      <c r="C186" s="21" t="s">
        <v>1248</v>
      </c>
      <c r="D186" s="14"/>
      <c r="E186" s="22"/>
      <c r="F186" s="23"/>
      <c r="G186" s="23"/>
      <c r="H186" s="24" t="s">
        <v>203</v>
      </c>
      <c r="I186" s="45">
        <v>2</v>
      </c>
      <c r="J186" s="25">
        <f t="shared" si="24"/>
        <v>175000</v>
      </c>
      <c r="K186" s="26">
        <f t="shared" si="23"/>
        <v>350000</v>
      </c>
    </row>
    <row r="187" spans="1:11" ht="13.2" customHeight="1" x14ac:dyDescent="0.25">
      <c r="A187" s="2"/>
      <c r="B187" s="20" t="s">
        <v>110</v>
      </c>
      <c r="C187" s="21" t="s">
        <v>1249</v>
      </c>
      <c r="D187" s="14"/>
      <c r="E187" s="22"/>
      <c r="F187" s="23"/>
      <c r="G187" s="23"/>
      <c r="H187" s="24" t="s">
        <v>203</v>
      </c>
      <c r="I187" s="45">
        <v>2</v>
      </c>
      <c r="J187" s="25">
        <f t="shared" si="24"/>
        <v>75120</v>
      </c>
      <c r="K187" s="26">
        <f t="shared" si="23"/>
        <v>150240</v>
      </c>
    </row>
    <row r="188" spans="1:11" ht="13.2" customHeight="1" x14ac:dyDescent="0.25">
      <c r="A188" s="2"/>
      <c r="B188" s="20" t="s">
        <v>137</v>
      </c>
      <c r="C188" s="21" t="s">
        <v>714</v>
      </c>
      <c r="D188" s="14"/>
      <c r="E188" s="22"/>
      <c r="F188" s="23"/>
      <c r="G188" s="23"/>
      <c r="H188" s="24" t="s">
        <v>203</v>
      </c>
      <c r="I188" s="65">
        <v>4</v>
      </c>
      <c r="J188" s="25">
        <f t="shared" si="24"/>
        <v>14000</v>
      </c>
      <c r="K188" s="26">
        <f t="shared" si="23"/>
        <v>56000</v>
      </c>
    </row>
    <row r="189" spans="1:11" ht="12.9" customHeight="1" x14ac:dyDescent="0.25">
      <c r="A189" s="6"/>
      <c r="B189" s="7"/>
      <c r="C189" s="8"/>
      <c r="D189" s="8"/>
      <c r="E189" s="8"/>
      <c r="F189" s="8"/>
      <c r="G189" s="9"/>
      <c r="H189" s="10" t="s">
        <v>715</v>
      </c>
      <c r="I189" s="11"/>
      <c r="J189" s="11"/>
      <c r="K189" s="27">
        <f>SUM(K183:K188)</f>
        <v>1058240</v>
      </c>
    </row>
    <row r="190" spans="1:11" ht="12.9" customHeight="1" x14ac:dyDescent="0.25">
      <c r="A190" s="6"/>
      <c r="B190" s="5"/>
      <c r="C190" s="3"/>
      <c r="D190" s="3"/>
      <c r="E190" s="3"/>
      <c r="F190" s="3"/>
      <c r="G190" s="4"/>
      <c r="H190" s="12" t="s">
        <v>603</v>
      </c>
      <c r="I190" s="28">
        <f>$K$3</f>
        <v>0.15</v>
      </c>
      <c r="J190" s="13"/>
      <c r="K190" s="29">
        <f>I190*K189</f>
        <v>158736</v>
      </c>
    </row>
    <row r="191" spans="1:11" ht="12.9" customHeight="1" x14ac:dyDescent="0.25">
      <c r="A191" s="6"/>
      <c r="B191" s="5"/>
      <c r="C191" s="3"/>
      <c r="D191" s="3"/>
      <c r="E191" s="3"/>
      <c r="F191" s="3"/>
      <c r="G191" s="4"/>
      <c r="H191" s="12" t="s">
        <v>604</v>
      </c>
      <c r="I191" s="14"/>
      <c r="J191" s="14"/>
      <c r="K191" s="29">
        <f>SUM(K189:K190)</f>
        <v>1216976</v>
      </c>
    </row>
    <row r="192" spans="1:11" ht="12.9" customHeight="1" thickBot="1" x14ac:dyDescent="0.3">
      <c r="A192" s="15"/>
      <c r="B192" s="16"/>
      <c r="C192" s="17"/>
      <c r="D192" s="17"/>
      <c r="E192" s="17"/>
      <c r="F192" s="17"/>
      <c r="G192" s="18"/>
      <c r="H192" s="46" t="s">
        <v>605</v>
      </c>
      <c r="I192" s="47"/>
      <c r="J192" s="47"/>
      <c r="K192" s="144">
        <f>ROUND(K191,-1)</f>
        <v>1216980</v>
      </c>
    </row>
    <row r="193" spans="1:11" ht="14.1" customHeight="1" x14ac:dyDescent="0.25">
      <c r="A193" s="81">
        <v>19</v>
      </c>
      <c r="B193" s="676" t="s">
        <v>713</v>
      </c>
      <c r="C193" s="677"/>
      <c r="D193" s="137" t="s">
        <v>1269</v>
      </c>
      <c r="E193" s="138"/>
      <c r="F193" s="139"/>
      <c r="G193" s="139"/>
      <c r="H193" s="140"/>
      <c r="I193" s="141"/>
      <c r="J193" s="142"/>
      <c r="K193" s="143"/>
    </row>
    <row r="194" spans="1:11" ht="13.2" customHeight="1" x14ac:dyDescent="0.25">
      <c r="A194" s="2"/>
      <c r="B194" s="20" t="s">
        <v>4</v>
      </c>
      <c r="C194" s="21" t="s">
        <v>1270</v>
      </c>
      <c r="D194" s="14"/>
      <c r="E194" s="22"/>
      <c r="F194" s="23"/>
      <c r="G194" s="23"/>
      <c r="H194" s="24" t="s">
        <v>203</v>
      </c>
      <c r="I194" s="45">
        <v>1</v>
      </c>
      <c r="J194" s="25">
        <f>'Harga Satuan Dasar mat'!G74</f>
        <v>156000</v>
      </c>
      <c r="K194" s="26">
        <f>I194*J194</f>
        <v>156000</v>
      </c>
    </row>
    <row r="195" spans="1:11" ht="13.2" customHeight="1" x14ac:dyDescent="0.25">
      <c r="A195" s="2"/>
      <c r="B195" s="20" t="s">
        <v>30</v>
      </c>
      <c r="C195" s="21" t="s">
        <v>1247</v>
      </c>
      <c r="D195" s="14"/>
      <c r="E195" s="22"/>
      <c r="F195" s="23"/>
      <c r="G195" s="23"/>
      <c r="H195" s="24" t="s">
        <v>203</v>
      </c>
      <c r="I195" s="45">
        <v>2</v>
      </c>
      <c r="J195" s="25">
        <f>J184</f>
        <v>27550</v>
      </c>
      <c r="K195" s="26">
        <f t="shared" ref="K195:K199" si="25">I195*J195</f>
        <v>55100</v>
      </c>
    </row>
    <row r="196" spans="1:11" ht="13.2" customHeight="1" x14ac:dyDescent="0.25">
      <c r="A196" s="2"/>
      <c r="B196" s="20" t="s">
        <v>57</v>
      </c>
      <c r="C196" s="21" t="s">
        <v>590</v>
      </c>
      <c r="D196" s="14"/>
      <c r="E196" s="22"/>
      <c r="F196" s="23"/>
      <c r="G196" s="23"/>
      <c r="H196" s="24" t="s">
        <v>203</v>
      </c>
      <c r="I196" s="45">
        <v>2</v>
      </c>
      <c r="J196" s="25">
        <f t="shared" ref="J196:J199" si="26">J185</f>
        <v>128700</v>
      </c>
      <c r="K196" s="26">
        <f t="shared" si="25"/>
        <v>257400</v>
      </c>
    </row>
    <row r="197" spans="1:11" ht="13.2" customHeight="1" x14ac:dyDescent="0.25">
      <c r="A197" s="2"/>
      <c r="B197" s="20" t="s">
        <v>83</v>
      </c>
      <c r="C197" s="21" t="s">
        <v>1248</v>
      </c>
      <c r="D197" s="14"/>
      <c r="E197" s="22"/>
      <c r="F197" s="23"/>
      <c r="G197" s="23"/>
      <c r="H197" s="24" t="s">
        <v>203</v>
      </c>
      <c r="I197" s="45">
        <v>2</v>
      </c>
      <c r="J197" s="25">
        <f t="shared" si="26"/>
        <v>175000</v>
      </c>
      <c r="K197" s="26">
        <f t="shared" si="25"/>
        <v>350000</v>
      </c>
    </row>
    <row r="198" spans="1:11" ht="13.2" customHeight="1" x14ac:dyDescent="0.25">
      <c r="A198" s="2"/>
      <c r="B198" s="20" t="s">
        <v>110</v>
      </c>
      <c r="C198" s="21" t="s">
        <v>1249</v>
      </c>
      <c r="D198" s="14"/>
      <c r="E198" s="22"/>
      <c r="F198" s="23"/>
      <c r="G198" s="23"/>
      <c r="H198" s="24" t="s">
        <v>203</v>
      </c>
      <c r="I198" s="45">
        <v>2</v>
      </c>
      <c r="J198" s="25">
        <f t="shared" si="26"/>
        <v>75120</v>
      </c>
      <c r="K198" s="26">
        <f t="shared" si="25"/>
        <v>150240</v>
      </c>
    </row>
    <row r="199" spans="1:11" ht="13.2" customHeight="1" x14ac:dyDescent="0.25">
      <c r="A199" s="2"/>
      <c r="B199" s="20" t="s">
        <v>137</v>
      </c>
      <c r="C199" s="21" t="s">
        <v>714</v>
      </c>
      <c r="D199" s="14"/>
      <c r="E199" s="22"/>
      <c r="F199" s="23"/>
      <c r="G199" s="23"/>
      <c r="H199" s="24" t="s">
        <v>203</v>
      </c>
      <c r="I199" s="65">
        <v>4</v>
      </c>
      <c r="J199" s="25">
        <f t="shared" si="26"/>
        <v>14000</v>
      </c>
      <c r="K199" s="26">
        <f t="shared" si="25"/>
        <v>56000</v>
      </c>
    </row>
    <row r="200" spans="1:11" ht="12.9" customHeight="1" x14ac:dyDescent="0.25">
      <c r="A200" s="6"/>
      <c r="B200" s="7"/>
      <c r="C200" s="8"/>
      <c r="D200" s="8"/>
      <c r="E200" s="8"/>
      <c r="F200" s="8"/>
      <c r="G200" s="9"/>
      <c r="H200" s="10" t="s">
        <v>715</v>
      </c>
      <c r="I200" s="11"/>
      <c r="J200" s="11"/>
      <c r="K200" s="27">
        <f>SUM(K194:K199)</f>
        <v>1024740</v>
      </c>
    </row>
    <row r="201" spans="1:11" ht="12.9" customHeight="1" x14ac:dyDescent="0.25">
      <c r="A201" s="6"/>
      <c r="B201" s="5"/>
      <c r="C201" s="3"/>
      <c r="D201" s="3"/>
      <c r="E201" s="3"/>
      <c r="F201" s="3"/>
      <c r="G201" s="4"/>
      <c r="H201" s="12" t="s">
        <v>603</v>
      </c>
      <c r="I201" s="28">
        <f>$K$3</f>
        <v>0.15</v>
      </c>
      <c r="J201" s="13"/>
      <c r="K201" s="29">
        <f>I201*K200</f>
        <v>153711</v>
      </c>
    </row>
    <row r="202" spans="1:11" ht="12.9" customHeight="1" x14ac:dyDescent="0.25">
      <c r="A202" s="6"/>
      <c r="B202" s="5"/>
      <c r="C202" s="3"/>
      <c r="D202" s="3"/>
      <c r="E202" s="3"/>
      <c r="F202" s="3"/>
      <c r="G202" s="4"/>
      <c r="H202" s="12" t="s">
        <v>604</v>
      </c>
      <c r="I202" s="14"/>
      <c r="J202" s="14"/>
      <c r="K202" s="29">
        <f>SUM(K200:K201)</f>
        <v>1178451</v>
      </c>
    </row>
    <row r="203" spans="1:11" ht="12.9" customHeight="1" thickBot="1" x14ac:dyDescent="0.3">
      <c r="A203" s="15"/>
      <c r="B203" s="16"/>
      <c r="C203" s="17"/>
      <c r="D203" s="17"/>
      <c r="E203" s="17"/>
      <c r="F203" s="17"/>
      <c r="G203" s="18"/>
      <c r="H203" s="46" t="s">
        <v>605</v>
      </c>
      <c r="I203" s="47"/>
      <c r="J203" s="47"/>
      <c r="K203" s="144">
        <f>ROUND(K202,-1)</f>
        <v>1178450</v>
      </c>
    </row>
    <row r="204" spans="1:11" ht="14.1" customHeight="1" x14ac:dyDescent="0.25">
      <c r="A204" s="81">
        <v>20</v>
      </c>
      <c r="B204" s="676" t="s">
        <v>713</v>
      </c>
      <c r="C204" s="677"/>
      <c r="D204" s="137" t="s">
        <v>1271</v>
      </c>
      <c r="E204" s="138"/>
      <c r="F204" s="139"/>
      <c r="G204" s="139"/>
      <c r="H204" s="140"/>
      <c r="I204" s="141"/>
      <c r="J204" s="142"/>
      <c r="K204" s="143"/>
    </row>
    <row r="205" spans="1:11" ht="13.2" customHeight="1" x14ac:dyDescent="0.25">
      <c r="A205" s="2"/>
      <c r="B205" s="20" t="s">
        <v>4</v>
      </c>
      <c r="C205" s="21" t="s">
        <v>1272</v>
      </c>
      <c r="D205" s="14"/>
      <c r="E205" s="22"/>
      <c r="F205" s="23"/>
      <c r="G205" s="23"/>
      <c r="H205" s="24" t="s">
        <v>203</v>
      </c>
      <c r="I205" s="45">
        <v>1</v>
      </c>
      <c r="J205" s="25">
        <f>'Harga Satuan Dasar mat'!G72</f>
        <v>138500</v>
      </c>
      <c r="K205" s="26">
        <f>I205*J205</f>
        <v>138500</v>
      </c>
    </row>
    <row r="206" spans="1:11" ht="13.2" customHeight="1" x14ac:dyDescent="0.25">
      <c r="A206" s="2"/>
      <c r="B206" s="20" t="s">
        <v>30</v>
      </c>
      <c r="C206" s="21" t="s">
        <v>1247</v>
      </c>
      <c r="D206" s="14"/>
      <c r="E206" s="22"/>
      <c r="F206" s="23"/>
      <c r="G206" s="23"/>
      <c r="H206" s="24" t="s">
        <v>203</v>
      </c>
      <c r="I206" s="45">
        <v>2</v>
      </c>
      <c r="J206" s="25">
        <f>J195</f>
        <v>27550</v>
      </c>
      <c r="K206" s="26">
        <f t="shared" ref="K206:K210" si="27">I206*J206</f>
        <v>55100</v>
      </c>
    </row>
    <row r="207" spans="1:11" ht="13.2" customHeight="1" x14ac:dyDescent="0.25">
      <c r="A207" s="2"/>
      <c r="B207" s="20" t="s">
        <v>57</v>
      </c>
      <c r="C207" s="21" t="s">
        <v>590</v>
      </c>
      <c r="D207" s="14"/>
      <c r="E207" s="22"/>
      <c r="F207" s="23"/>
      <c r="G207" s="23"/>
      <c r="H207" s="24" t="s">
        <v>203</v>
      </c>
      <c r="I207" s="45">
        <v>2</v>
      </c>
      <c r="J207" s="25">
        <f t="shared" ref="J207:J210" si="28">J196</f>
        <v>128700</v>
      </c>
      <c r="K207" s="26">
        <f t="shared" si="27"/>
        <v>257400</v>
      </c>
    </row>
    <row r="208" spans="1:11" ht="13.2" customHeight="1" x14ac:dyDescent="0.25">
      <c r="A208" s="2"/>
      <c r="B208" s="20" t="s">
        <v>83</v>
      </c>
      <c r="C208" s="21" t="s">
        <v>1248</v>
      </c>
      <c r="D208" s="14"/>
      <c r="E208" s="22"/>
      <c r="F208" s="23"/>
      <c r="G208" s="23"/>
      <c r="H208" s="24" t="s">
        <v>203</v>
      </c>
      <c r="I208" s="45">
        <v>2</v>
      </c>
      <c r="J208" s="25">
        <f t="shared" si="28"/>
        <v>175000</v>
      </c>
      <c r="K208" s="26">
        <f t="shared" si="27"/>
        <v>350000</v>
      </c>
    </row>
    <row r="209" spans="1:11" ht="13.2" customHeight="1" x14ac:dyDescent="0.25">
      <c r="A209" s="2"/>
      <c r="B209" s="20" t="s">
        <v>110</v>
      </c>
      <c r="C209" s="21" t="s">
        <v>1249</v>
      </c>
      <c r="D209" s="14"/>
      <c r="E209" s="22"/>
      <c r="F209" s="23"/>
      <c r="G209" s="23"/>
      <c r="H209" s="24" t="s">
        <v>203</v>
      </c>
      <c r="I209" s="45">
        <v>2</v>
      </c>
      <c r="J209" s="25">
        <f t="shared" si="28"/>
        <v>75120</v>
      </c>
      <c r="K209" s="26">
        <f t="shared" si="27"/>
        <v>150240</v>
      </c>
    </row>
    <row r="210" spans="1:11" ht="13.2" customHeight="1" x14ac:dyDescent="0.25">
      <c r="A210" s="2"/>
      <c r="B210" s="20" t="s">
        <v>137</v>
      </c>
      <c r="C210" s="21" t="s">
        <v>714</v>
      </c>
      <c r="D210" s="14"/>
      <c r="E210" s="22"/>
      <c r="F210" s="23"/>
      <c r="G210" s="23"/>
      <c r="H210" s="24" t="s">
        <v>203</v>
      </c>
      <c r="I210" s="65">
        <v>4</v>
      </c>
      <c r="J210" s="25">
        <f t="shared" si="28"/>
        <v>14000</v>
      </c>
      <c r="K210" s="26">
        <f t="shared" si="27"/>
        <v>56000</v>
      </c>
    </row>
    <row r="211" spans="1:11" ht="12.9" customHeight="1" x14ac:dyDescent="0.25">
      <c r="A211" s="6"/>
      <c r="B211" s="7"/>
      <c r="C211" s="8"/>
      <c r="D211" s="8"/>
      <c r="E211" s="8"/>
      <c r="F211" s="8"/>
      <c r="G211" s="9"/>
      <c r="H211" s="10" t="s">
        <v>715</v>
      </c>
      <c r="I211" s="11"/>
      <c r="J211" s="11"/>
      <c r="K211" s="27">
        <f>SUM(K205:K210)</f>
        <v>1007240</v>
      </c>
    </row>
    <row r="212" spans="1:11" ht="12.9" customHeight="1" x14ac:dyDescent="0.25">
      <c r="A212" s="6"/>
      <c r="B212" s="5"/>
      <c r="C212" s="3"/>
      <c r="D212" s="3"/>
      <c r="E212" s="3"/>
      <c r="F212" s="3"/>
      <c r="G212" s="4"/>
      <c r="H212" s="12" t="s">
        <v>603</v>
      </c>
      <c r="I212" s="28">
        <f>$K$3</f>
        <v>0.15</v>
      </c>
      <c r="J212" s="13"/>
      <c r="K212" s="29">
        <f>I212*K211</f>
        <v>151086</v>
      </c>
    </row>
    <row r="213" spans="1:11" ht="12.9" customHeight="1" x14ac:dyDescent="0.25">
      <c r="A213" s="6"/>
      <c r="B213" s="5"/>
      <c r="C213" s="3"/>
      <c r="D213" s="3"/>
      <c r="E213" s="3"/>
      <c r="F213" s="3"/>
      <c r="G213" s="4"/>
      <c r="H213" s="12" t="s">
        <v>604</v>
      </c>
      <c r="I213" s="14"/>
      <c r="J213" s="14"/>
      <c r="K213" s="29">
        <f>SUM(K211:K212)</f>
        <v>1158326</v>
      </c>
    </row>
    <row r="214" spans="1:11" ht="12.9" customHeight="1" thickBot="1" x14ac:dyDescent="0.3">
      <c r="A214" s="15"/>
      <c r="B214" s="16"/>
      <c r="C214" s="17"/>
      <c r="D214" s="17"/>
      <c r="E214" s="17"/>
      <c r="F214" s="17"/>
      <c r="G214" s="18"/>
      <c r="H214" s="46" t="s">
        <v>605</v>
      </c>
      <c r="I214" s="47"/>
      <c r="J214" s="47"/>
      <c r="K214" s="144">
        <f>ROUND(K213,-1)</f>
        <v>1158330</v>
      </c>
    </row>
    <row r="215" spans="1:11" ht="14.1" customHeight="1" x14ac:dyDescent="0.25">
      <c r="A215" s="81">
        <v>21</v>
      </c>
      <c r="B215" s="676" t="s">
        <v>713</v>
      </c>
      <c r="C215" s="677"/>
      <c r="D215" s="137" t="s">
        <v>1273</v>
      </c>
      <c r="E215" s="138"/>
      <c r="F215" s="139"/>
      <c r="G215" s="139"/>
      <c r="H215" s="140"/>
      <c r="I215" s="141"/>
      <c r="J215" s="142"/>
      <c r="K215" s="143"/>
    </row>
    <row r="216" spans="1:11" ht="13.2" customHeight="1" x14ac:dyDescent="0.25">
      <c r="A216" s="2"/>
      <c r="B216" s="20" t="s">
        <v>4</v>
      </c>
      <c r="C216" s="21" t="s">
        <v>1265</v>
      </c>
      <c r="D216" s="14"/>
      <c r="E216" s="22"/>
      <c r="F216" s="23"/>
      <c r="G216" s="23"/>
      <c r="H216" s="24" t="s">
        <v>203</v>
      </c>
      <c r="I216" s="45">
        <v>1</v>
      </c>
      <c r="J216" s="25">
        <f>J172</f>
        <v>173000</v>
      </c>
      <c r="K216" s="26">
        <f>I216*J216</f>
        <v>173000</v>
      </c>
    </row>
    <row r="217" spans="1:11" ht="13.2" customHeight="1" x14ac:dyDescent="0.25">
      <c r="A217" s="2"/>
      <c r="B217" s="20" t="s">
        <v>30</v>
      </c>
      <c r="C217" s="21" t="s">
        <v>1247</v>
      </c>
      <c r="D217" s="14"/>
      <c r="E217" s="22"/>
      <c r="F217" s="23"/>
      <c r="G217" s="23"/>
      <c r="H217" s="24" t="s">
        <v>203</v>
      </c>
      <c r="I217" s="45">
        <v>2</v>
      </c>
      <c r="J217" s="25">
        <f>J85</f>
        <v>27550</v>
      </c>
      <c r="K217" s="26">
        <f t="shared" ref="K217:K221" si="29">I217*J217</f>
        <v>55100</v>
      </c>
    </row>
    <row r="218" spans="1:11" ht="13.2" customHeight="1" x14ac:dyDescent="0.25">
      <c r="A218" s="2"/>
      <c r="B218" s="20" t="s">
        <v>57</v>
      </c>
      <c r="C218" s="21" t="s">
        <v>590</v>
      </c>
      <c r="D218" s="14"/>
      <c r="E218" s="22"/>
      <c r="F218" s="23"/>
      <c r="G218" s="23"/>
      <c r="H218" s="24" t="s">
        <v>203</v>
      </c>
      <c r="I218" s="45">
        <v>2</v>
      </c>
      <c r="J218" s="25">
        <f>J86</f>
        <v>128700</v>
      </c>
      <c r="K218" s="26">
        <f t="shared" si="29"/>
        <v>257400</v>
      </c>
    </row>
    <row r="219" spans="1:11" ht="13.2" customHeight="1" x14ac:dyDescent="0.25">
      <c r="A219" s="2"/>
      <c r="B219" s="20" t="s">
        <v>83</v>
      </c>
      <c r="C219" s="21" t="s">
        <v>1250</v>
      </c>
      <c r="D219" s="14"/>
      <c r="E219" s="22"/>
      <c r="F219" s="23"/>
      <c r="G219" s="23"/>
      <c r="H219" s="24" t="s">
        <v>203</v>
      </c>
      <c r="I219" s="45">
        <v>2</v>
      </c>
      <c r="J219" s="25">
        <f>J87</f>
        <v>175000</v>
      </c>
      <c r="K219" s="26">
        <f t="shared" si="29"/>
        <v>350000</v>
      </c>
    </row>
    <row r="220" spans="1:11" ht="13.2" customHeight="1" x14ac:dyDescent="0.25">
      <c r="A220" s="2"/>
      <c r="B220" s="20" t="s">
        <v>110</v>
      </c>
      <c r="C220" s="21" t="s">
        <v>1256</v>
      </c>
      <c r="D220" s="14"/>
      <c r="E220" s="22"/>
      <c r="F220" s="23"/>
      <c r="G220" s="23"/>
      <c r="H220" s="24" t="s">
        <v>203</v>
      </c>
      <c r="I220" s="45">
        <v>2</v>
      </c>
      <c r="J220" s="25">
        <f>J88</f>
        <v>99720</v>
      </c>
      <c r="K220" s="26">
        <f t="shared" si="29"/>
        <v>199440</v>
      </c>
    </row>
    <row r="221" spans="1:11" ht="13.2" customHeight="1" x14ac:dyDescent="0.25">
      <c r="A221" s="2"/>
      <c r="B221" s="20" t="s">
        <v>137</v>
      </c>
      <c r="C221" s="21" t="s">
        <v>714</v>
      </c>
      <c r="D221" s="14"/>
      <c r="E221" s="22"/>
      <c r="F221" s="23"/>
      <c r="G221" s="23"/>
      <c r="H221" s="24" t="s">
        <v>203</v>
      </c>
      <c r="I221" s="65">
        <v>4</v>
      </c>
      <c r="J221" s="25">
        <f>J89</f>
        <v>14000</v>
      </c>
      <c r="K221" s="26">
        <f t="shared" si="29"/>
        <v>56000</v>
      </c>
    </row>
    <row r="222" spans="1:11" ht="12.9" customHeight="1" x14ac:dyDescent="0.25">
      <c r="A222" s="6"/>
      <c r="B222" s="7"/>
      <c r="C222" s="8"/>
      <c r="D222" s="8"/>
      <c r="E222" s="8"/>
      <c r="F222" s="8"/>
      <c r="G222" s="9"/>
      <c r="H222" s="10" t="s">
        <v>715</v>
      </c>
      <c r="I222" s="11"/>
      <c r="J222" s="11"/>
      <c r="K222" s="27">
        <f>SUM(K216:K221)</f>
        <v>1090940</v>
      </c>
    </row>
    <row r="223" spans="1:11" ht="12.9" customHeight="1" x14ac:dyDescent="0.25">
      <c r="A223" s="6"/>
      <c r="B223" s="5"/>
      <c r="C223" s="3"/>
      <c r="D223" s="3"/>
      <c r="E223" s="3"/>
      <c r="F223" s="3"/>
      <c r="G223" s="4"/>
      <c r="H223" s="12" t="s">
        <v>603</v>
      </c>
      <c r="I223" s="28">
        <f>$K$3</f>
        <v>0.15</v>
      </c>
      <c r="J223" s="13"/>
      <c r="K223" s="29">
        <f>I223*K222</f>
        <v>163641</v>
      </c>
    </row>
    <row r="224" spans="1:11" ht="12.9" customHeight="1" x14ac:dyDescent="0.25">
      <c r="A224" s="6"/>
      <c r="B224" s="5"/>
      <c r="C224" s="3"/>
      <c r="D224" s="3"/>
      <c r="E224" s="3"/>
      <c r="F224" s="3"/>
      <c r="G224" s="4"/>
      <c r="H224" s="12" t="s">
        <v>604</v>
      </c>
      <c r="I224" s="14"/>
      <c r="J224" s="14"/>
      <c r="K224" s="29">
        <f>SUM(K222:K223)</f>
        <v>1254581</v>
      </c>
    </row>
    <row r="225" spans="1:11" ht="12.9" customHeight="1" thickBot="1" x14ac:dyDescent="0.3">
      <c r="A225" s="15"/>
      <c r="B225" s="16"/>
      <c r="C225" s="17"/>
      <c r="D225" s="17"/>
      <c r="E225" s="17"/>
      <c r="F225" s="17"/>
      <c r="G225" s="18"/>
      <c r="H225" s="46" t="s">
        <v>605</v>
      </c>
      <c r="I225" s="47"/>
      <c r="J225" s="47"/>
      <c r="K225" s="144">
        <f>ROUND(K224,-1)</f>
        <v>1254580</v>
      </c>
    </row>
    <row r="226" spans="1:11" ht="14.1" customHeight="1" x14ac:dyDescent="0.25">
      <c r="A226" s="81">
        <v>22</v>
      </c>
      <c r="B226" s="676" t="s">
        <v>713</v>
      </c>
      <c r="C226" s="677"/>
      <c r="D226" s="137" t="s">
        <v>1274</v>
      </c>
      <c r="E226" s="138"/>
      <c r="F226" s="139"/>
      <c r="G226" s="139"/>
      <c r="H226" s="140"/>
      <c r="I226" s="141"/>
      <c r="J226" s="142"/>
      <c r="K226" s="143"/>
    </row>
    <row r="227" spans="1:11" ht="13.2" customHeight="1" x14ac:dyDescent="0.25">
      <c r="A227" s="2"/>
      <c r="B227" s="20" t="s">
        <v>4</v>
      </c>
      <c r="C227" s="21" t="s">
        <v>1266</v>
      </c>
      <c r="D227" s="14"/>
      <c r="E227" s="22"/>
      <c r="F227" s="23"/>
      <c r="G227" s="23"/>
      <c r="H227" s="24" t="s">
        <v>203</v>
      </c>
      <c r="I227" s="45">
        <v>1</v>
      </c>
      <c r="J227" s="25">
        <f>J183</f>
        <v>189500</v>
      </c>
      <c r="K227" s="26">
        <f>I227*J227</f>
        <v>189500</v>
      </c>
    </row>
    <row r="228" spans="1:11" ht="13.2" customHeight="1" x14ac:dyDescent="0.25">
      <c r="A228" s="2"/>
      <c r="B228" s="20" t="s">
        <v>30</v>
      </c>
      <c r="C228" s="21" t="s">
        <v>1247</v>
      </c>
      <c r="D228" s="14"/>
      <c r="E228" s="22"/>
      <c r="F228" s="23"/>
      <c r="G228" s="23"/>
      <c r="H228" s="24" t="s">
        <v>203</v>
      </c>
      <c r="I228" s="45">
        <v>2</v>
      </c>
      <c r="J228" s="25">
        <f>J184</f>
        <v>27550</v>
      </c>
      <c r="K228" s="26">
        <f t="shared" ref="K228:K232" si="30">I228*J228</f>
        <v>55100</v>
      </c>
    </row>
    <row r="229" spans="1:11" ht="13.2" customHeight="1" x14ac:dyDescent="0.25">
      <c r="A229" s="2"/>
      <c r="B229" s="20" t="s">
        <v>57</v>
      </c>
      <c r="C229" s="21" t="s">
        <v>590</v>
      </c>
      <c r="D229" s="14"/>
      <c r="E229" s="22"/>
      <c r="F229" s="23"/>
      <c r="G229" s="23"/>
      <c r="H229" s="24" t="s">
        <v>203</v>
      </c>
      <c r="I229" s="45">
        <v>2</v>
      </c>
      <c r="J229" s="25">
        <f>J185</f>
        <v>128700</v>
      </c>
      <c r="K229" s="26">
        <f t="shared" si="30"/>
        <v>257400</v>
      </c>
    </row>
    <row r="230" spans="1:11" ht="13.2" customHeight="1" x14ac:dyDescent="0.25">
      <c r="A230" s="2"/>
      <c r="B230" s="20" t="s">
        <v>83</v>
      </c>
      <c r="C230" s="21" t="s">
        <v>1248</v>
      </c>
      <c r="D230" s="14"/>
      <c r="E230" s="22"/>
      <c r="F230" s="23"/>
      <c r="G230" s="23"/>
      <c r="H230" s="24" t="s">
        <v>203</v>
      </c>
      <c r="I230" s="45">
        <v>2</v>
      </c>
      <c r="J230" s="25">
        <f>J186</f>
        <v>175000</v>
      </c>
      <c r="K230" s="26">
        <f t="shared" si="30"/>
        <v>350000</v>
      </c>
    </row>
    <row r="231" spans="1:11" ht="13.2" customHeight="1" x14ac:dyDescent="0.25">
      <c r="A231" s="2"/>
      <c r="B231" s="20" t="s">
        <v>110</v>
      </c>
      <c r="C231" s="21" t="s">
        <v>1256</v>
      </c>
      <c r="D231" s="14"/>
      <c r="E231" s="22"/>
      <c r="F231" s="23"/>
      <c r="G231" s="23"/>
      <c r="H231" s="24" t="s">
        <v>203</v>
      </c>
      <c r="I231" s="45">
        <v>2</v>
      </c>
      <c r="J231" s="25">
        <f>J220</f>
        <v>99720</v>
      </c>
      <c r="K231" s="26">
        <f t="shared" si="30"/>
        <v>199440</v>
      </c>
    </row>
    <row r="232" spans="1:11" ht="13.2" customHeight="1" x14ac:dyDescent="0.25">
      <c r="A232" s="2"/>
      <c r="B232" s="20" t="s">
        <v>137</v>
      </c>
      <c r="C232" s="21" t="s">
        <v>714</v>
      </c>
      <c r="D232" s="14"/>
      <c r="E232" s="22"/>
      <c r="F232" s="23"/>
      <c r="G232" s="23"/>
      <c r="H232" s="24" t="s">
        <v>203</v>
      </c>
      <c r="I232" s="65">
        <v>4</v>
      </c>
      <c r="J232" s="25">
        <f>J188</f>
        <v>14000</v>
      </c>
      <c r="K232" s="26">
        <f t="shared" si="30"/>
        <v>56000</v>
      </c>
    </row>
    <row r="233" spans="1:11" ht="12.9" customHeight="1" x14ac:dyDescent="0.25">
      <c r="A233" s="6"/>
      <c r="B233" s="7"/>
      <c r="C233" s="8"/>
      <c r="D233" s="8"/>
      <c r="E233" s="8"/>
      <c r="F233" s="8"/>
      <c r="G233" s="9"/>
      <c r="H233" s="10" t="s">
        <v>715</v>
      </c>
      <c r="I233" s="11"/>
      <c r="J233" s="11"/>
      <c r="K233" s="27">
        <f>SUM(K227:K232)</f>
        <v>1107440</v>
      </c>
    </row>
    <row r="234" spans="1:11" ht="12.9" customHeight="1" x14ac:dyDescent="0.25">
      <c r="A234" s="6"/>
      <c r="B234" s="5"/>
      <c r="C234" s="3"/>
      <c r="D234" s="3"/>
      <c r="E234" s="3"/>
      <c r="F234" s="3"/>
      <c r="G234" s="4"/>
      <c r="H234" s="12" t="s">
        <v>603</v>
      </c>
      <c r="I234" s="28">
        <f>$K$3</f>
        <v>0.15</v>
      </c>
      <c r="J234" s="13"/>
      <c r="K234" s="29">
        <f>I234*K233</f>
        <v>166116</v>
      </c>
    </row>
    <row r="235" spans="1:11" ht="12.9" customHeight="1" x14ac:dyDescent="0.25">
      <c r="A235" s="6"/>
      <c r="B235" s="5"/>
      <c r="C235" s="3"/>
      <c r="D235" s="3"/>
      <c r="E235" s="3"/>
      <c r="F235" s="3"/>
      <c r="G235" s="4"/>
      <c r="H235" s="12" t="s">
        <v>604</v>
      </c>
      <c r="I235" s="14"/>
      <c r="J235" s="14"/>
      <c r="K235" s="29">
        <f>SUM(K233:K234)</f>
        <v>1273556</v>
      </c>
    </row>
    <row r="236" spans="1:11" ht="12.9" customHeight="1" thickBot="1" x14ac:dyDescent="0.3">
      <c r="A236" s="15"/>
      <c r="B236" s="16"/>
      <c r="C236" s="17"/>
      <c r="D236" s="17"/>
      <c r="E236" s="17"/>
      <c r="F236" s="17"/>
      <c r="G236" s="18"/>
      <c r="H236" s="46" t="s">
        <v>605</v>
      </c>
      <c r="I236" s="47"/>
      <c r="J236" s="47"/>
      <c r="K236" s="144">
        <f>ROUND(K235,-1)</f>
        <v>1273560</v>
      </c>
    </row>
    <row r="237" spans="1:11" ht="14.1" customHeight="1" x14ac:dyDescent="0.25">
      <c r="A237" s="81">
        <v>23</v>
      </c>
      <c r="B237" s="676" t="s">
        <v>713</v>
      </c>
      <c r="C237" s="677"/>
      <c r="D237" s="137" t="s">
        <v>1275</v>
      </c>
      <c r="E237" s="138"/>
      <c r="F237" s="139"/>
      <c r="G237" s="139"/>
      <c r="H237" s="140"/>
      <c r="I237" s="141"/>
      <c r="J237" s="142"/>
      <c r="K237" s="143"/>
    </row>
    <row r="238" spans="1:11" ht="13.2" customHeight="1" x14ac:dyDescent="0.25">
      <c r="A238" s="2"/>
      <c r="B238" s="20" t="s">
        <v>4</v>
      </c>
      <c r="C238" s="21" t="s">
        <v>1270</v>
      </c>
      <c r="D238" s="14"/>
      <c r="E238" s="22"/>
      <c r="F238" s="23"/>
      <c r="G238" s="23"/>
      <c r="H238" s="24" t="s">
        <v>203</v>
      </c>
      <c r="I238" s="45">
        <v>1</v>
      </c>
      <c r="J238" s="25">
        <f>J194</f>
        <v>156000</v>
      </c>
      <c r="K238" s="26">
        <f>I238*J238</f>
        <v>156000</v>
      </c>
    </row>
    <row r="239" spans="1:11" ht="13.2" customHeight="1" x14ac:dyDescent="0.25">
      <c r="A239" s="2"/>
      <c r="B239" s="20" t="s">
        <v>30</v>
      </c>
      <c r="C239" s="21" t="s">
        <v>1247</v>
      </c>
      <c r="D239" s="14"/>
      <c r="E239" s="22"/>
      <c r="F239" s="23"/>
      <c r="G239" s="23"/>
      <c r="H239" s="24" t="s">
        <v>203</v>
      </c>
      <c r="I239" s="45">
        <v>2</v>
      </c>
      <c r="J239" s="25">
        <f>J107</f>
        <v>27550</v>
      </c>
      <c r="K239" s="26">
        <f t="shared" ref="K239:K243" si="31">I239*J239</f>
        <v>55100</v>
      </c>
    </row>
    <row r="240" spans="1:11" ht="13.2" customHeight="1" x14ac:dyDescent="0.25">
      <c r="A240" s="2"/>
      <c r="B240" s="20" t="s">
        <v>57</v>
      </c>
      <c r="C240" s="21" t="s">
        <v>590</v>
      </c>
      <c r="D240" s="14"/>
      <c r="E240" s="22"/>
      <c r="F240" s="23"/>
      <c r="G240" s="23"/>
      <c r="H240" s="24" t="s">
        <v>203</v>
      </c>
      <c r="I240" s="45">
        <v>2</v>
      </c>
      <c r="J240" s="25">
        <f>J108</f>
        <v>128700</v>
      </c>
      <c r="K240" s="26">
        <f t="shared" si="31"/>
        <v>257400</v>
      </c>
    </row>
    <row r="241" spans="1:11" ht="13.2" customHeight="1" x14ac:dyDescent="0.25">
      <c r="A241" s="2"/>
      <c r="B241" s="20" t="s">
        <v>83</v>
      </c>
      <c r="C241" s="21" t="s">
        <v>1248</v>
      </c>
      <c r="D241" s="14"/>
      <c r="E241" s="22"/>
      <c r="F241" s="23"/>
      <c r="G241" s="23"/>
      <c r="H241" s="24" t="s">
        <v>203</v>
      </c>
      <c r="I241" s="45">
        <v>2</v>
      </c>
      <c r="J241" s="25">
        <f>J109</f>
        <v>175000</v>
      </c>
      <c r="K241" s="26">
        <f t="shared" si="31"/>
        <v>350000</v>
      </c>
    </row>
    <row r="242" spans="1:11" ht="13.2" customHeight="1" x14ac:dyDescent="0.25">
      <c r="A242" s="2"/>
      <c r="B242" s="20" t="s">
        <v>110</v>
      </c>
      <c r="C242" s="21" t="s">
        <v>1256</v>
      </c>
      <c r="D242" s="14"/>
      <c r="E242" s="22"/>
      <c r="F242" s="23"/>
      <c r="G242" s="23"/>
      <c r="H242" s="24" t="s">
        <v>203</v>
      </c>
      <c r="I242" s="45">
        <v>2</v>
      </c>
      <c r="J242" s="25">
        <f>J110</f>
        <v>99720</v>
      </c>
      <c r="K242" s="26">
        <f t="shared" si="31"/>
        <v>199440</v>
      </c>
    </row>
    <row r="243" spans="1:11" ht="13.2" customHeight="1" x14ac:dyDescent="0.25">
      <c r="A243" s="2"/>
      <c r="B243" s="20" t="s">
        <v>137</v>
      </c>
      <c r="C243" s="21" t="s">
        <v>714</v>
      </c>
      <c r="D243" s="14"/>
      <c r="E243" s="22"/>
      <c r="F243" s="23"/>
      <c r="G243" s="23"/>
      <c r="H243" s="24" t="s">
        <v>203</v>
      </c>
      <c r="I243" s="65">
        <v>4</v>
      </c>
      <c r="J243" s="25">
        <f>J111</f>
        <v>14000</v>
      </c>
      <c r="K243" s="26">
        <f t="shared" si="31"/>
        <v>56000</v>
      </c>
    </row>
    <row r="244" spans="1:11" ht="12.9" customHeight="1" x14ac:dyDescent="0.25">
      <c r="A244" s="6"/>
      <c r="B244" s="7"/>
      <c r="C244" s="8"/>
      <c r="D244" s="8"/>
      <c r="E244" s="8"/>
      <c r="F244" s="8"/>
      <c r="G244" s="9"/>
      <c r="H244" s="10" t="s">
        <v>715</v>
      </c>
      <c r="I244" s="11"/>
      <c r="J244" s="11"/>
      <c r="K244" s="27">
        <f>SUM(K238:K243)</f>
        <v>1073940</v>
      </c>
    </row>
    <row r="245" spans="1:11" ht="12.9" customHeight="1" x14ac:dyDescent="0.25">
      <c r="A245" s="6"/>
      <c r="B245" s="5"/>
      <c r="C245" s="3"/>
      <c r="D245" s="3"/>
      <c r="E245" s="3"/>
      <c r="F245" s="3"/>
      <c r="G245" s="4"/>
      <c r="H245" s="12" t="s">
        <v>603</v>
      </c>
      <c r="I245" s="28">
        <f>$K$3</f>
        <v>0.15</v>
      </c>
      <c r="J245" s="13"/>
      <c r="K245" s="29">
        <f>I245*K244</f>
        <v>161091</v>
      </c>
    </row>
    <row r="246" spans="1:11" ht="12.9" customHeight="1" x14ac:dyDescent="0.25">
      <c r="A246" s="6"/>
      <c r="B246" s="5"/>
      <c r="C246" s="3"/>
      <c r="D246" s="3"/>
      <c r="E246" s="3"/>
      <c r="F246" s="3"/>
      <c r="G246" s="4"/>
      <c r="H246" s="12" t="s">
        <v>604</v>
      </c>
      <c r="I246" s="14"/>
      <c r="J246" s="14"/>
      <c r="K246" s="29">
        <f>SUM(K244:K245)</f>
        <v>1235031</v>
      </c>
    </row>
    <row r="247" spans="1:11" ht="12.9" customHeight="1" thickBot="1" x14ac:dyDescent="0.3">
      <c r="A247" s="15"/>
      <c r="B247" s="16"/>
      <c r="C247" s="17"/>
      <c r="D247" s="17"/>
      <c r="E247" s="17"/>
      <c r="F247" s="17"/>
      <c r="G247" s="18"/>
      <c r="H247" s="46" t="s">
        <v>605</v>
      </c>
      <c r="I247" s="47"/>
      <c r="J247" s="47"/>
      <c r="K247" s="144">
        <f>ROUND(K246,-1)</f>
        <v>1235030</v>
      </c>
    </row>
    <row r="248" spans="1:11" ht="14.1" customHeight="1" x14ac:dyDescent="0.25">
      <c r="A248" s="81">
        <v>24</v>
      </c>
      <c r="B248" s="676" t="s">
        <v>713</v>
      </c>
      <c r="C248" s="677"/>
      <c r="D248" s="137" t="s">
        <v>1276</v>
      </c>
      <c r="E248" s="138"/>
      <c r="F248" s="139"/>
      <c r="G248" s="139"/>
      <c r="H248" s="140"/>
      <c r="I248" s="141"/>
      <c r="J248" s="142"/>
      <c r="K248" s="143"/>
    </row>
    <row r="249" spans="1:11" ht="13.2" customHeight="1" x14ac:dyDescent="0.25">
      <c r="A249" s="2"/>
      <c r="B249" s="20" t="s">
        <v>4</v>
      </c>
      <c r="C249" s="21" t="s">
        <v>1272</v>
      </c>
      <c r="D249" s="14"/>
      <c r="E249" s="22"/>
      <c r="F249" s="23"/>
      <c r="G249" s="23"/>
      <c r="H249" s="24" t="s">
        <v>203</v>
      </c>
      <c r="I249" s="45">
        <v>1</v>
      </c>
      <c r="J249" s="25">
        <f>J205</f>
        <v>138500</v>
      </c>
      <c r="K249" s="26">
        <f>I249*J249</f>
        <v>138500</v>
      </c>
    </row>
    <row r="250" spans="1:11" ht="13.2" customHeight="1" x14ac:dyDescent="0.25">
      <c r="A250" s="2"/>
      <c r="B250" s="20" t="s">
        <v>30</v>
      </c>
      <c r="C250" s="21" t="s">
        <v>1247</v>
      </c>
      <c r="D250" s="14"/>
      <c r="E250" s="22"/>
      <c r="F250" s="23"/>
      <c r="G250" s="23"/>
      <c r="H250" s="24" t="s">
        <v>203</v>
      </c>
      <c r="I250" s="45">
        <v>2</v>
      </c>
      <c r="J250" s="25">
        <f>J118</f>
        <v>27550</v>
      </c>
      <c r="K250" s="26">
        <f t="shared" ref="K250:K254" si="32">I250*J250</f>
        <v>55100</v>
      </c>
    </row>
    <row r="251" spans="1:11" ht="13.2" customHeight="1" x14ac:dyDescent="0.25">
      <c r="A251" s="2"/>
      <c r="B251" s="20" t="s">
        <v>57</v>
      </c>
      <c r="C251" s="21" t="s">
        <v>590</v>
      </c>
      <c r="D251" s="14"/>
      <c r="E251" s="22"/>
      <c r="F251" s="23"/>
      <c r="G251" s="23"/>
      <c r="H251" s="24" t="s">
        <v>203</v>
      </c>
      <c r="I251" s="45">
        <v>2</v>
      </c>
      <c r="J251" s="25">
        <f>J119</f>
        <v>128700</v>
      </c>
      <c r="K251" s="26">
        <f t="shared" si="32"/>
        <v>257400</v>
      </c>
    </row>
    <row r="252" spans="1:11" ht="13.2" customHeight="1" x14ac:dyDescent="0.25">
      <c r="A252" s="2"/>
      <c r="B252" s="20" t="s">
        <v>83</v>
      </c>
      <c r="C252" s="21" t="s">
        <v>1248</v>
      </c>
      <c r="D252" s="14"/>
      <c r="E252" s="22"/>
      <c r="F252" s="23"/>
      <c r="G252" s="23"/>
      <c r="H252" s="24" t="s">
        <v>203</v>
      </c>
      <c r="I252" s="45">
        <v>2</v>
      </c>
      <c r="J252" s="25">
        <f>J120</f>
        <v>175000</v>
      </c>
      <c r="K252" s="26">
        <f t="shared" si="32"/>
        <v>350000</v>
      </c>
    </row>
    <row r="253" spans="1:11" ht="13.2" customHeight="1" x14ac:dyDescent="0.25">
      <c r="A253" s="2"/>
      <c r="B253" s="20" t="s">
        <v>110</v>
      </c>
      <c r="C253" s="21" t="s">
        <v>1256</v>
      </c>
      <c r="D253" s="14"/>
      <c r="E253" s="22"/>
      <c r="F253" s="23"/>
      <c r="G253" s="23"/>
      <c r="H253" s="24" t="s">
        <v>203</v>
      </c>
      <c r="I253" s="45">
        <v>2</v>
      </c>
      <c r="J253" s="25">
        <f>J121</f>
        <v>99720</v>
      </c>
      <c r="K253" s="26">
        <f t="shared" si="32"/>
        <v>199440</v>
      </c>
    </row>
    <row r="254" spans="1:11" ht="13.2" customHeight="1" x14ac:dyDescent="0.25">
      <c r="A254" s="2"/>
      <c r="B254" s="20" t="s">
        <v>137</v>
      </c>
      <c r="C254" s="21" t="s">
        <v>714</v>
      </c>
      <c r="D254" s="14"/>
      <c r="E254" s="22"/>
      <c r="F254" s="23"/>
      <c r="G254" s="23"/>
      <c r="H254" s="24" t="s">
        <v>203</v>
      </c>
      <c r="I254" s="65">
        <v>4</v>
      </c>
      <c r="J254" s="25">
        <f>J122</f>
        <v>14000</v>
      </c>
      <c r="K254" s="26">
        <f t="shared" si="32"/>
        <v>56000</v>
      </c>
    </row>
    <row r="255" spans="1:11" ht="12.9" customHeight="1" x14ac:dyDescent="0.25">
      <c r="A255" s="6"/>
      <c r="B255" s="7"/>
      <c r="C255" s="8"/>
      <c r="D255" s="8"/>
      <c r="E255" s="8"/>
      <c r="F255" s="8"/>
      <c r="G255" s="9"/>
      <c r="H255" s="10" t="s">
        <v>715</v>
      </c>
      <c r="I255" s="11"/>
      <c r="J255" s="11"/>
      <c r="K255" s="27">
        <f>SUM(K249:K254)</f>
        <v>1056440</v>
      </c>
    </row>
    <row r="256" spans="1:11" ht="12.9" customHeight="1" x14ac:dyDescent="0.25">
      <c r="A256" s="6"/>
      <c r="B256" s="5"/>
      <c r="C256" s="3"/>
      <c r="D256" s="3"/>
      <c r="E256" s="3"/>
      <c r="F256" s="3"/>
      <c r="G256" s="4"/>
      <c r="H256" s="12" t="s">
        <v>603</v>
      </c>
      <c r="I256" s="28">
        <f>$K$3</f>
        <v>0.15</v>
      </c>
      <c r="J256" s="13"/>
      <c r="K256" s="29">
        <f>I256*K255</f>
        <v>158466</v>
      </c>
    </row>
    <row r="257" spans="1:11" ht="12.9" customHeight="1" x14ac:dyDescent="0.25">
      <c r="A257" s="6"/>
      <c r="B257" s="5"/>
      <c r="C257" s="3"/>
      <c r="D257" s="3"/>
      <c r="E257" s="3"/>
      <c r="F257" s="3"/>
      <c r="G257" s="4"/>
      <c r="H257" s="12" t="s">
        <v>604</v>
      </c>
      <c r="I257" s="14"/>
      <c r="J257" s="14"/>
      <c r="K257" s="29">
        <f>SUM(K255:K256)</f>
        <v>1214906</v>
      </c>
    </row>
    <row r="258" spans="1:11" ht="12.9" customHeight="1" thickBot="1" x14ac:dyDescent="0.3">
      <c r="A258" s="15"/>
      <c r="B258" s="16"/>
      <c r="C258" s="17"/>
      <c r="D258" s="17"/>
      <c r="E258" s="17"/>
      <c r="F258" s="17"/>
      <c r="G258" s="18"/>
      <c r="H258" s="46" t="s">
        <v>605</v>
      </c>
      <c r="I258" s="47"/>
      <c r="J258" s="47"/>
      <c r="K258" s="144">
        <f>ROUND(K257,-1)</f>
        <v>1214910</v>
      </c>
    </row>
    <row r="259" spans="1:11" ht="14.1" customHeight="1" x14ac:dyDescent="0.25">
      <c r="A259" s="81">
        <v>25</v>
      </c>
      <c r="B259" s="676" t="s">
        <v>713</v>
      </c>
      <c r="C259" s="677"/>
      <c r="D259" s="137" t="s">
        <v>1277</v>
      </c>
      <c r="E259" s="138"/>
      <c r="F259" s="139"/>
      <c r="G259" s="139"/>
      <c r="H259" s="140"/>
      <c r="I259" s="141"/>
      <c r="J259" s="142"/>
      <c r="K259" s="143"/>
    </row>
    <row r="260" spans="1:11" ht="13.2" customHeight="1" x14ac:dyDescent="0.25">
      <c r="A260" s="2"/>
      <c r="B260" s="20" t="s">
        <v>4</v>
      </c>
      <c r="C260" s="21" t="s">
        <v>1265</v>
      </c>
      <c r="D260" s="14"/>
      <c r="E260" s="22"/>
      <c r="F260" s="23"/>
      <c r="G260" s="23"/>
      <c r="H260" s="24" t="s">
        <v>203</v>
      </c>
      <c r="I260" s="45">
        <v>1</v>
      </c>
      <c r="J260" s="25">
        <f>J216</f>
        <v>173000</v>
      </c>
      <c r="K260" s="26">
        <f>I260*J260</f>
        <v>173000</v>
      </c>
    </row>
    <row r="261" spans="1:11" ht="13.2" customHeight="1" x14ac:dyDescent="0.25">
      <c r="A261" s="2"/>
      <c r="B261" s="20" t="s">
        <v>30</v>
      </c>
      <c r="C261" s="21" t="s">
        <v>1247</v>
      </c>
      <c r="D261" s="14"/>
      <c r="E261" s="22"/>
      <c r="F261" s="23"/>
      <c r="G261" s="23"/>
      <c r="H261" s="24" t="s">
        <v>203</v>
      </c>
      <c r="I261" s="45">
        <v>2</v>
      </c>
      <c r="J261" s="25">
        <f>J129</f>
        <v>27550</v>
      </c>
      <c r="K261" s="26">
        <f t="shared" ref="K261:K265" si="33">I261*J261</f>
        <v>55100</v>
      </c>
    </row>
    <row r="262" spans="1:11" ht="13.2" customHeight="1" x14ac:dyDescent="0.25">
      <c r="A262" s="2"/>
      <c r="B262" s="20" t="s">
        <v>57</v>
      </c>
      <c r="C262" s="21" t="s">
        <v>590</v>
      </c>
      <c r="D262" s="14"/>
      <c r="E262" s="22"/>
      <c r="F262" s="23"/>
      <c r="G262" s="23"/>
      <c r="H262" s="24" t="s">
        <v>203</v>
      </c>
      <c r="I262" s="45">
        <v>2</v>
      </c>
      <c r="J262" s="25">
        <f>J130</f>
        <v>128700</v>
      </c>
      <c r="K262" s="26">
        <f t="shared" si="33"/>
        <v>257400</v>
      </c>
    </row>
    <row r="263" spans="1:11" ht="13.2" customHeight="1" x14ac:dyDescent="0.25">
      <c r="A263" s="2"/>
      <c r="B263" s="20" t="s">
        <v>83</v>
      </c>
      <c r="C263" s="21" t="s">
        <v>1250</v>
      </c>
      <c r="D263" s="14"/>
      <c r="E263" s="22"/>
      <c r="F263" s="23"/>
      <c r="G263" s="23"/>
      <c r="H263" s="24" t="s">
        <v>203</v>
      </c>
      <c r="I263" s="45">
        <v>2</v>
      </c>
      <c r="J263" s="25">
        <f>J131</f>
        <v>175000</v>
      </c>
      <c r="K263" s="26">
        <f t="shared" si="33"/>
        <v>350000</v>
      </c>
    </row>
    <row r="264" spans="1:11" ht="13.2" customHeight="1" x14ac:dyDescent="0.25">
      <c r="A264" s="2"/>
      <c r="B264" s="20" t="s">
        <v>110</v>
      </c>
      <c r="C264" s="21" t="s">
        <v>1261</v>
      </c>
      <c r="D264" s="14"/>
      <c r="E264" s="22"/>
      <c r="F264" s="23"/>
      <c r="G264" s="23"/>
      <c r="H264" s="24" t="s">
        <v>203</v>
      </c>
      <c r="I264" s="45">
        <v>2</v>
      </c>
      <c r="J264" s="25">
        <f>J132</f>
        <v>196560</v>
      </c>
      <c r="K264" s="26">
        <f t="shared" si="33"/>
        <v>393120</v>
      </c>
    </row>
    <row r="265" spans="1:11" ht="13.2" customHeight="1" x14ac:dyDescent="0.25">
      <c r="A265" s="2"/>
      <c r="B265" s="20" t="s">
        <v>137</v>
      </c>
      <c r="C265" s="21" t="s">
        <v>714</v>
      </c>
      <c r="D265" s="14"/>
      <c r="E265" s="22"/>
      <c r="F265" s="23"/>
      <c r="G265" s="23"/>
      <c r="H265" s="24" t="s">
        <v>203</v>
      </c>
      <c r="I265" s="65">
        <v>4</v>
      </c>
      <c r="J265" s="25">
        <f>J133</f>
        <v>14000</v>
      </c>
      <c r="K265" s="26">
        <f t="shared" si="33"/>
        <v>56000</v>
      </c>
    </row>
    <row r="266" spans="1:11" ht="12.9" customHeight="1" x14ac:dyDescent="0.25">
      <c r="A266" s="6"/>
      <c r="B266" s="7"/>
      <c r="C266" s="8"/>
      <c r="D266" s="8"/>
      <c r="E266" s="8"/>
      <c r="F266" s="8"/>
      <c r="G266" s="9"/>
      <c r="H266" s="10" t="s">
        <v>715</v>
      </c>
      <c r="I266" s="11"/>
      <c r="J266" s="11"/>
      <c r="K266" s="27">
        <f>SUM(K260:K265)</f>
        <v>1284620</v>
      </c>
    </row>
    <row r="267" spans="1:11" ht="12.9" customHeight="1" x14ac:dyDescent="0.25">
      <c r="A267" s="6"/>
      <c r="B267" s="5"/>
      <c r="C267" s="3"/>
      <c r="D267" s="3"/>
      <c r="E267" s="3"/>
      <c r="F267" s="3"/>
      <c r="G267" s="4"/>
      <c r="H267" s="12" t="s">
        <v>603</v>
      </c>
      <c r="I267" s="28">
        <f>$K$3</f>
        <v>0.15</v>
      </c>
      <c r="J267" s="13"/>
      <c r="K267" s="29">
        <f>I267*K266</f>
        <v>192693</v>
      </c>
    </row>
    <row r="268" spans="1:11" ht="12.9" customHeight="1" x14ac:dyDescent="0.25">
      <c r="A268" s="6"/>
      <c r="B268" s="5"/>
      <c r="C268" s="3"/>
      <c r="D268" s="3"/>
      <c r="E268" s="3"/>
      <c r="F268" s="3"/>
      <c r="G268" s="4"/>
      <c r="H268" s="12" t="s">
        <v>604</v>
      </c>
      <c r="I268" s="14"/>
      <c r="J268" s="14"/>
      <c r="K268" s="29">
        <f>SUM(K266:K267)</f>
        <v>1477313</v>
      </c>
    </row>
    <row r="269" spans="1:11" ht="12.9" customHeight="1" thickBot="1" x14ac:dyDescent="0.3">
      <c r="A269" s="15"/>
      <c r="B269" s="16"/>
      <c r="C269" s="17"/>
      <c r="D269" s="17"/>
      <c r="E269" s="17"/>
      <c r="F269" s="17"/>
      <c r="G269" s="18"/>
      <c r="H269" s="46" t="s">
        <v>605</v>
      </c>
      <c r="I269" s="47"/>
      <c r="J269" s="47"/>
      <c r="K269" s="144">
        <f>ROUND(K268,-1)</f>
        <v>1477310</v>
      </c>
    </row>
    <row r="270" spans="1:11" ht="14.1" customHeight="1" x14ac:dyDescent="0.25">
      <c r="A270" s="81">
        <v>26</v>
      </c>
      <c r="B270" s="676" t="s">
        <v>713</v>
      </c>
      <c r="C270" s="677"/>
      <c r="D270" s="137" t="s">
        <v>1278</v>
      </c>
      <c r="E270" s="138"/>
      <c r="F270" s="139"/>
      <c r="G270" s="139"/>
      <c r="H270" s="140"/>
      <c r="I270" s="141"/>
      <c r="J270" s="142"/>
      <c r="K270" s="143"/>
    </row>
    <row r="271" spans="1:11" ht="13.2" customHeight="1" x14ac:dyDescent="0.25">
      <c r="A271" s="2"/>
      <c r="B271" s="20" t="s">
        <v>4</v>
      </c>
      <c r="C271" s="21" t="s">
        <v>1266</v>
      </c>
      <c r="D271" s="14"/>
      <c r="E271" s="22"/>
      <c r="F271" s="23"/>
      <c r="G271" s="23"/>
      <c r="H271" s="24" t="s">
        <v>203</v>
      </c>
      <c r="I271" s="45">
        <v>1</v>
      </c>
      <c r="J271" s="25">
        <f>J227</f>
        <v>189500</v>
      </c>
      <c r="K271" s="26">
        <f>I271*J271</f>
        <v>189500</v>
      </c>
    </row>
    <row r="272" spans="1:11" ht="13.2" customHeight="1" x14ac:dyDescent="0.25">
      <c r="A272" s="2"/>
      <c r="B272" s="20" t="s">
        <v>30</v>
      </c>
      <c r="C272" s="21" t="s">
        <v>1247</v>
      </c>
      <c r="D272" s="14"/>
      <c r="E272" s="22"/>
      <c r="F272" s="23"/>
      <c r="G272" s="23"/>
      <c r="H272" s="24" t="s">
        <v>203</v>
      </c>
      <c r="I272" s="45">
        <v>2</v>
      </c>
      <c r="J272" s="25">
        <f>J140</f>
        <v>27550</v>
      </c>
      <c r="K272" s="26">
        <f t="shared" ref="K272:K276" si="34">I272*J272</f>
        <v>55100</v>
      </c>
    </row>
    <row r="273" spans="1:11" ht="13.2" customHeight="1" x14ac:dyDescent="0.25">
      <c r="A273" s="2"/>
      <c r="B273" s="20" t="s">
        <v>57</v>
      </c>
      <c r="C273" s="21" t="s">
        <v>590</v>
      </c>
      <c r="D273" s="14"/>
      <c r="E273" s="22"/>
      <c r="F273" s="23"/>
      <c r="G273" s="23"/>
      <c r="H273" s="24" t="s">
        <v>203</v>
      </c>
      <c r="I273" s="45">
        <v>2</v>
      </c>
      <c r="J273" s="25">
        <f>J141</f>
        <v>128700</v>
      </c>
      <c r="K273" s="26">
        <f t="shared" si="34"/>
        <v>257400</v>
      </c>
    </row>
    <row r="274" spans="1:11" ht="13.2" customHeight="1" x14ac:dyDescent="0.25">
      <c r="A274" s="2"/>
      <c r="B274" s="20" t="s">
        <v>83</v>
      </c>
      <c r="C274" s="21" t="s">
        <v>1248</v>
      </c>
      <c r="D274" s="14"/>
      <c r="E274" s="22"/>
      <c r="F274" s="23"/>
      <c r="G274" s="23"/>
      <c r="H274" s="24" t="s">
        <v>203</v>
      </c>
      <c r="I274" s="45">
        <v>2</v>
      </c>
      <c r="J274" s="25">
        <f>J142</f>
        <v>175000</v>
      </c>
      <c r="K274" s="26">
        <f t="shared" si="34"/>
        <v>350000</v>
      </c>
    </row>
    <row r="275" spans="1:11" ht="13.2" customHeight="1" x14ac:dyDescent="0.25">
      <c r="A275" s="2"/>
      <c r="B275" s="20" t="s">
        <v>110</v>
      </c>
      <c r="C275" s="21" t="s">
        <v>1261</v>
      </c>
      <c r="D275" s="14"/>
      <c r="E275" s="22"/>
      <c r="F275" s="23"/>
      <c r="G275" s="23"/>
      <c r="H275" s="24" t="s">
        <v>203</v>
      </c>
      <c r="I275" s="45">
        <v>2</v>
      </c>
      <c r="J275" s="25">
        <f>J143</f>
        <v>196560</v>
      </c>
      <c r="K275" s="26">
        <f t="shared" si="34"/>
        <v>393120</v>
      </c>
    </row>
    <row r="276" spans="1:11" ht="13.2" customHeight="1" x14ac:dyDescent="0.25">
      <c r="A276" s="2"/>
      <c r="B276" s="20" t="s">
        <v>137</v>
      </c>
      <c r="C276" s="21" t="s">
        <v>714</v>
      </c>
      <c r="D276" s="14"/>
      <c r="E276" s="22"/>
      <c r="F276" s="23"/>
      <c r="G276" s="23"/>
      <c r="H276" s="24" t="s">
        <v>203</v>
      </c>
      <c r="I276" s="65">
        <v>4</v>
      </c>
      <c r="J276" s="25">
        <f>J144</f>
        <v>14000</v>
      </c>
      <c r="K276" s="26">
        <f t="shared" si="34"/>
        <v>56000</v>
      </c>
    </row>
    <row r="277" spans="1:11" ht="12.9" customHeight="1" x14ac:dyDescent="0.25">
      <c r="A277" s="6"/>
      <c r="B277" s="7"/>
      <c r="C277" s="8"/>
      <c r="D277" s="8"/>
      <c r="E277" s="8"/>
      <c r="F277" s="8"/>
      <c r="G277" s="9"/>
      <c r="H277" s="10" t="s">
        <v>715</v>
      </c>
      <c r="I277" s="11"/>
      <c r="J277" s="11"/>
      <c r="K277" s="27">
        <f>SUM(K271:K276)</f>
        <v>1301120</v>
      </c>
    </row>
    <row r="278" spans="1:11" ht="12.9" customHeight="1" x14ac:dyDescent="0.25">
      <c r="A278" s="6"/>
      <c r="B278" s="5"/>
      <c r="C278" s="3"/>
      <c r="D278" s="3"/>
      <c r="E278" s="3"/>
      <c r="F278" s="3"/>
      <c r="G278" s="4"/>
      <c r="H278" s="12" t="s">
        <v>603</v>
      </c>
      <c r="I278" s="28">
        <f>$K$3</f>
        <v>0.15</v>
      </c>
      <c r="J278" s="13"/>
      <c r="K278" s="29">
        <f>I278*K277</f>
        <v>195168</v>
      </c>
    </row>
    <row r="279" spans="1:11" ht="12.9" customHeight="1" x14ac:dyDescent="0.25">
      <c r="A279" s="6"/>
      <c r="B279" s="5"/>
      <c r="C279" s="3"/>
      <c r="D279" s="3"/>
      <c r="E279" s="3"/>
      <c r="F279" s="3"/>
      <c r="G279" s="4"/>
      <c r="H279" s="12" t="s">
        <v>604</v>
      </c>
      <c r="I279" s="14"/>
      <c r="J279" s="14"/>
      <c r="K279" s="29">
        <f>SUM(K277:K278)</f>
        <v>1496288</v>
      </c>
    </row>
    <row r="280" spans="1:11" ht="12.9" customHeight="1" thickBot="1" x14ac:dyDescent="0.3">
      <c r="A280" s="15"/>
      <c r="B280" s="16"/>
      <c r="C280" s="17"/>
      <c r="D280" s="17"/>
      <c r="E280" s="17"/>
      <c r="F280" s="17"/>
      <c r="G280" s="18"/>
      <c r="H280" s="46" t="s">
        <v>605</v>
      </c>
      <c r="I280" s="47"/>
      <c r="J280" s="47"/>
      <c r="K280" s="144">
        <f>ROUND(K279,-1)</f>
        <v>1496290</v>
      </c>
    </row>
    <row r="281" spans="1:11" ht="14.1" customHeight="1" x14ac:dyDescent="0.25">
      <c r="A281" s="81">
        <v>27</v>
      </c>
      <c r="B281" s="676" t="s">
        <v>713</v>
      </c>
      <c r="C281" s="677"/>
      <c r="D281" s="137" t="s">
        <v>1279</v>
      </c>
      <c r="E281" s="138"/>
      <c r="F281" s="139"/>
      <c r="G281" s="139"/>
      <c r="H281" s="140"/>
      <c r="I281" s="141"/>
      <c r="J281" s="142"/>
      <c r="K281" s="143"/>
    </row>
    <row r="282" spans="1:11" ht="13.2" customHeight="1" x14ac:dyDescent="0.25">
      <c r="A282" s="2"/>
      <c r="B282" s="20" t="s">
        <v>4</v>
      </c>
      <c r="C282" s="21" t="s">
        <v>1270</v>
      </c>
      <c r="D282" s="14"/>
      <c r="E282" s="22"/>
      <c r="F282" s="23"/>
      <c r="G282" s="23"/>
      <c r="H282" s="24" t="s">
        <v>203</v>
      </c>
      <c r="I282" s="45">
        <v>1</v>
      </c>
      <c r="J282" s="25">
        <f>J238</f>
        <v>156000</v>
      </c>
      <c r="K282" s="26">
        <f>I282*J282</f>
        <v>156000</v>
      </c>
    </row>
    <row r="283" spans="1:11" ht="13.2" customHeight="1" x14ac:dyDescent="0.25">
      <c r="A283" s="2"/>
      <c r="B283" s="20" t="s">
        <v>30</v>
      </c>
      <c r="C283" s="21" t="s">
        <v>1247</v>
      </c>
      <c r="D283" s="14"/>
      <c r="E283" s="22"/>
      <c r="F283" s="23"/>
      <c r="G283" s="23"/>
      <c r="H283" s="24" t="s">
        <v>203</v>
      </c>
      <c r="I283" s="45">
        <v>2</v>
      </c>
      <c r="J283" s="25">
        <f>J151</f>
        <v>27550</v>
      </c>
      <c r="K283" s="26">
        <f t="shared" ref="K283:K287" si="35">I283*J283</f>
        <v>55100</v>
      </c>
    </row>
    <row r="284" spans="1:11" ht="13.2" customHeight="1" x14ac:dyDescent="0.25">
      <c r="A284" s="2"/>
      <c r="B284" s="20" t="s">
        <v>57</v>
      </c>
      <c r="C284" s="21" t="s">
        <v>590</v>
      </c>
      <c r="D284" s="14"/>
      <c r="E284" s="22"/>
      <c r="F284" s="23"/>
      <c r="G284" s="23"/>
      <c r="H284" s="24" t="s">
        <v>203</v>
      </c>
      <c r="I284" s="45">
        <v>2</v>
      </c>
      <c r="J284" s="25">
        <f>J152</f>
        <v>128700</v>
      </c>
      <c r="K284" s="26">
        <f t="shared" si="35"/>
        <v>257400</v>
      </c>
    </row>
    <row r="285" spans="1:11" ht="13.2" customHeight="1" x14ac:dyDescent="0.25">
      <c r="A285" s="2"/>
      <c r="B285" s="20" t="s">
        <v>83</v>
      </c>
      <c r="C285" s="21" t="s">
        <v>1248</v>
      </c>
      <c r="D285" s="14"/>
      <c r="E285" s="22"/>
      <c r="F285" s="23"/>
      <c r="G285" s="23"/>
      <c r="H285" s="24" t="s">
        <v>203</v>
      </c>
      <c r="I285" s="45">
        <v>2</v>
      </c>
      <c r="J285" s="25">
        <f>J153</f>
        <v>175000</v>
      </c>
      <c r="K285" s="26">
        <f t="shared" si="35"/>
        <v>350000</v>
      </c>
    </row>
    <row r="286" spans="1:11" ht="13.2" customHeight="1" x14ac:dyDescent="0.25">
      <c r="A286" s="2"/>
      <c r="B286" s="20" t="s">
        <v>110</v>
      </c>
      <c r="C286" s="21" t="s">
        <v>1261</v>
      </c>
      <c r="D286" s="14"/>
      <c r="E286" s="22"/>
      <c r="F286" s="23"/>
      <c r="G286" s="23"/>
      <c r="H286" s="24" t="s">
        <v>203</v>
      </c>
      <c r="I286" s="45">
        <v>2</v>
      </c>
      <c r="J286" s="25">
        <f>J154</f>
        <v>196560</v>
      </c>
      <c r="K286" s="26">
        <f t="shared" si="35"/>
        <v>393120</v>
      </c>
    </row>
    <row r="287" spans="1:11" ht="13.2" customHeight="1" x14ac:dyDescent="0.25">
      <c r="A287" s="2"/>
      <c r="B287" s="20" t="s">
        <v>137</v>
      </c>
      <c r="C287" s="21" t="s">
        <v>714</v>
      </c>
      <c r="D287" s="14"/>
      <c r="E287" s="22"/>
      <c r="F287" s="23"/>
      <c r="G287" s="23"/>
      <c r="H287" s="24" t="s">
        <v>203</v>
      </c>
      <c r="I287" s="65">
        <v>4</v>
      </c>
      <c r="J287" s="25">
        <f>J155</f>
        <v>14000</v>
      </c>
      <c r="K287" s="26">
        <f t="shared" si="35"/>
        <v>56000</v>
      </c>
    </row>
    <row r="288" spans="1:11" ht="12.9" customHeight="1" x14ac:dyDescent="0.25">
      <c r="A288" s="6"/>
      <c r="B288" s="7"/>
      <c r="C288" s="8"/>
      <c r="D288" s="8"/>
      <c r="E288" s="8"/>
      <c r="F288" s="8"/>
      <c r="G288" s="9"/>
      <c r="H288" s="10" t="s">
        <v>715</v>
      </c>
      <c r="I288" s="11"/>
      <c r="J288" s="11"/>
      <c r="K288" s="27">
        <f>SUM(K282:K287)</f>
        <v>1267620</v>
      </c>
    </row>
    <row r="289" spans="1:11" ht="12.9" customHeight="1" x14ac:dyDescent="0.25">
      <c r="A289" s="6"/>
      <c r="B289" s="5"/>
      <c r="C289" s="3"/>
      <c r="D289" s="3"/>
      <c r="E289" s="3"/>
      <c r="F289" s="3"/>
      <c r="G289" s="4"/>
      <c r="H289" s="12" t="s">
        <v>603</v>
      </c>
      <c r="I289" s="28">
        <f>$K$3</f>
        <v>0.15</v>
      </c>
      <c r="J289" s="13"/>
      <c r="K289" s="29">
        <f>I289*K288</f>
        <v>190143</v>
      </c>
    </row>
    <row r="290" spans="1:11" ht="12.9" customHeight="1" x14ac:dyDescent="0.25">
      <c r="A290" s="6"/>
      <c r="B290" s="5"/>
      <c r="C290" s="3"/>
      <c r="D290" s="3"/>
      <c r="E290" s="3"/>
      <c r="F290" s="3"/>
      <c r="G290" s="4"/>
      <c r="H290" s="12" t="s">
        <v>604</v>
      </c>
      <c r="I290" s="14"/>
      <c r="J290" s="14"/>
      <c r="K290" s="29">
        <f>SUM(K288:K289)</f>
        <v>1457763</v>
      </c>
    </row>
    <row r="291" spans="1:11" ht="12.9" customHeight="1" thickBot="1" x14ac:dyDescent="0.3">
      <c r="A291" s="15"/>
      <c r="B291" s="16"/>
      <c r="C291" s="17"/>
      <c r="D291" s="17"/>
      <c r="E291" s="17"/>
      <c r="F291" s="17"/>
      <c r="G291" s="18"/>
      <c r="H291" s="46" t="s">
        <v>605</v>
      </c>
      <c r="I291" s="47"/>
      <c r="J291" s="47"/>
      <c r="K291" s="144">
        <f>ROUND(K290,-1)</f>
        <v>1457760</v>
      </c>
    </row>
    <row r="292" spans="1:11" ht="14.1" customHeight="1" x14ac:dyDescent="0.25">
      <c r="A292" s="81">
        <v>28</v>
      </c>
      <c r="B292" s="676" t="s">
        <v>713</v>
      </c>
      <c r="C292" s="677"/>
      <c r="D292" s="137" t="s">
        <v>1280</v>
      </c>
      <c r="E292" s="138"/>
      <c r="F292" s="139"/>
      <c r="G292" s="139"/>
      <c r="H292" s="140"/>
      <c r="I292" s="141"/>
      <c r="J292" s="142"/>
      <c r="K292" s="143"/>
    </row>
    <row r="293" spans="1:11" ht="13.2" customHeight="1" x14ac:dyDescent="0.25">
      <c r="A293" s="2"/>
      <c r="B293" s="20" t="s">
        <v>4</v>
      </c>
      <c r="C293" s="21" t="s">
        <v>1272</v>
      </c>
      <c r="D293" s="14"/>
      <c r="E293" s="22"/>
      <c r="F293" s="23"/>
      <c r="G293" s="23"/>
      <c r="H293" s="24" t="s">
        <v>203</v>
      </c>
      <c r="I293" s="45">
        <v>1</v>
      </c>
      <c r="J293" s="25">
        <f>J249</f>
        <v>138500</v>
      </c>
      <c r="K293" s="26">
        <f>I293*J293</f>
        <v>138500</v>
      </c>
    </row>
    <row r="294" spans="1:11" ht="13.2" customHeight="1" x14ac:dyDescent="0.25">
      <c r="A294" s="2"/>
      <c r="B294" s="20" t="s">
        <v>30</v>
      </c>
      <c r="C294" s="21" t="s">
        <v>1247</v>
      </c>
      <c r="D294" s="14"/>
      <c r="E294" s="22"/>
      <c r="F294" s="23"/>
      <c r="G294" s="23"/>
      <c r="H294" s="24" t="s">
        <v>203</v>
      </c>
      <c r="I294" s="45">
        <v>2</v>
      </c>
      <c r="J294" s="25">
        <f>J162</f>
        <v>27550</v>
      </c>
      <c r="K294" s="26">
        <f t="shared" ref="K294:K298" si="36">I294*J294</f>
        <v>55100</v>
      </c>
    </row>
    <row r="295" spans="1:11" ht="13.2" customHeight="1" x14ac:dyDescent="0.25">
      <c r="A295" s="2"/>
      <c r="B295" s="20" t="s">
        <v>57</v>
      </c>
      <c r="C295" s="21" t="s">
        <v>590</v>
      </c>
      <c r="D295" s="14"/>
      <c r="E295" s="22"/>
      <c r="F295" s="23"/>
      <c r="G295" s="23"/>
      <c r="H295" s="24" t="s">
        <v>203</v>
      </c>
      <c r="I295" s="45">
        <v>2</v>
      </c>
      <c r="J295" s="25">
        <f>J163</f>
        <v>128700</v>
      </c>
      <c r="K295" s="26">
        <f t="shared" si="36"/>
        <v>257400</v>
      </c>
    </row>
    <row r="296" spans="1:11" ht="13.2" customHeight="1" x14ac:dyDescent="0.25">
      <c r="A296" s="2"/>
      <c r="B296" s="20" t="s">
        <v>83</v>
      </c>
      <c r="C296" s="21" t="s">
        <v>1248</v>
      </c>
      <c r="D296" s="14"/>
      <c r="E296" s="22"/>
      <c r="F296" s="23"/>
      <c r="G296" s="23"/>
      <c r="H296" s="24" t="s">
        <v>203</v>
      </c>
      <c r="I296" s="45">
        <v>2</v>
      </c>
      <c r="J296" s="25">
        <f>J164</f>
        <v>175000</v>
      </c>
      <c r="K296" s="26">
        <f t="shared" si="36"/>
        <v>350000</v>
      </c>
    </row>
    <row r="297" spans="1:11" ht="13.2" customHeight="1" x14ac:dyDescent="0.25">
      <c r="A297" s="2"/>
      <c r="B297" s="20" t="s">
        <v>110</v>
      </c>
      <c r="C297" s="21" t="s">
        <v>1261</v>
      </c>
      <c r="D297" s="14"/>
      <c r="E297" s="22"/>
      <c r="F297" s="23"/>
      <c r="G297" s="23"/>
      <c r="H297" s="24" t="s">
        <v>203</v>
      </c>
      <c r="I297" s="45">
        <v>2</v>
      </c>
      <c r="J297" s="25">
        <f>J165</f>
        <v>196560</v>
      </c>
      <c r="K297" s="26">
        <f t="shared" si="36"/>
        <v>393120</v>
      </c>
    </row>
    <row r="298" spans="1:11" ht="13.2" customHeight="1" x14ac:dyDescent="0.25">
      <c r="A298" s="2"/>
      <c r="B298" s="20" t="s">
        <v>137</v>
      </c>
      <c r="C298" s="21" t="s">
        <v>714</v>
      </c>
      <c r="D298" s="14"/>
      <c r="E298" s="22"/>
      <c r="F298" s="23"/>
      <c r="G298" s="23"/>
      <c r="H298" s="24" t="s">
        <v>203</v>
      </c>
      <c r="I298" s="65">
        <v>4</v>
      </c>
      <c r="J298" s="25">
        <f>J166</f>
        <v>14000</v>
      </c>
      <c r="K298" s="26">
        <f t="shared" si="36"/>
        <v>56000</v>
      </c>
    </row>
    <row r="299" spans="1:11" ht="12.9" customHeight="1" x14ac:dyDescent="0.25">
      <c r="A299" s="6"/>
      <c r="B299" s="7"/>
      <c r="C299" s="8"/>
      <c r="D299" s="8"/>
      <c r="E299" s="8"/>
      <c r="F299" s="8"/>
      <c r="G299" s="9"/>
      <c r="H299" s="10" t="s">
        <v>715</v>
      </c>
      <c r="I299" s="11"/>
      <c r="J299" s="11"/>
      <c r="K299" s="27">
        <f>SUM(K293:K298)</f>
        <v>1250120</v>
      </c>
    </row>
    <row r="300" spans="1:11" ht="12.9" customHeight="1" x14ac:dyDescent="0.25">
      <c r="A300" s="6"/>
      <c r="B300" s="5"/>
      <c r="C300" s="3"/>
      <c r="D300" s="3"/>
      <c r="E300" s="3"/>
      <c r="F300" s="3"/>
      <c r="G300" s="4"/>
      <c r="H300" s="12" t="s">
        <v>603</v>
      </c>
      <c r="I300" s="28">
        <f>$K$3</f>
        <v>0.15</v>
      </c>
      <c r="J300" s="13"/>
      <c r="K300" s="29">
        <f>I300*K299</f>
        <v>187518</v>
      </c>
    </row>
    <row r="301" spans="1:11" ht="12.9" customHeight="1" x14ac:dyDescent="0.25">
      <c r="A301" s="6"/>
      <c r="B301" s="5"/>
      <c r="C301" s="3"/>
      <c r="D301" s="3"/>
      <c r="E301" s="3"/>
      <c r="F301" s="3"/>
      <c r="G301" s="4"/>
      <c r="H301" s="12" t="s">
        <v>604</v>
      </c>
      <c r="I301" s="14"/>
      <c r="J301" s="14"/>
      <c r="K301" s="29">
        <f>SUM(K299:K300)</f>
        <v>1437638</v>
      </c>
    </row>
    <row r="302" spans="1:11" ht="12.9" customHeight="1" thickBot="1" x14ac:dyDescent="0.3">
      <c r="A302" s="15"/>
      <c r="B302" s="16"/>
      <c r="C302" s="17"/>
      <c r="D302" s="17"/>
      <c r="E302" s="17"/>
      <c r="F302" s="17"/>
      <c r="G302" s="18"/>
      <c r="H302" s="46" t="s">
        <v>605</v>
      </c>
      <c r="I302" s="47"/>
      <c r="J302" s="47"/>
      <c r="K302" s="144">
        <f>ROUND(K301,-1)</f>
        <v>1437640</v>
      </c>
    </row>
    <row r="303" spans="1:11" ht="14.1" customHeight="1" x14ac:dyDescent="0.25">
      <c r="A303" s="81">
        <v>29</v>
      </c>
      <c r="B303" s="699" t="s">
        <v>713</v>
      </c>
      <c r="C303" s="700"/>
      <c r="D303" s="137" t="s">
        <v>1374</v>
      </c>
      <c r="E303" s="138"/>
      <c r="F303" s="139"/>
      <c r="G303" s="139"/>
      <c r="H303" s="140"/>
      <c r="I303" s="141"/>
      <c r="J303" s="142"/>
      <c r="K303" s="143"/>
    </row>
    <row r="304" spans="1:11" ht="13.2" customHeight="1" x14ac:dyDescent="0.25">
      <c r="A304" s="2"/>
      <c r="B304" s="20" t="s">
        <v>4</v>
      </c>
      <c r="C304" s="21" t="s">
        <v>1235</v>
      </c>
      <c r="D304" s="14"/>
      <c r="E304" s="22"/>
      <c r="F304" s="23"/>
      <c r="G304" s="23"/>
      <c r="H304" s="24" t="s">
        <v>203</v>
      </c>
      <c r="I304" s="45">
        <v>1</v>
      </c>
      <c r="J304" s="25">
        <f>'Harga Satuan Dasar mat'!G102</f>
        <v>203000</v>
      </c>
      <c r="K304" s="26">
        <f>I304*J304</f>
        <v>203000</v>
      </c>
    </row>
    <row r="305" spans="1:11" ht="13.2" customHeight="1" x14ac:dyDescent="0.25">
      <c r="A305" s="2"/>
      <c r="B305" s="20" t="s">
        <v>30</v>
      </c>
      <c r="C305" s="21" t="s">
        <v>1281</v>
      </c>
      <c r="D305" s="14"/>
      <c r="E305" s="22"/>
      <c r="F305" s="23"/>
      <c r="G305" s="23"/>
      <c r="H305" s="24" t="s">
        <v>203</v>
      </c>
      <c r="I305" s="45">
        <v>4</v>
      </c>
      <c r="J305" s="25">
        <f>J298</f>
        <v>14000</v>
      </c>
      <c r="K305" s="26">
        <f t="shared" ref="K305:K307" si="37">I305*J305</f>
        <v>56000</v>
      </c>
    </row>
    <row r="306" spans="1:11" ht="13.2" customHeight="1" x14ac:dyDescent="0.25">
      <c r="A306" s="2"/>
      <c r="B306" s="20" t="s">
        <v>57</v>
      </c>
      <c r="C306" s="21" t="s">
        <v>1283</v>
      </c>
      <c r="D306" s="14"/>
      <c r="E306" s="22"/>
      <c r="F306" s="23"/>
      <c r="G306" s="23"/>
      <c r="H306" s="24" t="s">
        <v>203</v>
      </c>
      <c r="I306" s="65">
        <v>1</v>
      </c>
      <c r="J306" s="25">
        <f>'Harga Satuan Dasar mat'!G569</f>
        <v>51000</v>
      </c>
      <c r="K306" s="26">
        <f t="shared" si="37"/>
        <v>51000</v>
      </c>
    </row>
    <row r="307" spans="1:11" ht="13.2" customHeight="1" x14ac:dyDescent="0.25">
      <c r="A307" s="2"/>
      <c r="B307" s="20" t="s">
        <v>83</v>
      </c>
      <c r="C307" s="21" t="s">
        <v>1282</v>
      </c>
      <c r="D307" s="14"/>
      <c r="E307" s="22"/>
      <c r="F307" s="23"/>
      <c r="G307" s="23"/>
      <c r="H307" s="24" t="s">
        <v>203</v>
      </c>
      <c r="I307" s="45">
        <v>2</v>
      </c>
      <c r="J307" s="25">
        <f>'Harga Satuan Dasar mat'!G380</f>
        <v>46000</v>
      </c>
      <c r="K307" s="26">
        <f t="shared" si="37"/>
        <v>92000</v>
      </c>
    </row>
    <row r="308" spans="1:11" ht="12.9" customHeight="1" x14ac:dyDescent="0.25">
      <c r="A308" s="6"/>
      <c r="B308" s="7"/>
      <c r="C308" s="8"/>
      <c r="D308" s="8"/>
      <c r="E308" s="8"/>
      <c r="F308" s="8"/>
      <c r="G308" s="9"/>
      <c r="H308" s="10" t="s">
        <v>715</v>
      </c>
      <c r="I308" s="11"/>
      <c r="J308" s="11"/>
      <c r="K308" s="27">
        <f>SUM(K304:K307)</f>
        <v>402000</v>
      </c>
    </row>
    <row r="309" spans="1:11" ht="12.9" customHeight="1" x14ac:dyDescent="0.25">
      <c r="A309" s="6"/>
      <c r="B309" s="5"/>
      <c r="C309" s="3"/>
      <c r="D309" s="3"/>
      <c r="E309" s="3"/>
      <c r="F309" s="3"/>
      <c r="G309" s="4"/>
      <c r="H309" s="12" t="s">
        <v>603</v>
      </c>
      <c r="I309" s="28">
        <f>$K$3</f>
        <v>0.15</v>
      </c>
      <c r="J309" s="13"/>
      <c r="K309" s="29">
        <f>I309*K308</f>
        <v>60300</v>
      </c>
    </row>
    <row r="310" spans="1:11" ht="12.9" customHeight="1" x14ac:dyDescent="0.25">
      <c r="A310" s="6"/>
      <c r="B310" s="5"/>
      <c r="C310" s="3"/>
      <c r="D310" s="3"/>
      <c r="E310" s="3"/>
      <c r="F310" s="3"/>
      <c r="G310" s="4"/>
      <c r="H310" s="12" t="s">
        <v>604</v>
      </c>
      <c r="I310" s="14"/>
      <c r="J310" s="14"/>
      <c r="K310" s="29">
        <f>SUM(K308:K309)</f>
        <v>462300</v>
      </c>
    </row>
    <row r="311" spans="1:11" ht="12.9" customHeight="1" thickBot="1" x14ac:dyDescent="0.3">
      <c r="A311" s="15"/>
      <c r="B311" s="16"/>
      <c r="C311" s="17"/>
      <c r="D311" s="17"/>
      <c r="E311" s="17"/>
      <c r="F311" s="17"/>
      <c r="G311" s="18"/>
      <c r="H311" s="46" t="s">
        <v>605</v>
      </c>
      <c r="I311" s="47"/>
      <c r="J311" s="47"/>
      <c r="K311" s="144">
        <f>ROUND(K310,-1)</f>
        <v>462300</v>
      </c>
    </row>
    <row r="312" spans="1:11" ht="14.1" customHeight="1" x14ac:dyDescent="0.25">
      <c r="A312" s="81">
        <v>30</v>
      </c>
      <c r="B312" s="699" t="s">
        <v>713</v>
      </c>
      <c r="C312" s="700"/>
      <c r="D312" s="137" t="s">
        <v>1375</v>
      </c>
      <c r="E312" s="138"/>
      <c r="F312" s="139"/>
      <c r="G312" s="139"/>
      <c r="H312" s="140"/>
      <c r="I312" s="141"/>
      <c r="J312" s="142"/>
      <c r="K312" s="143"/>
    </row>
    <row r="313" spans="1:11" ht="13.2" customHeight="1" x14ac:dyDescent="0.25">
      <c r="A313" s="2"/>
      <c r="B313" s="20" t="s">
        <v>4</v>
      </c>
      <c r="C313" s="21" t="s">
        <v>1238</v>
      </c>
      <c r="D313" s="14"/>
      <c r="E313" s="22"/>
      <c r="F313" s="23"/>
      <c r="G313" s="23"/>
      <c r="H313" s="24" t="s">
        <v>203</v>
      </c>
      <c r="I313" s="45">
        <v>1</v>
      </c>
      <c r="J313" s="25">
        <f>'Harga Satuan Dasar mat'!G104</f>
        <v>221500</v>
      </c>
      <c r="K313" s="26">
        <f>I313*J313</f>
        <v>221500</v>
      </c>
    </row>
    <row r="314" spans="1:11" ht="13.2" customHeight="1" x14ac:dyDescent="0.25">
      <c r="A314" s="2"/>
      <c r="B314" s="20" t="s">
        <v>30</v>
      </c>
      <c r="C314" s="21" t="s">
        <v>1281</v>
      </c>
      <c r="D314" s="14"/>
      <c r="E314" s="22"/>
      <c r="F314" s="23"/>
      <c r="G314" s="23"/>
      <c r="H314" s="24" t="s">
        <v>203</v>
      </c>
      <c r="I314" s="45">
        <v>4</v>
      </c>
      <c r="J314" s="25">
        <f t="shared" ref="J314:J316" si="38">J305</f>
        <v>14000</v>
      </c>
      <c r="K314" s="26">
        <f t="shared" ref="K314:K316" si="39">I314*J314</f>
        <v>56000</v>
      </c>
    </row>
    <row r="315" spans="1:11" ht="13.2" customHeight="1" x14ac:dyDescent="0.25">
      <c r="A315" s="2"/>
      <c r="B315" s="20" t="s">
        <v>57</v>
      </c>
      <c r="C315" s="21" t="s">
        <v>1283</v>
      </c>
      <c r="D315" s="14"/>
      <c r="E315" s="22"/>
      <c r="F315" s="23"/>
      <c r="G315" s="23"/>
      <c r="H315" s="24" t="s">
        <v>203</v>
      </c>
      <c r="I315" s="65">
        <v>1</v>
      </c>
      <c r="J315" s="25">
        <f t="shared" si="38"/>
        <v>51000</v>
      </c>
      <c r="K315" s="26">
        <f t="shared" si="39"/>
        <v>51000</v>
      </c>
    </row>
    <row r="316" spans="1:11" ht="13.2" customHeight="1" x14ac:dyDescent="0.25">
      <c r="A316" s="2"/>
      <c r="B316" s="20" t="s">
        <v>83</v>
      </c>
      <c r="C316" s="21" t="s">
        <v>1282</v>
      </c>
      <c r="D316" s="14"/>
      <c r="E316" s="22"/>
      <c r="F316" s="23"/>
      <c r="G316" s="23"/>
      <c r="H316" s="24" t="s">
        <v>203</v>
      </c>
      <c r="I316" s="45">
        <v>2</v>
      </c>
      <c r="J316" s="25">
        <f t="shared" si="38"/>
        <v>46000</v>
      </c>
      <c r="K316" s="26">
        <f t="shared" si="39"/>
        <v>92000</v>
      </c>
    </row>
    <row r="317" spans="1:11" ht="12.9" customHeight="1" x14ac:dyDescent="0.25">
      <c r="A317" s="6"/>
      <c r="B317" s="7"/>
      <c r="C317" s="8"/>
      <c r="D317" s="8"/>
      <c r="E317" s="8"/>
      <c r="F317" s="8"/>
      <c r="G317" s="9"/>
      <c r="H317" s="10" t="s">
        <v>715</v>
      </c>
      <c r="I317" s="11"/>
      <c r="J317" s="11"/>
      <c r="K317" s="27">
        <f>SUM(K313:K316)</f>
        <v>420500</v>
      </c>
    </row>
    <row r="318" spans="1:11" ht="12.9" customHeight="1" x14ac:dyDescent="0.25">
      <c r="A318" s="6"/>
      <c r="B318" s="5"/>
      <c r="C318" s="3"/>
      <c r="D318" s="3"/>
      <c r="E318" s="3"/>
      <c r="F318" s="3"/>
      <c r="G318" s="4"/>
      <c r="H318" s="12" t="s">
        <v>603</v>
      </c>
      <c r="I318" s="28">
        <f>$K$3</f>
        <v>0.15</v>
      </c>
      <c r="J318" s="13"/>
      <c r="K318" s="29">
        <f>I318*K317</f>
        <v>63075</v>
      </c>
    </row>
    <row r="319" spans="1:11" ht="12.9" customHeight="1" x14ac:dyDescent="0.25">
      <c r="A319" s="6"/>
      <c r="B319" s="5"/>
      <c r="C319" s="3"/>
      <c r="D319" s="3"/>
      <c r="E319" s="3"/>
      <c r="F319" s="3"/>
      <c r="G319" s="4"/>
      <c r="H319" s="12" t="s">
        <v>604</v>
      </c>
      <c r="I319" s="14"/>
      <c r="J319" s="14"/>
      <c r="K319" s="29">
        <f>SUM(K317:K318)</f>
        <v>483575</v>
      </c>
    </row>
    <row r="320" spans="1:11" ht="12.9" customHeight="1" thickBot="1" x14ac:dyDescent="0.3">
      <c r="A320" s="15"/>
      <c r="B320" s="16"/>
      <c r="C320" s="17"/>
      <c r="D320" s="17"/>
      <c r="E320" s="17"/>
      <c r="F320" s="17"/>
      <c r="G320" s="18"/>
      <c r="H320" s="46" t="s">
        <v>605</v>
      </c>
      <c r="I320" s="47"/>
      <c r="J320" s="47"/>
      <c r="K320" s="144">
        <f>ROUND(K319,-1)</f>
        <v>483580</v>
      </c>
    </row>
    <row r="321" spans="1:11" ht="14.1" customHeight="1" x14ac:dyDescent="0.25">
      <c r="A321" s="81">
        <v>31</v>
      </c>
      <c r="B321" s="699" t="s">
        <v>713</v>
      </c>
      <c r="C321" s="700"/>
      <c r="D321" s="137" t="s">
        <v>1376</v>
      </c>
      <c r="E321" s="138"/>
      <c r="F321" s="139"/>
      <c r="G321" s="139"/>
      <c r="H321" s="140"/>
      <c r="I321" s="141"/>
      <c r="J321" s="142"/>
      <c r="K321" s="143"/>
    </row>
    <row r="322" spans="1:11" ht="12.75" customHeight="1" x14ac:dyDescent="0.25">
      <c r="A322" s="2"/>
      <c r="B322" s="20" t="s">
        <v>4</v>
      </c>
      <c r="C322" s="21" t="s">
        <v>1240</v>
      </c>
      <c r="D322" s="14"/>
      <c r="E322" s="22"/>
      <c r="F322" s="23"/>
      <c r="G322" s="23"/>
      <c r="H322" s="24" t="s">
        <v>203</v>
      </c>
      <c r="I322" s="45">
        <v>1</v>
      </c>
      <c r="J322" s="25">
        <f>'Harga Satuan Dasar mat'!G100</f>
        <v>184000</v>
      </c>
      <c r="K322" s="26">
        <f>I322*J322</f>
        <v>184000</v>
      </c>
    </row>
    <row r="323" spans="1:11" ht="12.75" customHeight="1" x14ac:dyDescent="0.25">
      <c r="A323" s="2"/>
      <c r="B323" s="20" t="s">
        <v>30</v>
      </c>
      <c r="C323" s="21" t="s">
        <v>1281</v>
      </c>
      <c r="D323" s="14"/>
      <c r="E323" s="22"/>
      <c r="F323" s="23"/>
      <c r="G323" s="23"/>
      <c r="H323" s="24" t="s">
        <v>203</v>
      </c>
      <c r="I323" s="45">
        <v>4</v>
      </c>
      <c r="J323" s="25">
        <f t="shared" ref="J323:J325" si="40">J314</f>
        <v>14000</v>
      </c>
      <c r="K323" s="26">
        <f t="shared" ref="K323:K325" si="41">I323*J323</f>
        <v>56000</v>
      </c>
    </row>
    <row r="324" spans="1:11" ht="12.75" customHeight="1" x14ac:dyDescent="0.25">
      <c r="A324" s="2"/>
      <c r="B324" s="20" t="s">
        <v>57</v>
      </c>
      <c r="C324" s="21" t="s">
        <v>1283</v>
      </c>
      <c r="D324" s="14"/>
      <c r="E324" s="22"/>
      <c r="F324" s="23"/>
      <c r="G324" s="23"/>
      <c r="H324" s="24" t="s">
        <v>203</v>
      </c>
      <c r="I324" s="65">
        <v>1</v>
      </c>
      <c r="J324" s="25">
        <f t="shared" si="40"/>
        <v>51000</v>
      </c>
      <c r="K324" s="26">
        <f t="shared" si="41"/>
        <v>51000</v>
      </c>
    </row>
    <row r="325" spans="1:11" ht="12.75" customHeight="1" x14ac:dyDescent="0.25">
      <c r="A325" s="2"/>
      <c r="B325" s="20" t="s">
        <v>83</v>
      </c>
      <c r="C325" s="21" t="s">
        <v>1282</v>
      </c>
      <c r="D325" s="14"/>
      <c r="E325" s="22"/>
      <c r="F325" s="23"/>
      <c r="G325" s="23"/>
      <c r="H325" s="24" t="s">
        <v>203</v>
      </c>
      <c r="I325" s="45">
        <v>2</v>
      </c>
      <c r="J325" s="25">
        <f t="shared" si="40"/>
        <v>46000</v>
      </c>
      <c r="K325" s="26">
        <f t="shared" si="41"/>
        <v>92000</v>
      </c>
    </row>
    <row r="326" spans="1:11" ht="12.75" customHeight="1" x14ac:dyDescent="0.25">
      <c r="A326" s="6"/>
      <c r="B326" s="7"/>
      <c r="C326" s="8"/>
      <c r="D326" s="8"/>
      <c r="E326" s="8"/>
      <c r="F326" s="8"/>
      <c r="G326" s="9"/>
      <c r="H326" s="10" t="s">
        <v>715</v>
      </c>
      <c r="I326" s="11"/>
      <c r="J326" s="11"/>
      <c r="K326" s="27">
        <f>SUM(K322:K325)</f>
        <v>383000</v>
      </c>
    </row>
    <row r="327" spans="1:11" ht="12.75" customHeight="1" x14ac:dyDescent="0.25">
      <c r="A327" s="6"/>
      <c r="B327" s="5"/>
      <c r="C327" s="3"/>
      <c r="D327" s="3"/>
      <c r="E327" s="3"/>
      <c r="F327" s="3"/>
      <c r="G327" s="4"/>
      <c r="H327" s="12" t="s">
        <v>603</v>
      </c>
      <c r="I327" s="28">
        <f>$K$3</f>
        <v>0.15</v>
      </c>
      <c r="J327" s="13"/>
      <c r="K327" s="29">
        <f>I327*K326</f>
        <v>57450</v>
      </c>
    </row>
    <row r="328" spans="1:11" ht="12.75" customHeight="1" x14ac:dyDescent="0.25">
      <c r="A328" s="6"/>
      <c r="B328" s="5"/>
      <c r="C328" s="3"/>
      <c r="D328" s="3"/>
      <c r="E328" s="3"/>
      <c r="F328" s="3"/>
      <c r="G328" s="4"/>
      <c r="H328" s="12" t="s">
        <v>604</v>
      </c>
      <c r="I328" s="14"/>
      <c r="J328" s="14"/>
      <c r="K328" s="29">
        <f>SUM(K326:K327)</f>
        <v>440450</v>
      </c>
    </row>
    <row r="329" spans="1:11" ht="12.75" customHeight="1" thickBot="1" x14ac:dyDescent="0.3">
      <c r="A329" s="15"/>
      <c r="B329" s="16"/>
      <c r="C329" s="17"/>
      <c r="D329" s="17"/>
      <c r="E329" s="17"/>
      <c r="F329" s="17"/>
      <c r="G329" s="18"/>
      <c r="H329" s="46" t="s">
        <v>605</v>
      </c>
      <c r="I329" s="47"/>
      <c r="J329" s="47"/>
      <c r="K329" s="144">
        <f>ROUND(K328,-1)</f>
        <v>440450</v>
      </c>
    </row>
    <row r="330" spans="1:11" ht="14.1" customHeight="1" x14ac:dyDescent="0.25">
      <c r="A330" s="81">
        <v>32</v>
      </c>
      <c r="B330" s="699" t="s">
        <v>713</v>
      </c>
      <c r="C330" s="700"/>
      <c r="D330" s="137" t="s">
        <v>1377</v>
      </c>
      <c r="E330" s="138"/>
      <c r="F330" s="139"/>
      <c r="G330" s="139"/>
      <c r="H330" s="140"/>
      <c r="I330" s="141"/>
      <c r="J330" s="142"/>
      <c r="K330" s="143"/>
    </row>
    <row r="331" spans="1:11" ht="13.2" customHeight="1" x14ac:dyDescent="0.25">
      <c r="A331" s="2"/>
      <c r="B331" s="20" t="s">
        <v>4</v>
      </c>
      <c r="C331" s="21" t="s">
        <v>1242</v>
      </c>
      <c r="D331" s="14"/>
      <c r="E331" s="22"/>
      <c r="F331" s="23"/>
      <c r="G331" s="23"/>
      <c r="H331" s="24" t="s">
        <v>203</v>
      </c>
      <c r="I331" s="45">
        <v>1</v>
      </c>
      <c r="J331" s="25">
        <f>'Harga Satuan Dasar mat'!G98</f>
        <v>164500</v>
      </c>
      <c r="K331" s="26">
        <f>I331*J331</f>
        <v>164500</v>
      </c>
    </row>
    <row r="332" spans="1:11" ht="13.2" customHeight="1" x14ac:dyDescent="0.25">
      <c r="A332" s="2"/>
      <c r="B332" s="20" t="s">
        <v>30</v>
      </c>
      <c r="C332" s="21" t="s">
        <v>1281</v>
      </c>
      <c r="D332" s="14"/>
      <c r="E332" s="22"/>
      <c r="F332" s="23"/>
      <c r="G332" s="23"/>
      <c r="H332" s="24" t="s">
        <v>203</v>
      </c>
      <c r="I332" s="45">
        <v>4</v>
      </c>
      <c r="J332" s="25">
        <f t="shared" ref="J332:J334" si="42">J323</f>
        <v>14000</v>
      </c>
      <c r="K332" s="26">
        <f t="shared" ref="K332:K334" si="43">I332*J332</f>
        <v>56000</v>
      </c>
    </row>
    <row r="333" spans="1:11" ht="13.2" customHeight="1" x14ac:dyDescent="0.25">
      <c r="A333" s="2"/>
      <c r="B333" s="20" t="s">
        <v>57</v>
      </c>
      <c r="C333" s="21" t="s">
        <v>1283</v>
      </c>
      <c r="D333" s="14"/>
      <c r="E333" s="22"/>
      <c r="F333" s="23"/>
      <c r="G333" s="23"/>
      <c r="H333" s="24" t="s">
        <v>203</v>
      </c>
      <c r="I333" s="65">
        <v>1</v>
      </c>
      <c r="J333" s="25">
        <f t="shared" si="42"/>
        <v>51000</v>
      </c>
      <c r="K333" s="26">
        <f t="shared" si="43"/>
        <v>51000</v>
      </c>
    </row>
    <row r="334" spans="1:11" ht="13.2" customHeight="1" x14ac:dyDescent="0.25">
      <c r="A334" s="2"/>
      <c r="B334" s="20" t="s">
        <v>83</v>
      </c>
      <c r="C334" s="21" t="s">
        <v>1282</v>
      </c>
      <c r="D334" s="14"/>
      <c r="E334" s="22"/>
      <c r="F334" s="23"/>
      <c r="G334" s="23"/>
      <c r="H334" s="24" t="s">
        <v>203</v>
      </c>
      <c r="I334" s="45">
        <v>2</v>
      </c>
      <c r="J334" s="25">
        <f t="shared" si="42"/>
        <v>46000</v>
      </c>
      <c r="K334" s="26">
        <f t="shared" si="43"/>
        <v>92000</v>
      </c>
    </row>
    <row r="335" spans="1:11" ht="12.9" customHeight="1" x14ac:dyDescent="0.25">
      <c r="A335" s="6"/>
      <c r="B335" s="7"/>
      <c r="C335" s="8"/>
      <c r="D335" s="8"/>
      <c r="E335" s="8"/>
      <c r="F335" s="8"/>
      <c r="G335" s="9"/>
      <c r="H335" s="10" t="s">
        <v>715</v>
      </c>
      <c r="I335" s="11"/>
      <c r="J335" s="11"/>
      <c r="K335" s="27">
        <f>SUM(K331:K334)</f>
        <v>363500</v>
      </c>
    </row>
    <row r="336" spans="1:11" ht="12.9" customHeight="1" x14ac:dyDescent="0.25">
      <c r="A336" s="6"/>
      <c r="B336" s="5"/>
      <c r="C336" s="3"/>
      <c r="D336" s="3"/>
      <c r="E336" s="3"/>
      <c r="F336" s="3"/>
      <c r="G336" s="4"/>
      <c r="H336" s="12" t="s">
        <v>603</v>
      </c>
      <c r="I336" s="28">
        <f>$K$3</f>
        <v>0.15</v>
      </c>
      <c r="J336" s="13"/>
      <c r="K336" s="29">
        <f>I336*K335</f>
        <v>54525</v>
      </c>
    </row>
    <row r="337" spans="1:11" ht="12.9" customHeight="1" x14ac:dyDescent="0.25">
      <c r="A337" s="6"/>
      <c r="B337" s="5"/>
      <c r="C337" s="3"/>
      <c r="D337" s="3"/>
      <c r="E337" s="3"/>
      <c r="F337" s="3"/>
      <c r="G337" s="4"/>
      <c r="H337" s="12" t="s">
        <v>604</v>
      </c>
      <c r="I337" s="14"/>
      <c r="J337" s="14"/>
      <c r="K337" s="29">
        <f>SUM(K335:K336)</f>
        <v>418025</v>
      </c>
    </row>
    <row r="338" spans="1:11" ht="12.9" customHeight="1" thickBot="1" x14ac:dyDescent="0.3">
      <c r="A338" s="15"/>
      <c r="B338" s="16"/>
      <c r="C338" s="17"/>
      <c r="D338" s="17"/>
      <c r="E338" s="17"/>
      <c r="F338" s="17"/>
      <c r="G338" s="18"/>
      <c r="H338" s="46" t="s">
        <v>605</v>
      </c>
      <c r="I338" s="47"/>
      <c r="J338" s="47"/>
      <c r="K338" s="144">
        <f>ROUND(K337,-1)</f>
        <v>418030</v>
      </c>
    </row>
    <row r="339" spans="1:11" ht="14.1" customHeight="1" x14ac:dyDescent="0.25">
      <c r="A339" s="81">
        <v>33</v>
      </c>
      <c r="B339" s="699" t="s">
        <v>713</v>
      </c>
      <c r="C339" s="700"/>
      <c r="D339" s="137" t="s">
        <v>1378</v>
      </c>
      <c r="E339" s="138"/>
      <c r="F339" s="139"/>
      <c r="G339" s="139"/>
      <c r="H339" s="140"/>
      <c r="I339" s="141"/>
      <c r="J339" s="142"/>
      <c r="K339" s="143"/>
    </row>
    <row r="340" spans="1:11" ht="13.2" customHeight="1" x14ac:dyDescent="0.25">
      <c r="A340" s="2"/>
      <c r="B340" s="20" t="s">
        <v>4</v>
      </c>
      <c r="C340" s="21" t="s">
        <v>1235</v>
      </c>
      <c r="D340" s="14"/>
      <c r="E340" s="22"/>
      <c r="F340" s="23"/>
      <c r="G340" s="23"/>
      <c r="H340" s="24" t="s">
        <v>203</v>
      </c>
      <c r="I340" s="45">
        <v>1</v>
      </c>
      <c r="J340" s="25">
        <f>'Harga Satuan Dasar mat'!G102</f>
        <v>203000</v>
      </c>
      <c r="K340" s="26">
        <f>I340*J340</f>
        <v>203000</v>
      </c>
    </row>
    <row r="341" spans="1:11" ht="13.2" customHeight="1" x14ac:dyDescent="0.25">
      <c r="A341" s="2"/>
      <c r="B341" s="20" t="s">
        <v>30</v>
      </c>
      <c r="C341" s="21" t="s">
        <v>1281</v>
      </c>
      <c r="D341" s="14"/>
      <c r="E341" s="22"/>
      <c r="F341" s="23"/>
      <c r="G341" s="23"/>
      <c r="H341" s="24" t="s">
        <v>203</v>
      </c>
      <c r="I341" s="45">
        <v>4</v>
      </c>
      <c r="J341" s="25">
        <f>J305</f>
        <v>14000</v>
      </c>
      <c r="K341" s="26">
        <f t="shared" ref="K341:K344" si="44">I341*J341</f>
        <v>56000</v>
      </c>
    </row>
    <row r="342" spans="1:11" ht="13.2" customHeight="1" x14ac:dyDescent="0.25">
      <c r="A342" s="2"/>
      <c r="B342" s="20" t="s">
        <v>57</v>
      </c>
      <c r="C342" s="21" t="s">
        <v>1284</v>
      </c>
      <c r="D342" s="14"/>
      <c r="E342" s="22"/>
      <c r="F342" s="23"/>
      <c r="G342" s="23"/>
      <c r="H342" s="24" t="s">
        <v>203</v>
      </c>
      <c r="I342" s="65">
        <v>1</v>
      </c>
      <c r="J342" s="25">
        <f>'Harga Satuan Dasar mat'!G570</f>
        <v>51000</v>
      </c>
      <c r="K342" s="26">
        <f t="shared" si="44"/>
        <v>51000</v>
      </c>
    </row>
    <row r="343" spans="1:11" ht="13.2" customHeight="1" x14ac:dyDescent="0.25">
      <c r="A343" s="2"/>
      <c r="B343" s="20" t="s">
        <v>83</v>
      </c>
      <c r="C343" s="21" t="s">
        <v>270</v>
      </c>
      <c r="D343" s="14"/>
      <c r="E343" s="22"/>
      <c r="F343" s="23"/>
      <c r="G343" s="23"/>
      <c r="H343" s="24" t="s">
        <v>203</v>
      </c>
      <c r="I343" s="45">
        <v>2</v>
      </c>
      <c r="J343" s="25">
        <f>'Harga Satuan Dasar mat'!G376</f>
        <v>41000</v>
      </c>
      <c r="K343" s="26">
        <f t="shared" si="44"/>
        <v>82000</v>
      </c>
    </row>
    <row r="344" spans="1:11" ht="13.2" customHeight="1" x14ac:dyDescent="0.25">
      <c r="A344" s="2"/>
      <c r="B344" s="30" t="s">
        <v>110</v>
      </c>
      <c r="C344" s="31" t="s">
        <v>285</v>
      </c>
      <c r="D344" s="32"/>
      <c r="E344" s="33"/>
      <c r="F344" s="34"/>
      <c r="G344" s="34"/>
      <c r="H344" s="43" t="s">
        <v>203</v>
      </c>
      <c r="I344" s="66">
        <v>2</v>
      </c>
      <c r="J344" s="40">
        <f>'Harga Satuan Dasar mat'!G392</f>
        <v>112000</v>
      </c>
      <c r="K344" s="26">
        <f t="shared" si="44"/>
        <v>224000</v>
      </c>
    </row>
    <row r="345" spans="1:11" ht="12.9" customHeight="1" x14ac:dyDescent="0.25">
      <c r="A345" s="6"/>
      <c r="B345" s="7"/>
      <c r="C345" s="8"/>
      <c r="D345" s="8"/>
      <c r="E345" s="8"/>
      <c r="F345" s="8"/>
      <c r="G345" s="9"/>
      <c r="H345" s="10" t="s">
        <v>715</v>
      </c>
      <c r="I345" s="11"/>
      <c r="J345" s="11"/>
      <c r="K345" s="27">
        <f>SUM(K340:K344)</f>
        <v>616000</v>
      </c>
    </row>
    <row r="346" spans="1:11" ht="12.9" customHeight="1" x14ac:dyDescent="0.25">
      <c r="A346" s="6"/>
      <c r="B346" s="5"/>
      <c r="C346" s="3"/>
      <c r="D346" s="3"/>
      <c r="E346" s="3"/>
      <c r="F346" s="3"/>
      <c r="G346" s="4"/>
      <c r="H346" s="12" t="s">
        <v>603</v>
      </c>
      <c r="I346" s="28">
        <f>$K$3</f>
        <v>0.15</v>
      </c>
      <c r="J346" s="13"/>
      <c r="K346" s="29">
        <f>I346*K345</f>
        <v>92400</v>
      </c>
    </row>
    <row r="347" spans="1:11" ht="12.9" customHeight="1" x14ac:dyDescent="0.25">
      <c r="A347" s="6"/>
      <c r="B347" s="5"/>
      <c r="C347" s="3"/>
      <c r="D347" s="3"/>
      <c r="E347" s="3"/>
      <c r="F347" s="3"/>
      <c r="G347" s="4"/>
      <c r="H347" s="12" t="s">
        <v>604</v>
      </c>
      <c r="I347" s="14"/>
      <c r="J347" s="14"/>
      <c r="K347" s="29">
        <f>SUM(K345:K346)</f>
        <v>708400</v>
      </c>
    </row>
    <row r="348" spans="1:11" ht="12.9" customHeight="1" thickBot="1" x14ac:dyDescent="0.3">
      <c r="A348" s="15"/>
      <c r="B348" s="16"/>
      <c r="C348" s="17"/>
      <c r="D348" s="17"/>
      <c r="E348" s="17"/>
      <c r="F348" s="17"/>
      <c r="G348" s="18"/>
      <c r="H348" s="46" t="s">
        <v>605</v>
      </c>
      <c r="I348" s="47"/>
      <c r="J348" s="47"/>
      <c r="K348" s="144">
        <f>ROUND(K347,-1)</f>
        <v>708400</v>
      </c>
    </row>
    <row r="349" spans="1:11" ht="14.1" customHeight="1" x14ac:dyDescent="0.25">
      <c r="A349" s="81">
        <v>34</v>
      </c>
      <c r="B349" s="699" t="s">
        <v>713</v>
      </c>
      <c r="C349" s="700"/>
      <c r="D349" s="137" t="s">
        <v>1379</v>
      </c>
      <c r="E349" s="138"/>
      <c r="F349" s="139"/>
      <c r="G349" s="139"/>
      <c r="H349" s="140"/>
      <c r="I349" s="141"/>
      <c r="J349" s="142"/>
      <c r="K349" s="143"/>
    </row>
    <row r="350" spans="1:11" ht="13.2" customHeight="1" x14ac:dyDescent="0.25">
      <c r="A350" s="2"/>
      <c r="B350" s="20" t="s">
        <v>4</v>
      </c>
      <c r="C350" s="21" t="s">
        <v>1238</v>
      </c>
      <c r="D350" s="14"/>
      <c r="E350" s="22"/>
      <c r="F350" s="23"/>
      <c r="G350" s="23"/>
      <c r="H350" s="24" t="s">
        <v>203</v>
      </c>
      <c r="I350" s="45">
        <v>1</v>
      </c>
      <c r="J350" s="25">
        <f>'Harga Satuan Dasar mat'!G104</f>
        <v>221500</v>
      </c>
      <c r="K350" s="26">
        <f>I350*J350</f>
        <v>221500</v>
      </c>
    </row>
    <row r="351" spans="1:11" ht="13.2" customHeight="1" x14ac:dyDescent="0.25">
      <c r="A351" s="2"/>
      <c r="B351" s="20" t="s">
        <v>30</v>
      </c>
      <c r="C351" s="21" t="s">
        <v>1281</v>
      </c>
      <c r="D351" s="14"/>
      <c r="E351" s="22"/>
      <c r="F351" s="23"/>
      <c r="G351" s="23"/>
      <c r="H351" s="24" t="s">
        <v>203</v>
      </c>
      <c r="I351" s="45">
        <v>4</v>
      </c>
      <c r="J351" s="25">
        <f>J341</f>
        <v>14000</v>
      </c>
      <c r="K351" s="26">
        <f t="shared" ref="K351:K354" si="45">I351*J351</f>
        <v>56000</v>
      </c>
    </row>
    <row r="352" spans="1:11" ht="13.2" customHeight="1" x14ac:dyDescent="0.25">
      <c r="A352" s="2"/>
      <c r="B352" s="20" t="s">
        <v>57</v>
      </c>
      <c r="C352" s="21" t="s">
        <v>1284</v>
      </c>
      <c r="D352" s="14"/>
      <c r="E352" s="22"/>
      <c r="F352" s="23"/>
      <c r="G352" s="23"/>
      <c r="H352" s="24" t="s">
        <v>203</v>
      </c>
      <c r="I352" s="65">
        <v>1</v>
      </c>
      <c r="J352" s="25">
        <f t="shared" ref="J352:J354" si="46">J342</f>
        <v>51000</v>
      </c>
      <c r="K352" s="26">
        <f t="shared" si="45"/>
        <v>51000</v>
      </c>
    </row>
    <row r="353" spans="1:11" ht="13.2" customHeight="1" x14ac:dyDescent="0.25">
      <c r="A353" s="2"/>
      <c r="B353" s="20" t="s">
        <v>83</v>
      </c>
      <c r="C353" s="21" t="s">
        <v>270</v>
      </c>
      <c r="D353" s="14"/>
      <c r="E353" s="22"/>
      <c r="F353" s="23"/>
      <c r="G353" s="23"/>
      <c r="H353" s="24" t="s">
        <v>203</v>
      </c>
      <c r="I353" s="45">
        <v>2</v>
      </c>
      <c r="J353" s="25">
        <f t="shared" si="46"/>
        <v>41000</v>
      </c>
      <c r="K353" s="26">
        <f t="shared" si="45"/>
        <v>82000</v>
      </c>
    </row>
    <row r="354" spans="1:11" ht="13.2" customHeight="1" x14ac:dyDescent="0.25">
      <c r="A354" s="2"/>
      <c r="B354" s="30" t="s">
        <v>110</v>
      </c>
      <c r="C354" s="31" t="s">
        <v>285</v>
      </c>
      <c r="D354" s="32"/>
      <c r="E354" s="33"/>
      <c r="F354" s="34"/>
      <c r="G354" s="34"/>
      <c r="H354" s="43" t="s">
        <v>203</v>
      </c>
      <c r="I354" s="66">
        <v>2</v>
      </c>
      <c r="J354" s="25">
        <f t="shared" si="46"/>
        <v>112000</v>
      </c>
      <c r="K354" s="26">
        <f t="shared" si="45"/>
        <v>224000</v>
      </c>
    </row>
    <row r="355" spans="1:11" ht="12.9" customHeight="1" x14ac:dyDescent="0.25">
      <c r="A355" s="6"/>
      <c r="B355" s="7"/>
      <c r="C355" s="8"/>
      <c r="D355" s="8"/>
      <c r="E355" s="8"/>
      <c r="F355" s="8"/>
      <c r="G355" s="9"/>
      <c r="H355" s="10" t="s">
        <v>715</v>
      </c>
      <c r="I355" s="11"/>
      <c r="J355" s="11"/>
      <c r="K355" s="27">
        <f>SUM(K350:K354)</f>
        <v>634500</v>
      </c>
    </row>
    <row r="356" spans="1:11" ht="12.9" customHeight="1" x14ac:dyDescent="0.25">
      <c r="A356" s="6"/>
      <c r="B356" s="5"/>
      <c r="C356" s="3"/>
      <c r="D356" s="3"/>
      <c r="E356" s="3"/>
      <c r="F356" s="3"/>
      <c r="G356" s="4"/>
      <c r="H356" s="12" t="s">
        <v>603</v>
      </c>
      <c r="I356" s="28">
        <f>$K$3</f>
        <v>0.15</v>
      </c>
      <c r="J356" s="13"/>
      <c r="K356" s="29">
        <f>I356*K355</f>
        <v>95175</v>
      </c>
    </row>
    <row r="357" spans="1:11" ht="12.9" customHeight="1" x14ac:dyDescent="0.25">
      <c r="A357" s="6"/>
      <c r="B357" s="5"/>
      <c r="C357" s="3"/>
      <c r="D357" s="3"/>
      <c r="E357" s="3"/>
      <c r="F357" s="3"/>
      <c r="G357" s="4"/>
      <c r="H357" s="12" t="s">
        <v>604</v>
      </c>
      <c r="I357" s="14"/>
      <c r="J357" s="14"/>
      <c r="K357" s="29">
        <f>SUM(K355:K356)</f>
        <v>729675</v>
      </c>
    </row>
    <row r="358" spans="1:11" ht="12.9" customHeight="1" thickBot="1" x14ac:dyDescent="0.3">
      <c r="A358" s="15"/>
      <c r="B358" s="16"/>
      <c r="C358" s="17"/>
      <c r="D358" s="17"/>
      <c r="E358" s="17"/>
      <c r="F358" s="17"/>
      <c r="G358" s="18"/>
      <c r="H358" s="46" t="s">
        <v>605</v>
      </c>
      <c r="I358" s="47"/>
      <c r="J358" s="47"/>
      <c r="K358" s="144">
        <f>ROUND(K357,-1)</f>
        <v>729680</v>
      </c>
    </row>
    <row r="359" spans="1:11" ht="14.1" customHeight="1" x14ac:dyDescent="0.25">
      <c r="A359" s="81">
        <v>35</v>
      </c>
      <c r="B359" s="699" t="s">
        <v>713</v>
      </c>
      <c r="C359" s="700"/>
      <c r="D359" s="137" t="s">
        <v>1380</v>
      </c>
      <c r="E359" s="138"/>
      <c r="F359" s="139"/>
      <c r="G359" s="139"/>
      <c r="H359" s="140"/>
      <c r="I359" s="141"/>
      <c r="J359" s="142"/>
      <c r="K359" s="143"/>
    </row>
    <row r="360" spans="1:11" ht="13.2" customHeight="1" x14ac:dyDescent="0.25">
      <c r="A360" s="2"/>
      <c r="B360" s="20" t="s">
        <v>4</v>
      </c>
      <c r="C360" s="21" t="s">
        <v>1240</v>
      </c>
      <c r="D360" s="14"/>
      <c r="E360" s="22"/>
      <c r="F360" s="23"/>
      <c r="G360" s="23"/>
      <c r="H360" s="24" t="s">
        <v>203</v>
      </c>
      <c r="I360" s="45">
        <v>1</v>
      </c>
      <c r="J360" s="25">
        <f>'Harga Satuan Dasar mat'!G100</f>
        <v>184000</v>
      </c>
      <c r="K360" s="26">
        <f>I360*J360</f>
        <v>184000</v>
      </c>
    </row>
    <row r="361" spans="1:11" ht="13.2" customHeight="1" x14ac:dyDescent="0.25">
      <c r="A361" s="2"/>
      <c r="B361" s="20" t="s">
        <v>30</v>
      </c>
      <c r="C361" s="21" t="s">
        <v>1281</v>
      </c>
      <c r="D361" s="14"/>
      <c r="E361" s="22"/>
      <c r="F361" s="23"/>
      <c r="G361" s="23"/>
      <c r="H361" s="24" t="s">
        <v>203</v>
      </c>
      <c r="I361" s="45">
        <v>4</v>
      </c>
      <c r="J361" s="25">
        <f t="shared" ref="J361:J364" si="47">J351</f>
        <v>14000</v>
      </c>
      <c r="K361" s="26">
        <f t="shared" ref="K361:K364" si="48">I361*J361</f>
        <v>56000</v>
      </c>
    </row>
    <row r="362" spans="1:11" ht="13.2" customHeight="1" x14ac:dyDescent="0.25">
      <c r="A362" s="2"/>
      <c r="B362" s="20" t="s">
        <v>57</v>
      </c>
      <c r="C362" s="21" t="s">
        <v>1284</v>
      </c>
      <c r="D362" s="14"/>
      <c r="E362" s="22"/>
      <c r="F362" s="23"/>
      <c r="G362" s="23"/>
      <c r="H362" s="24" t="s">
        <v>203</v>
      </c>
      <c r="I362" s="65">
        <v>1</v>
      </c>
      <c r="J362" s="25">
        <f t="shared" si="47"/>
        <v>51000</v>
      </c>
      <c r="K362" s="26">
        <f t="shared" si="48"/>
        <v>51000</v>
      </c>
    </row>
    <row r="363" spans="1:11" ht="13.2" customHeight="1" x14ac:dyDescent="0.25">
      <c r="A363" s="2"/>
      <c r="B363" s="20" t="s">
        <v>83</v>
      </c>
      <c r="C363" s="21" t="s">
        <v>270</v>
      </c>
      <c r="D363" s="14"/>
      <c r="E363" s="22"/>
      <c r="F363" s="23"/>
      <c r="G363" s="23"/>
      <c r="H363" s="24" t="s">
        <v>203</v>
      </c>
      <c r="I363" s="45">
        <v>2</v>
      </c>
      <c r="J363" s="25">
        <f t="shared" si="47"/>
        <v>41000</v>
      </c>
      <c r="K363" s="26">
        <f t="shared" si="48"/>
        <v>82000</v>
      </c>
    </row>
    <row r="364" spans="1:11" ht="13.2" customHeight="1" x14ac:dyDescent="0.25">
      <c r="A364" s="2"/>
      <c r="B364" s="30" t="s">
        <v>110</v>
      </c>
      <c r="C364" s="31" t="s">
        <v>285</v>
      </c>
      <c r="D364" s="32"/>
      <c r="E364" s="33"/>
      <c r="F364" s="34"/>
      <c r="G364" s="34"/>
      <c r="H364" s="43" t="s">
        <v>203</v>
      </c>
      <c r="I364" s="66">
        <v>2</v>
      </c>
      <c r="J364" s="25">
        <f t="shared" si="47"/>
        <v>112000</v>
      </c>
      <c r="K364" s="26">
        <f t="shared" si="48"/>
        <v>224000</v>
      </c>
    </row>
    <row r="365" spans="1:11" ht="12.9" customHeight="1" x14ac:dyDescent="0.25">
      <c r="A365" s="6"/>
      <c r="B365" s="7"/>
      <c r="C365" s="8"/>
      <c r="D365" s="8"/>
      <c r="E365" s="8"/>
      <c r="F365" s="8"/>
      <c r="G365" s="9"/>
      <c r="H365" s="10" t="s">
        <v>715</v>
      </c>
      <c r="I365" s="11"/>
      <c r="J365" s="11"/>
      <c r="K365" s="27">
        <f>SUM(K360:K364)</f>
        <v>597000</v>
      </c>
    </row>
    <row r="366" spans="1:11" ht="12.9" customHeight="1" x14ac:dyDescent="0.25">
      <c r="A366" s="6"/>
      <c r="B366" s="5"/>
      <c r="C366" s="3"/>
      <c r="D366" s="3"/>
      <c r="E366" s="3"/>
      <c r="F366" s="3"/>
      <c r="G366" s="4"/>
      <c r="H366" s="12" t="s">
        <v>603</v>
      </c>
      <c r="I366" s="28">
        <f>$K$3</f>
        <v>0.15</v>
      </c>
      <c r="J366" s="13"/>
      <c r="K366" s="29">
        <f>I366*K365</f>
        <v>89550</v>
      </c>
    </row>
    <row r="367" spans="1:11" ht="12.9" customHeight="1" x14ac:dyDescent="0.25">
      <c r="A367" s="6"/>
      <c r="B367" s="5"/>
      <c r="C367" s="3"/>
      <c r="D367" s="3"/>
      <c r="E367" s="3"/>
      <c r="F367" s="3"/>
      <c r="G367" s="4"/>
      <c r="H367" s="12" t="s">
        <v>604</v>
      </c>
      <c r="I367" s="14"/>
      <c r="J367" s="14"/>
      <c r="K367" s="29">
        <f>SUM(K365:K366)</f>
        <v>686550</v>
      </c>
    </row>
    <row r="368" spans="1:11" ht="12.9" customHeight="1" thickBot="1" x14ac:dyDescent="0.3">
      <c r="A368" s="15"/>
      <c r="B368" s="16"/>
      <c r="C368" s="17"/>
      <c r="D368" s="17"/>
      <c r="E368" s="17"/>
      <c r="F368" s="17"/>
      <c r="G368" s="18"/>
      <c r="H368" s="46" t="s">
        <v>605</v>
      </c>
      <c r="I368" s="47"/>
      <c r="J368" s="47"/>
      <c r="K368" s="144">
        <f>ROUND(K367,-1)</f>
        <v>686550</v>
      </c>
    </row>
    <row r="369" spans="1:11" ht="14.1" customHeight="1" x14ac:dyDescent="0.25">
      <c r="A369" s="81">
        <v>36</v>
      </c>
      <c r="B369" s="699" t="s">
        <v>713</v>
      </c>
      <c r="C369" s="700"/>
      <c r="D369" s="137" t="s">
        <v>1381</v>
      </c>
      <c r="E369" s="138"/>
      <c r="F369" s="139"/>
      <c r="G369" s="139"/>
      <c r="H369" s="140"/>
      <c r="I369" s="141"/>
      <c r="J369" s="142"/>
      <c r="K369" s="143"/>
    </row>
    <row r="370" spans="1:11" ht="13.2" customHeight="1" x14ac:dyDescent="0.25">
      <c r="A370" s="2"/>
      <c r="B370" s="20" t="s">
        <v>4</v>
      </c>
      <c r="C370" s="21" t="s">
        <v>1242</v>
      </c>
      <c r="D370" s="14"/>
      <c r="E370" s="22"/>
      <c r="F370" s="23"/>
      <c r="G370" s="23"/>
      <c r="H370" s="24" t="s">
        <v>203</v>
      </c>
      <c r="I370" s="45">
        <v>1</v>
      </c>
      <c r="J370" s="25">
        <f>'Harga Satuan Dasar mat'!G98</f>
        <v>164500</v>
      </c>
      <c r="K370" s="26">
        <f>I370*J370</f>
        <v>164500</v>
      </c>
    </row>
    <row r="371" spans="1:11" ht="13.2" customHeight="1" x14ac:dyDescent="0.25">
      <c r="A371" s="2"/>
      <c r="B371" s="20" t="s">
        <v>30</v>
      </c>
      <c r="C371" s="21" t="s">
        <v>1281</v>
      </c>
      <c r="D371" s="14"/>
      <c r="E371" s="22"/>
      <c r="F371" s="23"/>
      <c r="G371" s="23"/>
      <c r="H371" s="24" t="s">
        <v>203</v>
      </c>
      <c r="I371" s="45">
        <v>4</v>
      </c>
      <c r="J371" s="25">
        <f t="shared" ref="J371:J374" si="49">J361</f>
        <v>14000</v>
      </c>
      <c r="K371" s="26">
        <f t="shared" ref="K371:K374" si="50">I371*J371</f>
        <v>56000</v>
      </c>
    </row>
    <row r="372" spans="1:11" ht="13.2" customHeight="1" x14ac:dyDescent="0.25">
      <c r="A372" s="2"/>
      <c r="B372" s="20" t="s">
        <v>57</v>
      </c>
      <c r="C372" s="21" t="s">
        <v>1284</v>
      </c>
      <c r="D372" s="14"/>
      <c r="E372" s="22"/>
      <c r="F372" s="23"/>
      <c r="G372" s="23"/>
      <c r="H372" s="24" t="s">
        <v>203</v>
      </c>
      <c r="I372" s="65">
        <v>1</v>
      </c>
      <c r="J372" s="25">
        <f t="shared" si="49"/>
        <v>51000</v>
      </c>
      <c r="K372" s="26">
        <f t="shared" si="50"/>
        <v>51000</v>
      </c>
    </row>
    <row r="373" spans="1:11" ht="13.2" customHeight="1" x14ac:dyDescent="0.25">
      <c r="A373" s="2"/>
      <c r="B373" s="20" t="s">
        <v>83</v>
      </c>
      <c r="C373" s="21" t="s">
        <v>270</v>
      </c>
      <c r="D373" s="14"/>
      <c r="E373" s="22"/>
      <c r="F373" s="23"/>
      <c r="G373" s="23"/>
      <c r="H373" s="24" t="s">
        <v>203</v>
      </c>
      <c r="I373" s="45">
        <v>2</v>
      </c>
      <c r="J373" s="25">
        <f t="shared" si="49"/>
        <v>41000</v>
      </c>
      <c r="K373" s="26">
        <f t="shared" si="50"/>
        <v>82000</v>
      </c>
    </row>
    <row r="374" spans="1:11" ht="13.2" customHeight="1" x14ac:dyDescent="0.25">
      <c r="A374" s="2"/>
      <c r="B374" s="30" t="s">
        <v>110</v>
      </c>
      <c r="C374" s="31" t="s">
        <v>285</v>
      </c>
      <c r="D374" s="32"/>
      <c r="E374" s="33"/>
      <c r="F374" s="34"/>
      <c r="G374" s="34"/>
      <c r="H374" s="43" t="s">
        <v>203</v>
      </c>
      <c r="I374" s="66">
        <v>2</v>
      </c>
      <c r="J374" s="25">
        <f t="shared" si="49"/>
        <v>112000</v>
      </c>
      <c r="K374" s="26">
        <f t="shared" si="50"/>
        <v>224000</v>
      </c>
    </row>
    <row r="375" spans="1:11" ht="12.9" customHeight="1" x14ac:dyDescent="0.25">
      <c r="A375" s="6"/>
      <c r="B375" s="7"/>
      <c r="C375" s="8"/>
      <c r="D375" s="8"/>
      <c r="E375" s="8"/>
      <c r="F375" s="8"/>
      <c r="G375" s="9"/>
      <c r="H375" s="10" t="s">
        <v>715</v>
      </c>
      <c r="I375" s="11"/>
      <c r="J375" s="11"/>
      <c r="K375" s="27">
        <f>SUM(K370:K374)</f>
        <v>577500</v>
      </c>
    </row>
    <row r="376" spans="1:11" ht="12.9" customHeight="1" x14ac:dyDescent="0.25">
      <c r="A376" s="6"/>
      <c r="B376" s="5"/>
      <c r="C376" s="3"/>
      <c r="D376" s="3"/>
      <c r="E376" s="3"/>
      <c r="F376" s="3"/>
      <c r="G376" s="4"/>
      <c r="H376" s="12" t="s">
        <v>603</v>
      </c>
      <c r="I376" s="28">
        <f>$K$3</f>
        <v>0.15</v>
      </c>
      <c r="J376" s="13"/>
      <c r="K376" s="29">
        <f>I376*K375</f>
        <v>86625</v>
      </c>
    </row>
    <row r="377" spans="1:11" ht="12.9" customHeight="1" x14ac:dyDescent="0.25">
      <c r="A377" s="6"/>
      <c r="B377" s="5"/>
      <c r="C377" s="3"/>
      <c r="D377" s="3"/>
      <c r="E377" s="3"/>
      <c r="F377" s="3"/>
      <c r="G377" s="4"/>
      <c r="H377" s="12" t="s">
        <v>604</v>
      </c>
      <c r="I377" s="14"/>
      <c r="J377" s="14"/>
      <c r="K377" s="29">
        <f>SUM(K375:K376)</f>
        <v>664125</v>
      </c>
    </row>
    <row r="378" spans="1:11" ht="12.9" customHeight="1" thickBot="1" x14ac:dyDescent="0.3">
      <c r="A378" s="15"/>
      <c r="B378" s="16"/>
      <c r="C378" s="17"/>
      <c r="D378" s="17"/>
      <c r="E378" s="17"/>
      <c r="F378" s="17"/>
      <c r="G378" s="18"/>
      <c r="H378" s="46" t="s">
        <v>605</v>
      </c>
      <c r="I378" s="47"/>
      <c r="J378" s="47"/>
      <c r="K378" s="144">
        <f>ROUND(K377,-1)</f>
        <v>664130</v>
      </c>
    </row>
    <row r="379" spans="1:11" ht="14.1" customHeight="1" x14ac:dyDescent="0.25">
      <c r="A379" s="81">
        <v>37</v>
      </c>
      <c r="B379" s="699" t="s">
        <v>713</v>
      </c>
      <c r="C379" s="700"/>
      <c r="D379" s="137" t="s">
        <v>1382</v>
      </c>
      <c r="E379" s="138"/>
      <c r="F379" s="139"/>
      <c r="G379" s="139"/>
      <c r="H379" s="140"/>
      <c r="I379" s="141"/>
      <c r="J379" s="142"/>
      <c r="K379" s="143"/>
    </row>
    <row r="380" spans="1:11" ht="13.2" customHeight="1" x14ac:dyDescent="0.25">
      <c r="A380" s="2"/>
      <c r="B380" s="20" t="s">
        <v>4</v>
      </c>
      <c r="C380" s="21" t="s">
        <v>1235</v>
      </c>
      <c r="D380" s="14"/>
      <c r="E380" s="22"/>
      <c r="F380" s="23"/>
      <c r="G380" s="23"/>
      <c r="H380" s="24" t="s">
        <v>203</v>
      </c>
      <c r="I380" s="45">
        <v>1</v>
      </c>
      <c r="J380" s="25">
        <f>J304</f>
        <v>203000</v>
      </c>
      <c r="K380" s="26">
        <f>I380*J380</f>
        <v>203000</v>
      </c>
    </row>
    <row r="381" spans="1:11" ht="13.2" customHeight="1" x14ac:dyDescent="0.25">
      <c r="A381" s="2"/>
      <c r="B381" s="20" t="s">
        <v>30</v>
      </c>
      <c r="C381" s="21" t="s">
        <v>1281</v>
      </c>
      <c r="D381" s="14"/>
      <c r="E381" s="22"/>
      <c r="F381" s="23"/>
      <c r="G381" s="23"/>
      <c r="H381" s="24" t="s">
        <v>203</v>
      </c>
      <c r="I381" s="45">
        <v>4</v>
      </c>
      <c r="J381" s="25">
        <f>J305</f>
        <v>14000</v>
      </c>
      <c r="K381" s="26">
        <f t="shared" ref="K381:K383" si="51">I381*J381</f>
        <v>56000</v>
      </c>
    </row>
    <row r="382" spans="1:11" ht="13.2" customHeight="1" x14ac:dyDescent="0.25">
      <c r="A382" s="2"/>
      <c r="B382" s="20" t="s">
        <v>57</v>
      </c>
      <c r="C382" s="21" t="s">
        <v>1283</v>
      </c>
      <c r="D382" s="14"/>
      <c r="E382" s="22"/>
      <c r="F382" s="23"/>
      <c r="G382" s="23"/>
      <c r="H382" s="24" t="s">
        <v>203</v>
      </c>
      <c r="I382" s="65">
        <v>2</v>
      </c>
      <c r="J382" s="25">
        <f>J306</f>
        <v>51000</v>
      </c>
      <c r="K382" s="26">
        <f t="shared" si="51"/>
        <v>102000</v>
      </c>
    </row>
    <row r="383" spans="1:11" ht="13.2" customHeight="1" x14ac:dyDescent="0.25">
      <c r="A383" s="2"/>
      <c r="B383" s="20" t="s">
        <v>83</v>
      </c>
      <c r="C383" s="21" t="s">
        <v>1282</v>
      </c>
      <c r="D383" s="14"/>
      <c r="E383" s="22"/>
      <c r="F383" s="23"/>
      <c r="G383" s="23"/>
      <c r="H383" s="24" t="s">
        <v>203</v>
      </c>
      <c r="I383" s="45">
        <v>4</v>
      </c>
      <c r="J383" s="25">
        <f>J307</f>
        <v>46000</v>
      </c>
      <c r="K383" s="26">
        <f t="shared" si="51"/>
        <v>184000</v>
      </c>
    </row>
    <row r="384" spans="1:11" ht="12.9" customHeight="1" x14ac:dyDescent="0.25">
      <c r="A384" s="6"/>
      <c r="B384" s="7"/>
      <c r="C384" s="8"/>
      <c r="D384" s="8"/>
      <c r="E384" s="8"/>
      <c r="F384" s="8"/>
      <c r="G384" s="9"/>
      <c r="H384" s="10" t="s">
        <v>715</v>
      </c>
      <c r="I384" s="11"/>
      <c r="J384" s="11"/>
      <c r="K384" s="27">
        <f>SUM(K380:K383)</f>
        <v>545000</v>
      </c>
    </row>
    <row r="385" spans="1:11" ht="12.9" customHeight="1" x14ac:dyDescent="0.25">
      <c r="A385" s="6"/>
      <c r="B385" s="5"/>
      <c r="C385" s="3"/>
      <c r="D385" s="3"/>
      <c r="E385" s="3"/>
      <c r="F385" s="3"/>
      <c r="G385" s="4"/>
      <c r="H385" s="12" t="s">
        <v>603</v>
      </c>
      <c r="I385" s="28">
        <f>$K$3</f>
        <v>0.15</v>
      </c>
      <c r="J385" s="13"/>
      <c r="K385" s="29">
        <f>I385*K384</f>
        <v>81750</v>
      </c>
    </row>
    <row r="386" spans="1:11" ht="12.9" customHeight="1" x14ac:dyDescent="0.25">
      <c r="A386" s="6"/>
      <c r="B386" s="5"/>
      <c r="C386" s="3"/>
      <c r="D386" s="3"/>
      <c r="E386" s="3"/>
      <c r="F386" s="3"/>
      <c r="G386" s="4"/>
      <c r="H386" s="12" t="s">
        <v>604</v>
      </c>
      <c r="I386" s="14"/>
      <c r="J386" s="14"/>
      <c r="K386" s="29">
        <f>SUM(K384:K385)</f>
        <v>626750</v>
      </c>
    </row>
    <row r="387" spans="1:11" ht="12.9" customHeight="1" thickBot="1" x14ac:dyDescent="0.3">
      <c r="A387" s="15"/>
      <c r="B387" s="16"/>
      <c r="C387" s="17"/>
      <c r="D387" s="17"/>
      <c r="E387" s="17"/>
      <c r="F387" s="17"/>
      <c r="G387" s="18"/>
      <c r="H387" s="46" t="s">
        <v>605</v>
      </c>
      <c r="I387" s="47"/>
      <c r="J387" s="47"/>
      <c r="K387" s="144">
        <f>ROUND(K386,-1)</f>
        <v>626750</v>
      </c>
    </row>
    <row r="388" spans="1:11" ht="14.1" customHeight="1" x14ac:dyDescent="0.25">
      <c r="A388" s="81">
        <v>38</v>
      </c>
      <c r="B388" s="699" t="s">
        <v>713</v>
      </c>
      <c r="C388" s="700"/>
      <c r="D388" s="137" t="s">
        <v>1383</v>
      </c>
      <c r="E388" s="138"/>
      <c r="F388" s="139"/>
      <c r="G388" s="139"/>
      <c r="H388" s="140"/>
      <c r="I388" s="141"/>
      <c r="J388" s="142"/>
      <c r="K388" s="143"/>
    </row>
    <row r="389" spans="1:11" ht="13.2" customHeight="1" x14ac:dyDescent="0.25">
      <c r="A389" s="2"/>
      <c r="B389" s="20" t="s">
        <v>4</v>
      </c>
      <c r="C389" s="21" t="s">
        <v>1238</v>
      </c>
      <c r="D389" s="14"/>
      <c r="E389" s="22"/>
      <c r="F389" s="23"/>
      <c r="G389" s="23"/>
      <c r="H389" s="24" t="s">
        <v>203</v>
      </c>
      <c r="I389" s="45">
        <v>1</v>
      </c>
      <c r="J389" s="25">
        <f>J313</f>
        <v>221500</v>
      </c>
      <c r="K389" s="26">
        <f>I389*J389</f>
        <v>221500</v>
      </c>
    </row>
    <row r="390" spans="1:11" ht="13.2" customHeight="1" x14ac:dyDescent="0.25">
      <c r="A390" s="2"/>
      <c r="B390" s="20" t="s">
        <v>30</v>
      </c>
      <c r="C390" s="21" t="s">
        <v>1281</v>
      </c>
      <c r="D390" s="14"/>
      <c r="E390" s="22"/>
      <c r="F390" s="23"/>
      <c r="G390" s="23"/>
      <c r="H390" s="24" t="s">
        <v>203</v>
      </c>
      <c r="I390" s="45">
        <v>4</v>
      </c>
      <c r="J390" s="25">
        <f>J314</f>
        <v>14000</v>
      </c>
      <c r="K390" s="26">
        <f t="shared" ref="K390:K392" si="52">I390*J390</f>
        <v>56000</v>
      </c>
    </row>
    <row r="391" spans="1:11" ht="13.2" customHeight="1" x14ac:dyDescent="0.25">
      <c r="A391" s="2"/>
      <c r="B391" s="20" t="s">
        <v>57</v>
      </c>
      <c r="C391" s="21" t="s">
        <v>1283</v>
      </c>
      <c r="D391" s="14"/>
      <c r="E391" s="22"/>
      <c r="F391" s="23"/>
      <c r="G391" s="23"/>
      <c r="H391" s="24" t="s">
        <v>203</v>
      </c>
      <c r="I391" s="65">
        <v>2</v>
      </c>
      <c r="J391" s="25">
        <f>J315</f>
        <v>51000</v>
      </c>
      <c r="K391" s="26">
        <f t="shared" si="52"/>
        <v>102000</v>
      </c>
    </row>
    <row r="392" spans="1:11" ht="13.2" customHeight="1" x14ac:dyDescent="0.25">
      <c r="A392" s="2"/>
      <c r="B392" s="20" t="s">
        <v>83</v>
      </c>
      <c r="C392" s="21" t="s">
        <v>1282</v>
      </c>
      <c r="D392" s="14"/>
      <c r="E392" s="22"/>
      <c r="F392" s="23"/>
      <c r="G392" s="23"/>
      <c r="H392" s="24" t="s">
        <v>203</v>
      </c>
      <c r="I392" s="45">
        <v>4</v>
      </c>
      <c r="J392" s="25">
        <f>J316</f>
        <v>46000</v>
      </c>
      <c r="K392" s="26">
        <f t="shared" si="52"/>
        <v>184000</v>
      </c>
    </row>
    <row r="393" spans="1:11" ht="12.9" customHeight="1" x14ac:dyDescent="0.25">
      <c r="A393" s="6"/>
      <c r="B393" s="7"/>
      <c r="C393" s="8"/>
      <c r="D393" s="8"/>
      <c r="E393" s="8"/>
      <c r="F393" s="8"/>
      <c r="G393" s="9"/>
      <c r="H393" s="10" t="s">
        <v>715</v>
      </c>
      <c r="I393" s="11"/>
      <c r="J393" s="11"/>
      <c r="K393" s="27">
        <f>SUM(K389:K392)</f>
        <v>563500</v>
      </c>
    </row>
    <row r="394" spans="1:11" ht="12.9" customHeight="1" x14ac:dyDescent="0.25">
      <c r="A394" s="6"/>
      <c r="B394" s="5"/>
      <c r="C394" s="3"/>
      <c r="D394" s="3"/>
      <c r="E394" s="3"/>
      <c r="F394" s="3"/>
      <c r="G394" s="4"/>
      <c r="H394" s="12" t="s">
        <v>603</v>
      </c>
      <c r="I394" s="28">
        <f>$K$3</f>
        <v>0.15</v>
      </c>
      <c r="J394" s="13"/>
      <c r="K394" s="29">
        <f>I394*K393</f>
        <v>84525</v>
      </c>
    </row>
    <row r="395" spans="1:11" ht="12.9" customHeight="1" x14ac:dyDescent="0.25">
      <c r="A395" s="6"/>
      <c r="B395" s="5"/>
      <c r="C395" s="3"/>
      <c r="D395" s="3"/>
      <c r="E395" s="3"/>
      <c r="F395" s="3"/>
      <c r="G395" s="4"/>
      <c r="H395" s="12" t="s">
        <v>604</v>
      </c>
      <c r="I395" s="14"/>
      <c r="J395" s="14"/>
      <c r="K395" s="29">
        <f>SUM(K393:K394)</f>
        <v>648025</v>
      </c>
    </row>
    <row r="396" spans="1:11" ht="12.9" customHeight="1" thickBot="1" x14ac:dyDescent="0.3">
      <c r="A396" s="15"/>
      <c r="B396" s="16"/>
      <c r="C396" s="17"/>
      <c r="D396" s="17"/>
      <c r="E396" s="17"/>
      <c r="F396" s="17"/>
      <c r="G396" s="18"/>
      <c r="H396" s="46" t="s">
        <v>605</v>
      </c>
      <c r="I396" s="47"/>
      <c r="J396" s="47"/>
      <c r="K396" s="144">
        <f>ROUND(K395,-1)</f>
        <v>648030</v>
      </c>
    </row>
    <row r="397" spans="1:11" ht="14.1" customHeight="1" x14ac:dyDescent="0.25">
      <c r="A397" s="81">
        <v>39</v>
      </c>
      <c r="B397" s="699" t="s">
        <v>713</v>
      </c>
      <c r="C397" s="700"/>
      <c r="D397" s="137" t="s">
        <v>1384</v>
      </c>
      <c r="E397" s="138"/>
      <c r="F397" s="139"/>
      <c r="G397" s="139"/>
      <c r="H397" s="140"/>
      <c r="I397" s="141"/>
      <c r="J397" s="142"/>
      <c r="K397" s="143"/>
    </row>
    <row r="398" spans="1:11" ht="13.2" customHeight="1" x14ac:dyDescent="0.25">
      <c r="A398" s="2"/>
      <c r="B398" s="20" t="s">
        <v>4</v>
      </c>
      <c r="C398" s="21" t="s">
        <v>1240</v>
      </c>
      <c r="D398" s="14"/>
      <c r="E398" s="22"/>
      <c r="F398" s="23"/>
      <c r="G398" s="23"/>
      <c r="H398" s="24" t="s">
        <v>203</v>
      </c>
      <c r="I398" s="45">
        <v>1</v>
      </c>
      <c r="J398" s="25">
        <f>J322</f>
        <v>184000</v>
      </c>
      <c r="K398" s="26">
        <f>I398*J398</f>
        <v>184000</v>
      </c>
    </row>
    <row r="399" spans="1:11" ht="13.2" customHeight="1" x14ac:dyDescent="0.25">
      <c r="A399" s="2"/>
      <c r="B399" s="20" t="s">
        <v>30</v>
      </c>
      <c r="C399" s="21" t="s">
        <v>1281</v>
      </c>
      <c r="D399" s="14"/>
      <c r="E399" s="22"/>
      <c r="F399" s="23"/>
      <c r="G399" s="23"/>
      <c r="H399" s="24" t="s">
        <v>203</v>
      </c>
      <c r="I399" s="45">
        <v>4</v>
      </c>
      <c r="J399" s="25">
        <f>J323</f>
        <v>14000</v>
      </c>
      <c r="K399" s="26">
        <f t="shared" ref="K399:K401" si="53">I399*J399</f>
        <v>56000</v>
      </c>
    </row>
    <row r="400" spans="1:11" ht="13.2" customHeight="1" x14ac:dyDescent="0.25">
      <c r="A400" s="2"/>
      <c r="B400" s="20" t="s">
        <v>57</v>
      </c>
      <c r="C400" s="21" t="s">
        <v>1283</v>
      </c>
      <c r="D400" s="14"/>
      <c r="E400" s="22"/>
      <c r="F400" s="23"/>
      <c r="G400" s="23"/>
      <c r="H400" s="24" t="s">
        <v>203</v>
      </c>
      <c r="I400" s="65">
        <v>2</v>
      </c>
      <c r="J400" s="25">
        <f>J324</f>
        <v>51000</v>
      </c>
      <c r="K400" s="26">
        <f t="shared" si="53"/>
        <v>102000</v>
      </c>
    </row>
    <row r="401" spans="1:11" ht="13.2" customHeight="1" x14ac:dyDescent="0.25">
      <c r="A401" s="2"/>
      <c r="B401" s="20" t="s">
        <v>83</v>
      </c>
      <c r="C401" s="21" t="s">
        <v>1282</v>
      </c>
      <c r="D401" s="14"/>
      <c r="E401" s="22"/>
      <c r="F401" s="23"/>
      <c r="G401" s="23"/>
      <c r="H401" s="24" t="s">
        <v>203</v>
      </c>
      <c r="I401" s="45">
        <v>4</v>
      </c>
      <c r="J401" s="25">
        <f>J325</f>
        <v>46000</v>
      </c>
      <c r="K401" s="26">
        <f t="shared" si="53"/>
        <v>184000</v>
      </c>
    </row>
    <row r="402" spans="1:11" ht="12.9" customHeight="1" x14ac:dyDescent="0.25">
      <c r="A402" s="6"/>
      <c r="B402" s="7"/>
      <c r="C402" s="8"/>
      <c r="D402" s="8"/>
      <c r="E402" s="8"/>
      <c r="F402" s="8"/>
      <c r="G402" s="9"/>
      <c r="H402" s="10" t="s">
        <v>715</v>
      </c>
      <c r="I402" s="11"/>
      <c r="J402" s="11"/>
      <c r="K402" s="27">
        <f>SUM(K398:K401)</f>
        <v>526000</v>
      </c>
    </row>
    <row r="403" spans="1:11" ht="12.9" customHeight="1" x14ac:dyDescent="0.25">
      <c r="A403" s="6"/>
      <c r="B403" s="5"/>
      <c r="C403" s="3"/>
      <c r="D403" s="3"/>
      <c r="E403" s="3"/>
      <c r="F403" s="3"/>
      <c r="G403" s="4"/>
      <c r="H403" s="12" t="s">
        <v>603</v>
      </c>
      <c r="I403" s="28">
        <f>$K$3</f>
        <v>0.15</v>
      </c>
      <c r="J403" s="13"/>
      <c r="K403" s="29">
        <f>I403*K402</f>
        <v>78900</v>
      </c>
    </row>
    <row r="404" spans="1:11" ht="12.9" customHeight="1" x14ac:dyDescent="0.25">
      <c r="A404" s="6"/>
      <c r="B404" s="5"/>
      <c r="C404" s="3"/>
      <c r="D404" s="3"/>
      <c r="E404" s="3"/>
      <c r="F404" s="3"/>
      <c r="G404" s="4"/>
      <c r="H404" s="12" t="s">
        <v>604</v>
      </c>
      <c r="I404" s="14"/>
      <c r="J404" s="14"/>
      <c r="K404" s="29">
        <f>SUM(K402:K403)</f>
        <v>604900</v>
      </c>
    </row>
    <row r="405" spans="1:11" ht="12.9" customHeight="1" thickBot="1" x14ac:dyDescent="0.3">
      <c r="A405" s="15"/>
      <c r="B405" s="16"/>
      <c r="C405" s="17"/>
      <c r="D405" s="17"/>
      <c r="E405" s="17"/>
      <c r="F405" s="17"/>
      <c r="G405" s="18"/>
      <c r="H405" s="46" t="s">
        <v>605</v>
      </c>
      <c r="I405" s="47"/>
      <c r="J405" s="47"/>
      <c r="K405" s="144">
        <f>ROUND(K404,-1)</f>
        <v>604900</v>
      </c>
    </row>
    <row r="406" spans="1:11" ht="14.1" customHeight="1" x14ac:dyDescent="0.25">
      <c r="A406" s="81">
        <v>40</v>
      </c>
      <c r="B406" s="699" t="s">
        <v>713</v>
      </c>
      <c r="C406" s="700"/>
      <c r="D406" s="137" t="s">
        <v>1385</v>
      </c>
      <c r="E406" s="138"/>
      <c r="F406" s="139"/>
      <c r="G406" s="139"/>
      <c r="H406" s="140"/>
      <c r="I406" s="141"/>
      <c r="J406" s="142"/>
      <c r="K406" s="143"/>
    </row>
    <row r="407" spans="1:11" ht="13.2" customHeight="1" x14ac:dyDescent="0.25">
      <c r="A407" s="2"/>
      <c r="B407" s="20" t="s">
        <v>4</v>
      </c>
      <c r="C407" s="21" t="s">
        <v>1242</v>
      </c>
      <c r="D407" s="14"/>
      <c r="E407" s="22"/>
      <c r="F407" s="23"/>
      <c r="G407" s="23"/>
      <c r="H407" s="24" t="s">
        <v>203</v>
      </c>
      <c r="I407" s="45">
        <v>1</v>
      </c>
      <c r="J407" s="25">
        <f>J331</f>
        <v>164500</v>
      </c>
      <c r="K407" s="26">
        <f>I407*J407</f>
        <v>164500</v>
      </c>
    </row>
    <row r="408" spans="1:11" ht="13.2" customHeight="1" x14ac:dyDescent="0.25">
      <c r="A408" s="2"/>
      <c r="B408" s="20" t="s">
        <v>30</v>
      </c>
      <c r="C408" s="21" t="s">
        <v>1281</v>
      </c>
      <c r="D408" s="14"/>
      <c r="E408" s="22"/>
      <c r="F408" s="23"/>
      <c r="G408" s="23"/>
      <c r="H408" s="24" t="s">
        <v>203</v>
      </c>
      <c r="I408" s="45">
        <v>4</v>
      </c>
      <c r="J408" s="25">
        <f>J332</f>
        <v>14000</v>
      </c>
      <c r="K408" s="26">
        <f t="shared" ref="K408:K410" si="54">I408*J408</f>
        <v>56000</v>
      </c>
    </row>
    <row r="409" spans="1:11" ht="13.2" customHeight="1" x14ac:dyDescent="0.25">
      <c r="A409" s="2"/>
      <c r="B409" s="20" t="s">
        <v>57</v>
      </c>
      <c r="C409" s="21" t="s">
        <v>1283</v>
      </c>
      <c r="D409" s="14"/>
      <c r="E409" s="22"/>
      <c r="F409" s="23"/>
      <c r="G409" s="23"/>
      <c r="H409" s="24" t="s">
        <v>203</v>
      </c>
      <c r="I409" s="65">
        <v>2</v>
      </c>
      <c r="J409" s="25">
        <f>J333</f>
        <v>51000</v>
      </c>
      <c r="K409" s="26">
        <f t="shared" si="54"/>
        <v>102000</v>
      </c>
    </row>
    <row r="410" spans="1:11" ht="13.2" customHeight="1" x14ac:dyDescent="0.25">
      <c r="A410" s="2"/>
      <c r="B410" s="20" t="s">
        <v>83</v>
      </c>
      <c r="C410" s="21" t="s">
        <v>1282</v>
      </c>
      <c r="D410" s="14"/>
      <c r="E410" s="22"/>
      <c r="F410" s="23"/>
      <c r="G410" s="23"/>
      <c r="H410" s="24" t="s">
        <v>203</v>
      </c>
      <c r="I410" s="45">
        <v>4</v>
      </c>
      <c r="J410" s="25">
        <f>J334</f>
        <v>46000</v>
      </c>
      <c r="K410" s="26">
        <f t="shared" si="54"/>
        <v>184000</v>
      </c>
    </row>
    <row r="411" spans="1:11" ht="12.9" customHeight="1" x14ac:dyDescent="0.25">
      <c r="A411" s="6"/>
      <c r="B411" s="7"/>
      <c r="C411" s="8"/>
      <c r="D411" s="8"/>
      <c r="E411" s="8"/>
      <c r="F411" s="8"/>
      <c r="G411" s="9"/>
      <c r="H411" s="10" t="s">
        <v>715</v>
      </c>
      <c r="I411" s="11"/>
      <c r="J411" s="11"/>
      <c r="K411" s="27">
        <f>SUM(K407:K410)</f>
        <v>506500</v>
      </c>
    </row>
    <row r="412" spans="1:11" ht="12.9" customHeight="1" x14ac:dyDescent="0.25">
      <c r="A412" s="6"/>
      <c r="B412" s="5"/>
      <c r="C412" s="3"/>
      <c r="D412" s="3"/>
      <c r="E412" s="3"/>
      <c r="F412" s="3"/>
      <c r="G412" s="4"/>
      <c r="H412" s="12" t="s">
        <v>603</v>
      </c>
      <c r="I412" s="28">
        <f>$K$3</f>
        <v>0.15</v>
      </c>
      <c r="J412" s="13"/>
      <c r="K412" s="29">
        <f>I412*K411</f>
        <v>75975</v>
      </c>
    </row>
    <row r="413" spans="1:11" ht="12.9" customHeight="1" x14ac:dyDescent="0.25">
      <c r="A413" s="6"/>
      <c r="B413" s="5"/>
      <c r="C413" s="3"/>
      <c r="D413" s="3"/>
      <c r="E413" s="3"/>
      <c r="F413" s="3"/>
      <c r="G413" s="4"/>
      <c r="H413" s="12" t="s">
        <v>604</v>
      </c>
      <c r="I413" s="14"/>
      <c r="J413" s="14"/>
      <c r="K413" s="29">
        <f>SUM(K411:K412)</f>
        <v>582475</v>
      </c>
    </row>
    <row r="414" spans="1:11" ht="12.9" customHeight="1" thickBot="1" x14ac:dyDescent="0.3">
      <c r="A414" s="15"/>
      <c r="B414" s="16"/>
      <c r="C414" s="17"/>
      <c r="D414" s="17"/>
      <c r="E414" s="17"/>
      <c r="F414" s="17"/>
      <c r="G414" s="18"/>
      <c r="H414" s="46" t="s">
        <v>605</v>
      </c>
      <c r="I414" s="47"/>
      <c r="J414" s="47"/>
      <c r="K414" s="144">
        <f>ROUND(K413,-1)</f>
        <v>582480</v>
      </c>
    </row>
    <row r="415" spans="1:11" ht="14.1" customHeight="1" x14ac:dyDescent="0.25">
      <c r="A415" s="81">
        <v>41</v>
      </c>
      <c r="B415" s="699" t="s">
        <v>713</v>
      </c>
      <c r="C415" s="700"/>
      <c r="D415" s="137" t="s">
        <v>1386</v>
      </c>
      <c r="E415" s="138"/>
      <c r="F415" s="139"/>
      <c r="G415" s="139"/>
      <c r="H415" s="140"/>
      <c r="I415" s="141"/>
      <c r="J415" s="142"/>
      <c r="K415" s="143"/>
    </row>
    <row r="416" spans="1:11" ht="13.2" customHeight="1" x14ac:dyDescent="0.25">
      <c r="A416" s="2"/>
      <c r="B416" s="20" t="s">
        <v>4</v>
      </c>
      <c r="C416" s="21" t="s">
        <v>1235</v>
      </c>
      <c r="D416" s="14"/>
      <c r="E416" s="22"/>
      <c r="F416" s="23"/>
      <c r="G416" s="23"/>
      <c r="H416" s="24" t="s">
        <v>203</v>
      </c>
      <c r="I416" s="45">
        <v>1</v>
      </c>
      <c r="J416" s="25">
        <f>J380</f>
        <v>203000</v>
      </c>
      <c r="K416" s="26">
        <f>I416*J416</f>
        <v>203000</v>
      </c>
    </row>
    <row r="417" spans="1:11" ht="13.2" customHeight="1" x14ac:dyDescent="0.25">
      <c r="A417" s="2"/>
      <c r="B417" s="20" t="s">
        <v>30</v>
      </c>
      <c r="C417" s="21" t="s">
        <v>1281</v>
      </c>
      <c r="D417" s="14"/>
      <c r="E417" s="22"/>
      <c r="F417" s="23"/>
      <c r="G417" s="23"/>
      <c r="H417" s="24" t="s">
        <v>203</v>
      </c>
      <c r="I417" s="45">
        <v>4</v>
      </c>
      <c r="J417" s="25">
        <f>J381</f>
        <v>14000</v>
      </c>
      <c r="K417" s="26">
        <f t="shared" ref="K417:K420" si="55">I417*J417</f>
        <v>56000</v>
      </c>
    </row>
    <row r="418" spans="1:11" ht="13.2" customHeight="1" x14ac:dyDescent="0.25">
      <c r="A418" s="2"/>
      <c r="B418" s="20" t="s">
        <v>57</v>
      </c>
      <c r="C418" s="21" t="s">
        <v>1284</v>
      </c>
      <c r="D418" s="14"/>
      <c r="E418" s="22"/>
      <c r="F418" s="23"/>
      <c r="G418" s="23"/>
      <c r="H418" s="24" t="s">
        <v>203</v>
      </c>
      <c r="I418" s="65">
        <v>2</v>
      </c>
      <c r="J418" s="25">
        <f>J372</f>
        <v>51000</v>
      </c>
      <c r="K418" s="26">
        <f t="shared" si="55"/>
        <v>102000</v>
      </c>
    </row>
    <row r="419" spans="1:11" ht="13.2" customHeight="1" x14ac:dyDescent="0.25">
      <c r="A419" s="2"/>
      <c r="B419" s="20" t="s">
        <v>83</v>
      </c>
      <c r="C419" s="21" t="s">
        <v>270</v>
      </c>
      <c r="D419" s="14"/>
      <c r="E419" s="22"/>
      <c r="F419" s="23"/>
      <c r="G419" s="23"/>
      <c r="H419" s="24" t="s">
        <v>203</v>
      </c>
      <c r="I419" s="45">
        <v>4</v>
      </c>
      <c r="J419" s="25">
        <f>J373</f>
        <v>41000</v>
      </c>
      <c r="K419" s="26">
        <f t="shared" si="55"/>
        <v>164000</v>
      </c>
    </row>
    <row r="420" spans="1:11" ht="13.2" customHeight="1" x14ac:dyDescent="0.25">
      <c r="A420" s="2"/>
      <c r="B420" s="30" t="s">
        <v>110</v>
      </c>
      <c r="C420" s="31" t="s">
        <v>285</v>
      </c>
      <c r="D420" s="32"/>
      <c r="E420" s="33"/>
      <c r="F420" s="34"/>
      <c r="G420" s="34"/>
      <c r="H420" s="43" t="s">
        <v>203</v>
      </c>
      <c r="I420" s="66">
        <v>4</v>
      </c>
      <c r="J420" s="40">
        <f>J374</f>
        <v>112000</v>
      </c>
      <c r="K420" s="26">
        <f t="shared" si="55"/>
        <v>448000</v>
      </c>
    </row>
    <row r="421" spans="1:11" ht="12.9" customHeight="1" x14ac:dyDescent="0.25">
      <c r="A421" s="6"/>
      <c r="B421" s="7"/>
      <c r="C421" s="8"/>
      <c r="D421" s="8"/>
      <c r="E421" s="8"/>
      <c r="F421" s="8"/>
      <c r="G421" s="9"/>
      <c r="H421" s="10" t="s">
        <v>715</v>
      </c>
      <c r="I421" s="11"/>
      <c r="J421" s="11"/>
      <c r="K421" s="27">
        <f>SUM(K416:K420)</f>
        <v>973000</v>
      </c>
    </row>
    <row r="422" spans="1:11" ht="12.9" customHeight="1" x14ac:dyDescent="0.25">
      <c r="A422" s="6"/>
      <c r="B422" s="5"/>
      <c r="C422" s="3"/>
      <c r="D422" s="3"/>
      <c r="E422" s="3"/>
      <c r="F422" s="3"/>
      <c r="G422" s="4"/>
      <c r="H422" s="12" t="s">
        <v>603</v>
      </c>
      <c r="I422" s="28">
        <f>$K$3</f>
        <v>0.15</v>
      </c>
      <c r="J422" s="13"/>
      <c r="K422" s="29">
        <f>I422*K421</f>
        <v>145950</v>
      </c>
    </row>
    <row r="423" spans="1:11" ht="12.9" customHeight="1" x14ac:dyDescent="0.25">
      <c r="A423" s="6"/>
      <c r="B423" s="5"/>
      <c r="C423" s="3"/>
      <c r="D423" s="3"/>
      <c r="E423" s="3"/>
      <c r="F423" s="3"/>
      <c r="G423" s="4"/>
      <c r="H423" s="12" t="s">
        <v>604</v>
      </c>
      <c r="I423" s="14"/>
      <c r="J423" s="14"/>
      <c r="K423" s="29">
        <f>SUM(K421:K422)</f>
        <v>1118950</v>
      </c>
    </row>
    <row r="424" spans="1:11" ht="12.9" customHeight="1" thickBot="1" x14ac:dyDescent="0.3">
      <c r="A424" s="15"/>
      <c r="B424" s="16"/>
      <c r="C424" s="17"/>
      <c r="D424" s="17"/>
      <c r="E424" s="17"/>
      <c r="F424" s="17"/>
      <c r="G424" s="18"/>
      <c r="H424" s="46" t="s">
        <v>605</v>
      </c>
      <c r="I424" s="47"/>
      <c r="J424" s="47"/>
      <c r="K424" s="144">
        <f>ROUND(K423,-1)</f>
        <v>1118950</v>
      </c>
    </row>
    <row r="425" spans="1:11" ht="14.1" customHeight="1" x14ac:dyDescent="0.25">
      <c r="A425" s="81">
        <v>42</v>
      </c>
      <c r="B425" s="699" t="s">
        <v>713</v>
      </c>
      <c r="C425" s="700"/>
      <c r="D425" s="137" t="s">
        <v>1387</v>
      </c>
      <c r="E425" s="138"/>
      <c r="F425" s="139"/>
      <c r="G425" s="139"/>
      <c r="H425" s="140"/>
      <c r="I425" s="141"/>
      <c r="J425" s="142"/>
      <c r="K425" s="143"/>
    </row>
    <row r="426" spans="1:11" ht="13.2" customHeight="1" x14ac:dyDescent="0.25">
      <c r="A426" s="2"/>
      <c r="B426" s="20" t="s">
        <v>4</v>
      </c>
      <c r="C426" s="21" t="s">
        <v>1238</v>
      </c>
      <c r="D426" s="14"/>
      <c r="E426" s="22"/>
      <c r="F426" s="23"/>
      <c r="G426" s="23"/>
      <c r="H426" s="24" t="s">
        <v>203</v>
      </c>
      <c r="I426" s="45">
        <v>1</v>
      </c>
      <c r="J426" s="25">
        <f>J389</f>
        <v>221500</v>
      </c>
      <c r="K426" s="26">
        <f>I426*J426</f>
        <v>221500</v>
      </c>
    </row>
    <row r="427" spans="1:11" ht="13.2" customHeight="1" x14ac:dyDescent="0.25">
      <c r="A427" s="2"/>
      <c r="B427" s="20" t="s">
        <v>30</v>
      </c>
      <c r="C427" s="21" t="s">
        <v>1281</v>
      </c>
      <c r="D427" s="14"/>
      <c r="E427" s="22"/>
      <c r="F427" s="23"/>
      <c r="G427" s="23"/>
      <c r="H427" s="24" t="s">
        <v>203</v>
      </c>
      <c r="I427" s="45">
        <v>4</v>
      </c>
      <c r="J427" s="25">
        <f>J417</f>
        <v>14000</v>
      </c>
      <c r="K427" s="26">
        <f t="shared" ref="K427:K430" si="56">I427*J427</f>
        <v>56000</v>
      </c>
    </row>
    <row r="428" spans="1:11" ht="13.2" customHeight="1" x14ac:dyDescent="0.25">
      <c r="A428" s="2"/>
      <c r="B428" s="20" t="s">
        <v>57</v>
      </c>
      <c r="C428" s="21" t="s">
        <v>1284</v>
      </c>
      <c r="D428" s="14"/>
      <c r="E428" s="22"/>
      <c r="F428" s="23"/>
      <c r="G428" s="23"/>
      <c r="H428" s="24" t="s">
        <v>203</v>
      </c>
      <c r="I428" s="65">
        <v>2</v>
      </c>
      <c r="J428" s="25">
        <f t="shared" ref="J428:J430" si="57">J418</f>
        <v>51000</v>
      </c>
      <c r="K428" s="26">
        <f t="shared" si="56"/>
        <v>102000</v>
      </c>
    </row>
    <row r="429" spans="1:11" ht="13.2" customHeight="1" x14ac:dyDescent="0.25">
      <c r="A429" s="2"/>
      <c r="B429" s="20" t="s">
        <v>83</v>
      </c>
      <c r="C429" s="21" t="s">
        <v>270</v>
      </c>
      <c r="D429" s="14"/>
      <c r="E429" s="22"/>
      <c r="F429" s="23"/>
      <c r="G429" s="23"/>
      <c r="H429" s="24" t="s">
        <v>203</v>
      </c>
      <c r="I429" s="45">
        <v>4</v>
      </c>
      <c r="J429" s="25">
        <f t="shared" si="57"/>
        <v>41000</v>
      </c>
      <c r="K429" s="26">
        <f t="shared" si="56"/>
        <v>164000</v>
      </c>
    </row>
    <row r="430" spans="1:11" ht="13.2" customHeight="1" x14ac:dyDescent="0.25">
      <c r="A430" s="2"/>
      <c r="B430" s="30" t="s">
        <v>110</v>
      </c>
      <c r="C430" s="31" t="s">
        <v>285</v>
      </c>
      <c r="D430" s="32"/>
      <c r="E430" s="33"/>
      <c r="F430" s="34"/>
      <c r="G430" s="34"/>
      <c r="H430" s="43" t="s">
        <v>203</v>
      </c>
      <c r="I430" s="66">
        <v>4</v>
      </c>
      <c r="J430" s="25">
        <f t="shared" si="57"/>
        <v>112000</v>
      </c>
      <c r="K430" s="26">
        <f t="shared" si="56"/>
        <v>448000</v>
      </c>
    </row>
    <row r="431" spans="1:11" ht="12.9" customHeight="1" x14ac:dyDescent="0.25">
      <c r="A431" s="6"/>
      <c r="B431" s="7"/>
      <c r="C431" s="8"/>
      <c r="D431" s="8"/>
      <c r="E431" s="8"/>
      <c r="F431" s="8"/>
      <c r="G431" s="9"/>
      <c r="H431" s="10" t="s">
        <v>715</v>
      </c>
      <c r="I431" s="11"/>
      <c r="J431" s="11"/>
      <c r="K431" s="27">
        <f>SUM(K426:K430)</f>
        <v>991500</v>
      </c>
    </row>
    <row r="432" spans="1:11" ht="12.9" customHeight="1" x14ac:dyDescent="0.25">
      <c r="A432" s="6"/>
      <c r="B432" s="5"/>
      <c r="C432" s="3"/>
      <c r="D432" s="3"/>
      <c r="E432" s="3"/>
      <c r="F432" s="3"/>
      <c r="G432" s="4"/>
      <c r="H432" s="12" t="s">
        <v>603</v>
      </c>
      <c r="I432" s="28">
        <f>$K$3</f>
        <v>0.15</v>
      </c>
      <c r="J432" s="13"/>
      <c r="K432" s="29">
        <f>I432*K431</f>
        <v>148725</v>
      </c>
    </row>
    <row r="433" spans="1:11" ht="12.9" customHeight="1" x14ac:dyDescent="0.25">
      <c r="A433" s="6"/>
      <c r="B433" s="5"/>
      <c r="C433" s="3"/>
      <c r="D433" s="3"/>
      <c r="E433" s="3"/>
      <c r="F433" s="3"/>
      <c r="G433" s="4"/>
      <c r="H433" s="12" t="s">
        <v>604</v>
      </c>
      <c r="I433" s="14"/>
      <c r="J433" s="14"/>
      <c r="K433" s="29">
        <f>SUM(K431:K432)</f>
        <v>1140225</v>
      </c>
    </row>
    <row r="434" spans="1:11" ht="12.9" customHeight="1" thickBot="1" x14ac:dyDescent="0.3">
      <c r="A434" s="15"/>
      <c r="B434" s="16"/>
      <c r="C434" s="17"/>
      <c r="D434" s="17"/>
      <c r="E434" s="17"/>
      <c r="F434" s="17"/>
      <c r="G434" s="18"/>
      <c r="H434" s="46" t="s">
        <v>605</v>
      </c>
      <c r="I434" s="47"/>
      <c r="J434" s="47"/>
      <c r="K434" s="144">
        <f>ROUND(K433,-1)</f>
        <v>1140230</v>
      </c>
    </row>
    <row r="435" spans="1:11" ht="14.1" customHeight="1" x14ac:dyDescent="0.25">
      <c r="A435" s="81">
        <v>43</v>
      </c>
      <c r="B435" s="699" t="s">
        <v>713</v>
      </c>
      <c r="C435" s="700"/>
      <c r="D435" s="137" t="s">
        <v>1388</v>
      </c>
      <c r="E435" s="138"/>
      <c r="F435" s="139"/>
      <c r="G435" s="139"/>
      <c r="H435" s="140"/>
      <c r="I435" s="141"/>
      <c r="J435" s="142"/>
      <c r="K435" s="143"/>
    </row>
    <row r="436" spans="1:11" ht="13.2" customHeight="1" x14ac:dyDescent="0.25">
      <c r="A436" s="2"/>
      <c r="B436" s="20" t="s">
        <v>4</v>
      </c>
      <c r="C436" s="21" t="s">
        <v>1240</v>
      </c>
      <c r="D436" s="14"/>
      <c r="E436" s="22"/>
      <c r="F436" s="23"/>
      <c r="G436" s="23"/>
      <c r="H436" s="24" t="s">
        <v>203</v>
      </c>
      <c r="I436" s="45">
        <v>1</v>
      </c>
      <c r="J436" s="25">
        <f>J398</f>
        <v>184000</v>
      </c>
      <c r="K436" s="26">
        <f>I436*J436</f>
        <v>184000</v>
      </c>
    </row>
    <row r="437" spans="1:11" ht="13.2" customHeight="1" x14ac:dyDescent="0.25">
      <c r="A437" s="2"/>
      <c r="B437" s="20" t="s">
        <v>30</v>
      </c>
      <c r="C437" s="21" t="s">
        <v>1281</v>
      </c>
      <c r="D437" s="14"/>
      <c r="E437" s="22"/>
      <c r="F437" s="23"/>
      <c r="G437" s="23"/>
      <c r="H437" s="24" t="s">
        <v>203</v>
      </c>
      <c r="I437" s="45">
        <v>4</v>
      </c>
      <c r="J437" s="25">
        <f t="shared" ref="J437:J440" si="58">J427</f>
        <v>14000</v>
      </c>
      <c r="K437" s="26">
        <f t="shared" ref="K437:K440" si="59">I437*J437</f>
        <v>56000</v>
      </c>
    </row>
    <row r="438" spans="1:11" ht="13.2" customHeight="1" x14ac:dyDescent="0.25">
      <c r="A438" s="2"/>
      <c r="B438" s="20" t="s">
        <v>57</v>
      </c>
      <c r="C438" s="21" t="s">
        <v>1284</v>
      </c>
      <c r="D438" s="14"/>
      <c r="E438" s="22"/>
      <c r="F438" s="23"/>
      <c r="G438" s="23"/>
      <c r="H438" s="24" t="s">
        <v>203</v>
      </c>
      <c r="I438" s="65">
        <v>2</v>
      </c>
      <c r="J438" s="25">
        <f t="shared" si="58"/>
        <v>51000</v>
      </c>
      <c r="K438" s="26">
        <f t="shared" si="59"/>
        <v>102000</v>
      </c>
    </row>
    <row r="439" spans="1:11" ht="13.2" customHeight="1" x14ac:dyDescent="0.25">
      <c r="A439" s="2"/>
      <c r="B439" s="20" t="s">
        <v>83</v>
      </c>
      <c r="C439" s="21" t="s">
        <v>270</v>
      </c>
      <c r="D439" s="14"/>
      <c r="E439" s="22"/>
      <c r="F439" s="23"/>
      <c r="G439" s="23"/>
      <c r="H439" s="24" t="s">
        <v>203</v>
      </c>
      <c r="I439" s="45">
        <v>4</v>
      </c>
      <c r="J439" s="25">
        <f t="shared" si="58"/>
        <v>41000</v>
      </c>
      <c r="K439" s="26">
        <f t="shared" si="59"/>
        <v>164000</v>
      </c>
    </row>
    <row r="440" spans="1:11" ht="13.2" customHeight="1" x14ac:dyDescent="0.25">
      <c r="A440" s="2"/>
      <c r="B440" s="30" t="s">
        <v>110</v>
      </c>
      <c r="C440" s="31" t="s">
        <v>285</v>
      </c>
      <c r="D440" s="32"/>
      <c r="E440" s="33"/>
      <c r="F440" s="34"/>
      <c r="G440" s="34"/>
      <c r="H440" s="43" t="s">
        <v>203</v>
      </c>
      <c r="I440" s="66">
        <v>4</v>
      </c>
      <c r="J440" s="25">
        <f t="shared" si="58"/>
        <v>112000</v>
      </c>
      <c r="K440" s="26">
        <f t="shared" si="59"/>
        <v>448000</v>
      </c>
    </row>
    <row r="441" spans="1:11" ht="12.9" customHeight="1" x14ac:dyDescent="0.25">
      <c r="A441" s="6"/>
      <c r="B441" s="7"/>
      <c r="C441" s="8"/>
      <c r="D441" s="8"/>
      <c r="E441" s="8"/>
      <c r="F441" s="8"/>
      <c r="G441" s="9"/>
      <c r="H441" s="10" t="s">
        <v>715</v>
      </c>
      <c r="I441" s="11"/>
      <c r="J441" s="11"/>
      <c r="K441" s="27">
        <f>SUM(K436:K440)</f>
        <v>954000</v>
      </c>
    </row>
    <row r="442" spans="1:11" ht="12.9" customHeight="1" x14ac:dyDescent="0.25">
      <c r="A442" s="6"/>
      <c r="B442" s="5"/>
      <c r="C442" s="3"/>
      <c r="D442" s="3"/>
      <c r="E442" s="3"/>
      <c r="F442" s="3"/>
      <c r="G442" s="4"/>
      <c r="H442" s="12" t="s">
        <v>603</v>
      </c>
      <c r="I442" s="28">
        <f>$K$3</f>
        <v>0.15</v>
      </c>
      <c r="J442" s="13"/>
      <c r="K442" s="29">
        <f>I442*K441</f>
        <v>143100</v>
      </c>
    </row>
    <row r="443" spans="1:11" ht="12.9" customHeight="1" x14ac:dyDescent="0.25">
      <c r="A443" s="6"/>
      <c r="B443" s="5"/>
      <c r="C443" s="3"/>
      <c r="D443" s="3"/>
      <c r="E443" s="3"/>
      <c r="F443" s="3"/>
      <c r="G443" s="4"/>
      <c r="H443" s="12" t="s">
        <v>604</v>
      </c>
      <c r="I443" s="14"/>
      <c r="J443" s="14"/>
      <c r="K443" s="29">
        <f>SUM(K441:K442)</f>
        <v>1097100</v>
      </c>
    </row>
    <row r="444" spans="1:11" ht="12.9" customHeight="1" thickBot="1" x14ac:dyDescent="0.3">
      <c r="A444" s="15"/>
      <c r="B444" s="16"/>
      <c r="C444" s="17"/>
      <c r="D444" s="17"/>
      <c r="E444" s="17"/>
      <c r="F444" s="17"/>
      <c r="G444" s="18"/>
      <c r="H444" s="46" t="s">
        <v>605</v>
      </c>
      <c r="I444" s="47"/>
      <c r="J444" s="47"/>
      <c r="K444" s="144">
        <f>ROUND(K443,-1)</f>
        <v>1097100</v>
      </c>
    </row>
    <row r="445" spans="1:11" ht="14.1" customHeight="1" x14ac:dyDescent="0.25">
      <c r="A445" s="81">
        <v>44</v>
      </c>
      <c r="B445" s="699" t="s">
        <v>713</v>
      </c>
      <c r="C445" s="700"/>
      <c r="D445" s="137" t="s">
        <v>1389</v>
      </c>
      <c r="E445" s="138"/>
      <c r="F445" s="139"/>
      <c r="G445" s="139"/>
      <c r="H445" s="140"/>
      <c r="I445" s="141"/>
      <c r="J445" s="142"/>
      <c r="K445" s="143"/>
    </row>
    <row r="446" spans="1:11" ht="13.2" customHeight="1" x14ac:dyDescent="0.25">
      <c r="A446" s="2"/>
      <c r="B446" s="20" t="s">
        <v>4</v>
      </c>
      <c r="C446" s="21" t="s">
        <v>1242</v>
      </c>
      <c r="D446" s="14"/>
      <c r="E446" s="22"/>
      <c r="F446" s="23"/>
      <c r="G446" s="23"/>
      <c r="H446" s="24" t="s">
        <v>203</v>
      </c>
      <c r="I446" s="45">
        <v>1</v>
      </c>
      <c r="J446" s="25">
        <f>J407</f>
        <v>164500</v>
      </c>
      <c r="K446" s="26">
        <f>I446*J446</f>
        <v>164500</v>
      </c>
    </row>
    <row r="447" spans="1:11" ht="13.2" customHeight="1" x14ac:dyDescent="0.25">
      <c r="A447" s="2"/>
      <c r="B447" s="20" t="s">
        <v>30</v>
      </c>
      <c r="C447" s="21" t="s">
        <v>1281</v>
      </c>
      <c r="D447" s="14"/>
      <c r="E447" s="22"/>
      <c r="F447" s="23"/>
      <c r="G447" s="23"/>
      <c r="H447" s="24" t="s">
        <v>203</v>
      </c>
      <c r="I447" s="45">
        <v>4</v>
      </c>
      <c r="J447" s="25">
        <f t="shared" ref="J447:J450" si="60">J437</f>
        <v>14000</v>
      </c>
      <c r="K447" s="26">
        <f t="shared" ref="K447:K450" si="61">I447*J447</f>
        <v>56000</v>
      </c>
    </row>
    <row r="448" spans="1:11" ht="13.2" customHeight="1" x14ac:dyDescent="0.25">
      <c r="A448" s="2"/>
      <c r="B448" s="20" t="s">
        <v>57</v>
      </c>
      <c r="C448" s="21" t="s">
        <v>1284</v>
      </c>
      <c r="D448" s="14"/>
      <c r="E448" s="22"/>
      <c r="F448" s="23"/>
      <c r="G448" s="23"/>
      <c r="H448" s="24" t="s">
        <v>203</v>
      </c>
      <c r="I448" s="65">
        <v>2</v>
      </c>
      <c r="J448" s="25">
        <f t="shared" si="60"/>
        <v>51000</v>
      </c>
      <c r="K448" s="26">
        <f t="shared" si="61"/>
        <v>102000</v>
      </c>
    </row>
    <row r="449" spans="1:11" ht="13.2" customHeight="1" x14ac:dyDescent="0.25">
      <c r="A449" s="2"/>
      <c r="B449" s="20" t="s">
        <v>83</v>
      </c>
      <c r="C449" s="21" t="s">
        <v>270</v>
      </c>
      <c r="D449" s="14"/>
      <c r="E449" s="22"/>
      <c r="F449" s="23"/>
      <c r="G449" s="23"/>
      <c r="H449" s="24" t="s">
        <v>203</v>
      </c>
      <c r="I449" s="45">
        <v>4</v>
      </c>
      <c r="J449" s="25">
        <f t="shared" si="60"/>
        <v>41000</v>
      </c>
      <c r="K449" s="26">
        <f t="shared" si="61"/>
        <v>164000</v>
      </c>
    </row>
    <row r="450" spans="1:11" ht="13.2" customHeight="1" x14ac:dyDescent="0.25">
      <c r="A450" s="2"/>
      <c r="B450" s="30" t="s">
        <v>110</v>
      </c>
      <c r="C450" s="31" t="s">
        <v>285</v>
      </c>
      <c r="D450" s="32"/>
      <c r="E450" s="33"/>
      <c r="F450" s="34"/>
      <c r="G450" s="34"/>
      <c r="H450" s="43" t="s">
        <v>203</v>
      </c>
      <c r="I450" s="66">
        <v>4</v>
      </c>
      <c r="J450" s="25">
        <f t="shared" si="60"/>
        <v>112000</v>
      </c>
      <c r="K450" s="26">
        <f t="shared" si="61"/>
        <v>448000</v>
      </c>
    </row>
    <row r="451" spans="1:11" ht="12.9" customHeight="1" x14ac:dyDescent="0.25">
      <c r="A451" s="6"/>
      <c r="B451" s="7"/>
      <c r="C451" s="8"/>
      <c r="D451" s="8"/>
      <c r="E451" s="8"/>
      <c r="F451" s="8"/>
      <c r="G451" s="9"/>
      <c r="H451" s="10" t="s">
        <v>715</v>
      </c>
      <c r="I451" s="11"/>
      <c r="J451" s="11"/>
      <c r="K451" s="27">
        <f>SUM(K446:K450)</f>
        <v>934500</v>
      </c>
    </row>
    <row r="452" spans="1:11" ht="12.9" customHeight="1" x14ac:dyDescent="0.25">
      <c r="A452" s="6"/>
      <c r="B452" s="5"/>
      <c r="C452" s="3"/>
      <c r="D452" s="3"/>
      <c r="E452" s="3"/>
      <c r="F452" s="3"/>
      <c r="G452" s="4"/>
      <c r="H452" s="12" t="s">
        <v>603</v>
      </c>
      <c r="I452" s="28">
        <f>$K$3</f>
        <v>0.15</v>
      </c>
      <c r="J452" s="13"/>
      <c r="K452" s="29">
        <f>I452*K451</f>
        <v>140175</v>
      </c>
    </row>
    <row r="453" spans="1:11" ht="12.9" customHeight="1" x14ac:dyDescent="0.25">
      <c r="A453" s="6"/>
      <c r="B453" s="5"/>
      <c r="C453" s="3"/>
      <c r="D453" s="3"/>
      <c r="E453" s="3"/>
      <c r="F453" s="3"/>
      <c r="G453" s="4"/>
      <c r="H453" s="12" t="s">
        <v>604</v>
      </c>
      <c r="I453" s="14"/>
      <c r="J453" s="14"/>
      <c r="K453" s="29">
        <f>SUM(K451:K452)</f>
        <v>1074675</v>
      </c>
    </row>
    <row r="454" spans="1:11" ht="12.9" customHeight="1" thickBot="1" x14ac:dyDescent="0.3">
      <c r="A454" s="15"/>
      <c r="B454" s="16"/>
      <c r="C454" s="17"/>
      <c r="D454" s="17"/>
      <c r="E454" s="17"/>
      <c r="F454" s="17"/>
      <c r="G454" s="18"/>
      <c r="H454" s="46" t="s">
        <v>605</v>
      </c>
      <c r="I454" s="47"/>
      <c r="J454" s="47"/>
      <c r="K454" s="144">
        <f>ROUND(K453,-1)</f>
        <v>1074680</v>
      </c>
    </row>
    <row r="455" spans="1:11" ht="14.1" customHeight="1" x14ac:dyDescent="0.25">
      <c r="A455" s="81">
        <v>45</v>
      </c>
      <c r="B455" s="699" t="s">
        <v>713</v>
      </c>
      <c r="C455" s="700"/>
      <c r="D455" s="137" t="s">
        <v>2166</v>
      </c>
      <c r="E455" s="138"/>
      <c r="F455" s="139"/>
      <c r="G455" s="139"/>
      <c r="H455" s="140"/>
      <c r="I455" s="141"/>
      <c r="J455" s="142"/>
      <c r="K455" s="143"/>
    </row>
    <row r="456" spans="1:11" ht="13.2" customHeight="1" x14ac:dyDescent="0.25">
      <c r="A456" s="2"/>
      <c r="B456" s="20" t="s">
        <v>4</v>
      </c>
      <c r="C456" s="21" t="s">
        <v>1235</v>
      </c>
      <c r="D456" s="14"/>
      <c r="E456" s="22"/>
      <c r="F456" s="23"/>
      <c r="G456" s="23"/>
      <c r="H456" s="24" t="s">
        <v>203</v>
      </c>
      <c r="I456" s="45">
        <v>1</v>
      </c>
      <c r="J456" s="25">
        <f>'Harga Satuan Dasar mat'!G102</f>
        <v>203000</v>
      </c>
      <c r="K456" s="26">
        <f>I456*J456</f>
        <v>203000</v>
      </c>
    </row>
    <row r="457" spans="1:11" ht="13.2" customHeight="1" x14ac:dyDescent="0.25">
      <c r="A457" s="2"/>
      <c r="B457" s="20" t="s">
        <v>30</v>
      </c>
      <c r="C457" s="21" t="s">
        <v>589</v>
      </c>
      <c r="D457" s="14"/>
      <c r="E457" s="22"/>
      <c r="F457" s="23"/>
      <c r="G457" s="23"/>
      <c r="H457" s="24" t="s">
        <v>203</v>
      </c>
      <c r="I457" s="45">
        <v>2</v>
      </c>
      <c r="J457" s="25">
        <f>'Harga Satuan Dasar mat'!G737</f>
        <v>27550</v>
      </c>
      <c r="K457" s="26">
        <f t="shared" ref="K457:K467" si="62">I457*J457</f>
        <v>55100</v>
      </c>
    </row>
    <row r="458" spans="1:11" ht="13.2" customHeight="1" x14ac:dyDescent="0.25">
      <c r="A458" s="2"/>
      <c r="B458" s="20" t="s">
        <v>57</v>
      </c>
      <c r="C458" s="21" t="s">
        <v>590</v>
      </c>
      <c r="D458" s="14"/>
      <c r="E458" s="22"/>
      <c r="F458" s="23"/>
      <c r="G458" s="23"/>
      <c r="H458" s="24" t="s">
        <v>203</v>
      </c>
      <c r="I458" s="45">
        <v>2</v>
      </c>
      <c r="J458" s="25">
        <f>'Harga Satuan Dasar mat'!G738</f>
        <v>128700</v>
      </c>
      <c r="K458" s="26">
        <f t="shared" si="62"/>
        <v>257400</v>
      </c>
    </row>
    <row r="459" spans="1:11" ht="13.2" customHeight="1" x14ac:dyDescent="0.25">
      <c r="A459" s="2"/>
      <c r="B459" s="20" t="s">
        <v>83</v>
      </c>
      <c r="C459" s="21" t="s">
        <v>282</v>
      </c>
      <c r="D459" s="14"/>
      <c r="E459" s="22"/>
      <c r="F459" s="23"/>
      <c r="G459" s="23"/>
      <c r="H459" s="24" t="s">
        <v>203</v>
      </c>
      <c r="I459" s="45">
        <v>2</v>
      </c>
      <c r="J459" s="25">
        <f>'Harga Satuan Dasar mat'!G390</f>
        <v>175000</v>
      </c>
      <c r="K459" s="26">
        <f t="shared" si="62"/>
        <v>350000</v>
      </c>
    </row>
    <row r="460" spans="1:11" ht="13.2" customHeight="1" x14ac:dyDescent="0.25">
      <c r="A460" s="2"/>
      <c r="B460" s="20" t="s">
        <v>110</v>
      </c>
      <c r="C460" s="21" t="s">
        <v>1292</v>
      </c>
      <c r="D460" s="14"/>
      <c r="E460" s="22"/>
      <c r="F460" s="23"/>
      <c r="G460" s="23"/>
      <c r="H460" s="24" t="s">
        <v>203</v>
      </c>
      <c r="I460" s="45">
        <v>2</v>
      </c>
      <c r="J460" s="25">
        <f>'Harga Satuan Dasar mat'!G549</f>
        <v>75120</v>
      </c>
      <c r="K460" s="26">
        <f t="shared" si="62"/>
        <v>150240</v>
      </c>
    </row>
    <row r="461" spans="1:11" ht="13.2" customHeight="1" x14ac:dyDescent="0.25">
      <c r="A461" s="2"/>
      <c r="B461" s="20" t="s">
        <v>137</v>
      </c>
      <c r="C461" s="21" t="s">
        <v>1290</v>
      </c>
      <c r="D461" s="14"/>
      <c r="E461" s="22"/>
      <c r="F461" s="23"/>
      <c r="G461" s="23"/>
      <c r="H461" s="24" t="s">
        <v>235</v>
      </c>
      <c r="I461" s="45">
        <v>2</v>
      </c>
      <c r="J461" s="25">
        <f>'Harga Satuan Dasar mat'!G203</f>
        <v>283250</v>
      </c>
      <c r="K461" s="26">
        <f t="shared" si="62"/>
        <v>566500</v>
      </c>
    </row>
    <row r="462" spans="1:11" ht="13.2" customHeight="1" x14ac:dyDescent="0.25">
      <c r="A462" s="2"/>
      <c r="B462" s="20" t="s">
        <v>156</v>
      </c>
      <c r="C462" s="21" t="s">
        <v>1289</v>
      </c>
      <c r="D462" s="14"/>
      <c r="E462" s="22"/>
      <c r="F462" s="23"/>
      <c r="G462" s="23"/>
      <c r="H462" s="24" t="s">
        <v>235</v>
      </c>
      <c r="I462" s="45">
        <v>2</v>
      </c>
      <c r="J462" s="25">
        <f>'Harga Satuan Dasar mat'!G208</f>
        <v>168250</v>
      </c>
      <c r="K462" s="26">
        <f t="shared" si="62"/>
        <v>336500</v>
      </c>
    </row>
    <row r="463" spans="1:11" ht="13.2" customHeight="1" x14ac:dyDescent="0.25">
      <c r="A463" s="2"/>
      <c r="B463" s="20" t="s">
        <v>175</v>
      </c>
      <c r="C463" s="21" t="s">
        <v>1288</v>
      </c>
      <c r="D463" s="14"/>
      <c r="E463" s="22"/>
      <c r="F463" s="23"/>
      <c r="G463" s="23"/>
      <c r="H463" s="24" t="s">
        <v>235</v>
      </c>
      <c r="I463" s="45">
        <v>2</v>
      </c>
      <c r="J463" s="25">
        <f>'Harga Satuan Dasar mat'!G153</f>
        <v>356250</v>
      </c>
      <c r="K463" s="26">
        <f t="shared" si="62"/>
        <v>712500</v>
      </c>
    </row>
    <row r="464" spans="1:11" ht="13.2" customHeight="1" x14ac:dyDescent="0.25">
      <c r="A464" s="2"/>
      <c r="B464" s="20" t="s">
        <v>177</v>
      </c>
      <c r="C464" s="21" t="s">
        <v>1285</v>
      </c>
      <c r="D464" s="14"/>
      <c r="E464" s="22"/>
      <c r="F464" s="23"/>
      <c r="G464" s="23"/>
      <c r="H464" s="24" t="s">
        <v>203</v>
      </c>
      <c r="I464" s="45">
        <v>1</v>
      </c>
      <c r="J464" s="25">
        <f>'Harga Satuan Dasar mat'!G244</f>
        <v>90000</v>
      </c>
      <c r="K464" s="26">
        <f t="shared" si="62"/>
        <v>90000</v>
      </c>
    </row>
    <row r="465" spans="1:11" ht="13.2" customHeight="1" x14ac:dyDescent="0.25">
      <c r="A465" s="2"/>
      <c r="B465" s="20" t="s">
        <v>197</v>
      </c>
      <c r="C465" s="21" t="s">
        <v>1238</v>
      </c>
      <c r="D465" s="14"/>
      <c r="E465" s="22"/>
      <c r="F465" s="23"/>
      <c r="G465" s="23"/>
      <c r="H465" s="24" t="s">
        <v>203</v>
      </c>
      <c r="I465" s="45">
        <v>1</v>
      </c>
      <c r="J465" s="25">
        <f>'Harga Satuan Dasar mat'!G104</f>
        <v>221500</v>
      </c>
      <c r="K465" s="26">
        <f t="shared" si="62"/>
        <v>221500</v>
      </c>
    </row>
    <row r="466" spans="1:11" ht="13.2" customHeight="1" x14ac:dyDescent="0.25">
      <c r="A466" s="2"/>
      <c r="B466" s="20" t="s">
        <v>198</v>
      </c>
      <c r="C466" s="21" t="s">
        <v>1291</v>
      </c>
      <c r="D466" s="14"/>
      <c r="E466" s="22"/>
      <c r="F466" s="23"/>
      <c r="G466" s="23"/>
      <c r="H466" s="24" t="s">
        <v>203</v>
      </c>
      <c r="I466" s="45">
        <v>6</v>
      </c>
      <c r="J466" s="25">
        <f>'Harga Satuan Dasar mat'!G252</f>
        <v>14000</v>
      </c>
      <c r="K466" s="26">
        <f t="shared" si="62"/>
        <v>84000</v>
      </c>
    </row>
    <row r="467" spans="1:11" ht="13.2" customHeight="1" x14ac:dyDescent="0.25">
      <c r="A467" s="2"/>
      <c r="B467" s="20" t="s">
        <v>200</v>
      </c>
      <c r="C467" s="21" t="s">
        <v>1286</v>
      </c>
      <c r="D467" s="14"/>
      <c r="E467" s="22"/>
      <c r="F467" s="23"/>
      <c r="G467" s="23"/>
      <c r="H467" s="24" t="s">
        <v>203</v>
      </c>
      <c r="I467" s="45">
        <v>3</v>
      </c>
      <c r="J467" s="25">
        <f>'Harga Satuan Dasar mat'!G13</f>
        <v>48000</v>
      </c>
      <c r="K467" s="26">
        <f t="shared" si="62"/>
        <v>144000</v>
      </c>
    </row>
    <row r="468" spans="1:11" ht="12.9" customHeight="1" x14ac:dyDescent="0.25">
      <c r="A468" s="6"/>
      <c r="B468" s="7"/>
      <c r="C468" s="8"/>
      <c r="D468" s="8"/>
      <c r="E468" s="8"/>
      <c r="F468" s="8"/>
      <c r="G468" s="9"/>
      <c r="H468" s="10" t="s">
        <v>715</v>
      </c>
      <c r="I468" s="11"/>
      <c r="J468" s="11"/>
      <c r="K468" s="27">
        <f>SUM(K456:K467)</f>
        <v>3170740</v>
      </c>
    </row>
    <row r="469" spans="1:11" ht="12.9" customHeight="1" x14ac:dyDescent="0.25">
      <c r="A469" s="6"/>
      <c r="B469" s="5"/>
      <c r="C469" s="3"/>
      <c r="D469" s="3"/>
      <c r="E469" s="3"/>
      <c r="F469" s="3"/>
      <c r="G469" s="4"/>
      <c r="H469" s="12" t="s">
        <v>603</v>
      </c>
      <c r="I469" s="28">
        <f>$K$3</f>
        <v>0.15</v>
      </c>
      <c r="J469" s="38"/>
      <c r="K469" s="29">
        <f>I469*K468</f>
        <v>475611</v>
      </c>
    </row>
    <row r="470" spans="1:11" ht="12.9" customHeight="1" x14ac:dyDescent="0.25">
      <c r="A470" s="6"/>
      <c r="B470" s="5"/>
      <c r="C470" s="3"/>
      <c r="D470" s="3"/>
      <c r="E470" s="3"/>
      <c r="F470" s="3"/>
      <c r="G470" s="4"/>
      <c r="H470" s="12" t="s">
        <v>604</v>
      </c>
      <c r="I470" s="14"/>
      <c r="J470" s="14"/>
      <c r="K470" s="29">
        <f>SUM(K468:K469)</f>
        <v>3646351</v>
      </c>
    </row>
    <row r="471" spans="1:11" ht="12.9" customHeight="1" thickBot="1" x14ac:dyDescent="0.3">
      <c r="A471" s="15"/>
      <c r="B471" s="16"/>
      <c r="C471" s="17"/>
      <c r="D471" s="17"/>
      <c r="E471" s="17"/>
      <c r="F471" s="17"/>
      <c r="G471" s="18"/>
      <c r="H471" s="46" t="s">
        <v>605</v>
      </c>
      <c r="I471" s="47"/>
      <c r="J471" s="47"/>
      <c r="K471" s="144">
        <f>ROUND(K470,-1)</f>
        <v>3646350</v>
      </c>
    </row>
    <row r="472" spans="1:11" ht="14.1" customHeight="1" x14ac:dyDescent="0.25">
      <c r="A472" s="81">
        <v>46</v>
      </c>
      <c r="B472" s="699" t="s">
        <v>713</v>
      </c>
      <c r="C472" s="700"/>
      <c r="D472" s="137" t="s">
        <v>2165</v>
      </c>
      <c r="E472" s="138"/>
      <c r="F472" s="139"/>
      <c r="G472" s="139"/>
      <c r="H472" s="140"/>
      <c r="I472" s="141"/>
      <c r="J472" s="142"/>
      <c r="K472" s="143"/>
    </row>
    <row r="473" spans="1:11" ht="13.2" customHeight="1" x14ac:dyDescent="0.25">
      <c r="A473" s="2"/>
      <c r="B473" s="20" t="s">
        <v>4</v>
      </c>
      <c r="C473" s="21" t="s">
        <v>1238</v>
      </c>
      <c r="D473" s="14"/>
      <c r="E473" s="22"/>
      <c r="F473" s="23"/>
      <c r="G473" s="23"/>
      <c r="H473" s="24" t="s">
        <v>203</v>
      </c>
      <c r="I473" s="45">
        <v>1</v>
      </c>
      <c r="J473" s="25">
        <f>J465</f>
        <v>221500</v>
      </c>
      <c r="K473" s="26">
        <f>I473*J473</f>
        <v>221500</v>
      </c>
    </row>
    <row r="474" spans="1:11" ht="13.2" customHeight="1" x14ac:dyDescent="0.25">
      <c r="A474" s="2"/>
      <c r="B474" s="20" t="s">
        <v>30</v>
      </c>
      <c r="C474" s="21" t="s">
        <v>589</v>
      </c>
      <c r="D474" s="14"/>
      <c r="E474" s="22"/>
      <c r="F474" s="23"/>
      <c r="G474" s="23"/>
      <c r="H474" s="24" t="s">
        <v>203</v>
      </c>
      <c r="I474" s="45">
        <v>2</v>
      </c>
      <c r="J474" s="25">
        <f>J457</f>
        <v>27550</v>
      </c>
      <c r="K474" s="26">
        <f t="shared" ref="K474:K484" si="63">I474*J474</f>
        <v>55100</v>
      </c>
    </row>
    <row r="475" spans="1:11" ht="13.2" customHeight="1" x14ac:dyDescent="0.25">
      <c r="A475" s="2"/>
      <c r="B475" s="20" t="s">
        <v>57</v>
      </c>
      <c r="C475" s="21" t="s">
        <v>590</v>
      </c>
      <c r="D475" s="14"/>
      <c r="E475" s="22"/>
      <c r="F475" s="23"/>
      <c r="G475" s="23"/>
      <c r="H475" s="24" t="s">
        <v>203</v>
      </c>
      <c r="I475" s="45">
        <v>2</v>
      </c>
      <c r="J475" s="25">
        <f t="shared" ref="J475:J484" si="64">J458</f>
        <v>128700</v>
      </c>
      <c r="K475" s="26">
        <f t="shared" si="63"/>
        <v>257400</v>
      </c>
    </row>
    <row r="476" spans="1:11" ht="13.2" customHeight="1" x14ac:dyDescent="0.25">
      <c r="A476" s="2"/>
      <c r="B476" s="20" t="s">
        <v>83</v>
      </c>
      <c r="C476" s="21" t="s">
        <v>282</v>
      </c>
      <c r="D476" s="14"/>
      <c r="E476" s="22"/>
      <c r="F476" s="23"/>
      <c r="G476" s="23"/>
      <c r="H476" s="24" t="s">
        <v>203</v>
      </c>
      <c r="I476" s="45">
        <v>2</v>
      </c>
      <c r="J476" s="25">
        <f t="shared" si="64"/>
        <v>175000</v>
      </c>
      <c r="K476" s="26">
        <f t="shared" si="63"/>
        <v>350000</v>
      </c>
    </row>
    <row r="477" spans="1:11" ht="13.2" customHeight="1" x14ac:dyDescent="0.25">
      <c r="A477" s="2"/>
      <c r="B477" s="20" t="s">
        <v>110</v>
      </c>
      <c r="C477" s="21" t="s">
        <v>1293</v>
      </c>
      <c r="D477" s="14"/>
      <c r="E477" s="22"/>
      <c r="F477" s="23"/>
      <c r="G477" s="23"/>
      <c r="H477" s="24" t="s">
        <v>203</v>
      </c>
      <c r="I477" s="45">
        <v>2</v>
      </c>
      <c r="J477" s="25">
        <f t="shared" si="64"/>
        <v>75120</v>
      </c>
      <c r="K477" s="26">
        <f t="shared" si="63"/>
        <v>150240</v>
      </c>
    </row>
    <row r="478" spans="1:11" ht="13.2" customHeight="1" x14ac:dyDescent="0.25">
      <c r="A478" s="2"/>
      <c r="B478" s="20" t="s">
        <v>137</v>
      </c>
      <c r="C478" s="21" t="s">
        <v>1290</v>
      </c>
      <c r="D478" s="14"/>
      <c r="E478" s="22"/>
      <c r="F478" s="23"/>
      <c r="G478" s="23"/>
      <c r="H478" s="24" t="s">
        <v>235</v>
      </c>
      <c r="I478" s="45">
        <v>2</v>
      </c>
      <c r="J478" s="25">
        <f t="shared" si="64"/>
        <v>283250</v>
      </c>
      <c r="K478" s="26">
        <f t="shared" si="63"/>
        <v>566500</v>
      </c>
    </row>
    <row r="479" spans="1:11" ht="13.2" customHeight="1" x14ac:dyDescent="0.25">
      <c r="A479" s="2"/>
      <c r="B479" s="20" t="s">
        <v>156</v>
      </c>
      <c r="C479" s="21" t="s">
        <v>1289</v>
      </c>
      <c r="D479" s="14"/>
      <c r="E479" s="22"/>
      <c r="F479" s="23"/>
      <c r="G479" s="23"/>
      <c r="H479" s="24" t="s">
        <v>235</v>
      </c>
      <c r="I479" s="45">
        <v>2</v>
      </c>
      <c r="J479" s="25">
        <f t="shared" si="64"/>
        <v>168250</v>
      </c>
      <c r="K479" s="26">
        <f t="shared" si="63"/>
        <v>336500</v>
      </c>
    </row>
    <row r="480" spans="1:11" ht="13.2" customHeight="1" x14ac:dyDescent="0.25">
      <c r="A480" s="2"/>
      <c r="B480" s="20" t="s">
        <v>175</v>
      </c>
      <c r="C480" s="21" t="s">
        <v>1288</v>
      </c>
      <c r="D480" s="14"/>
      <c r="E480" s="22"/>
      <c r="F480" s="23"/>
      <c r="G480" s="23"/>
      <c r="H480" s="24" t="s">
        <v>235</v>
      </c>
      <c r="I480" s="45">
        <v>2</v>
      </c>
      <c r="J480" s="25">
        <f t="shared" si="64"/>
        <v>356250</v>
      </c>
      <c r="K480" s="26">
        <f t="shared" si="63"/>
        <v>712500</v>
      </c>
    </row>
    <row r="481" spans="1:11" ht="13.2" customHeight="1" x14ac:dyDescent="0.25">
      <c r="A481" s="2"/>
      <c r="B481" s="20" t="s">
        <v>177</v>
      </c>
      <c r="C481" s="21" t="s">
        <v>1285</v>
      </c>
      <c r="D481" s="14"/>
      <c r="E481" s="22"/>
      <c r="F481" s="23"/>
      <c r="G481" s="23"/>
      <c r="H481" s="24" t="s">
        <v>203</v>
      </c>
      <c r="I481" s="45">
        <v>1</v>
      </c>
      <c r="J481" s="25">
        <f t="shared" si="64"/>
        <v>90000</v>
      </c>
      <c r="K481" s="26">
        <f t="shared" si="63"/>
        <v>90000</v>
      </c>
    </row>
    <row r="482" spans="1:11" ht="13.2" customHeight="1" x14ac:dyDescent="0.25">
      <c r="A482" s="2"/>
      <c r="B482" s="20" t="s">
        <v>197</v>
      </c>
      <c r="C482" s="21" t="s">
        <v>1238</v>
      </c>
      <c r="D482" s="14"/>
      <c r="E482" s="22"/>
      <c r="F482" s="23"/>
      <c r="G482" s="23"/>
      <c r="H482" s="24" t="s">
        <v>203</v>
      </c>
      <c r="I482" s="45">
        <v>1</v>
      </c>
      <c r="J482" s="25">
        <f t="shared" si="64"/>
        <v>221500</v>
      </c>
      <c r="K482" s="26">
        <f t="shared" si="63"/>
        <v>221500</v>
      </c>
    </row>
    <row r="483" spans="1:11" ht="13.2" customHeight="1" x14ac:dyDescent="0.25">
      <c r="A483" s="2"/>
      <c r="B483" s="20" t="s">
        <v>198</v>
      </c>
      <c r="C483" s="21" t="s">
        <v>1291</v>
      </c>
      <c r="D483" s="14"/>
      <c r="E483" s="22"/>
      <c r="F483" s="23"/>
      <c r="G483" s="23"/>
      <c r="H483" s="24" t="s">
        <v>203</v>
      </c>
      <c r="I483" s="45">
        <v>6</v>
      </c>
      <c r="J483" s="25">
        <f t="shared" si="64"/>
        <v>14000</v>
      </c>
      <c r="K483" s="26">
        <f t="shared" si="63"/>
        <v>84000</v>
      </c>
    </row>
    <row r="484" spans="1:11" ht="13.2" customHeight="1" x14ac:dyDescent="0.25">
      <c r="A484" s="2"/>
      <c r="B484" s="20" t="s">
        <v>200</v>
      </c>
      <c r="C484" s="21" t="s">
        <v>1286</v>
      </c>
      <c r="D484" s="14"/>
      <c r="E484" s="22"/>
      <c r="F484" s="23"/>
      <c r="G484" s="23"/>
      <c r="H484" s="24" t="s">
        <v>203</v>
      </c>
      <c r="I484" s="45">
        <v>3</v>
      </c>
      <c r="J484" s="25">
        <f t="shared" si="64"/>
        <v>48000</v>
      </c>
      <c r="K484" s="26">
        <f t="shared" si="63"/>
        <v>144000</v>
      </c>
    </row>
    <row r="485" spans="1:11" ht="12.9" customHeight="1" x14ac:dyDescent="0.25">
      <c r="A485" s="6"/>
      <c r="B485" s="7"/>
      <c r="C485" s="8"/>
      <c r="D485" s="8"/>
      <c r="E485" s="8"/>
      <c r="F485" s="8"/>
      <c r="G485" s="9"/>
      <c r="H485" s="10" t="s">
        <v>715</v>
      </c>
      <c r="I485" s="11"/>
      <c r="J485" s="11"/>
      <c r="K485" s="27">
        <f>SUM(K473:K484)</f>
        <v>3189240</v>
      </c>
    </row>
    <row r="486" spans="1:11" ht="12.9" customHeight="1" x14ac:dyDescent="0.25">
      <c r="A486" s="6"/>
      <c r="B486" s="5"/>
      <c r="C486" s="3"/>
      <c r="D486" s="3"/>
      <c r="E486" s="3"/>
      <c r="F486" s="3"/>
      <c r="G486" s="4"/>
      <c r="H486" s="12" t="s">
        <v>603</v>
      </c>
      <c r="I486" s="28">
        <f>$K$3</f>
        <v>0.15</v>
      </c>
      <c r="J486" s="38"/>
      <c r="K486" s="29">
        <f>I486*K485</f>
        <v>478386</v>
      </c>
    </row>
    <row r="487" spans="1:11" ht="12.9" customHeight="1" x14ac:dyDescent="0.25">
      <c r="A487" s="6"/>
      <c r="B487" s="5"/>
      <c r="C487" s="3"/>
      <c r="D487" s="3"/>
      <c r="E487" s="3"/>
      <c r="F487" s="3"/>
      <c r="G487" s="4"/>
      <c r="H487" s="12" t="s">
        <v>604</v>
      </c>
      <c r="I487" s="14"/>
      <c r="J487" s="14"/>
      <c r="K487" s="29">
        <f>SUM(K485:K486)</f>
        <v>3667626</v>
      </c>
    </row>
    <row r="488" spans="1:11" ht="12.9" customHeight="1" thickBot="1" x14ac:dyDescent="0.3">
      <c r="A488" s="15"/>
      <c r="B488" s="16"/>
      <c r="C488" s="17"/>
      <c r="D488" s="17"/>
      <c r="E488" s="17"/>
      <c r="F488" s="17"/>
      <c r="G488" s="18"/>
      <c r="H488" s="46" t="s">
        <v>605</v>
      </c>
      <c r="I488" s="47"/>
      <c r="J488" s="47"/>
      <c r="K488" s="144">
        <f>ROUND(K487,-1)</f>
        <v>3667630</v>
      </c>
    </row>
    <row r="489" spans="1:11" ht="14.1" customHeight="1" x14ac:dyDescent="0.25">
      <c r="A489" s="81">
        <v>47</v>
      </c>
      <c r="B489" s="699" t="s">
        <v>713</v>
      </c>
      <c r="C489" s="700"/>
      <c r="D489" s="137" t="s">
        <v>2164</v>
      </c>
      <c r="E489" s="138"/>
      <c r="F489" s="139"/>
      <c r="G489" s="139"/>
      <c r="H489" s="140"/>
      <c r="I489" s="141"/>
      <c r="J489" s="142"/>
      <c r="K489" s="143"/>
    </row>
    <row r="490" spans="1:11" ht="13.2" customHeight="1" x14ac:dyDescent="0.25">
      <c r="A490" s="2"/>
      <c r="B490" s="20" t="s">
        <v>4</v>
      </c>
      <c r="C490" s="21" t="s">
        <v>1240</v>
      </c>
      <c r="D490" s="14"/>
      <c r="E490" s="22"/>
      <c r="F490" s="23"/>
      <c r="G490" s="23"/>
      <c r="H490" s="24" t="s">
        <v>203</v>
      </c>
      <c r="I490" s="45">
        <v>1</v>
      </c>
      <c r="J490" s="25">
        <f>'Harga Satuan Dasar mat'!G100</f>
        <v>184000</v>
      </c>
      <c r="K490" s="26">
        <f>I490*J490</f>
        <v>184000</v>
      </c>
    </row>
    <row r="491" spans="1:11" ht="13.2" customHeight="1" x14ac:dyDescent="0.25">
      <c r="A491" s="2"/>
      <c r="B491" s="20" t="s">
        <v>30</v>
      </c>
      <c r="C491" s="21" t="s">
        <v>589</v>
      </c>
      <c r="D491" s="14"/>
      <c r="E491" s="22"/>
      <c r="F491" s="23"/>
      <c r="G491" s="23"/>
      <c r="H491" s="24" t="s">
        <v>203</v>
      </c>
      <c r="I491" s="45">
        <v>2</v>
      </c>
      <c r="J491" s="25">
        <f t="shared" ref="J491:J501" si="65">J474</f>
        <v>27550</v>
      </c>
      <c r="K491" s="26">
        <f t="shared" ref="K491:K501" si="66">I491*J491</f>
        <v>55100</v>
      </c>
    </row>
    <row r="492" spans="1:11" ht="13.2" customHeight="1" x14ac:dyDescent="0.25">
      <c r="A492" s="2"/>
      <c r="B492" s="20" t="s">
        <v>57</v>
      </c>
      <c r="C492" s="21" t="s">
        <v>590</v>
      </c>
      <c r="D492" s="14"/>
      <c r="E492" s="22"/>
      <c r="F492" s="23"/>
      <c r="G492" s="23"/>
      <c r="H492" s="24" t="s">
        <v>203</v>
      </c>
      <c r="I492" s="45">
        <v>2</v>
      </c>
      <c r="J492" s="25">
        <f t="shared" si="65"/>
        <v>128700</v>
      </c>
      <c r="K492" s="26">
        <f t="shared" si="66"/>
        <v>257400</v>
      </c>
    </row>
    <row r="493" spans="1:11" ht="13.2" customHeight="1" x14ac:dyDescent="0.25">
      <c r="A493" s="2"/>
      <c r="B493" s="20" t="s">
        <v>83</v>
      </c>
      <c r="C493" s="21" t="s">
        <v>282</v>
      </c>
      <c r="D493" s="14"/>
      <c r="E493" s="22"/>
      <c r="F493" s="23"/>
      <c r="G493" s="23"/>
      <c r="H493" s="24" t="s">
        <v>203</v>
      </c>
      <c r="I493" s="45">
        <v>2</v>
      </c>
      <c r="J493" s="25">
        <f t="shared" si="65"/>
        <v>175000</v>
      </c>
      <c r="K493" s="26">
        <f t="shared" si="66"/>
        <v>350000</v>
      </c>
    </row>
    <row r="494" spans="1:11" ht="13.2" customHeight="1" x14ac:dyDescent="0.25">
      <c r="A494" s="2"/>
      <c r="B494" s="20" t="s">
        <v>110</v>
      </c>
      <c r="C494" s="21" t="s">
        <v>1293</v>
      </c>
      <c r="D494" s="14"/>
      <c r="E494" s="22"/>
      <c r="F494" s="23"/>
      <c r="G494" s="23"/>
      <c r="H494" s="24" t="s">
        <v>203</v>
      </c>
      <c r="I494" s="45">
        <v>2</v>
      </c>
      <c r="J494" s="25">
        <f t="shared" si="65"/>
        <v>75120</v>
      </c>
      <c r="K494" s="26">
        <f t="shared" si="66"/>
        <v>150240</v>
      </c>
    </row>
    <row r="495" spans="1:11" ht="13.2" customHeight="1" x14ac:dyDescent="0.25">
      <c r="A495" s="2"/>
      <c r="B495" s="20" t="s">
        <v>137</v>
      </c>
      <c r="C495" s="21" t="s">
        <v>1290</v>
      </c>
      <c r="D495" s="14"/>
      <c r="E495" s="22"/>
      <c r="F495" s="23"/>
      <c r="G495" s="23"/>
      <c r="H495" s="24" t="s">
        <v>235</v>
      </c>
      <c r="I495" s="45">
        <v>2</v>
      </c>
      <c r="J495" s="25">
        <f t="shared" si="65"/>
        <v>283250</v>
      </c>
      <c r="K495" s="26">
        <f t="shared" si="66"/>
        <v>566500</v>
      </c>
    </row>
    <row r="496" spans="1:11" ht="13.2" customHeight="1" x14ac:dyDescent="0.25">
      <c r="A496" s="2"/>
      <c r="B496" s="20" t="s">
        <v>156</v>
      </c>
      <c r="C496" s="21" t="s">
        <v>1289</v>
      </c>
      <c r="D496" s="14"/>
      <c r="E496" s="22"/>
      <c r="F496" s="23"/>
      <c r="G496" s="23"/>
      <c r="H496" s="24" t="s">
        <v>235</v>
      </c>
      <c r="I496" s="45">
        <v>2</v>
      </c>
      <c r="J496" s="25">
        <f t="shared" si="65"/>
        <v>168250</v>
      </c>
      <c r="K496" s="26">
        <f t="shared" si="66"/>
        <v>336500</v>
      </c>
    </row>
    <row r="497" spans="1:11" ht="13.2" customHeight="1" x14ac:dyDescent="0.25">
      <c r="A497" s="2"/>
      <c r="B497" s="20" t="s">
        <v>175</v>
      </c>
      <c r="C497" s="21" t="s">
        <v>1288</v>
      </c>
      <c r="D497" s="14"/>
      <c r="E497" s="22"/>
      <c r="F497" s="23"/>
      <c r="G497" s="23"/>
      <c r="H497" s="24" t="s">
        <v>235</v>
      </c>
      <c r="I497" s="45">
        <v>2</v>
      </c>
      <c r="J497" s="25">
        <f t="shared" si="65"/>
        <v>356250</v>
      </c>
      <c r="K497" s="26">
        <f t="shared" si="66"/>
        <v>712500</v>
      </c>
    </row>
    <row r="498" spans="1:11" ht="13.2" customHeight="1" x14ac:dyDescent="0.25">
      <c r="A498" s="2"/>
      <c r="B498" s="20" t="s">
        <v>177</v>
      </c>
      <c r="C498" s="21" t="s">
        <v>1285</v>
      </c>
      <c r="D498" s="14"/>
      <c r="E498" s="22"/>
      <c r="F498" s="23"/>
      <c r="G498" s="23"/>
      <c r="H498" s="24" t="s">
        <v>203</v>
      </c>
      <c r="I498" s="45">
        <v>1</v>
      </c>
      <c r="J498" s="25">
        <f t="shared" si="65"/>
        <v>90000</v>
      </c>
      <c r="K498" s="26">
        <f t="shared" si="66"/>
        <v>90000</v>
      </c>
    </row>
    <row r="499" spans="1:11" ht="13.2" customHeight="1" x14ac:dyDescent="0.25">
      <c r="A499" s="2"/>
      <c r="B499" s="20" t="s">
        <v>197</v>
      </c>
      <c r="C499" s="21" t="s">
        <v>1240</v>
      </c>
      <c r="D499" s="14"/>
      <c r="E499" s="22"/>
      <c r="F499" s="23"/>
      <c r="G499" s="23"/>
      <c r="H499" s="24" t="s">
        <v>203</v>
      </c>
      <c r="I499" s="45">
        <v>1</v>
      </c>
      <c r="J499" s="25">
        <f>J490</f>
        <v>184000</v>
      </c>
      <c r="K499" s="26">
        <f t="shared" si="66"/>
        <v>184000</v>
      </c>
    </row>
    <row r="500" spans="1:11" ht="13.2" customHeight="1" x14ac:dyDescent="0.25">
      <c r="A500" s="2"/>
      <c r="B500" s="20" t="s">
        <v>198</v>
      </c>
      <c r="C500" s="21" t="s">
        <v>1291</v>
      </c>
      <c r="D500" s="14"/>
      <c r="E500" s="22"/>
      <c r="F500" s="23"/>
      <c r="G500" s="23"/>
      <c r="H500" s="24" t="s">
        <v>203</v>
      </c>
      <c r="I500" s="45">
        <v>6</v>
      </c>
      <c r="J500" s="25">
        <f t="shared" si="65"/>
        <v>14000</v>
      </c>
      <c r="K500" s="26">
        <f t="shared" si="66"/>
        <v>84000</v>
      </c>
    </row>
    <row r="501" spans="1:11" ht="13.2" customHeight="1" x14ac:dyDescent="0.25">
      <c r="A501" s="2"/>
      <c r="B501" s="20" t="s">
        <v>200</v>
      </c>
      <c r="C501" s="21" t="s">
        <v>1286</v>
      </c>
      <c r="D501" s="14"/>
      <c r="E501" s="22"/>
      <c r="F501" s="23"/>
      <c r="G501" s="23"/>
      <c r="H501" s="24" t="s">
        <v>203</v>
      </c>
      <c r="I501" s="45">
        <v>3</v>
      </c>
      <c r="J501" s="25">
        <f t="shared" si="65"/>
        <v>48000</v>
      </c>
      <c r="K501" s="26">
        <f t="shared" si="66"/>
        <v>144000</v>
      </c>
    </row>
    <row r="502" spans="1:11" ht="12.9" customHeight="1" x14ac:dyDescent="0.25">
      <c r="A502" s="6"/>
      <c r="B502" s="7"/>
      <c r="C502" s="8"/>
      <c r="D502" s="8"/>
      <c r="E502" s="8"/>
      <c r="F502" s="8"/>
      <c r="G502" s="9"/>
      <c r="H502" s="10" t="s">
        <v>715</v>
      </c>
      <c r="I502" s="11"/>
      <c r="J502" s="11"/>
      <c r="K502" s="27">
        <f>SUM(K490:K501)</f>
        <v>3114240</v>
      </c>
    </row>
    <row r="503" spans="1:11" ht="12.9" customHeight="1" x14ac:dyDescent="0.25">
      <c r="A503" s="6"/>
      <c r="B503" s="5"/>
      <c r="C503" s="3"/>
      <c r="D503" s="3"/>
      <c r="E503" s="3"/>
      <c r="F503" s="3"/>
      <c r="G503" s="4"/>
      <c r="H503" s="12" t="s">
        <v>603</v>
      </c>
      <c r="I503" s="28">
        <f>$K$3</f>
        <v>0.15</v>
      </c>
      <c r="J503" s="38"/>
      <c r="K503" s="29">
        <f>I503*K502</f>
        <v>467136</v>
      </c>
    </row>
    <row r="504" spans="1:11" ht="12.9" customHeight="1" x14ac:dyDescent="0.25">
      <c r="A504" s="6"/>
      <c r="B504" s="5"/>
      <c r="C504" s="3"/>
      <c r="D504" s="3"/>
      <c r="E504" s="3"/>
      <c r="F504" s="3"/>
      <c r="G504" s="4"/>
      <c r="H504" s="12" t="s">
        <v>604</v>
      </c>
      <c r="I504" s="14"/>
      <c r="J504" s="14"/>
      <c r="K504" s="29">
        <f>SUM(K502:K503)</f>
        <v>3581376</v>
      </c>
    </row>
    <row r="505" spans="1:11" ht="12.9" customHeight="1" thickBot="1" x14ac:dyDescent="0.3">
      <c r="A505" s="15"/>
      <c r="B505" s="16"/>
      <c r="C505" s="17"/>
      <c r="D505" s="17"/>
      <c r="E505" s="17"/>
      <c r="F505" s="17"/>
      <c r="G505" s="18"/>
      <c r="H505" s="46" t="s">
        <v>605</v>
      </c>
      <c r="I505" s="47"/>
      <c r="J505" s="47"/>
      <c r="K505" s="144">
        <f>ROUND(K504,-1)</f>
        <v>3581380</v>
      </c>
    </row>
    <row r="506" spans="1:11" ht="14.1" customHeight="1" x14ac:dyDescent="0.25">
      <c r="A506" s="81">
        <v>48</v>
      </c>
      <c r="B506" s="699" t="s">
        <v>713</v>
      </c>
      <c r="C506" s="700"/>
      <c r="D506" s="137" t="s">
        <v>2163</v>
      </c>
      <c r="E506" s="138"/>
      <c r="F506" s="139"/>
      <c r="G506" s="139"/>
      <c r="H506" s="140"/>
      <c r="I506" s="141"/>
      <c r="J506" s="142"/>
      <c r="K506" s="143"/>
    </row>
    <row r="507" spans="1:11" ht="13.2" customHeight="1" x14ac:dyDescent="0.25">
      <c r="A507" s="2"/>
      <c r="B507" s="20" t="s">
        <v>4</v>
      </c>
      <c r="C507" s="21" t="s">
        <v>1242</v>
      </c>
      <c r="D507" s="14"/>
      <c r="E507" s="22"/>
      <c r="F507" s="23"/>
      <c r="G507" s="23"/>
      <c r="H507" s="24" t="s">
        <v>203</v>
      </c>
      <c r="I507" s="45">
        <v>1</v>
      </c>
      <c r="J507" s="25">
        <f>'Harga Satuan Dasar mat'!G98</f>
        <v>164500</v>
      </c>
      <c r="K507" s="26">
        <f>I507*J507</f>
        <v>164500</v>
      </c>
    </row>
    <row r="508" spans="1:11" ht="13.2" customHeight="1" x14ac:dyDescent="0.25">
      <c r="A508" s="2"/>
      <c r="B508" s="20" t="s">
        <v>30</v>
      </c>
      <c r="C508" s="21" t="s">
        <v>589</v>
      </c>
      <c r="D508" s="14"/>
      <c r="E508" s="22"/>
      <c r="F508" s="23"/>
      <c r="G508" s="23"/>
      <c r="H508" s="24" t="s">
        <v>203</v>
      </c>
      <c r="I508" s="45">
        <v>2</v>
      </c>
      <c r="J508" s="25">
        <f t="shared" ref="J508:J518" si="67">J491</f>
        <v>27550</v>
      </c>
      <c r="K508" s="26">
        <f t="shared" ref="K508:K518" si="68">I508*J508</f>
        <v>55100</v>
      </c>
    </row>
    <row r="509" spans="1:11" ht="13.2" customHeight="1" x14ac:dyDescent="0.25">
      <c r="A509" s="2"/>
      <c r="B509" s="20" t="s">
        <v>57</v>
      </c>
      <c r="C509" s="21" t="s">
        <v>590</v>
      </c>
      <c r="D509" s="14"/>
      <c r="E509" s="22"/>
      <c r="F509" s="23"/>
      <c r="G509" s="23"/>
      <c r="H509" s="24" t="s">
        <v>203</v>
      </c>
      <c r="I509" s="45">
        <v>2</v>
      </c>
      <c r="J509" s="25">
        <f t="shared" si="67"/>
        <v>128700</v>
      </c>
      <c r="K509" s="26">
        <f t="shared" si="68"/>
        <v>257400</v>
      </c>
    </row>
    <row r="510" spans="1:11" ht="13.2" customHeight="1" x14ac:dyDescent="0.25">
      <c r="A510" s="2"/>
      <c r="B510" s="20" t="s">
        <v>83</v>
      </c>
      <c r="C510" s="21" t="s">
        <v>282</v>
      </c>
      <c r="D510" s="14"/>
      <c r="E510" s="22"/>
      <c r="F510" s="23"/>
      <c r="G510" s="23"/>
      <c r="H510" s="24" t="s">
        <v>203</v>
      </c>
      <c r="I510" s="45">
        <v>2</v>
      </c>
      <c r="J510" s="25">
        <f t="shared" si="67"/>
        <v>175000</v>
      </c>
      <c r="K510" s="26">
        <f t="shared" si="68"/>
        <v>350000</v>
      </c>
    </row>
    <row r="511" spans="1:11" ht="13.2" customHeight="1" x14ac:dyDescent="0.25">
      <c r="A511" s="2"/>
      <c r="B511" s="20" t="s">
        <v>110</v>
      </c>
      <c r="C511" s="21" t="s">
        <v>1293</v>
      </c>
      <c r="D511" s="14"/>
      <c r="E511" s="22"/>
      <c r="F511" s="23"/>
      <c r="G511" s="23"/>
      <c r="H511" s="24" t="s">
        <v>203</v>
      </c>
      <c r="I511" s="45">
        <v>2</v>
      </c>
      <c r="J511" s="25">
        <f t="shared" si="67"/>
        <v>75120</v>
      </c>
      <c r="K511" s="26">
        <f t="shared" si="68"/>
        <v>150240</v>
      </c>
    </row>
    <row r="512" spans="1:11" ht="13.2" customHeight="1" x14ac:dyDescent="0.25">
      <c r="A512" s="2"/>
      <c r="B512" s="20" t="s">
        <v>137</v>
      </c>
      <c r="C512" s="21" t="s">
        <v>1290</v>
      </c>
      <c r="D512" s="14"/>
      <c r="E512" s="22"/>
      <c r="F512" s="23"/>
      <c r="G512" s="23"/>
      <c r="H512" s="24" t="s">
        <v>235</v>
      </c>
      <c r="I512" s="45">
        <v>2</v>
      </c>
      <c r="J512" s="25">
        <f t="shared" si="67"/>
        <v>283250</v>
      </c>
      <c r="K512" s="26">
        <f t="shared" si="68"/>
        <v>566500</v>
      </c>
    </row>
    <row r="513" spans="1:11" ht="13.2" customHeight="1" x14ac:dyDescent="0.25">
      <c r="A513" s="2"/>
      <c r="B513" s="20" t="s">
        <v>156</v>
      </c>
      <c r="C513" s="21" t="s">
        <v>1289</v>
      </c>
      <c r="D513" s="14"/>
      <c r="E513" s="22"/>
      <c r="F513" s="23"/>
      <c r="G513" s="23"/>
      <c r="H513" s="24" t="s">
        <v>235</v>
      </c>
      <c r="I513" s="45">
        <v>2</v>
      </c>
      <c r="J513" s="25">
        <f t="shared" si="67"/>
        <v>168250</v>
      </c>
      <c r="K513" s="26">
        <f t="shared" si="68"/>
        <v>336500</v>
      </c>
    </row>
    <row r="514" spans="1:11" ht="13.2" customHeight="1" x14ac:dyDescent="0.25">
      <c r="A514" s="2"/>
      <c r="B514" s="20" t="s">
        <v>175</v>
      </c>
      <c r="C514" s="21" t="s">
        <v>1288</v>
      </c>
      <c r="D514" s="14"/>
      <c r="E514" s="22"/>
      <c r="F514" s="23"/>
      <c r="G514" s="23"/>
      <c r="H514" s="24" t="s">
        <v>235</v>
      </c>
      <c r="I514" s="45">
        <v>2</v>
      </c>
      <c r="J514" s="25">
        <f t="shared" si="67"/>
        <v>356250</v>
      </c>
      <c r="K514" s="26">
        <f t="shared" si="68"/>
        <v>712500</v>
      </c>
    </row>
    <row r="515" spans="1:11" ht="13.2" customHeight="1" x14ac:dyDescent="0.25">
      <c r="A515" s="2"/>
      <c r="B515" s="20" t="s">
        <v>177</v>
      </c>
      <c r="C515" s="21" t="s">
        <v>1285</v>
      </c>
      <c r="D515" s="14"/>
      <c r="E515" s="22"/>
      <c r="F515" s="23"/>
      <c r="G515" s="23"/>
      <c r="H515" s="24" t="s">
        <v>203</v>
      </c>
      <c r="I515" s="45">
        <v>1</v>
      </c>
      <c r="J515" s="25">
        <f t="shared" si="67"/>
        <v>90000</v>
      </c>
      <c r="K515" s="26">
        <f t="shared" si="68"/>
        <v>90000</v>
      </c>
    </row>
    <row r="516" spans="1:11" ht="13.2" customHeight="1" x14ac:dyDescent="0.25">
      <c r="A516" s="2"/>
      <c r="B516" s="20" t="s">
        <v>197</v>
      </c>
      <c r="C516" s="21" t="s">
        <v>1242</v>
      </c>
      <c r="D516" s="14"/>
      <c r="E516" s="22"/>
      <c r="F516" s="23"/>
      <c r="G516" s="23"/>
      <c r="H516" s="24" t="s">
        <v>203</v>
      </c>
      <c r="I516" s="45">
        <v>1</v>
      </c>
      <c r="J516" s="25">
        <f>J507</f>
        <v>164500</v>
      </c>
      <c r="K516" s="26">
        <f t="shared" si="68"/>
        <v>164500</v>
      </c>
    </row>
    <row r="517" spans="1:11" ht="13.2" customHeight="1" x14ac:dyDescent="0.25">
      <c r="A517" s="2"/>
      <c r="B517" s="20" t="s">
        <v>198</v>
      </c>
      <c r="C517" s="21" t="s">
        <v>1291</v>
      </c>
      <c r="D517" s="14"/>
      <c r="E517" s="22"/>
      <c r="F517" s="23"/>
      <c r="G517" s="23"/>
      <c r="H517" s="24" t="s">
        <v>203</v>
      </c>
      <c r="I517" s="45">
        <v>6</v>
      </c>
      <c r="J517" s="25">
        <f t="shared" si="67"/>
        <v>14000</v>
      </c>
      <c r="K517" s="26">
        <f t="shared" si="68"/>
        <v>84000</v>
      </c>
    </row>
    <row r="518" spans="1:11" ht="13.2" customHeight="1" x14ac:dyDescent="0.25">
      <c r="A518" s="2"/>
      <c r="B518" s="20" t="s">
        <v>200</v>
      </c>
      <c r="C518" s="21" t="s">
        <v>1286</v>
      </c>
      <c r="D518" s="14"/>
      <c r="E518" s="22"/>
      <c r="F518" s="23"/>
      <c r="G518" s="23"/>
      <c r="H518" s="24" t="s">
        <v>203</v>
      </c>
      <c r="I518" s="45">
        <v>3</v>
      </c>
      <c r="J518" s="25">
        <f t="shared" si="67"/>
        <v>48000</v>
      </c>
      <c r="K518" s="26">
        <f t="shared" si="68"/>
        <v>144000</v>
      </c>
    </row>
    <row r="519" spans="1:11" ht="12.9" customHeight="1" x14ac:dyDescent="0.25">
      <c r="A519" s="6"/>
      <c r="B519" s="7"/>
      <c r="C519" s="8"/>
      <c r="D519" s="8"/>
      <c r="E519" s="8"/>
      <c r="F519" s="8"/>
      <c r="G519" s="9"/>
      <c r="H519" s="10" t="s">
        <v>715</v>
      </c>
      <c r="I519" s="11"/>
      <c r="J519" s="11"/>
      <c r="K519" s="27">
        <f>SUM(K507:K518)</f>
        <v>3075240</v>
      </c>
    </row>
    <row r="520" spans="1:11" ht="12.9" customHeight="1" x14ac:dyDescent="0.25">
      <c r="A520" s="6"/>
      <c r="B520" s="5"/>
      <c r="C520" s="3"/>
      <c r="D520" s="3"/>
      <c r="E520" s="3"/>
      <c r="F520" s="3"/>
      <c r="G520" s="4"/>
      <c r="H520" s="12" t="s">
        <v>603</v>
      </c>
      <c r="I520" s="28">
        <f>$K$3</f>
        <v>0.15</v>
      </c>
      <c r="J520" s="38"/>
      <c r="K520" s="29">
        <f>I520*K519</f>
        <v>461286</v>
      </c>
    </row>
    <row r="521" spans="1:11" ht="12.9" customHeight="1" x14ac:dyDescent="0.25">
      <c r="A521" s="6"/>
      <c r="B521" s="5"/>
      <c r="C521" s="3"/>
      <c r="D521" s="3"/>
      <c r="E521" s="3"/>
      <c r="F521" s="3"/>
      <c r="G521" s="4"/>
      <c r="H521" s="12" t="s">
        <v>604</v>
      </c>
      <c r="I521" s="14"/>
      <c r="J521" s="14"/>
      <c r="K521" s="29">
        <f>SUM(K519:K520)</f>
        <v>3536526</v>
      </c>
    </row>
    <row r="522" spans="1:11" ht="12.9" customHeight="1" thickBot="1" x14ac:dyDescent="0.3">
      <c r="A522" s="15"/>
      <c r="B522" s="16"/>
      <c r="C522" s="17"/>
      <c r="D522" s="17"/>
      <c r="E522" s="17"/>
      <c r="F522" s="17"/>
      <c r="G522" s="18"/>
      <c r="H522" s="46" t="s">
        <v>605</v>
      </c>
      <c r="I522" s="47"/>
      <c r="J522" s="47"/>
      <c r="K522" s="144">
        <f>ROUND(K521,-1)</f>
        <v>3536530</v>
      </c>
    </row>
    <row r="523" spans="1:11" ht="14.1" customHeight="1" x14ac:dyDescent="0.25">
      <c r="A523" s="81">
        <v>49</v>
      </c>
      <c r="B523" s="699" t="s">
        <v>713</v>
      </c>
      <c r="C523" s="700"/>
      <c r="D523" s="137" t="s">
        <v>2162</v>
      </c>
      <c r="E523" s="138"/>
      <c r="F523" s="139"/>
      <c r="G523" s="139"/>
      <c r="H523" s="140"/>
      <c r="I523" s="141"/>
      <c r="J523" s="142"/>
      <c r="K523" s="143"/>
    </row>
    <row r="524" spans="1:11" ht="13.2" customHeight="1" x14ac:dyDescent="0.25">
      <c r="A524" s="2"/>
      <c r="B524" s="20" t="s">
        <v>4</v>
      </c>
      <c r="C524" s="21" t="s">
        <v>1235</v>
      </c>
      <c r="D524" s="14"/>
      <c r="E524" s="22"/>
      <c r="F524" s="23"/>
      <c r="G524" s="23"/>
      <c r="H524" s="24" t="s">
        <v>203</v>
      </c>
      <c r="I524" s="45">
        <v>1</v>
      </c>
      <c r="J524" s="25">
        <f>'Harga Satuan Dasar mat'!G102</f>
        <v>203000</v>
      </c>
      <c r="K524" s="26">
        <f>I524*J524</f>
        <v>203000</v>
      </c>
    </row>
    <row r="525" spans="1:11" ht="13.2" customHeight="1" x14ac:dyDescent="0.25">
      <c r="A525" s="2"/>
      <c r="B525" s="20" t="s">
        <v>30</v>
      </c>
      <c r="C525" s="21" t="s">
        <v>589</v>
      </c>
      <c r="D525" s="14"/>
      <c r="E525" s="22"/>
      <c r="F525" s="23"/>
      <c r="G525" s="23"/>
      <c r="H525" s="24" t="s">
        <v>203</v>
      </c>
      <c r="I525" s="45">
        <v>2</v>
      </c>
      <c r="J525" s="25">
        <f>J508</f>
        <v>27550</v>
      </c>
      <c r="K525" s="26">
        <f t="shared" ref="K525:K535" si="69">I525*J525</f>
        <v>55100</v>
      </c>
    </row>
    <row r="526" spans="1:11" ht="13.2" customHeight="1" x14ac:dyDescent="0.25">
      <c r="A526" s="2"/>
      <c r="B526" s="20" t="s">
        <v>57</v>
      </c>
      <c r="C526" s="21" t="s">
        <v>590</v>
      </c>
      <c r="D526" s="14"/>
      <c r="E526" s="22"/>
      <c r="F526" s="23"/>
      <c r="G526" s="23"/>
      <c r="H526" s="24" t="s">
        <v>203</v>
      </c>
      <c r="I526" s="45">
        <v>2</v>
      </c>
      <c r="J526" s="25">
        <f>J509</f>
        <v>128700</v>
      </c>
      <c r="K526" s="26">
        <f t="shared" si="69"/>
        <v>257400</v>
      </c>
    </row>
    <row r="527" spans="1:11" ht="13.2" customHeight="1" x14ac:dyDescent="0.25">
      <c r="A527" s="2"/>
      <c r="B527" s="20" t="s">
        <v>83</v>
      </c>
      <c r="C527" s="21" t="s">
        <v>282</v>
      </c>
      <c r="D527" s="14"/>
      <c r="E527" s="22"/>
      <c r="F527" s="23"/>
      <c r="G527" s="23"/>
      <c r="H527" s="24" t="s">
        <v>203</v>
      </c>
      <c r="I527" s="45">
        <v>2</v>
      </c>
      <c r="J527" s="25">
        <f>J510</f>
        <v>175000</v>
      </c>
      <c r="K527" s="26">
        <f t="shared" si="69"/>
        <v>350000</v>
      </c>
    </row>
    <row r="528" spans="1:11" ht="13.2" customHeight="1" x14ac:dyDescent="0.25">
      <c r="A528" s="2"/>
      <c r="B528" s="20" t="s">
        <v>110</v>
      </c>
      <c r="C528" s="21" t="s">
        <v>1287</v>
      </c>
      <c r="D528" s="14"/>
      <c r="E528" s="22"/>
      <c r="F528" s="23"/>
      <c r="G528" s="23"/>
      <c r="H528" s="24" t="s">
        <v>203</v>
      </c>
      <c r="I528" s="45">
        <v>2</v>
      </c>
      <c r="J528" s="25">
        <f>'Harga Satuan Dasar mat'!G551</f>
        <v>99720</v>
      </c>
      <c r="K528" s="26">
        <f t="shared" si="69"/>
        <v>199440</v>
      </c>
    </row>
    <row r="529" spans="1:11" ht="13.2" customHeight="1" x14ac:dyDescent="0.25">
      <c r="A529" s="2"/>
      <c r="B529" s="20" t="s">
        <v>137</v>
      </c>
      <c r="C529" s="21" t="s">
        <v>1290</v>
      </c>
      <c r="D529" s="14"/>
      <c r="E529" s="22"/>
      <c r="F529" s="23"/>
      <c r="G529" s="23"/>
      <c r="H529" s="24" t="s">
        <v>235</v>
      </c>
      <c r="I529" s="45">
        <v>2</v>
      </c>
      <c r="J529" s="25">
        <f>J512</f>
        <v>283250</v>
      </c>
      <c r="K529" s="26">
        <f t="shared" si="69"/>
        <v>566500</v>
      </c>
    </row>
    <row r="530" spans="1:11" ht="13.2" customHeight="1" x14ac:dyDescent="0.25">
      <c r="A530" s="2"/>
      <c r="B530" s="20" t="s">
        <v>156</v>
      </c>
      <c r="C530" s="21" t="s">
        <v>1289</v>
      </c>
      <c r="D530" s="14"/>
      <c r="E530" s="22"/>
      <c r="F530" s="23"/>
      <c r="G530" s="23"/>
      <c r="H530" s="24" t="s">
        <v>235</v>
      </c>
      <c r="I530" s="45">
        <v>2</v>
      </c>
      <c r="J530" s="25">
        <f>J513</f>
        <v>168250</v>
      </c>
      <c r="K530" s="26">
        <f t="shared" si="69"/>
        <v>336500</v>
      </c>
    </row>
    <row r="531" spans="1:11" ht="13.2" customHeight="1" x14ac:dyDescent="0.25">
      <c r="A531" s="2"/>
      <c r="B531" s="20" t="s">
        <v>175</v>
      </c>
      <c r="C531" s="21" t="s">
        <v>1288</v>
      </c>
      <c r="D531" s="14"/>
      <c r="E531" s="22"/>
      <c r="F531" s="23"/>
      <c r="G531" s="23"/>
      <c r="H531" s="24" t="s">
        <v>235</v>
      </c>
      <c r="I531" s="45">
        <v>2</v>
      </c>
      <c r="J531" s="25">
        <f>J514</f>
        <v>356250</v>
      </c>
      <c r="K531" s="26">
        <f t="shared" si="69"/>
        <v>712500</v>
      </c>
    </row>
    <row r="532" spans="1:11" ht="13.2" customHeight="1" x14ac:dyDescent="0.25">
      <c r="A532" s="2"/>
      <c r="B532" s="20" t="s">
        <v>177</v>
      </c>
      <c r="C532" s="21" t="s">
        <v>1285</v>
      </c>
      <c r="D532" s="14"/>
      <c r="E532" s="22"/>
      <c r="F532" s="23"/>
      <c r="G532" s="23"/>
      <c r="H532" s="24" t="s">
        <v>203</v>
      </c>
      <c r="I532" s="45">
        <v>1</v>
      </c>
      <c r="J532" s="25">
        <f>J515</f>
        <v>90000</v>
      </c>
      <c r="K532" s="26">
        <f t="shared" si="69"/>
        <v>90000</v>
      </c>
    </row>
    <row r="533" spans="1:11" ht="13.2" customHeight="1" x14ac:dyDescent="0.25">
      <c r="A533" s="2"/>
      <c r="B533" s="20" t="s">
        <v>197</v>
      </c>
      <c r="C533" s="21" t="s">
        <v>1238</v>
      </c>
      <c r="D533" s="14"/>
      <c r="E533" s="22"/>
      <c r="F533" s="23"/>
      <c r="G533" s="23"/>
      <c r="H533" s="24" t="s">
        <v>203</v>
      </c>
      <c r="I533" s="45">
        <v>1</v>
      </c>
      <c r="J533" s="25">
        <f>'Harga Satuan Dasar mat'!G104</f>
        <v>221500</v>
      </c>
      <c r="K533" s="26">
        <f t="shared" si="69"/>
        <v>221500</v>
      </c>
    </row>
    <row r="534" spans="1:11" ht="13.2" customHeight="1" x14ac:dyDescent="0.25">
      <c r="A534" s="2"/>
      <c r="B534" s="20" t="s">
        <v>198</v>
      </c>
      <c r="C534" s="21" t="s">
        <v>1291</v>
      </c>
      <c r="D534" s="14"/>
      <c r="E534" s="22"/>
      <c r="F534" s="23"/>
      <c r="G534" s="23"/>
      <c r="H534" s="24" t="s">
        <v>203</v>
      </c>
      <c r="I534" s="45">
        <v>6</v>
      </c>
      <c r="J534" s="25">
        <f>J517</f>
        <v>14000</v>
      </c>
      <c r="K534" s="26">
        <f t="shared" si="69"/>
        <v>84000</v>
      </c>
    </row>
    <row r="535" spans="1:11" ht="13.2" customHeight="1" x14ac:dyDescent="0.25">
      <c r="A535" s="2"/>
      <c r="B535" s="20" t="s">
        <v>200</v>
      </c>
      <c r="C535" s="21" t="s">
        <v>1286</v>
      </c>
      <c r="D535" s="14"/>
      <c r="E535" s="22"/>
      <c r="F535" s="23"/>
      <c r="G535" s="23"/>
      <c r="H535" s="24" t="s">
        <v>203</v>
      </c>
      <c r="I535" s="45">
        <v>3</v>
      </c>
      <c r="J535" s="25">
        <f>J518</f>
        <v>48000</v>
      </c>
      <c r="K535" s="26">
        <f t="shared" si="69"/>
        <v>144000</v>
      </c>
    </row>
    <row r="536" spans="1:11" ht="12.9" customHeight="1" x14ac:dyDescent="0.25">
      <c r="A536" s="6"/>
      <c r="B536" s="7"/>
      <c r="C536" s="8"/>
      <c r="D536" s="8"/>
      <c r="E536" s="8"/>
      <c r="F536" s="8"/>
      <c r="G536" s="9"/>
      <c r="H536" s="10" t="s">
        <v>715</v>
      </c>
      <c r="I536" s="11"/>
      <c r="J536" s="11"/>
      <c r="K536" s="27">
        <f>SUM(K524:K535)</f>
        <v>3219940</v>
      </c>
    </row>
    <row r="537" spans="1:11" ht="12.9" customHeight="1" x14ac:dyDescent="0.25">
      <c r="A537" s="6"/>
      <c r="B537" s="5"/>
      <c r="C537" s="3"/>
      <c r="D537" s="3"/>
      <c r="E537" s="3"/>
      <c r="F537" s="3"/>
      <c r="G537" s="4"/>
      <c r="H537" s="12" t="s">
        <v>603</v>
      </c>
      <c r="I537" s="28">
        <f>$K$3</f>
        <v>0.15</v>
      </c>
      <c r="J537" s="38"/>
      <c r="K537" s="29">
        <f>I537*K536</f>
        <v>482991</v>
      </c>
    </row>
    <row r="538" spans="1:11" ht="12.9" customHeight="1" x14ac:dyDescent="0.25">
      <c r="A538" s="6"/>
      <c r="B538" s="5"/>
      <c r="C538" s="3"/>
      <c r="D538" s="3"/>
      <c r="E538" s="3"/>
      <c r="F538" s="3"/>
      <c r="G538" s="4"/>
      <c r="H538" s="12" t="s">
        <v>604</v>
      </c>
      <c r="I538" s="14"/>
      <c r="J538" s="14"/>
      <c r="K538" s="29">
        <f>SUM(K536:K537)</f>
        <v>3702931</v>
      </c>
    </row>
    <row r="539" spans="1:11" ht="12.9" customHeight="1" thickBot="1" x14ac:dyDescent="0.3">
      <c r="A539" s="15"/>
      <c r="B539" s="16"/>
      <c r="C539" s="17"/>
      <c r="D539" s="17"/>
      <c r="E539" s="17"/>
      <c r="F539" s="17"/>
      <c r="G539" s="18"/>
      <c r="H539" s="46" t="s">
        <v>605</v>
      </c>
      <c r="I539" s="47"/>
      <c r="J539" s="47"/>
      <c r="K539" s="144">
        <f>ROUND(K538,-1)</f>
        <v>3702930</v>
      </c>
    </row>
    <row r="540" spans="1:11" ht="14.1" customHeight="1" x14ac:dyDescent="0.25">
      <c r="A540" s="81">
        <v>50</v>
      </c>
      <c r="B540" s="699" t="s">
        <v>713</v>
      </c>
      <c r="C540" s="700"/>
      <c r="D540" s="137" t="s">
        <v>2161</v>
      </c>
      <c r="E540" s="138"/>
      <c r="F540" s="139"/>
      <c r="G540" s="139"/>
      <c r="H540" s="140"/>
      <c r="I540" s="141"/>
      <c r="J540" s="142"/>
      <c r="K540" s="143"/>
    </row>
    <row r="541" spans="1:11" ht="13.2" customHeight="1" x14ac:dyDescent="0.25">
      <c r="A541" s="2"/>
      <c r="B541" s="20" t="s">
        <v>4</v>
      </c>
      <c r="C541" s="21" t="s">
        <v>1238</v>
      </c>
      <c r="D541" s="14"/>
      <c r="E541" s="22"/>
      <c r="F541" s="23"/>
      <c r="G541" s="23"/>
      <c r="H541" s="24" t="s">
        <v>203</v>
      </c>
      <c r="I541" s="45">
        <v>1</v>
      </c>
      <c r="J541" s="25">
        <f>'Harga Satuan Dasar mat'!G104</f>
        <v>221500</v>
      </c>
      <c r="K541" s="26">
        <f>I541*J541</f>
        <v>221500</v>
      </c>
    </row>
    <row r="542" spans="1:11" ht="13.2" customHeight="1" x14ac:dyDescent="0.25">
      <c r="A542" s="2"/>
      <c r="B542" s="20" t="s">
        <v>30</v>
      </c>
      <c r="C542" s="21" t="s">
        <v>589</v>
      </c>
      <c r="D542" s="14"/>
      <c r="E542" s="22"/>
      <c r="F542" s="23"/>
      <c r="G542" s="23"/>
      <c r="H542" s="24" t="s">
        <v>203</v>
      </c>
      <c r="I542" s="45">
        <v>2</v>
      </c>
      <c r="J542" s="25">
        <f>J525</f>
        <v>27550</v>
      </c>
      <c r="K542" s="26">
        <f t="shared" ref="K542:K552" si="70">I542*J542</f>
        <v>55100</v>
      </c>
    </row>
    <row r="543" spans="1:11" ht="13.2" customHeight="1" x14ac:dyDescent="0.25">
      <c r="A543" s="2"/>
      <c r="B543" s="20" t="s">
        <v>57</v>
      </c>
      <c r="C543" s="21" t="s">
        <v>590</v>
      </c>
      <c r="D543" s="14"/>
      <c r="E543" s="22"/>
      <c r="F543" s="23"/>
      <c r="G543" s="23"/>
      <c r="H543" s="24" t="s">
        <v>203</v>
      </c>
      <c r="I543" s="45">
        <v>2</v>
      </c>
      <c r="J543" s="25">
        <f t="shared" ref="J543:J552" si="71">J526</f>
        <v>128700</v>
      </c>
      <c r="K543" s="26">
        <f t="shared" si="70"/>
        <v>257400</v>
      </c>
    </row>
    <row r="544" spans="1:11" ht="13.2" customHeight="1" x14ac:dyDescent="0.25">
      <c r="A544" s="2"/>
      <c r="B544" s="20" t="s">
        <v>83</v>
      </c>
      <c r="C544" s="21" t="s">
        <v>282</v>
      </c>
      <c r="D544" s="14"/>
      <c r="E544" s="22"/>
      <c r="F544" s="23"/>
      <c r="G544" s="23"/>
      <c r="H544" s="24" t="s">
        <v>203</v>
      </c>
      <c r="I544" s="45">
        <v>2</v>
      </c>
      <c r="J544" s="25">
        <f t="shared" si="71"/>
        <v>175000</v>
      </c>
      <c r="K544" s="26">
        <f t="shared" si="70"/>
        <v>350000</v>
      </c>
    </row>
    <row r="545" spans="1:11" ht="13.2" customHeight="1" x14ac:dyDescent="0.25">
      <c r="A545" s="2"/>
      <c r="B545" s="20" t="s">
        <v>110</v>
      </c>
      <c r="C545" s="21" t="s">
        <v>1287</v>
      </c>
      <c r="D545" s="14"/>
      <c r="E545" s="22"/>
      <c r="F545" s="23"/>
      <c r="G545" s="23"/>
      <c r="H545" s="24" t="s">
        <v>203</v>
      </c>
      <c r="I545" s="45">
        <v>2</v>
      </c>
      <c r="J545" s="25">
        <f t="shared" si="71"/>
        <v>99720</v>
      </c>
      <c r="K545" s="26">
        <f t="shared" si="70"/>
        <v>199440</v>
      </c>
    </row>
    <row r="546" spans="1:11" ht="13.2" customHeight="1" x14ac:dyDescent="0.25">
      <c r="A546" s="2"/>
      <c r="B546" s="20" t="s">
        <v>137</v>
      </c>
      <c r="C546" s="21" t="s">
        <v>1290</v>
      </c>
      <c r="D546" s="14"/>
      <c r="E546" s="22"/>
      <c r="F546" s="23"/>
      <c r="G546" s="23"/>
      <c r="H546" s="24" t="s">
        <v>235</v>
      </c>
      <c r="I546" s="45">
        <v>2</v>
      </c>
      <c r="J546" s="25">
        <f t="shared" si="71"/>
        <v>283250</v>
      </c>
      <c r="K546" s="26">
        <f t="shared" si="70"/>
        <v>566500</v>
      </c>
    </row>
    <row r="547" spans="1:11" ht="13.2" customHeight="1" x14ac:dyDescent="0.25">
      <c r="A547" s="2"/>
      <c r="B547" s="20" t="s">
        <v>156</v>
      </c>
      <c r="C547" s="21" t="s">
        <v>1289</v>
      </c>
      <c r="D547" s="14"/>
      <c r="E547" s="22"/>
      <c r="F547" s="23"/>
      <c r="G547" s="23"/>
      <c r="H547" s="24" t="s">
        <v>235</v>
      </c>
      <c r="I547" s="45">
        <v>2</v>
      </c>
      <c r="J547" s="25">
        <f t="shared" si="71"/>
        <v>168250</v>
      </c>
      <c r="K547" s="26">
        <f t="shared" si="70"/>
        <v>336500</v>
      </c>
    </row>
    <row r="548" spans="1:11" ht="13.2" customHeight="1" x14ac:dyDescent="0.25">
      <c r="A548" s="2"/>
      <c r="B548" s="20" t="s">
        <v>175</v>
      </c>
      <c r="C548" s="21" t="s">
        <v>1288</v>
      </c>
      <c r="D548" s="14"/>
      <c r="E548" s="22"/>
      <c r="F548" s="23"/>
      <c r="G548" s="23"/>
      <c r="H548" s="24" t="s">
        <v>235</v>
      </c>
      <c r="I548" s="45">
        <v>2</v>
      </c>
      <c r="J548" s="25">
        <f t="shared" si="71"/>
        <v>356250</v>
      </c>
      <c r="K548" s="26">
        <f t="shared" si="70"/>
        <v>712500</v>
      </c>
    </row>
    <row r="549" spans="1:11" ht="13.2" customHeight="1" x14ac:dyDescent="0.25">
      <c r="A549" s="2"/>
      <c r="B549" s="20" t="s">
        <v>177</v>
      </c>
      <c r="C549" s="21" t="s">
        <v>1285</v>
      </c>
      <c r="D549" s="14"/>
      <c r="E549" s="22"/>
      <c r="F549" s="23"/>
      <c r="G549" s="23"/>
      <c r="H549" s="24" t="s">
        <v>203</v>
      </c>
      <c r="I549" s="45">
        <v>1</v>
      </c>
      <c r="J549" s="25">
        <f t="shared" si="71"/>
        <v>90000</v>
      </c>
      <c r="K549" s="26">
        <f t="shared" si="70"/>
        <v>90000</v>
      </c>
    </row>
    <row r="550" spans="1:11" ht="13.2" customHeight="1" x14ac:dyDescent="0.25">
      <c r="A550" s="2"/>
      <c r="B550" s="20" t="s">
        <v>197</v>
      </c>
      <c r="C550" s="21" t="s">
        <v>1238</v>
      </c>
      <c r="D550" s="14"/>
      <c r="E550" s="22"/>
      <c r="F550" s="23"/>
      <c r="G550" s="23"/>
      <c r="H550" s="24" t="s">
        <v>203</v>
      </c>
      <c r="I550" s="45">
        <v>1</v>
      </c>
      <c r="J550" s="25">
        <f>J541</f>
        <v>221500</v>
      </c>
      <c r="K550" s="26">
        <f t="shared" si="70"/>
        <v>221500</v>
      </c>
    </row>
    <row r="551" spans="1:11" ht="13.2" customHeight="1" x14ac:dyDescent="0.25">
      <c r="A551" s="2"/>
      <c r="B551" s="20" t="s">
        <v>198</v>
      </c>
      <c r="C551" s="21" t="s">
        <v>1291</v>
      </c>
      <c r="D551" s="14"/>
      <c r="E551" s="22"/>
      <c r="F551" s="23"/>
      <c r="G551" s="23"/>
      <c r="H551" s="24" t="s">
        <v>203</v>
      </c>
      <c r="I551" s="45">
        <v>6</v>
      </c>
      <c r="J551" s="25">
        <f t="shared" si="71"/>
        <v>14000</v>
      </c>
      <c r="K551" s="26">
        <f t="shared" si="70"/>
        <v>84000</v>
      </c>
    </row>
    <row r="552" spans="1:11" ht="13.2" customHeight="1" x14ac:dyDescent="0.25">
      <c r="A552" s="2"/>
      <c r="B552" s="20" t="s">
        <v>200</v>
      </c>
      <c r="C552" s="21" t="s">
        <v>1286</v>
      </c>
      <c r="D552" s="14"/>
      <c r="E552" s="22"/>
      <c r="F552" s="23"/>
      <c r="G552" s="23"/>
      <c r="H552" s="24" t="s">
        <v>203</v>
      </c>
      <c r="I552" s="45">
        <v>3</v>
      </c>
      <c r="J552" s="25">
        <f t="shared" si="71"/>
        <v>48000</v>
      </c>
      <c r="K552" s="26">
        <f t="shared" si="70"/>
        <v>144000</v>
      </c>
    </row>
    <row r="553" spans="1:11" ht="12.9" customHeight="1" x14ac:dyDescent="0.25">
      <c r="A553" s="6"/>
      <c r="B553" s="7"/>
      <c r="C553" s="8"/>
      <c r="D553" s="8"/>
      <c r="E553" s="8"/>
      <c r="F553" s="8"/>
      <c r="G553" s="9"/>
      <c r="H553" s="10" t="s">
        <v>715</v>
      </c>
      <c r="I553" s="11"/>
      <c r="J553" s="11"/>
      <c r="K553" s="27">
        <f>SUM(K541:K552)</f>
        <v>3238440</v>
      </c>
    </row>
    <row r="554" spans="1:11" ht="12.9" customHeight="1" x14ac:dyDescent="0.25">
      <c r="A554" s="6"/>
      <c r="B554" s="5"/>
      <c r="C554" s="3"/>
      <c r="D554" s="3"/>
      <c r="E554" s="3"/>
      <c r="F554" s="3"/>
      <c r="G554" s="4"/>
      <c r="H554" s="12" t="s">
        <v>603</v>
      </c>
      <c r="I554" s="28">
        <f>$K$3</f>
        <v>0.15</v>
      </c>
      <c r="J554" s="38"/>
      <c r="K554" s="29">
        <f>I554*K553</f>
        <v>485766</v>
      </c>
    </row>
    <row r="555" spans="1:11" ht="12.9" customHeight="1" x14ac:dyDescent="0.25">
      <c r="A555" s="6"/>
      <c r="B555" s="5"/>
      <c r="C555" s="3"/>
      <c r="D555" s="3"/>
      <c r="E555" s="3"/>
      <c r="F555" s="3"/>
      <c r="G555" s="4"/>
      <c r="H555" s="12" t="s">
        <v>604</v>
      </c>
      <c r="I555" s="14"/>
      <c r="J555" s="14"/>
      <c r="K555" s="29">
        <f>SUM(K553:K554)</f>
        <v>3724206</v>
      </c>
    </row>
    <row r="556" spans="1:11" ht="12.9" customHeight="1" thickBot="1" x14ac:dyDescent="0.3">
      <c r="A556" s="15"/>
      <c r="B556" s="16"/>
      <c r="C556" s="17"/>
      <c r="D556" s="17"/>
      <c r="E556" s="17"/>
      <c r="F556" s="17"/>
      <c r="G556" s="18"/>
      <c r="H556" s="46" t="s">
        <v>605</v>
      </c>
      <c r="I556" s="47"/>
      <c r="J556" s="47"/>
      <c r="K556" s="144">
        <f>ROUND(K555,-1)</f>
        <v>3724210</v>
      </c>
    </row>
    <row r="557" spans="1:11" ht="14.1" customHeight="1" x14ac:dyDescent="0.25">
      <c r="A557" s="81">
        <v>51</v>
      </c>
      <c r="B557" s="699" t="s">
        <v>713</v>
      </c>
      <c r="C557" s="700"/>
      <c r="D557" s="137" t="s">
        <v>2160</v>
      </c>
      <c r="E557" s="138"/>
      <c r="F557" s="139"/>
      <c r="G557" s="139"/>
      <c r="H557" s="140"/>
      <c r="I557" s="141"/>
      <c r="J557" s="142"/>
      <c r="K557" s="143"/>
    </row>
    <row r="558" spans="1:11" ht="13.2" customHeight="1" x14ac:dyDescent="0.25">
      <c r="A558" s="2"/>
      <c r="B558" s="20" t="s">
        <v>4</v>
      </c>
      <c r="C558" s="21" t="s">
        <v>1240</v>
      </c>
      <c r="D558" s="14"/>
      <c r="E558" s="22"/>
      <c r="F558" s="23"/>
      <c r="G558" s="23"/>
      <c r="H558" s="24" t="s">
        <v>203</v>
      </c>
      <c r="I558" s="45">
        <v>1</v>
      </c>
      <c r="J558" s="25">
        <f>'Harga Satuan Dasar mat'!G100</f>
        <v>184000</v>
      </c>
      <c r="K558" s="26">
        <f>I558*J558</f>
        <v>184000</v>
      </c>
    </row>
    <row r="559" spans="1:11" ht="13.2" customHeight="1" x14ac:dyDescent="0.25">
      <c r="A559" s="2"/>
      <c r="B559" s="20" t="s">
        <v>30</v>
      </c>
      <c r="C559" s="21" t="s">
        <v>589</v>
      </c>
      <c r="D559" s="14"/>
      <c r="E559" s="22"/>
      <c r="F559" s="23"/>
      <c r="G559" s="23"/>
      <c r="H559" s="24" t="s">
        <v>203</v>
      </c>
      <c r="I559" s="45">
        <v>2</v>
      </c>
      <c r="J559" s="25">
        <f t="shared" ref="J559:J569" si="72">J542</f>
        <v>27550</v>
      </c>
      <c r="K559" s="26">
        <f t="shared" ref="K559:K569" si="73">I559*J559</f>
        <v>55100</v>
      </c>
    </row>
    <row r="560" spans="1:11" ht="13.2" customHeight="1" x14ac:dyDescent="0.25">
      <c r="A560" s="2"/>
      <c r="B560" s="20" t="s">
        <v>57</v>
      </c>
      <c r="C560" s="21" t="s">
        <v>590</v>
      </c>
      <c r="D560" s="14"/>
      <c r="E560" s="22"/>
      <c r="F560" s="23"/>
      <c r="G560" s="23"/>
      <c r="H560" s="24" t="s">
        <v>203</v>
      </c>
      <c r="I560" s="45">
        <v>2</v>
      </c>
      <c r="J560" s="25">
        <f t="shared" si="72"/>
        <v>128700</v>
      </c>
      <c r="K560" s="26">
        <f t="shared" si="73"/>
        <v>257400</v>
      </c>
    </row>
    <row r="561" spans="1:11" ht="13.2" customHeight="1" x14ac:dyDescent="0.25">
      <c r="A561" s="2"/>
      <c r="B561" s="20" t="s">
        <v>83</v>
      </c>
      <c r="C561" s="21" t="s">
        <v>282</v>
      </c>
      <c r="D561" s="14"/>
      <c r="E561" s="22"/>
      <c r="F561" s="23"/>
      <c r="G561" s="23"/>
      <c r="H561" s="24" t="s">
        <v>203</v>
      </c>
      <c r="I561" s="45">
        <v>2</v>
      </c>
      <c r="J561" s="25">
        <f t="shared" si="72"/>
        <v>175000</v>
      </c>
      <c r="K561" s="26">
        <f t="shared" si="73"/>
        <v>350000</v>
      </c>
    </row>
    <row r="562" spans="1:11" ht="13.2" customHeight="1" x14ac:dyDescent="0.25">
      <c r="A562" s="2"/>
      <c r="B562" s="20" t="s">
        <v>110</v>
      </c>
      <c r="C562" s="21" t="s">
        <v>1287</v>
      </c>
      <c r="D562" s="14"/>
      <c r="E562" s="22"/>
      <c r="F562" s="23"/>
      <c r="G562" s="23"/>
      <c r="H562" s="24" t="s">
        <v>203</v>
      </c>
      <c r="I562" s="45">
        <v>2</v>
      </c>
      <c r="J562" s="25">
        <f t="shared" si="72"/>
        <v>99720</v>
      </c>
      <c r="K562" s="26">
        <f t="shared" si="73"/>
        <v>199440</v>
      </c>
    </row>
    <row r="563" spans="1:11" ht="13.2" customHeight="1" x14ac:dyDescent="0.25">
      <c r="A563" s="2"/>
      <c r="B563" s="20" t="s">
        <v>137</v>
      </c>
      <c r="C563" s="21" t="s">
        <v>1290</v>
      </c>
      <c r="D563" s="14"/>
      <c r="E563" s="22"/>
      <c r="F563" s="23"/>
      <c r="G563" s="23"/>
      <c r="H563" s="24" t="s">
        <v>235</v>
      </c>
      <c r="I563" s="45">
        <v>2</v>
      </c>
      <c r="J563" s="25">
        <f t="shared" si="72"/>
        <v>283250</v>
      </c>
      <c r="K563" s="26">
        <f t="shared" si="73"/>
        <v>566500</v>
      </c>
    </row>
    <row r="564" spans="1:11" ht="13.2" customHeight="1" x14ac:dyDescent="0.25">
      <c r="A564" s="2"/>
      <c r="B564" s="20" t="s">
        <v>156</v>
      </c>
      <c r="C564" s="21" t="s">
        <v>1289</v>
      </c>
      <c r="D564" s="14"/>
      <c r="E564" s="22"/>
      <c r="F564" s="23"/>
      <c r="G564" s="23"/>
      <c r="H564" s="24" t="s">
        <v>235</v>
      </c>
      <c r="I564" s="45">
        <v>2</v>
      </c>
      <c r="J564" s="25">
        <f t="shared" si="72"/>
        <v>168250</v>
      </c>
      <c r="K564" s="26">
        <f t="shared" si="73"/>
        <v>336500</v>
      </c>
    </row>
    <row r="565" spans="1:11" ht="13.2" customHeight="1" x14ac:dyDescent="0.25">
      <c r="A565" s="2"/>
      <c r="B565" s="20" t="s">
        <v>175</v>
      </c>
      <c r="C565" s="21" t="s">
        <v>1288</v>
      </c>
      <c r="D565" s="14"/>
      <c r="E565" s="22"/>
      <c r="F565" s="23"/>
      <c r="G565" s="23"/>
      <c r="H565" s="24" t="s">
        <v>235</v>
      </c>
      <c r="I565" s="45">
        <v>2</v>
      </c>
      <c r="J565" s="25">
        <f t="shared" si="72"/>
        <v>356250</v>
      </c>
      <c r="K565" s="26">
        <f t="shared" si="73"/>
        <v>712500</v>
      </c>
    </row>
    <row r="566" spans="1:11" ht="13.2" customHeight="1" x14ac:dyDescent="0.25">
      <c r="A566" s="2"/>
      <c r="B566" s="20" t="s">
        <v>177</v>
      </c>
      <c r="C566" s="21" t="s">
        <v>1285</v>
      </c>
      <c r="D566" s="14"/>
      <c r="E566" s="22"/>
      <c r="F566" s="23"/>
      <c r="G566" s="23"/>
      <c r="H566" s="24" t="s">
        <v>203</v>
      </c>
      <c r="I566" s="45">
        <v>1</v>
      </c>
      <c r="J566" s="25">
        <f t="shared" si="72"/>
        <v>90000</v>
      </c>
      <c r="K566" s="26">
        <f t="shared" si="73"/>
        <v>90000</v>
      </c>
    </row>
    <row r="567" spans="1:11" ht="13.2" customHeight="1" x14ac:dyDescent="0.25">
      <c r="A567" s="2"/>
      <c r="B567" s="20" t="s">
        <v>197</v>
      </c>
      <c r="C567" s="21" t="s">
        <v>1240</v>
      </c>
      <c r="D567" s="14"/>
      <c r="E567" s="22"/>
      <c r="F567" s="23"/>
      <c r="G567" s="23"/>
      <c r="H567" s="24" t="s">
        <v>203</v>
      </c>
      <c r="I567" s="45">
        <v>1</v>
      </c>
      <c r="J567" s="25">
        <f>J558</f>
        <v>184000</v>
      </c>
      <c r="K567" s="26">
        <f t="shared" si="73"/>
        <v>184000</v>
      </c>
    </row>
    <row r="568" spans="1:11" ht="13.2" customHeight="1" x14ac:dyDescent="0.25">
      <c r="A568" s="2"/>
      <c r="B568" s="20" t="s">
        <v>198</v>
      </c>
      <c r="C568" s="21" t="s">
        <v>1291</v>
      </c>
      <c r="D568" s="14"/>
      <c r="E568" s="22"/>
      <c r="F568" s="23"/>
      <c r="G568" s="23"/>
      <c r="H568" s="24" t="s">
        <v>203</v>
      </c>
      <c r="I568" s="45">
        <v>6</v>
      </c>
      <c r="J568" s="25">
        <f t="shared" si="72"/>
        <v>14000</v>
      </c>
      <c r="K568" s="26">
        <f t="shared" si="73"/>
        <v>84000</v>
      </c>
    </row>
    <row r="569" spans="1:11" ht="13.2" customHeight="1" x14ac:dyDescent="0.25">
      <c r="A569" s="2"/>
      <c r="B569" s="20" t="s">
        <v>200</v>
      </c>
      <c r="C569" s="21" t="s">
        <v>1286</v>
      </c>
      <c r="D569" s="14"/>
      <c r="E569" s="22"/>
      <c r="F569" s="23"/>
      <c r="G569" s="23"/>
      <c r="H569" s="24" t="s">
        <v>203</v>
      </c>
      <c r="I569" s="45">
        <v>3</v>
      </c>
      <c r="J569" s="25">
        <f t="shared" si="72"/>
        <v>48000</v>
      </c>
      <c r="K569" s="26">
        <f t="shared" si="73"/>
        <v>144000</v>
      </c>
    </row>
    <row r="570" spans="1:11" ht="12.9" customHeight="1" x14ac:dyDescent="0.25">
      <c r="A570" s="6"/>
      <c r="B570" s="7"/>
      <c r="C570" s="8"/>
      <c r="D570" s="8"/>
      <c r="E570" s="8"/>
      <c r="F570" s="8"/>
      <c r="G570" s="9"/>
      <c r="H570" s="10" t="s">
        <v>715</v>
      </c>
      <c r="I570" s="11"/>
      <c r="J570" s="11"/>
      <c r="K570" s="27">
        <f>SUM(K558:K569)</f>
        <v>3163440</v>
      </c>
    </row>
    <row r="571" spans="1:11" ht="12.9" customHeight="1" x14ac:dyDescent="0.25">
      <c r="A571" s="6"/>
      <c r="B571" s="5"/>
      <c r="C571" s="3"/>
      <c r="D571" s="3"/>
      <c r="E571" s="3"/>
      <c r="F571" s="3"/>
      <c r="G571" s="4"/>
      <c r="H571" s="12" t="s">
        <v>603</v>
      </c>
      <c r="I571" s="28">
        <f>$K$3</f>
        <v>0.15</v>
      </c>
      <c r="J571" s="38"/>
      <c r="K571" s="29">
        <f>I571*K570</f>
        <v>474516</v>
      </c>
    </row>
    <row r="572" spans="1:11" ht="12.9" customHeight="1" x14ac:dyDescent="0.25">
      <c r="A572" s="6"/>
      <c r="B572" s="5"/>
      <c r="C572" s="3"/>
      <c r="D572" s="3"/>
      <c r="E572" s="3"/>
      <c r="F572" s="3"/>
      <c r="G572" s="4"/>
      <c r="H572" s="12" t="s">
        <v>604</v>
      </c>
      <c r="I572" s="14"/>
      <c r="J572" s="14"/>
      <c r="K572" s="29">
        <f>SUM(K570:K571)</f>
        <v>3637956</v>
      </c>
    </row>
    <row r="573" spans="1:11" ht="12.9" customHeight="1" thickBot="1" x14ac:dyDescent="0.3">
      <c r="A573" s="15"/>
      <c r="B573" s="16"/>
      <c r="C573" s="17"/>
      <c r="D573" s="17"/>
      <c r="E573" s="17"/>
      <c r="F573" s="17"/>
      <c r="G573" s="18"/>
      <c r="H573" s="46" t="s">
        <v>605</v>
      </c>
      <c r="I573" s="47"/>
      <c r="J573" s="47"/>
      <c r="K573" s="144">
        <f>ROUND(K572,-1)</f>
        <v>3637960</v>
      </c>
    </row>
    <row r="574" spans="1:11" ht="14.1" customHeight="1" x14ac:dyDescent="0.25">
      <c r="A574" s="81">
        <v>52</v>
      </c>
      <c r="B574" s="699" t="s">
        <v>713</v>
      </c>
      <c r="C574" s="700"/>
      <c r="D574" s="137" t="s">
        <v>2159</v>
      </c>
      <c r="E574" s="138"/>
      <c r="F574" s="139"/>
      <c r="G574" s="139"/>
      <c r="H574" s="140"/>
      <c r="I574" s="141"/>
      <c r="J574" s="142"/>
      <c r="K574" s="143"/>
    </row>
    <row r="575" spans="1:11" ht="13.2" customHeight="1" x14ac:dyDescent="0.25">
      <c r="A575" s="2"/>
      <c r="B575" s="20" t="s">
        <v>4</v>
      </c>
      <c r="C575" s="21" t="s">
        <v>1242</v>
      </c>
      <c r="D575" s="14"/>
      <c r="E575" s="22"/>
      <c r="F575" s="23"/>
      <c r="G575" s="23"/>
      <c r="H575" s="24" t="s">
        <v>203</v>
      </c>
      <c r="I575" s="45">
        <v>1</v>
      </c>
      <c r="J575" s="25">
        <f>'Harga Satuan Dasar mat'!G98</f>
        <v>164500</v>
      </c>
      <c r="K575" s="26">
        <f>I575*J575</f>
        <v>164500</v>
      </c>
    </row>
    <row r="576" spans="1:11" ht="13.2" customHeight="1" x14ac:dyDescent="0.25">
      <c r="A576" s="2"/>
      <c r="B576" s="20" t="s">
        <v>30</v>
      </c>
      <c r="C576" s="21" t="s">
        <v>589</v>
      </c>
      <c r="D576" s="14"/>
      <c r="E576" s="22"/>
      <c r="F576" s="23"/>
      <c r="G576" s="23"/>
      <c r="H576" s="24" t="s">
        <v>203</v>
      </c>
      <c r="I576" s="45">
        <v>2</v>
      </c>
      <c r="J576" s="25">
        <f t="shared" ref="J576:J586" si="74">J559</f>
        <v>27550</v>
      </c>
      <c r="K576" s="26">
        <f t="shared" ref="K576:K586" si="75">I576*J576</f>
        <v>55100</v>
      </c>
    </row>
    <row r="577" spans="1:11" ht="13.2" customHeight="1" x14ac:dyDescent="0.25">
      <c r="A577" s="2"/>
      <c r="B577" s="20" t="s">
        <v>57</v>
      </c>
      <c r="C577" s="21" t="s">
        <v>590</v>
      </c>
      <c r="D577" s="14"/>
      <c r="E577" s="22"/>
      <c r="F577" s="23"/>
      <c r="G577" s="23"/>
      <c r="H577" s="24" t="s">
        <v>203</v>
      </c>
      <c r="I577" s="45">
        <v>2</v>
      </c>
      <c r="J577" s="25">
        <f t="shared" si="74"/>
        <v>128700</v>
      </c>
      <c r="K577" s="26">
        <f t="shared" si="75"/>
        <v>257400</v>
      </c>
    </row>
    <row r="578" spans="1:11" ht="13.2" customHeight="1" x14ac:dyDescent="0.25">
      <c r="A578" s="2"/>
      <c r="B578" s="20" t="s">
        <v>83</v>
      </c>
      <c r="C578" s="21" t="s">
        <v>282</v>
      </c>
      <c r="D578" s="14"/>
      <c r="E578" s="22"/>
      <c r="F578" s="23"/>
      <c r="G578" s="23"/>
      <c r="H578" s="24" t="s">
        <v>203</v>
      </c>
      <c r="I578" s="45">
        <v>2</v>
      </c>
      <c r="J578" s="25">
        <f t="shared" si="74"/>
        <v>175000</v>
      </c>
      <c r="K578" s="26">
        <f t="shared" si="75"/>
        <v>350000</v>
      </c>
    </row>
    <row r="579" spans="1:11" ht="13.2" customHeight="1" x14ac:dyDescent="0.25">
      <c r="A579" s="2"/>
      <c r="B579" s="20" t="s">
        <v>110</v>
      </c>
      <c r="C579" s="21" t="s">
        <v>1287</v>
      </c>
      <c r="D579" s="14"/>
      <c r="E579" s="22"/>
      <c r="F579" s="23"/>
      <c r="G579" s="23"/>
      <c r="H579" s="24" t="s">
        <v>203</v>
      </c>
      <c r="I579" s="45">
        <v>2</v>
      </c>
      <c r="J579" s="25">
        <f t="shared" si="74"/>
        <v>99720</v>
      </c>
      <c r="K579" s="26">
        <f t="shared" si="75"/>
        <v>199440</v>
      </c>
    </row>
    <row r="580" spans="1:11" ht="13.2" customHeight="1" x14ac:dyDescent="0.25">
      <c r="A580" s="2"/>
      <c r="B580" s="20" t="s">
        <v>137</v>
      </c>
      <c r="C580" s="21" t="s">
        <v>1290</v>
      </c>
      <c r="D580" s="14"/>
      <c r="E580" s="22"/>
      <c r="F580" s="23"/>
      <c r="G580" s="23"/>
      <c r="H580" s="24" t="s">
        <v>235</v>
      </c>
      <c r="I580" s="45">
        <v>2</v>
      </c>
      <c r="J580" s="25">
        <f t="shared" si="74"/>
        <v>283250</v>
      </c>
      <c r="K580" s="26">
        <f t="shared" si="75"/>
        <v>566500</v>
      </c>
    </row>
    <row r="581" spans="1:11" ht="13.2" customHeight="1" x14ac:dyDescent="0.25">
      <c r="A581" s="2"/>
      <c r="B581" s="20" t="s">
        <v>156</v>
      </c>
      <c r="C581" s="21" t="s">
        <v>1289</v>
      </c>
      <c r="D581" s="14"/>
      <c r="E581" s="22"/>
      <c r="F581" s="23"/>
      <c r="G581" s="23"/>
      <c r="H581" s="24" t="s">
        <v>235</v>
      </c>
      <c r="I581" s="45">
        <v>2</v>
      </c>
      <c r="J581" s="25">
        <f t="shared" si="74"/>
        <v>168250</v>
      </c>
      <c r="K581" s="26">
        <f t="shared" si="75"/>
        <v>336500</v>
      </c>
    </row>
    <row r="582" spans="1:11" ht="13.2" customHeight="1" x14ac:dyDescent="0.25">
      <c r="A582" s="2"/>
      <c r="B582" s="20" t="s">
        <v>175</v>
      </c>
      <c r="C582" s="21" t="s">
        <v>1288</v>
      </c>
      <c r="D582" s="14"/>
      <c r="E582" s="22"/>
      <c r="F582" s="23"/>
      <c r="G582" s="23"/>
      <c r="H582" s="24" t="s">
        <v>235</v>
      </c>
      <c r="I582" s="45">
        <v>2</v>
      </c>
      <c r="J582" s="25">
        <f t="shared" si="74"/>
        <v>356250</v>
      </c>
      <c r="K582" s="26">
        <f t="shared" si="75"/>
        <v>712500</v>
      </c>
    </row>
    <row r="583" spans="1:11" ht="13.2" customHeight="1" x14ac:dyDescent="0.25">
      <c r="A583" s="2"/>
      <c r="B583" s="20" t="s">
        <v>177</v>
      </c>
      <c r="C583" s="21" t="s">
        <v>1285</v>
      </c>
      <c r="D583" s="14"/>
      <c r="E583" s="22"/>
      <c r="F583" s="23"/>
      <c r="G583" s="23"/>
      <c r="H583" s="24" t="s">
        <v>203</v>
      </c>
      <c r="I583" s="45">
        <v>1</v>
      </c>
      <c r="J583" s="25">
        <f t="shared" si="74"/>
        <v>90000</v>
      </c>
      <c r="K583" s="26">
        <f t="shared" si="75"/>
        <v>90000</v>
      </c>
    </row>
    <row r="584" spans="1:11" ht="13.2" customHeight="1" x14ac:dyDescent="0.25">
      <c r="A584" s="2"/>
      <c r="B584" s="20" t="s">
        <v>197</v>
      </c>
      <c r="C584" s="21" t="s">
        <v>1242</v>
      </c>
      <c r="D584" s="14"/>
      <c r="E584" s="22"/>
      <c r="F584" s="23"/>
      <c r="G584" s="23"/>
      <c r="H584" s="24" t="s">
        <v>203</v>
      </c>
      <c r="I584" s="45">
        <v>1</v>
      </c>
      <c r="J584" s="25">
        <f>J575</f>
        <v>164500</v>
      </c>
      <c r="K584" s="26">
        <f t="shared" si="75"/>
        <v>164500</v>
      </c>
    </row>
    <row r="585" spans="1:11" ht="13.2" customHeight="1" x14ac:dyDescent="0.25">
      <c r="A585" s="2"/>
      <c r="B585" s="20" t="s">
        <v>198</v>
      </c>
      <c r="C585" s="21" t="s">
        <v>1291</v>
      </c>
      <c r="D585" s="14"/>
      <c r="E585" s="22"/>
      <c r="F585" s="23"/>
      <c r="G585" s="23"/>
      <c r="H585" s="24" t="s">
        <v>203</v>
      </c>
      <c r="I585" s="45">
        <v>6</v>
      </c>
      <c r="J585" s="25">
        <f t="shared" si="74"/>
        <v>14000</v>
      </c>
      <c r="K585" s="26">
        <f t="shared" si="75"/>
        <v>84000</v>
      </c>
    </row>
    <row r="586" spans="1:11" ht="13.2" customHeight="1" x14ac:dyDescent="0.25">
      <c r="A586" s="2"/>
      <c r="B586" s="20" t="s">
        <v>200</v>
      </c>
      <c r="C586" s="21" t="s">
        <v>1286</v>
      </c>
      <c r="D586" s="14"/>
      <c r="E586" s="22"/>
      <c r="F586" s="23"/>
      <c r="G586" s="23"/>
      <c r="H586" s="24" t="s">
        <v>203</v>
      </c>
      <c r="I586" s="45">
        <v>3</v>
      </c>
      <c r="J586" s="25">
        <f t="shared" si="74"/>
        <v>48000</v>
      </c>
      <c r="K586" s="26">
        <f t="shared" si="75"/>
        <v>144000</v>
      </c>
    </row>
    <row r="587" spans="1:11" ht="12.9" customHeight="1" x14ac:dyDescent="0.25">
      <c r="A587" s="6"/>
      <c r="B587" s="7"/>
      <c r="C587" s="8"/>
      <c r="D587" s="8"/>
      <c r="E587" s="8"/>
      <c r="F587" s="8"/>
      <c r="G587" s="9"/>
      <c r="H587" s="10" t="s">
        <v>715</v>
      </c>
      <c r="I587" s="11"/>
      <c r="J587" s="11"/>
      <c r="K587" s="27">
        <f>SUM(K575:K586)</f>
        <v>3124440</v>
      </c>
    </row>
    <row r="588" spans="1:11" ht="12.9" customHeight="1" x14ac:dyDescent="0.25">
      <c r="A588" s="6"/>
      <c r="B588" s="5"/>
      <c r="C588" s="3"/>
      <c r="D588" s="3"/>
      <c r="E588" s="3"/>
      <c r="F588" s="3"/>
      <c r="G588" s="4"/>
      <c r="H588" s="12" t="s">
        <v>603</v>
      </c>
      <c r="I588" s="28">
        <f>$K$3</f>
        <v>0.15</v>
      </c>
      <c r="J588" s="38"/>
      <c r="K588" s="29">
        <f>I588*K587</f>
        <v>468666</v>
      </c>
    </row>
    <row r="589" spans="1:11" ht="12.9" customHeight="1" x14ac:dyDescent="0.25">
      <c r="A589" s="6"/>
      <c r="B589" s="5"/>
      <c r="C589" s="3"/>
      <c r="D589" s="3"/>
      <c r="E589" s="3"/>
      <c r="F589" s="3"/>
      <c r="G589" s="4"/>
      <c r="H589" s="12" t="s">
        <v>604</v>
      </c>
      <c r="I589" s="14"/>
      <c r="J589" s="14"/>
      <c r="K589" s="29">
        <f>SUM(K587:K588)</f>
        <v>3593106</v>
      </c>
    </row>
    <row r="590" spans="1:11" ht="12.9" customHeight="1" thickBot="1" x14ac:dyDescent="0.3">
      <c r="A590" s="15"/>
      <c r="B590" s="16"/>
      <c r="C590" s="17"/>
      <c r="D590" s="17"/>
      <c r="E590" s="17"/>
      <c r="F590" s="17"/>
      <c r="G590" s="18"/>
      <c r="H590" s="46" t="s">
        <v>605</v>
      </c>
      <c r="I590" s="47"/>
      <c r="J590" s="47"/>
      <c r="K590" s="144">
        <f>ROUND(K589,-1)</f>
        <v>3593110</v>
      </c>
    </row>
    <row r="591" spans="1:11" ht="14.1" customHeight="1" x14ac:dyDescent="0.25">
      <c r="A591" s="81">
        <v>53</v>
      </c>
      <c r="B591" s="699" t="s">
        <v>713</v>
      </c>
      <c r="C591" s="700"/>
      <c r="D591" s="137" t="s">
        <v>2158</v>
      </c>
      <c r="E591" s="138"/>
      <c r="F591" s="139"/>
      <c r="G591" s="139"/>
      <c r="H591" s="140"/>
      <c r="I591" s="141"/>
      <c r="J591" s="142"/>
      <c r="K591" s="143"/>
    </row>
    <row r="592" spans="1:11" ht="13.2" customHeight="1" x14ac:dyDescent="0.25">
      <c r="A592" s="2"/>
      <c r="B592" s="20" t="s">
        <v>4</v>
      </c>
      <c r="C592" s="21" t="s">
        <v>1235</v>
      </c>
      <c r="D592" s="14"/>
      <c r="E592" s="22"/>
      <c r="F592" s="23"/>
      <c r="G592" s="23"/>
      <c r="H592" s="24" t="s">
        <v>203</v>
      </c>
      <c r="I592" s="45">
        <v>1</v>
      </c>
      <c r="J592" s="25">
        <f>J524</f>
        <v>203000</v>
      </c>
      <c r="K592" s="26">
        <f>I592*J592</f>
        <v>203000</v>
      </c>
    </row>
    <row r="593" spans="1:11" ht="13.2" customHeight="1" x14ac:dyDescent="0.25">
      <c r="A593" s="2"/>
      <c r="B593" s="20" t="s">
        <v>30</v>
      </c>
      <c r="C593" s="21" t="s">
        <v>589</v>
      </c>
      <c r="D593" s="14"/>
      <c r="E593" s="22"/>
      <c r="F593" s="23"/>
      <c r="G593" s="23"/>
      <c r="H593" s="24" t="s">
        <v>203</v>
      </c>
      <c r="I593" s="45">
        <v>2</v>
      </c>
      <c r="J593" s="25">
        <f>J525</f>
        <v>27550</v>
      </c>
      <c r="K593" s="26">
        <f t="shared" ref="K593:K603" si="76">I593*J593</f>
        <v>55100</v>
      </c>
    </row>
    <row r="594" spans="1:11" ht="13.2" customHeight="1" x14ac:dyDescent="0.25">
      <c r="A594" s="2"/>
      <c r="B594" s="20" t="s">
        <v>57</v>
      </c>
      <c r="C594" s="21" t="s">
        <v>590</v>
      </c>
      <c r="D594" s="14"/>
      <c r="E594" s="22"/>
      <c r="F594" s="23"/>
      <c r="G594" s="23"/>
      <c r="H594" s="24" t="s">
        <v>203</v>
      </c>
      <c r="I594" s="45">
        <v>2</v>
      </c>
      <c r="J594" s="25">
        <f>J526</f>
        <v>128700</v>
      </c>
      <c r="K594" s="26">
        <f t="shared" si="76"/>
        <v>257400</v>
      </c>
    </row>
    <row r="595" spans="1:11" ht="13.2" customHeight="1" x14ac:dyDescent="0.25">
      <c r="A595" s="2"/>
      <c r="B595" s="20" t="s">
        <v>83</v>
      </c>
      <c r="C595" s="21" t="s">
        <v>282</v>
      </c>
      <c r="D595" s="14"/>
      <c r="E595" s="22"/>
      <c r="F595" s="23"/>
      <c r="G595" s="23"/>
      <c r="H595" s="24" t="s">
        <v>203</v>
      </c>
      <c r="I595" s="45">
        <v>2</v>
      </c>
      <c r="J595" s="25">
        <f>J527</f>
        <v>175000</v>
      </c>
      <c r="K595" s="26">
        <f t="shared" si="76"/>
        <v>350000</v>
      </c>
    </row>
    <row r="596" spans="1:11" ht="13.2" customHeight="1" x14ac:dyDescent="0.25">
      <c r="A596" s="2"/>
      <c r="B596" s="20" t="s">
        <v>110</v>
      </c>
      <c r="C596" s="21" t="s">
        <v>1294</v>
      </c>
      <c r="D596" s="14"/>
      <c r="E596" s="22"/>
      <c r="F596" s="23"/>
      <c r="G596" s="23"/>
      <c r="H596" s="24" t="s">
        <v>203</v>
      </c>
      <c r="I596" s="45">
        <v>2</v>
      </c>
      <c r="J596" s="67">
        <f>'Harga Satuan Dasar mat'!G553</f>
        <v>196560</v>
      </c>
      <c r="K596" s="26">
        <f t="shared" si="76"/>
        <v>393120</v>
      </c>
    </row>
    <row r="597" spans="1:11" ht="13.2" customHeight="1" x14ac:dyDescent="0.25">
      <c r="A597" s="2"/>
      <c r="B597" s="20" t="s">
        <v>137</v>
      </c>
      <c r="C597" s="21" t="s">
        <v>1290</v>
      </c>
      <c r="D597" s="14"/>
      <c r="E597" s="22"/>
      <c r="F597" s="23"/>
      <c r="G597" s="23"/>
      <c r="H597" s="24" t="s">
        <v>235</v>
      </c>
      <c r="I597" s="45">
        <v>2</v>
      </c>
      <c r="J597" s="25">
        <f t="shared" ref="J597:J603" si="77">J529</f>
        <v>283250</v>
      </c>
      <c r="K597" s="26">
        <f t="shared" si="76"/>
        <v>566500</v>
      </c>
    </row>
    <row r="598" spans="1:11" ht="13.2" customHeight="1" x14ac:dyDescent="0.25">
      <c r="A598" s="2"/>
      <c r="B598" s="20" t="s">
        <v>156</v>
      </c>
      <c r="C598" s="21" t="s">
        <v>1289</v>
      </c>
      <c r="D598" s="14"/>
      <c r="E598" s="22"/>
      <c r="F598" s="23"/>
      <c r="G598" s="23"/>
      <c r="H598" s="24" t="s">
        <v>235</v>
      </c>
      <c r="I598" s="45">
        <v>2</v>
      </c>
      <c r="J598" s="25">
        <f t="shared" si="77"/>
        <v>168250</v>
      </c>
      <c r="K598" s="26">
        <f t="shared" si="76"/>
        <v>336500</v>
      </c>
    </row>
    <row r="599" spans="1:11" ht="13.2" customHeight="1" x14ac:dyDescent="0.25">
      <c r="A599" s="2"/>
      <c r="B599" s="20" t="s">
        <v>175</v>
      </c>
      <c r="C599" s="21" t="s">
        <v>1288</v>
      </c>
      <c r="D599" s="14"/>
      <c r="E599" s="22"/>
      <c r="F599" s="23"/>
      <c r="G599" s="23"/>
      <c r="H599" s="24" t="s">
        <v>235</v>
      </c>
      <c r="I599" s="45">
        <v>2</v>
      </c>
      <c r="J599" s="25">
        <f t="shared" si="77"/>
        <v>356250</v>
      </c>
      <c r="K599" s="26">
        <f t="shared" si="76"/>
        <v>712500</v>
      </c>
    </row>
    <row r="600" spans="1:11" ht="13.2" customHeight="1" x14ac:dyDescent="0.25">
      <c r="A600" s="2"/>
      <c r="B600" s="20" t="s">
        <v>177</v>
      </c>
      <c r="C600" s="21" t="s">
        <v>1285</v>
      </c>
      <c r="D600" s="14"/>
      <c r="E600" s="22"/>
      <c r="F600" s="23"/>
      <c r="G600" s="23"/>
      <c r="H600" s="24" t="s">
        <v>203</v>
      </c>
      <c r="I600" s="45">
        <v>1</v>
      </c>
      <c r="J600" s="25">
        <f t="shared" si="77"/>
        <v>90000</v>
      </c>
      <c r="K600" s="26">
        <f t="shared" si="76"/>
        <v>90000</v>
      </c>
    </row>
    <row r="601" spans="1:11" ht="13.2" customHeight="1" x14ac:dyDescent="0.25">
      <c r="A601" s="2"/>
      <c r="B601" s="20" t="s">
        <v>197</v>
      </c>
      <c r="C601" s="21" t="s">
        <v>1238</v>
      </c>
      <c r="D601" s="14"/>
      <c r="E601" s="22"/>
      <c r="F601" s="23"/>
      <c r="G601" s="23"/>
      <c r="H601" s="24" t="s">
        <v>203</v>
      </c>
      <c r="I601" s="45">
        <v>1</v>
      </c>
      <c r="J601" s="25">
        <f t="shared" si="77"/>
        <v>221500</v>
      </c>
      <c r="K601" s="26">
        <f t="shared" si="76"/>
        <v>221500</v>
      </c>
    </row>
    <row r="602" spans="1:11" ht="13.2" customHeight="1" x14ac:dyDescent="0.25">
      <c r="A602" s="2"/>
      <c r="B602" s="20" t="s">
        <v>198</v>
      </c>
      <c r="C602" s="21" t="s">
        <v>1291</v>
      </c>
      <c r="D602" s="14"/>
      <c r="E602" s="22"/>
      <c r="F602" s="23"/>
      <c r="G602" s="23"/>
      <c r="H602" s="24" t="s">
        <v>203</v>
      </c>
      <c r="I602" s="45">
        <v>6</v>
      </c>
      <c r="J602" s="25">
        <f t="shared" si="77"/>
        <v>14000</v>
      </c>
      <c r="K602" s="26">
        <f t="shared" si="76"/>
        <v>84000</v>
      </c>
    </row>
    <row r="603" spans="1:11" ht="13.2" customHeight="1" x14ac:dyDescent="0.25">
      <c r="A603" s="2"/>
      <c r="B603" s="20" t="s">
        <v>200</v>
      </c>
      <c r="C603" s="21" t="s">
        <v>1286</v>
      </c>
      <c r="D603" s="14"/>
      <c r="E603" s="22"/>
      <c r="F603" s="23"/>
      <c r="G603" s="23"/>
      <c r="H603" s="24" t="s">
        <v>203</v>
      </c>
      <c r="I603" s="45">
        <v>3</v>
      </c>
      <c r="J603" s="25">
        <f t="shared" si="77"/>
        <v>48000</v>
      </c>
      <c r="K603" s="26">
        <f t="shared" si="76"/>
        <v>144000</v>
      </c>
    </row>
    <row r="604" spans="1:11" ht="12.9" customHeight="1" x14ac:dyDescent="0.25">
      <c r="A604" s="6"/>
      <c r="B604" s="7"/>
      <c r="C604" s="8"/>
      <c r="D604" s="8"/>
      <c r="E604" s="8"/>
      <c r="F604" s="8"/>
      <c r="G604" s="9"/>
      <c r="H604" s="10" t="s">
        <v>715</v>
      </c>
      <c r="I604" s="11"/>
      <c r="J604" s="11"/>
      <c r="K604" s="27">
        <f>SUM(K592:K603)</f>
        <v>3413620</v>
      </c>
    </row>
    <row r="605" spans="1:11" ht="12.9" customHeight="1" x14ac:dyDescent="0.25">
      <c r="A605" s="6"/>
      <c r="B605" s="5"/>
      <c r="C605" s="3"/>
      <c r="D605" s="3"/>
      <c r="E605" s="3"/>
      <c r="F605" s="3"/>
      <c r="G605" s="4"/>
      <c r="H605" s="12" t="s">
        <v>603</v>
      </c>
      <c r="I605" s="28">
        <f>$K$3</f>
        <v>0.15</v>
      </c>
      <c r="J605" s="38"/>
      <c r="K605" s="29">
        <f>I605*K604</f>
        <v>512043</v>
      </c>
    </row>
    <row r="606" spans="1:11" ht="12.9" customHeight="1" x14ac:dyDescent="0.25">
      <c r="A606" s="6"/>
      <c r="B606" s="5"/>
      <c r="C606" s="3"/>
      <c r="D606" s="3"/>
      <c r="E606" s="3"/>
      <c r="F606" s="3"/>
      <c r="G606" s="4"/>
      <c r="H606" s="12" t="s">
        <v>604</v>
      </c>
      <c r="I606" s="14"/>
      <c r="J606" s="14"/>
      <c r="K606" s="29">
        <f>SUM(K604:K605)</f>
        <v>3925663</v>
      </c>
    </row>
    <row r="607" spans="1:11" ht="12.9" customHeight="1" thickBot="1" x14ac:dyDescent="0.3">
      <c r="A607" s="15"/>
      <c r="B607" s="16"/>
      <c r="C607" s="17"/>
      <c r="D607" s="17"/>
      <c r="E607" s="17"/>
      <c r="F607" s="17"/>
      <c r="G607" s="18"/>
      <c r="H607" s="46" t="s">
        <v>605</v>
      </c>
      <c r="I607" s="47"/>
      <c r="J607" s="47"/>
      <c r="K607" s="144">
        <f>ROUND(K606,-1)</f>
        <v>3925660</v>
      </c>
    </row>
    <row r="608" spans="1:11" ht="14.1" customHeight="1" x14ac:dyDescent="0.25">
      <c r="A608" s="81">
        <v>54</v>
      </c>
      <c r="B608" s="699" t="s">
        <v>713</v>
      </c>
      <c r="C608" s="700"/>
      <c r="D608" s="137" t="s">
        <v>2157</v>
      </c>
      <c r="E608" s="138"/>
      <c r="F608" s="139"/>
      <c r="G608" s="139"/>
      <c r="H608" s="140"/>
      <c r="I608" s="141"/>
      <c r="J608" s="142"/>
      <c r="K608" s="143"/>
    </row>
    <row r="609" spans="1:11" ht="13.2" customHeight="1" x14ac:dyDescent="0.25">
      <c r="A609" s="2"/>
      <c r="B609" s="20" t="s">
        <v>4</v>
      </c>
      <c r="C609" s="21" t="s">
        <v>1238</v>
      </c>
      <c r="D609" s="14"/>
      <c r="E609" s="22"/>
      <c r="F609" s="23"/>
      <c r="G609" s="23"/>
      <c r="H609" s="24" t="s">
        <v>203</v>
      </c>
      <c r="I609" s="45">
        <v>1</v>
      </c>
      <c r="J609" s="25">
        <f>J541</f>
        <v>221500</v>
      </c>
      <c r="K609" s="26">
        <f>I609*J609</f>
        <v>221500</v>
      </c>
    </row>
    <row r="610" spans="1:11" ht="13.2" customHeight="1" x14ac:dyDescent="0.25">
      <c r="A610" s="2"/>
      <c r="B610" s="20" t="s">
        <v>30</v>
      </c>
      <c r="C610" s="21" t="s">
        <v>589</v>
      </c>
      <c r="D610" s="14"/>
      <c r="E610" s="22"/>
      <c r="F610" s="23"/>
      <c r="G610" s="23"/>
      <c r="H610" s="24" t="s">
        <v>203</v>
      </c>
      <c r="I610" s="45">
        <v>2</v>
      </c>
      <c r="J610" s="25">
        <f>J542</f>
        <v>27550</v>
      </c>
      <c r="K610" s="26">
        <f t="shared" ref="K610:K620" si="78">I610*J610</f>
        <v>55100</v>
      </c>
    </row>
    <row r="611" spans="1:11" ht="13.2" customHeight="1" x14ac:dyDescent="0.25">
      <c r="A611" s="2"/>
      <c r="B611" s="20" t="s">
        <v>57</v>
      </c>
      <c r="C611" s="21" t="s">
        <v>590</v>
      </c>
      <c r="D611" s="14"/>
      <c r="E611" s="22"/>
      <c r="F611" s="23"/>
      <c r="G611" s="23"/>
      <c r="H611" s="24" t="s">
        <v>203</v>
      </c>
      <c r="I611" s="45">
        <v>2</v>
      </c>
      <c r="J611" s="25">
        <f>J543</f>
        <v>128700</v>
      </c>
      <c r="K611" s="26">
        <f t="shared" si="78"/>
        <v>257400</v>
      </c>
    </row>
    <row r="612" spans="1:11" ht="13.2" customHeight="1" x14ac:dyDescent="0.25">
      <c r="A612" s="2"/>
      <c r="B612" s="20" t="s">
        <v>83</v>
      </c>
      <c r="C612" s="21" t="s">
        <v>282</v>
      </c>
      <c r="D612" s="14"/>
      <c r="E612" s="22"/>
      <c r="F612" s="23"/>
      <c r="G612" s="23"/>
      <c r="H612" s="24" t="s">
        <v>203</v>
      </c>
      <c r="I612" s="45">
        <v>2</v>
      </c>
      <c r="J612" s="25">
        <f>J544</f>
        <v>175000</v>
      </c>
      <c r="K612" s="26">
        <f t="shared" si="78"/>
        <v>350000</v>
      </c>
    </row>
    <row r="613" spans="1:11" ht="13.2" customHeight="1" x14ac:dyDescent="0.25">
      <c r="A613" s="2"/>
      <c r="B613" s="20" t="s">
        <v>110</v>
      </c>
      <c r="C613" s="21" t="s">
        <v>1294</v>
      </c>
      <c r="D613" s="14"/>
      <c r="E613" s="22"/>
      <c r="F613" s="23"/>
      <c r="G613" s="23"/>
      <c r="H613" s="24" t="s">
        <v>203</v>
      </c>
      <c r="I613" s="45">
        <v>2</v>
      </c>
      <c r="J613" s="25">
        <f>J596</f>
        <v>196560</v>
      </c>
      <c r="K613" s="26">
        <f t="shared" si="78"/>
        <v>393120</v>
      </c>
    </row>
    <row r="614" spans="1:11" ht="13.2" customHeight="1" x14ac:dyDescent="0.25">
      <c r="A614" s="2"/>
      <c r="B614" s="20" t="s">
        <v>137</v>
      </c>
      <c r="C614" s="21" t="s">
        <v>1290</v>
      </c>
      <c r="D614" s="14"/>
      <c r="E614" s="22"/>
      <c r="F614" s="23"/>
      <c r="G614" s="23"/>
      <c r="H614" s="24" t="s">
        <v>235</v>
      </c>
      <c r="I614" s="45">
        <v>2</v>
      </c>
      <c r="J614" s="25">
        <f t="shared" ref="J614:J619" si="79">J546</f>
        <v>283250</v>
      </c>
      <c r="K614" s="26">
        <f t="shared" si="78"/>
        <v>566500</v>
      </c>
    </row>
    <row r="615" spans="1:11" ht="13.2" customHeight="1" x14ac:dyDescent="0.25">
      <c r="A615" s="2"/>
      <c r="B615" s="20" t="s">
        <v>156</v>
      </c>
      <c r="C615" s="21" t="s">
        <v>1289</v>
      </c>
      <c r="D615" s="14"/>
      <c r="E615" s="22"/>
      <c r="F615" s="23"/>
      <c r="G615" s="23"/>
      <c r="H615" s="24" t="s">
        <v>235</v>
      </c>
      <c r="I615" s="45">
        <v>2</v>
      </c>
      <c r="J615" s="25">
        <f t="shared" si="79"/>
        <v>168250</v>
      </c>
      <c r="K615" s="26">
        <f t="shared" si="78"/>
        <v>336500</v>
      </c>
    </row>
    <row r="616" spans="1:11" ht="13.2" customHeight="1" x14ac:dyDescent="0.25">
      <c r="A616" s="2"/>
      <c r="B616" s="20" t="s">
        <v>175</v>
      </c>
      <c r="C616" s="21" t="s">
        <v>1288</v>
      </c>
      <c r="D616" s="14"/>
      <c r="E616" s="22"/>
      <c r="F616" s="23"/>
      <c r="G616" s="23"/>
      <c r="H616" s="24" t="s">
        <v>235</v>
      </c>
      <c r="I616" s="45">
        <v>2</v>
      </c>
      <c r="J616" s="25">
        <f t="shared" si="79"/>
        <v>356250</v>
      </c>
      <c r="K616" s="26">
        <f t="shared" si="78"/>
        <v>712500</v>
      </c>
    </row>
    <row r="617" spans="1:11" ht="13.2" customHeight="1" x14ac:dyDescent="0.25">
      <c r="A617" s="2"/>
      <c r="B617" s="20" t="s">
        <v>177</v>
      </c>
      <c r="C617" s="21" t="s">
        <v>1285</v>
      </c>
      <c r="D617" s="14"/>
      <c r="E617" s="22"/>
      <c r="F617" s="23"/>
      <c r="G617" s="23"/>
      <c r="H617" s="24" t="s">
        <v>203</v>
      </c>
      <c r="I617" s="45">
        <v>1</v>
      </c>
      <c r="J617" s="25">
        <f t="shared" si="79"/>
        <v>90000</v>
      </c>
      <c r="K617" s="26">
        <f t="shared" si="78"/>
        <v>90000</v>
      </c>
    </row>
    <row r="618" spans="1:11" ht="13.2" customHeight="1" x14ac:dyDescent="0.25">
      <c r="A618" s="2"/>
      <c r="B618" s="20" t="s">
        <v>197</v>
      </c>
      <c r="C618" s="21" t="s">
        <v>1238</v>
      </c>
      <c r="D618" s="14"/>
      <c r="E618" s="22"/>
      <c r="F618" s="23"/>
      <c r="G618" s="23"/>
      <c r="H618" s="24" t="s">
        <v>203</v>
      </c>
      <c r="I618" s="45">
        <v>1</v>
      </c>
      <c r="J618" s="25">
        <f t="shared" si="79"/>
        <v>221500</v>
      </c>
      <c r="K618" s="26">
        <f t="shared" si="78"/>
        <v>221500</v>
      </c>
    </row>
    <row r="619" spans="1:11" ht="13.2" customHeight="1" x14ac:dyDescent="0.25">
      <c r="A619" s="2"/>
      <c r="B619" s="20" t="s">
        <v>198</v>
      </c>
      <c r="C619" s="21" t="s">
        <v>1291</v>
      </c>
      <c r="D619" s="14"/>
      <c r="E619" s="22"/>
      <c r="F619" s="23"/>
      <c r="G619" s="23"/>
      <c r="H619" s="24" t="s">
        <v>203</v>
      </c>
      <c r="I619" s="45">
        <v>6</v>
      </c>
      <c r="J619" s="25">
        <f t="shared" si="79"/>
        <v>14000</v>
      </c>
      <c r="K619" s="26">
        <f t="shared" si="78"/>
        <v>84000</v>
      </c>
    </row>
    <row r="620" spans="1:11" ht="13.2" customHeight="1" x14ac:dyDescent="0.25">
      <c r="A620" s="2"/>
      <c r="B620" s="20" t="s">
        <v>200</v>
      </c>
      <c r="C620" s="21" t="s">
        <v>1286</v>
      </c>
      <c r="D620" s="14"/>
      <c r="E620" s="22"/>
      <c r="F620" s="23"/>
      <c r="G620" s="23"/>
      <c r="H620" s="24" t="s">
        <v>203</v>
      </c>
      <c r="I620" s="45">
        <v>3</v>
      </c>
      <c r="J620" s="25">
        <f t="shared" ref="J620" si="80">J603</f>
        <v>48000</v>
      </c>
      <c r="K620" s="26">
        <f t="shared" si="78"/>
        <v>144000</v>
      </c>
    </row>
    <row r="621" spans="1:11" ht="12.9" customHeight="1" x14ac:dyDescent="0.25">
      <c r="A621" s="6"/>
      <c r="B621" s="7"/>
      <c r="C621" s="8"/>
      <c r="D621" s="8"/>
      <c r="E621" s="8"/>
      <c r="F621" s="8"/>
      <c r="G621" s="9"/>
      <c r="H621" s="10" t="s">
        <v>715</v>
      </c>
      <c r="I621" s="11"/>
      <c r="J621" s="11"/>
      <c r="K621" s="27">
        <f>SUM(K609:K620)</f>
        <v>3432120</v>
      </c>
    </row>
    <row r="622" spans="1:11" ht="12.9" customHeight="1" x14ac:dyDescent="0.25">
      <c r="A622" s="6"/>
      <c r="B622" s="5"/>
      <c r="C622" s="3"/>
      <c r="D622" s="3"/>
      <c r="E622" s="3"/>
      <c r="F622" s="3"/>
      <c r="G622" s="4"/>
      <c r="H622" s="12" t="s">
        <v>603</v>
      </c>
      <c r="I622" s="28">
        <f>$K$3</f>
        <v>0.15</v>
      </c>
      <c r="J622" s="38"/>
      <c r="K622" s="29">
        <f>I622*K621</f>
        <v>514818</v>
      </c>
    </row>
    <row r="623" spans="1:11" ht="12.9" customHeight="1" x14ac:dyDescent="0.25">
      <c r="A623" s="6"/>
      <c r="B623" s="5"/>
      <c r="C623" s="3"/>
      <c r="D623" s="3"/>
      <c r="E623" s="3"/>
      <c r="F623" s="3"/>
      <c r="G623" s="4"/>
      <c r="H623" s="12" t="s">
        <v>604</v>
      </c>
      <c r="I623" s="14"/>
      <c r="J623" s="14"/>
      <c r="K623" s="29">
        <f>SUM(K621:K622)</f>
        <v>3946938</v>
      </c>
    </row>
    <row r="624" spans="1:11" ht="12.9" customHeight="1" thickBot="1" x14ac:dyDescent="0.3">
      <c r="A624" s="15"/>
      <c r="B624" s="16"/>
      <c r="C624" s="17"/>
      <c r="D624" s="17"/>
      <c r="E624" s="17"/>
      <c r="F624" s="17"/>
      <c r="G624" s="18"/>
      <c r="H624" s="46" t="s">
        <v>605</v>
      </c>
      <c r="I624" s="47"/>
      <c r="J624" s="47"/>
      <c r="K624" s="144">
        <f>ROUND(K623,-1)</f>
        <v>3946940</v>
      </c>
    </row>
    <row r="625" spans="1:11" ht="14.1" customHeight="1" x14ac:dyDescent="0.25">
      <c r="A625" s="81">
        <v>55</v>
      </c>
      <c r="B625" s="699" t="s">
        <v>713</v>
      </c>
      <c r="C625" s="700"/>
      <c r="D625" s="137" t="s">
        <v>2156</v>
      </c>
      <c r="E625" s="138"/>
      <c r="F625" s="139"/>
      <c r="G625" s="139"/>
      <c r="H625" s="140"/>
      <c r="I625" s="141"/>
      <c r="J625" s="142"/>
      <c r="K625" s="143"/>
    </row>
    <row r="626" spans="1:11" ht="13.2" customHeight="1" x14ac:dyDescent="0.25">
      <c r="A626" s="2"/>
      <c r="B626" s="20" t="s">
        <v>4</v>
      </c>
      <c r="C626" s="21" t="s">
        <v>1240</v>
      </c>
      <c r="D626" s="14"/>
      <c r="E626" s="22"/>
      <c r="F626" s="23"/>
      <c r="G626" s="23"/>
      <c r="H626" s="24" t="s">
        <v>203</v>
      </c>
      <c r="I626" s="45">
        <v>1</v>
      </c>
      <c r="J626" s="25">
        <f>J558</f>
        <v>184000</v>
      </c>
      <c r="K626" s="26">
        <f>I626*J626</f>
        <v>184000</v>
      </c>
    </row>
    <row r="627" spans="1:11" ht="13.2" customHeight="1" x14ac:dyDescent="0.25">
      <c r="A627" s="2"/>
      <c r="B627" s="20" t="s">
        <v>30</v>
      </c>
      <c r="C627" s="21" t="s">
        <v>589</v>
      </c>
      <c r="D627" s="14"/>
      <c r="E627" s="22"/>
      <c r="F627" s="23"/>
      <c r="G627" s="23"/>
      <c r="H627" s="24" t="s">
        <v>203</v>
      </c>
      <c r="I627" s="45">
        <v>2</v>
      </c>
      <c r="J627" s="25">
        <f>J559</f>
        <v>27550</v>
      </c>
      <c r="K627" s="26">
        <f t="shared" ref="K627:K637" si="81">I627*J627</f>
        <v>55100</v>
      </c>
    </row>
    <row r="628" spans="1:11" ht="13.2" customHeight="1" x14ac:dyDescent="0.25">
      <c r="A628" s="2"/>
      <c r="B628" s="20" t="s">
        <v>57</v>
      </c>
      <c r="C628" s="21" t="s">
        <v>590</v>
      </c>
      <c r="D628" s="14"/>
      <c r="E628" s="22"/>
      <c r="F628" s="23"/>
      <c r="G628" s="23"/>
      <c r="H628" s="24" t="s">
        <v>203</v>
      </c>
      <c r="I628" s="45">
        <v>2</v>
      </c>
      <c r="J628" s="25">
        <f>J560</f>
        <v>128700</v>
      </c>
      <c r="K628" s="26">
        <f t="shared" si="81"/>
        <v>257400</v>
      </c>
    </row>
    <row r="629" spans="1:11" ht="13.2" customHeight="1" x14ac:dyDescent="0.25">
      <c r="A629" s="2"/>
      <c r="B629" s="20" t="s">
        <v>83</v>
      </c>
      <c r="C629" s="21" t="s">
        <v>282</v>
      </c>
      <c r="D629" s="14"/>
      <c r="E629" s="22"/>
      <c r="F629" s="23"/>
      <c r="G629" s="23"/>
      <c r="H629" s="24" t="s">
        <v>203</v>
      </c>
      <c r="I629" s="45">
        <v>2</v>
      </c>
      <c r="J629" s="25">
        <f>J561</f>
        <v>175000</v>
      </c>
      <c r="K629" s="26">
        <f t="shared" si="81"/>
        <v>350000</v>
      </c>
    </row>
    <row r="630" spans="1:11" ht="13.2" customHeight="1" x14ac:dyDescent="0.25">
      <c r="A630" s="2"/>
      <c r="B630" s="20" t="s">
        <v>110</v>
      </c>
      <c r="C630" s="21" t="s">
        <v>1294</v>
      </c>
      <c r="D630" s="14"/>
      <c r="E630" s="22"/>
      <c r="F630" s="23"/>
      <c r="G630" s="23"/>
      <c r="H630" s="24" t="s">
        <v>203</v>
      </c>
      <c r="I630" s="45">
        <v>2</v>
      </c>
      <c r="J630" s="67">
        <f>J613</f>
        <v>196560</v>
      </c>
      <c r="K630" s="26">
        <f t="shared" si="81"/>
        <v>393120</v>
      </c>
    </row>
    <row r="631" spans="1:11" ht="13.2" customHeight="1" x14ac:dyDescent="0.25">
      <c r="A631" s="2"/>
      <c r="B631" s="20" t="s">
        <v>137</v>
      </c>
      <c r="C631" s="21" t="s">
        <v>1290</v>
      </c>
      <c r="D631" s="14"/>
      <c r="E631" s="22"/>
      <c r="F631" s="23"/>
      <c r="G631" s="23"/>
      <c r="H631" s="24" t="s">
        <v>235</v>
      </c>
      <c r="I631" s="45">
        <v>2</v>
      </c>
      <c r="J631" s="25">
        <f t="shared" ref="J631:J637" si="82">J563</f>
        <v>283250</v>
      </c>
      <c r="K631" s="26">
        <f t="shared" si="81"/>
        <v>566500</v>
      </c>
    </row>
    <row r="632" spans="1:11" ht="13.2" customHeight="1" x14ac:dyDescent="0.25">
      <c r="A632" s="2"/>
      <c r="B632" s="20" t="s">
        <v>156</v>
      </c>
      <c r="C632" s="21" t="s">
        <v>1289</v>
      </c>
      <c r="D632" s="14"/>
      <c r="E632" s="22"/>
      <c r="F632" s="23"/>
      <c r="G632" s="23"/>
      <c r="H632" s="24" t="s">
        <v>235</v>
      </c>
      <c r="I632" s="45">
        <v>2</v>
      </c>
      <c r="J632" s="25">
        <f t="shared" si="82"/>
        <v>168250</v>
      </c>
      <c r="K632" s="26">
        <f t="shared" si="81"/>
        <v>336500</v>
      </c>
    </row>
    <row r="633" spans="1:11" ht="13.2" customHeight="1" x14ac:dyDescent="0.25">
      <c r="A633" s="2"/>
      <c r="B633" s="20" t="s">
        <v>175</v>
      </c>
      <c r="C633" s="21" t="s">
        <v>1288</v>
      </c>
      <c r="D633" s="14"/>
      <c r="E633" s="22"/>
      <c r="F633" s="23"/>
      <c r="G633" s="23"/>
      <c r="H633" s="24" t="s">
        <v>235</v>
      </c>
      <c r="I633" s="45">
        <v>2</v>
      </c>
      <c r="J633" s="25">
        <f t="shared" si="82"/>
        <v>356250</v>
      </c>
      <c r="K633" s="26">
        <f t="shared" si="81"/>
        <v>712500</v>
      </c>
    </row>
    <row r="634" spans="1:11" ht="13.2" customHeight="1" x14ac:dyDescent="0.25">
      <c r="A634" s="2"/>
      <c r="B634" s="20" t="s">
        <v>177</v>
      </c>
      <c r="C634" s="21" t="s">
        <v>1285</v>
      </c>
      <c r="D634" s="14"/>
      <c r="E634" s="22"/>
      <c r="F634" s="23"/>
      <c r="G634" s="23"/>
      <c r="H634" s="24" t="s">
        <v>203</v>
      </c>
      <c r="I634" s="45">
        <v>1</v>
      </c>
      <c r="J634" s="25">
        <f t="shared" si="82"/>
        <v>90000</v>
      </c>
      <c r="K634" s="26">
        <f t="shared" si="81"/>
        <v>90000</v>
      </c>
    </row>
    <row r="635" spans="1:11" ht="13.2" customHeight="1" x14ac:dyDescent="0.25">
      <c r="A635" s="2"/>
      <c r="B635" s="20" t="s">
        <v>197</v>
      </c>
      <c r="C635" s="21" t="s">
        <v>1240</v>
      </c>
      <c r="D635" s="14"/>
      <c r="E635" s="22"/>
      <c r="F635" s="23"/>
      <c r="G635" s="23"/>
      <c r="H635" s="24" t="s">
        <v>203</v>
      </c>
      <c r="I635" s="45">
        <v>1</v>
      </c>
      <c r="J635" s="25">
        <f t="shared" si="82"/>
        <v>184000</v>
      </c>
      <c r="K635" s="26">
        <f t="shared" si="81"/>
        <v>184000</v>
      </c>
    </row>
    <row r="636" spans="1:11" ht="13.2" customHeight="1" x14ac:dyDescent="0.25">
      <c r="A636" s="2"/>
      <c r="B636" s="20" t="s">
        <v>198</v>
      </c>
      <c r="C636" s="21" t="s">
        <v>1291</v>
      </c>
      <c r="D636" s="14"/>
      <c r="E636" s="22"/>
      <c r="F636" s="23"/>
      <c r="G636" s="23"/>
      <c r="H636" s="24" t="s">
        <v>203</v>
      </c>
      <c r="I636" s="45">
        <v>6</v>
      </c>
      <c r="J636" s="25">
        <f t="shared" si="82"/>
        <v>14000</v>
      </c>
      <c r="K636" s="26">
        <f t="shared" si="81"/>
        <v>84000</v>
      </c>
    </row>
    <row r="637" spans="1:11" ht="13.2" customHeight="1" x14ac:dyDescent="0.25">
      <c r="A637" s="2"/>
      <c r="B637" s="20" t="s">
        <v>200</v>
      </c>
      <c r="C637" s="21" t="s">
        <v>1286</v>
      </c>
      <c r="D637" s="14"/>
      <c r="E637" s="22"/>
      <c r="F637" s="23"/>
      <c r="G637" s="23"/>
      <c r="H637" s="24" t="s">
        <v>203</v>
      </c>
      <c r="I637" s="45">
        <v>3</v>
      </c>
      <c r="J637" s="25">
        <f t="shared" si="82"/>
        <v>48000</v>
      </c>
      <c r="K637" s="26">
        <f t="shared" si="81"/>
        <v>144000</v>
      </c>
    </row>
    <row r="638" spans="1:11" ht="12.9" customHeight="1" x14ac:dyDescent="0.25">
      <c r="A638" s="6"/>
      <c r="B638" s="7"/>
      <c r="C638" s="8"/>
      <c r="D638" s="8"/>
      <c r="E638" s="8"/>
      <c r="F638" s="8"/>
      <c r="G638" s="9"/>
      <c r="H638" s="10" t="s">
        <v>715</v>
      </c>
      <c r="I638" s="11"/>
      <c r="J638" s="11"/>
      <c r="K638" s="27">
        <f>SUM(K626:K637)</f>
        <v>3357120</v>
      </c>
    </row>
    <row r="639" spans="1:11" ht="12.9" customHeight="1" x14ac:dyDescent="0.25">
      <c r="A639" s="6"/>
      <c r="B639" s="5"/>
      <c r="C639" s="3"/>
      <c r="D639" s="3"/>
      <c r="E639" s="3"/>
      <c r="F639" s="3"/>
      <c r="G639" s="4"/>
      <c r="H639" s="12" t="s">
        <v>603</v>
      </c>
      <c r="I639" s="28">
        <f>$K$3</f>
        <v>0.15</v>
      </c>
      <c r="J639" s="38"/>
      <c r="K639" s="29">
        <f>I639*K638</f>
        <v>503568</v>
      </c>
    </row>
    <row r="640" spans="1:11" ht="12.9" customHeight="1" x14ac:dyDescent="0.25">
      <c r="A640" s="6"/>
      <c r="B640" s="5"/>
      <c r="C640" s="3"/>
      <c r="D640" s="3"/>
      <c r="E640" s="3"/>
      <c r="F640" s="3"/>
      <c r="G640" s="4"/>
      <c r="H640" s="12" t="s">
        <v>604</v>
      </c>
      <c r="I640" s="14"/>
      <c r="J640" s="14"/>
      <c r="K640" s="29">
        <f>SUM(K638:K639)</f>
        <v>3860688</v>
      </c>
    </row>
    <row r="641" spans="1:11" ht="12.9" customHeight="1" thickBot="1" x14ac:dyDescent="0.3">
      <c r="A641" s="15"/>
      <c r="B641" s="16"/>
      <c r="C641" s="17"/>
      <c r="D641" s="17"/>
      <c r="E641" s="17"/>
      <c r="F641" s="17"/>
      <c r="G641" s="18"/>
      <c r="H641" s="46" t="s">
        <v>605</v>
      </c>
      <c r="I641" s="47"/>
      <c r="J641" s="47"/>
      <c r="K641" s="144">
        <f>ROUND(K640,-1)</f>
        <v>3860690</v>
      </c>
    </row>
    <row r="642" spans="1:11" ht="14.1" customHeight="1" x14ac:dyDescent="0.25">
      <c r="A642" s="81">
        <v>56</v>
      </c>
      <c r="B642" s="699" t="s">
        <v>713</v>
      </c>
      <c r="C642" s="700"/>
      <c r="D642" s="137" t="s">
        <v>2155</v>
      </c>
      <c r="E642" s="138"/>
      <c r="F642" s="139"/>
      <c r="G642" s="139"/>
      <c r="H642" s="140"/>
      <c r="I642" s="141"/>
      <c r="J642" s="142"/>
      <c r="K642" s="143"/>
    </row>
    <row r="643" spans="1:11" ht="13.2" customHeight="1" x14ac:dyDescent="0.25">
      <c r="A643" s="2"/>
      <c r="B643" s="20" t="s">
        <v>4</v>
      </c>
      <c r="C643" s="21" t="s">
        <v>1242</v>
      </c>
      <c r="D643" s="14"/>
      <c r="E643" s="22"/>
      <c r="F643" s="23"/>
      <c r="G643" s="23"/>
      <c r="H643" s="24" t="s">
        <v>203</v>
      </c>
      <c r="I643" s="45">
        <v>1</v>
      </c>
      <c r="J643" s="25">
        <f>J575</f>
        <v>164500</v>
      </c>
      <c r="K643" s="26">
        <f>I643*J643</f>
        <v>164500</v>
      </c>
    </row>
    <row r="644" spans="1:11" ht="13.2" customHeight="1" x14ac:dyDescent="0.25">
      <c r="A644" s="2"/>
      <c r="B644" s="20" t="s">
        <v>30</v>
      </c>
      <c r="C644" s="21" t="s">
        <v>589</v>
      </c>
      <c r="D644" s="14"/>
      <c r="E644" s="22"/>
      <c r="F644" s="23"/>
      <c r="G644" s="23"/>
      <c r="H644" s="24" t="s">
        <v>203</v>
      </c>
      <c r="I644" s="45">
        <v>2</v>
      </c>
      <c r="J644" s="25">
        <f>J576</f>
        <v>27550</v>
      </c>
      <c r="K644" s="26">
        <f t="shared" ref="K644:K654" si="83">I644*J644</f>
        <v>55100</v>
      </c>
    </row>
    <row r="645" spans="1:11" ht="13.2" customHeight="1" x14ac:dyDescent="0.25">
      <c r="A645" s="2"/>
      <c r="B645" s="20" t="s">
        <v>57</v>
      </c>
      <c r="C645" s="21" t="s">
        <v>590</v>
      </c>
      <c r="D645" s="14"/>
      <c r="E645" s="22"/>
      <c r="F645" s="23"/>
      <c r="G645" s="23"/>
      <c r="H645" s="24" t="s">
        <v>203</v>
      </c>
      <c r="I645" s="45">
        <v>2</v>
      </c>
      <c r="J645" s="25">
        <f>J577</f>
        <v>128700</v>
      </c>
      <c r="K645" s="26">
        <f t="shared" si="83"/>
        <v>257400</v>
      </c>
    </row>
    <row r="646" spans="1:11" ht="13.2" customHeight="1" x14ac:dyDescent="0.25">
      <c r="A646" s="2"/>
      <c r="B646" s="20" t="s">
        <v>83</v>
      </c>
      <c r="C646" s="21" t="s">
        <v>282</v>
      </c>
      <c r="D646" s="14"/>
      <c r="E646" s="22"/>
      <c r="F646" s="23"/>
      <c r="G646" s="23"/>
      <c r="H646" s="24" t="s">
        <v>203</v>
      </c>
      <c r="I646" s="45">
        <v>2</v>
      </c>
      <c r="J646" s="25">
        <f>J578</f>
        <v>175000</v>
      </c>
      <c r="K646" s="26">
        <f t="shared" si="83"/>
        <v>350000</v>
      </c>
    </row>
    <row r="647" spans="1:11" ht="13.2" customHeight="1" x14ac:dyDescent="0.25">
      <c r="A647" s="2"/>
      <c r="B647" s="20" t="s">
        <v>110</v>
      </c>
      <c r="C647" s="21" t="s">
        <v>1294</v>
      </c>
      <c r="D647" s="14"/>
      <c r="E647" s="22"/>
      <c r="F647" s="23"/>
      <c r="G647" s="23"/>
      <c r="H647" s="24" t="s">
        <v>203</v>
      </c>
      <c r="I647" s="45">
        <v>2</v>
      </c>
      <c r="J647" s="67">
        <f>J630</f>
        <v>196560</v>
      </c>
      <c r="K647" s="26">
        <f t="shared" si="83"/>
        <v>393120</v>
      </c>
    </row>
    <row r="648" spans="1:11" ht="13.2" customHeight="1" x14ac:dyDescent="0.25">
      <c r="A648" s="2"/>
      <c r="B648" s="20" t="s">
        <v>137</v>
      </c>
      <c r="C648" s="21" t="s">
        <v>1290</v>
      </c>
      <c r="D648" s="14"/>
      <c r="E648" s="22"/>
      <c r="F648" s="23"/>
      <c r="G648" s="23"/>
      <c r="H648" s="24" t="s">
        <v>235</v>
      </c>
      <c r="I648" s="45">
        <v>2</v>
      </c>
      <c r="J648" s="25">
        <f t="shared" ref="J648:J654" si="84">J580</f>
        <v>283250</v>
      </c>
      <c r="K648" s="26">
        <f t="shared" si="83"/>
        <v>566500</v>
      </c>
    </row>
    <row r="649" spans="1:11" ht="13.2" customHeight="1" x14ac:dyDescent="0.25">
      <c r="A649" s="2"/>
      <c r="B649" s="20" t="s">
        <v>156</v>
      </c>
      <c r="C649" s="21" t="s">
        <v>1289</v>
      </c>
      <c r="D649" s="14"/>
      <c r="E649" s="22"/>
      <c r="F649" s="23"/>
      <c r="G649" s="23"/>
      <c r="H649" s="24" t="s">
        <v>235</v>
      </c>
      <c r="I649" s="45">
        <v>2</v>
      </c>
      <c r="J649" s="25">
        <f t="shared" si="84"/>
        <v>168250</v>
      </c>
      <c r="K649" s="26">
        <f t="shared" si="83"/>
        <v>336500</v>
      </c>
    </row>
    <row r="650" spans="1:11" ht="13.2" customHeight="1" x14ac:dyDescent="0.25">
      <c r="A650" s="2"/>
      <c r="B650" s="20" t="s">
        <v>175</v>
      </c>
      <c r="C650" s="21" t="s">
        <v>1288</v>
      </c>
      <c r="D650" s="14"/>
      <c r="E650" s="22"/>
      <c r="F650" s="23"/>
      <c r="G650" s="23"/>
      <c r="H650" s="24" t="s">
        <v>235</v>
      </c>
      <c r="I650" s="45">
        <v>2</v>
      </c>
      <c r="J650" s="25">
        <f t="shared" si="84"/>
        <v>356250</v>
      </c>
      <c r="K650" s="26">
        <f t="shared" si="83"/>
        <v>712500</v>
      </c>
    </row>
    <row r="651" spans="1:11" ht="13.2" customHeight="1" x14ac:dyDescent="0.25">
      <c r="A651" s="2"/>
      <c r="B651" s="20" t="s">
        <v>177</v>
      </c>
      <c r="C651" s="21" t="s">
        <v>1285</v>
      </c>
      <c r="D651" s="14"/>
      <c r="E651" s="22"/>
      <c r="F651" s="23"/>
      <c r="G651" s="23"/>
      <c r="H651" s="24" t="s">
        <v>203</v>
      </c>
      <c r="I651" s="45">
        <v>1</v>
      </c>
      <c r="J651" s="25">
        <f t="shared" si="84"/>
        <v>90000</v>
      </c>
      <c r="K651" s="26">
        <f t="shared" si="83"/>
        <v>90000</v>
      </c>
    </row>
    <row r="652" spans="1:11" ht="13.2" customHeight="1" x14ac:dyDescent="0.25">
      <c r="A652" s="2"/>
      <c r="B652" s="20" t="s">
        <v>197</v>
      </c>
      <c r="C652" s="21" t="s">
        <v>1242</v>
      </c>
      <c r="D652" s="14"/>
      <c r="E652" s="22"/>
      <c r="F652" s="23"/>
      <c r="G652" s="23"/>
      <c r="H652" s="24" t="s">
        <v>203</v>
      </c>
      <c r="I652" s="45">
        <v>1</v>
      </c>
      <c r="J652" s="25">
        <f t="shared" si="84"/>
        <v>164500</v>
      </c>
      <c r="K652" s="26">
        <f t="shared" si="83"/>
        <v>164500</v>
      </c>
    </row>
    <row r="653" spans="1:11" ht="13.2" customHeight="1" x14ac:dyDescent="0.25">
      <c r="A653" s="2"/>
      <c r="B653" s="20" t="s">
        <v>198</v>
      </c>
      <c r="C653" s="21" t="s">
        <v>1291</v>
      </c>
      <c r="D653" s="14"/>
      <c r="E653" s="22"/>
      <c r="F653" s="23"/>
      <c r="G653" s="23"/>
      <c r="H653" s="24" t="s">
        <v>203</v>
      </c>
      <c r="I653" s="45">
        <v>6</v>
      </c>
      <c r="J653" s="25">
        <f t="shared" si="84"/>
        <v>14000</v>
      </c>
      <c r="K653" s="26">
        <f t="shared" si="83"/>
        <v>84000</v>
      </c>
    </row>
    <row r="654" spans="1:11" ht="13.2" customHeight="1" x14ac:dyDescent="0.25">
      <c r="A654" s="2"/>
      <c r="B654" s="20" t="s">
        <v>200</v>
      </c>
      <c r="C654" s="21" t="s">
        <v>1286</v>
      </c>
      <c r="D654" s="14"/>
      <c r="E654" s="22"/>
      <c r="F654" s="23"/>
      <c r="G654" s="23"/>
      <c r="H654" s="24" t="s">
        <v>203</v>
      </c>
      <c r="I654" s="45">
        <v>3</v>
      </c>
      <c r="J654" s="25">
        <f t="shared" si="84"/>
        <v>48000</v>
      </c>
      <c r="K654" s="26">
        <f t="shared" si="83"/>
        <v>144000</v>
      </c>
    </row>
    <row r="655" spans="1:11" ht="12.9" customHeight="1" x14ac:dyDescent="0.25">
      <c r="A655" s="6"/>
      <c r="B655" s="7"/>
      <c r="C655" s="8"/>
      <c r="D655" s="8"/>
      <c r="E655" s="8"/>
      <c r="F655" s="8"/>
      <c r="G655" s="9"/>
      <c r="H655" s="10" t="s">
        <v>715</v>
      </c>
      <c r="I655" s="11"/>
      <c r="J655" s="11"/>
      <c r="K655" s="27">
        <f>SUM(K643:K654)</f>
        <v>3318120</v>
      </c>
    </row>
    <row r="656" spans="1:11" ht="12.9" customHeight="1" x14ac:dyDescent="0.25">
      <c r="A656" s="6"/>
      <c r="B656" s="5"/>
      <c r="C656" s="3"/>
      <c r="D656" s="3"/>
      <c r="E656" s="3"/>
      <c r="F656" s="3"/>
      <c r="G656" s="4"/>
      <c r="H656" s="12" t="s">
        <v>603</v>
      </c>
      <c r="I656" s="28">
        <f>$K$3</f>
        <v>0.15</v>
      </c>
      <c r="J656" s="38"/>
      <c r="K656" s="29">
        <f>I656*K655</f>
        <v>497718</v>
      </c>
    </row>
    <row r="657" spans="1:11" ht="12.9" customHeight="1" x14ac:dyDescent="0.25">
      <c r="A657" s="6"/>
      <c r="B657" s="5"/>
      <c r="C657" s="3"/>
      <c r="D657" s="3"/>
      <c r="E657" s="3"/>
      <c r="F657" s="3"/>
      <c r="G657" s="4"/>
      <c r="H657" s="12" t="s">
        <v>604</v>
      </c>
      <c r="I657" s="14"/>
      <c r="J657" s="14"/>
      <c r="K657" s="29">
        <f>SUM(K655:K656)</f>
        <v>3815838</v>
      </c>
    </row>
    <row r="658" spans="1:11" ht="12.9" customHeight="1" thickBot="1" x14ac:dyDescent="0.3">
      <c r="A658" s="15"/>
      <c r="B658" s="16"/>
      <c r="C658" s="17"/>
      <c r="D658" s="17"/>
      <c r="E658" s="17"/>
      <c r="F658" s="17"/>
      <c r="G658" s="18"/>
      <c r="H658" s="46" t="s">
        <v>605</v>
      </c>
      <c r="I658" s="47"/>
      <c r="J658" s="47"/>
      <c r="K658" s="144">
        <f>ROUND(K657,-1)</f>
        <v>3815840</v>
      </c>
    </row>
    <row r="659" spans="1:11" ht="14.1" customHeight="1" x14ac:dyDescent="0.25">
      <c r="A659" s="81">
        <v>57</v>
      </c>
      <c r="B659" s="699" t="s">
        <v>713</v>
      </c>
      <c r="C659" s="700"/>
      <c r="D659" s="137" t="s">
        <v>2154</v>
      </c>
      <c r="E659" s="138"/>
      <c r="F659" s="139"/>
      <c r="G659" s="139"/>
      <c r="H659" s="140"/>
      <c r="I659" s="141"/>
      <c r="J659" s="142"/>
      <c r="K659" s="143"/>
    </row>
    <row r="660" spans="1:11" ht="13.2" customHeight="1" x14ac:dyDescent="0.25">
      <c r="A660" s="2"/>
      <c r="B660" s="20" t="s">
        <v>4</v>
      </c>
      <c r="C660" s="21" t="s">
        <v>1295</v>
      </c>
      <c r="D660" s="14"/>
      <c r="E660" s="22"/>
      <c r="F660" s="23"/>
      <c r="G660" s="23"/>
      <c r="H660" s="24" t="s">
        <v>235</v>
      </c>
      <c r="I660" s="45">
        <v>5</v>
      </c>
      <c r="J660" s="25">
        <f>'Harga Satuan Dasar mat'!G165</f>
        <v>659600</v>
      </c>
      <c r="K660" s="26">
        <f>I660*J660</f>
        <v>3298000</v>
      </c>
    </row>
    <row r="661" spans="1:11" ht="13.2" customHeight="1" x14ac:dyDescent="0.25">
      <c r="A661" s="2"/>
      <c r="B661" s="20" t="s">
        <v>30</v>
      </c>
      <c r="C661" s="21" t="s">
        <v>1316</v>
      </c>
      <c r="D661" s="14"/>
      <c r="E661" s="22"/>
      <c r="F661" s="23"/>
      <c r="G661" s="23"/>
      <c r="H661" s="24" t="s">
        <v>203</v>
      </c>
      <c r="I661" s="45">
        <v>1</v>
      </c>
      <c r="J661" s="55">
        <f>'Harga Satuan Dasar mat'!G24</f>
        <v>105500</v>
      </c>
      <c r="K661" s="26">
        <f t="shared" ref="K661:K666" si="85">I661*J661</f>
        <v>105500</v>
      </c>
    </row>
    <row r="662" spans="1:11" ht="13.2" customHeight="1" x14ac:dyDescent="0.25">
      <c r="A662" s="2"/>
      <c r="B662" s="20" t="s">
        <v>57</v>
      </c>
      <c r="C662" s="21" t="s">
        <v>1296</v>
      </c>
      <c r="D662" s="14"/>
      <c r="E662" s="22"/>
      <c r="F662" s="23"/>
      <c r="G662" s="23"/>
      <c r="H662" s="24" t="s">
        <v>203</v>
      </c>
      <c r="I662" s="45">
        <v>2</v>
      </c>
      <c r="J662" s="25">
        <f>'Harga Satuan Dasar mat'!G246</f>
        <v>50000</v>
      </c>
      <c r="K662" s="26">
        <f t="shared" si="85"/>
        <v>100000</v>
      </c>
    </row>
    <row r="663" spans="1:11" ht="13.2" customHeight="1" x14ac:dyDescent="0.25">
      <c r="A663" s="2"/>
      <c r="B663" s="20" t="s">
        <v>83</v>
      </c>
      <c r="C663" s="21" t="s">
        <v>1304</v>
      </c>
      <c r="D663" s="14"/>
      <c r="E663" s="22"/>
      <c r="F663" s="23"/>
      <c r="G663" s="23"/>
      <c r="H663" s="24" t="s">
        <v>203</v>
      </c>
      <c r="I663" s="45">
        <v>2</v>
      </c>
      <c r="J663" s="55">
        <f>'Harga Satuan Dasar mat'!G481</f>
        <v>165000</v>
      </c>
      <c r="K663" s="26">
        <f>I663*J663</f>
        <v>330000</v>
      </c>
    </row>
    <row r="664" spans="1:11" ht="13.2" customHeight="1" x14ac:dyDescent="0.25">
      <c r="A664" s="2"/>
      <c r="B664" s="20" t="s">
        <v>110</v>
      </c>
      <c r="C664" s="21" t="s">
        <v>1303</v>
      </c>
      <c r="D664" s="14"/>
      <c r="E664" s="22"/>
      <c r="F664" s="23"/>
      <c r="G664" s="23"/>
      <c r="H664" s="24" t="s">
        <v>203</v>
      </c>
      <c r="I664" s="45">
        <v>2</v>
      </c>
      <c r="J664" s="55">
        <f>'Harga Satuan Dasar mat'!G482</f>
        <v>172000</v>
      </c>
      <c r="K664" s="26">
        <f>I664*J664</f>
        <v>344000</v>
      </c>
    </row>
    <row r="665" spans="1:11" ht="13.2" customHeight="1" x14ac:dyDescent="0.25">
      <c r="A665" s="2"/>
      <c r="B665" s="20" t="s">
        <v>137</v>
      </c>
      <c r="C665" s="21" t="s">
        <v>1297</v>
      </c>
      <c r="D665" s="14"/>
      <c r="E665" s="22"/>
      <c r="F665" s="23"/>
      <c r="G665" s="23"/>
      <c r="H665" s="24" t="s">
        <v>203</v>
      </c>
      <c r="I665" s="45">
        <v>12</v>
      </c>
      <c r="J665" s="25">
        <f>'Harga Satuan Dasar mat'!G251</f>
        <v>17000</v>
      </c>
      <c r="K665" s="26">
        <f t="shared" si="85"/>
        <v>204000</v>
      </c>
    </row>
    <row r="666" spans="1:11" ht="13.2" customHeight="1" x14ac:dyDescent="0.25">
      <c r="A666" s="2"/>
      <c r="B666" s="20" t="s">
        <v>156</v>
      </c>
      <c r="C666" s="21" t="s">
        <v>1298</v>
      </c>
      <c r="D666" s="14"/>
      <c r="E666" s="22"/>
      <c r="F666" s="23"/>
      <c r="G666" s="23"/>
      <c r="H666" s="24" t="s">
        <v>203</v>
      </c>
      <c r="I666" s="45">
        <v>12</v>
      </c>
      <c r="J666" s="25">
        <f>'Harga Satuan Dasar mat'!G252</f>
        <v>14000</v>
      </c>
      <c r="K666" s="26">
        <f t="shared" si="85"/>
        <v>168000</v>
      </c>
    </row>
    <row r="667" spans="1:11" ht="12.9" customHeight="1" x14ac:dyDescent="0.25">
      <c r="A667" s="6"/>
      <c r="B667" s="7"/>
      <c r="C667" s="8"/>
      <c r="D667" s="8"/>
      <c r="E667" s="8"/>
      <c r="F667" s="8"/>
      <c r="G667" s="9"/>
      <c r="H667" s="10" t="s">
        <v>715</v>
      </c>
      <c r="I667" s="11"/>
      <c r="J667" s="11"/>
      <c r="K667" s="27">
        <f>SUM(K660:K666)</f>
        <v>4549500</v>
      </c>
    </row>
    <row r="668" spans="1:11" ht="12.9" customHeight="1" x14ac:dyDescent="0.25">
      <c r="A668" s="6"/>
      <c r="B668" s="5"/>
      <c r="C668" s="3"/>
      <c r="D668" s="3"/>
      <c r="E668" s="3"/>
      <c r="F668" s="3"/>
      <c r="G668" s="4"/>
      <c r="H668" s="12" t="s">
        <v>603</v>
      </c>
      <c r="I668" s="28">
        <f>$K$3</f>
        <v>0.15</v>
      </c>
      <c r="J668" s="38"/>
      <c r="K668" s="29">
        <f>I668*K667</f>
        <v>682425</v>
      </c>
    </row>
    <row r="669" spans="1:11" ht="12.9" customHeight="1" x14ac:dyDescent="0.25">
      <c r="A669" s="6"/>
      <c r="B669" s="5"/>
      <c r="C669" s="3"/>
      <c r="D669" s="3"/>
      <c r="E669" s="3"/>
      <c r="F669" s="3"/>
      <c r="G669" s="4"/>
      <c r="H669" s="12" t="s">
        <v>604</v>
      </c>
      <c r="I669" s="14"/>
      <c r="J669" s="14"/>
      <c r="K669" s="29">
        <f>SUM(K667:K668)</f>
        <v>5231925</v>
      </c>
    </row>
    <row r="670" spans="1:11" ht="12.9" customHeight="1" thickBot="1" x14ac:dyDescent="0.3">
      <c r="A670" s="15"/>
      <c r="B670" s="16"/>
      <c r="C670" s="17"/>
      <c r="D670" s="17"/>
      <c r="E670" s="17"/>
      <c r="F670" s="17"/>
      <c r="G670" s="18"/>
      <c r="H670" s="46" t="s">
        <v>605</v>
      </c>
      <c r="I670" s="47"/>
      <c r="J670" s="47"/>
      <c r="K670" s="144">
        <f>ROUND(K669,-1)</f>
        <v>5231930</v>
      </c>
    </row>
    <row r="671" spans="1:11" ht="14.1" customHeight="1" x14ac:dyDescent="0.25">
      <c r="A671" s="81">
        <v>58</v>
      </c>
      <c r="B671" s="699" t="s">
        <v>713</v>
      </c>
      <c r="C671" s="700"/>
      <c r="D671" s="137" t="s">
        <v>2153</v>
      </c>
      <c r="E671" s="138"/>
      <c r="F671" s="139"/>
      <c r="G671" s="139"/>
      <c r="H671" s="140"/>
      <c r="I671" s="141"/>
      <c r="J671" s="142"/>
      <c r="K671" s="143"/>
    </row>
    <row r="672" spans="1:11" ht="13.2" customHeight="1" x14ac:dyDescent="0.25">
      <c r="A672" s="2"/>
      <c r="B672" s="20" t="s">
        <v>4</v>
      </c>
      <c r="C672" s="21" t="s">
        <v>1295</v>
      </c>
      <c r="D672" s="14"/>
      <c r="E672" s="22"/>
      <c r="F672" s="23"/>
      <c r="G672" s="23"/>
      <c r="H672" s="24" t="s">
        <v>235</v>
      </c>
      <c r="I672" s="45">
        <v>5</v>
      </c>
      <c r="J672" s="25">
        <f>J660</f>
        <v>659600</v>
      </c>
      <c r="K672" s="26">
        <f>I672*J672</f>
        <v>3298000</v>
      </c>
    </row>
    <row r="673" spans="1:11" ht="13.2" customHeight="1" x14ac:dyDescent="0.25">
      <c r="A673" s="2"/>
      <c r="B673" s="20" t="s">
        <v>30</v>
      </c>
      <c r="C673" s="21" t="s">
        <v>1299</v>
      </c>
      <c r="D673" s="14"/>
      <c r="E673" s="22"/>
      <c r="F673" s="23"/>
      <c r="G673" s="23"/>
      <c r="H673" s="24" t="s">
        <v>203</v>
      </c>
      <c r="I673" s="45">
        <v>1</v>
      </c>
      <c r="J673" s="55">
        <f>'Harga Satuan Dasar mat'!G26</f>
        <v>115000</v>
      </c>
      <c r="K673" s="26">
        <f t="shared" ref="K673:K678" si="86">I673*J673</f>
        <v>115000</v>
      </c>
    </row>
    <row r="674" spans="1:11" ht="13.2" customHeight="1" x14ac:dyDescent="0.25">
      <c r="A674" s="2"/>
      <c r="B674" s="20" t="s">
        <v>57</v>
      </c>
      <c r="C674" s="21" t="s">
        <v>1296</v>
      </c>
      <c r="D674" s="14"/>
      <c r="E674" s="22"/>
      <c r="F674" s="23"/>
      <c r="G674" s="23"/>
      <c r="H674" s="24" t="s">
        <v>203</v>
      </c>
      <c r="I674" s="45">
        <v>2</v>
      </c>
      <c r="J674" s="25">
        <f>J662</f>
        <v>50000</v>
      </c>
      <c r="K674" s="26">
        <f t="shared" si="86"/>
        <v>100000</v>
      </c>
    </row>
    <row r="675" spans="1:11" ht="13.2" customHeight="1" x14ac:dyDescent="0.25">
      <c r="A675" s="2"/>
      <c r="B675" s="20" t="s">
        <v>83</v>
      </c>
      <c r="C675" s="21" t="s">
        <v>1302</v>
      </c>
      <c r="D675" s="14"/>
      <c r="E675" s="22"/>
      <c r="F675" s="23"/>
      <c r="G675" s="23"/>
      <c r="H675" s="24" t="s">
        <v>203</v>
      </c>
      <c r="I675" s="45">
        <v>2</v>
      </c>
      <c r="J675" s="55">
        <f>J664</f>
        <v>172000</v>
      </c>
      <c r="K675" s="26">
        <f t="shared" si="86"/>
        <v>344000</v>
      </c>
    </row>
    <row r="676" spans="1:11" ht="13.2" customHeight="1" x14ac:dyDescent="0.25">
      <c r="A676" s="2"/>
      <c r="B676" s="20" t="s">
        <v>110</v>
      </c>
      <c r="C676" s="21" t="s">
        <v>1303</v>
      </c>
      <c r="D676" s="14"/>
      <c r="E676" s="22"/>
      <c r="F676" s="23"/>
      <c r="G676" s="23"/>
      <c r="H676" s="24" t="s">
        <v>203</v>
      </c>
      <c r="I676" s="45">
        <v>2</v>
      </c>
      <c r="J676" s="55">
        <f>J675</f>
        <v>172000</v>
      </c>
      <c r="K676" s="26">
        <f t="shared" si="86"/>
        <v>344000</v>
      </c>
    </row>
    <row r="677" spans="1:11" ht="13.2" customHeight="1" x14ac:dyDescent="0.25">
      <c r="A677" s="2"/>
      <c r="B677" s="20" t="s">
        <v>137</v>
      </c>
      <c r="C677" s="21" t="s">
        <v>1297</v>
      </c>
      <c r="D677" s="14"/>
      <c r="E677" s="22"/>
      <c r="F677" s="23"/>
      <c r="G677" s="23"/>
      <c r="H677" s="24" t="s">
        <v>203</v>
      </c>
      <c r="I677" s="45">
        <v>12</v>
      </c>
      <c r="J677" s="25">
        <f t="shared" ref="J677:J678" si="87">J665</f>
        <v>17000</v>
      </c>
      <c r="K677" s="26">
        <f t="shared" si="86"/>
        <v>204000</v>
      </c>
    </row>
    <row r="678" spans="1:11" ht="13.2" customHeight="1" x14ac:dyDescent="0.25">
      <c r="A678" s="2"/>
      <c r="B678" s="20" t="s">
        <v>156</v>
      </c>
      <c r="C678" s="21" t="s">
        <v>1298</v>
      </c>
      <c r="D678" s="14"/>
      <c r="E678" s="22"/>
      <c r="F678" s="23"/>
      <c r="G678" s="23"/>
      <c r="H678" s="24" t="s">
        <v>203</v>
      </c>
      <c r="I678" s="45">
        <v>12</v>
      </c>
      <c r="J678" s="25">
        <f t="shared" si="87"/>
        <v>14000</v>
      </c>
      <c r="K678" s="26">
        <f t="shared" si="86"/>
        <v>168000</v>
      </c>
    </row>
    <row r="679" spans="1:11" ht="12.9" customHeight="1" x14ac:dyDescent="0.25">
      <c r="A679" s="6"/>
      <c r="B679" s="7"/>
      <c r="C679" s="8"/>
      <c r="D679" s="8"/>
      <c r="E679" s="8"/>
      <c r="F679" s="8"/>
      <c r="G679" s="9"/>
      <c r="H679" s="10" t="s">
        <v>715</v>
      </c>
      <c r="I679" s="11"/>
      <c r="J679" s="11"/>
      <c r="K679" s="27">
        <f>SUM(K672:K678)</f>
        <v>4573000</v>
      </c>
    </row>
    <row r="680" spans="1:11" ht="12.9" customHeight="1" x14ac:dyDescent="0.25">
      <c r="A680" s="6"/>
      <c r="B680" s="5"/>
      <c r="C680" s="3"/>
      <c r="D680" s="3"/>
      <c r="E680" s="3"/>
      <c r="F680" s="3"/>
      <c r="G680" s="4"/>
      <c r="H680" s="12" t="s">
        <v>603</v>
      </c>
      <c r="I680" s="28">
        <f>$K$3</f>
        <v>0.15</v>
      </c>
      <c r="J680" s="38"/>
      <c r="K680" s="29">
        <f>I680*K679</f>
        <v>685950</v>
      </c>
    </row>
    <row r="681" spans="1:11" ht="12.9" customHeight="1" x14ac:dyDescent="0.25">
      <c r="A681" s="6"/>
      <c r="B681" s="5"/>
      <c r="C681" s="3"/>
      <c r="D681" s="3"/>
      <c r="E681" s="3"/>
      <c r="F681" s="3"/>
      <c r="G681" s="4"/>
      <c r="H681" s="12" t="s">
        <v>604</v>
      </c>
      <c r="I681" s="14"/>
      <c r="J681" s="14"/>
      <c r="K681" s="29">
        <f>SUM(K679:K680)</f>
        <v>5258950</v>
      </c>
    </row>
    <row r="682" spans="1:11" ht="12.9" customHeight="1" thickBot="1" x14ac:dyDescent="0.3">
      <c r="A682" s="15"/>
      <c r="B682" s="16"/>
      <c r="C682" s="17"/>
      <c r="D682" s="17"/>
      <c r="E682" s="17"/>
      <c r="F682" s="17"/>
      <c r="G682" s="18"/>
      <c r="H682" s="46" t="s">
        <v>605</v>
      </c>
      <c r="I682" s="47"/>
      <c r="J682" s="47"/>
      <c r="K682" s="144">
        <f>ROUND(K681,-1)</f>
        <v>5258950</v>
      </c>
    </row>
    <row r="683" spans="1:11" ht="14.1" customHeight="1" x14ac:dyDescent="0.25">
      <c r="A683" s="81">
        <v>59</v>
      </c>
      <c r="B683" s="699" t="s">
        <v>713</v>
      </c>
      <c r="C683" s="700"/>
      <c r="D683" s="137" t="s">
        <v>2152</v>
      </c>
      <c r="E683" s="138"/>
      <c r="F683" s="139"/>
      <c r="G683" s="139"/>
      <c r="H683" s="140"/>
      <c r="I683" s="141"/>
      <c r="J683" s="142"/>
      <c r="K683" s="143"/>
    </row>
    <row r="684" spans="1:11" ht="13.2" customHeight="1" x14ac:dyDescent="0.25">
      <c r="A684" s="2"/>
      <c r="B684" s="20" t="s">
        <v>4</v>
      </c>
      <c r="C684" s="21" t="s">
        <v>1295</v>
      </c>
      <c r="D684" s="14"/>
      <c r="E684" s="22"/>
      <c r="F684" s="23"/>
      <c r="G684" s="23"/>
      <c r="H684" s="24" t="s">
        <v>235</v>
      </c>
      <c r="I684" s="45">
        <v>5</v>
      </c>
      <c r="J684" s="25">
        <f>J672</f>
        <v>659600</v>
      </c>
      <c r="K684" s="26">
        <f>I684*J684</f>
        <v>3298000</v>
      </c>
    </row>
    <row r="685" spans="1:11" ht="13.2" customHeight="1" x14ac:dyDescent="0.25">
      <c r="A685" s="2"/>
      <c r="B685" s="20" t="s">
        <v>30</v>
      </c>
      <c r="C685" s="21" t="s">
        <v>1300</v>
      </c>
      <c r="D685" s="14"/>
      <c r="E685" s="22"/>
      <c r="F685" s="23"/>
      <c r="G685" s="23"/>
      <c r="H685" s="24" t="s">
        <v>203</v>
      </c>
      <c r="I685" s="45">
        <v>1</v>
      </c>
      <c r="J685" s="55">
        <f>'Harga Satuan Dasar mat'!G22</f>
        <v>95500</v>
      </c>
      <c r="K685" s="26">
        <f t="shared" ref="K685:K690" si="88">I685*J685</f>
        <v>95500</v>
      </c>
    </row>
    <row r="686" spans="1:11" ht="13.2" customHeight="1" x14ac:dyDescent="0.25">
      <c r="A686" s="2"/>
      <c r="B686" s="20" t="s">
        <v>57</v>
      </c>
      <c r="C686" s="21" t="s">
        <v>1296</v>
      </c>
      <c r="D686" s="14"/>
      <c r="E686" s="22"/>
      <c r="F686" s="23"/>
      <c r="G686" s="23"/>
      <c r="H686" s="24" t="s">
        <v>203</v>
      </c>
      <c r="I686" s="45">
        <v>2</v>
      </c>
      <c r="J686" s="25">
        <f t="shared" ref="J686:J690" si="89">J674</f>
        <v>50000</v>
      </c>
      <c r="K686" s="26">
        <f t="shared" si="88"/>
        <v>100000</v>
      </c>
    </row>
    <row r="687" spans="1:11" ht="13.2" customHeight="1" x14ac:dyDescent="0.25">
      <c r="A687" s="2"/>
      <c r="B687" s="20" t="s">
        <v>83</v>
      </c>
      <c r="C687" s="21" t="s">
        <v>1305</v>
      </c>
      <c r="D687" s="14"/>
      <c r="E687" s="22"/>
      <c r="F687" s="23"/>
      <c r="G687" s="23"/>
      <c r="H687" s="24" t="s">
        <v>203</v>
      </c>
      <c r="I687" s="45">
        <v>2</v>
      </c>
      <c r="J687" s="55">
        <f>'Harga Satuan Dasar mat'!G478</f>
        <v>142000</v>
      </c>
      <c r="K687" s="26">
        <f t="shared" si="88"/>
        <v>284000</v>
      </c>
    </row>
    <row r="688" spans="1:11" ht="13.2" customHeight="1" x14ac:dyDescent="0.25">
      <c r="A688" s="2"/>
      <c r="B688" s="20" t="s">
        <v>110</v>
      </c>
      <c r="C688" s="21" t="s">
        <v>1306</v>
      </c>
      <c r="D688" s="14"/>
      <c r="E688" s="22"/>
      <c r="F688" s="23"/>
      <c r="G688" s="23"/>
      <c r="H688" s="24" t="s">
        <v>203</v>
      </c>
      <c r="I688" s="45">
        <v>2</v>
      </c>
      <c r="J688" s="55">
        <f>J687</f>
        <v>142000</v>
      </c>
      <c r="K688" s="26">
        <f t="shared" si="88"/>
        <v>284000</v>
      </c>
    </row>
    <row r="689" spans="1:11" ht="13.2" customHeight="1" x14ac:dyDescent="0.25">
      <c r="A689" s="2"/>
      <c r="B689" s="20" t="s">
        <v>137</v>
      </c>
      <c r="C689" s="21" t="s">
        <v>1297</v>
      </c>
      <c r="D689" s="14"/>
      <c r="E689" s="22"/>
      <c r="F689" s="23"/>
      <c r="G689" s="23"/>
      <c r="H689" s="24" t="s">
        <v>203</v>
      </c>
      <c r="I689" s="45">
        <v>12</v>
      </c>
      <c r="J689" s="25">
        <f t="shared" si="89"/>
        <v>17000</v>
      </c>
      <c r="K689" s="26">
        <f t="shared" si="88"/>
        <v>204000</v>
      </c>
    </row>
    <row r="690" spans="1:11" ht="13.2" customHeight="1" x14ac:dyDescent="0.25">
      <c r="A690" s="2"/>
      <c r="B690" s="20" t="s">
        <v>156</v>
      </c>
      <c r="C690" s="21" t="s">
        <v>1298</v>
      </c>
      <c r="D690" s="14"/>
      <c r="E690" s="22"/>
      <c r="F690" s="23"/>
      <c r="G690" s="23"/>
      <c r="H690" s="24" t="s">
        <v>203</v>
      </c>
      <c r="I690" s="45">
        <v>12</v>
      </c>
      <c r="J690" s="25">
        <f t="shared" si="89"/>
        <v>14000</v>
      </c>
      <c r="K690" s="26">
        <f t="shared" si="88"/>
        <v>168000</v>
      </c>
    </row>
    <row r="691" spans="1:11" ht="12.9" customHeight="1" x14ac:dyDescent="0.25">
      <c r="A691" s="6"/>
      <c r="B691" s="7"/>
      <c r="C691" s="8"/>
      <c r="D691" s="8"/>
      <c r="E691" s="8"/>
      <c r="F691" s="8"/>
      <c r="G691" s="9"/>
      <c r="H691" s="10" t="s">
        <v>715</v>
      </c>
      <c r="I691" s="11"/>
      <c r="J691" s="11"/>
      <c r="K691" s="27">
        <f>SUM(K684:K690)</f>
        <v>4433500</v>
      </c>
    </row>
    <row r="692" spans="1:11" ht="12.9" customHeight="1" x14ac:dyDescent="0.25">
      <c r="A692" s="6"/>
      <c r="B692" s="5"/>
      <c r="C692" s="3"/>
      <c r="D692" s="3"/>
      <c r="E692" s="3"/>
      <c r="F692" s="3"/>
      <c r="G692" s="4"/>
      <c r="H692" s="12" t="s">
        <v>603</v>
      </c>
      <c r="I692" s="28">
        <f>$K$3</f>
        <v>0.15</v>
      </c>
      <c r="J692" s="38"/>
      <c r="K692" s="29">
        <f>I692*K691</f>
        <v>665025</v>
      </c>
    </row>
    <row r="693" spans="1:11" ht="12.9" customHeight="1" x14ac:dyDescent="0.25">
      <c r="A693" s="6"/>
      <c r="B693" s="5"/>
      <c r="C693" s="3"/>
      <c r="D693" s="3"/>
      <c r="E693" s="3"/>
      <c r="F693" s="3"/>
      <c r="G693" s="4"/>
      <c r="H693" s="12" t="s">
        <v>604</v>
      </c>
      <c r="I693" s="14"/>
      <c r="J693" s="14"/>
      <c r="K693" s="29">
        <f>SUM(K691:K692)</f>
        <v>5098525</v>
      </c>
    </row>
    <row r="694" spans="1:11" ht="12.9" customHeight="1" thickBot="1" x14ac:dyDescent="0.3">
      <c r="A694" s="15"/>
      <c r="B694" s="16"/>
      <c r="C694" s="17"/>
      <c r="D694" s="17"/>
      <c r="E694" s="17"/>
      <c r="F694" s="17"/>
      <c r="G694" s="18"/>
      <c r="H694" s="46" t="s">
        <v>605</v>
      </c>
      <c r="I694" s="47"/>
      <c r="J694" s="47"/>
      <c r="K694" s="144">
        <f>ROUND(K693,-1)</f>
        <v>5098530</v>
      </c>
    </row>
    <row r="695" spans="1:11" ht="14.1" customHeight="1" x14ac:dyDescent="0.25">
      <c r="A695" s="81">
        <v>60</v>
      </c>
      <c r="B695" s="699" t="s">
        <v>713</v>
      </c>
      <c r="C695" s="700"/>
      <c r="D695" s="137" t="s">
        <v>2151</v>
      </c>
      <c r="E695" s="138"/>
      <c r="F695" s="139"/>
      <c r="G695" s="139"/>
      <c r="H695" s="140"/>
      <c r="I695" s="141"/>
      <c r="J695" s="142"/>
      <c r="K695" s="143"/>
    </row>
    <row r="696" spans="1:11" ht="13.2" customHeight="1" x14ac:dyDescent="0.25">
      <c r="A696" s="2"/>
      <c r="B696" s="20" t="s">
        <v>4</v>
      </c>
      <c r="C696" s="21" t="s">
        <v>1295</v>
      </c>
      <c r="D696" s="14"/>
      <c r="E696" s="22"/>
      <c r="F696" s="23"/>
      <c r="G696" s="23"/>
      <c r="H696" s="24" t="s">
        <v>235</v>
      </c>
      <c r="I696" s="45">
        <v>5</v>
      </c>
      <c r="J696" s="25">
        <f>J684</f>
        <v>659600</v>
      </c>
      <c r="K696" s="26">
        <f>I696*J696</f>
        <v>3298000</v>
      </c>
    </row>
    <row r="697" spans="1:11" ht="13.2" customHeight="1" x14ac:dyDescent="0.25">
      <c r="A697" s="2"/>
      <c r="B697" s="20" t="s">
        <v>30</v>
      </c>
      <c r="C697" s="21" t="s">
        <v>1301</v>
      </c>
      <c r="D697" s="14"/>
      <c r="E697" s="22"/>
      <c r="F697" s="23"/>
      <c r="G697" s="23"/>
      <c r="H697" s="24" t="s">
        <v>203</v>
      </c>
      <c r="I697" s="45">
        <v>1</v>
      </c>
      <c r="J697" s="55">
        <f>'Harga Satuan Dasar mat'!G20</f>
        <v>85000</v>
      </c>
      <c r="K697" s="26">
        <f t="shared" ref="K697:K702" si="90">I697*J697</f>
        <v>85000</v>
      </c>
    </row>
    <row r="698" spans="1:11" ht="13.2" customHeight="1" x14ac:dyDescent="0.25">
      <c r="A698" s="2"/>
      <c r="B698" s="20" t="s">
        <v>57</v>
      </c>
      <c r="C698" s="21" t="s">
        <v>1296</v>
      </c>
      <c r="D698" s="14"/>
      <c r="E698" s="22"/>
      <c r="F698" s="23"/>
      <c r="G698" s="23"/>
      <c r="H698" s="24" t="s">
        <v>203</v>
      </c>
      <c r="I698" s="45">
        <v>2</v>
      </c>
      <c r="J698" s="25">
        <f t="shared" ref="J698:J702" si="91">J686</f>
        <v>50000</v>
      </c>
      <c r="K698" s="26">
        <f t="shared" si="90"/>
        <v>100000</v>
      </c>
    </row>
    <row r="699" spans="1:11" ht="13.2" customHeight="1" x14ac:dyDescent="0.25">
      <c r="A699" s="2"/>
      <c r="B699" s="20" t="s">
        <v>83</v>
      </c>
      <c r="C699" s="21" t="s">
        <v>1307</v>
      </c>
      <c r="D699" s="14"/>
      <c r="E699" s="22"/>
      <c r="F699" s="23"/>
      <c r="G699" s="23"/>
      <c r="H699" s="24" t="s">
        <v>203</v>
      </c>
      <c r="I699" s="45">
        <v>2</v>
      </c>
      <c r="J699" s="55">
        <f>'Harga Satuan Dasar mat'!G476</f>
        <v>127000</v>
      </c>
      <c r="K699" s="26">
        <f t="shared" si="90"/>
        <v>254000</v>
      </c>
    </row>
    <row r="700" spans="1:11" ht="13.2" customHeight="1" x14ac:dyDescent="0.25">
      <c r="A700" s="2"/>
      <c r="B700" s="20" t="s">
        <v>110</v>
      </c>
      <c r="C700" s="21" t="s">
        <v>1308</v>
      </c>
      <c r="D700" s="14"/>
      <c r="E700" s="22"/>
      <c r="F700" s="23"/>
      <c r="G700" s="23"/>
      <c r="H700" s="24" t="s">
        <v>203</v>
      </c>
      <c r="I700" s="45">
        <v>2</v>
      </c>
      <c r="J700" s="55">
        <f>J699</f>
        <v>127000</v>
      </c>
      <c r="K700" s="26">
        <f t="shared" si="90"/>
        <v>254000</v>
      </c>
    </row>
    <row r="701" spans="1:11" ht="13.2" customHeight="1" x14ac:dyDescent="0.25">
      <c r="A701" s="2"/>
      <c r="B701" s="20" t="s">
        <v>137</v>
      </c>
      <c r="C701" s="21" t="s">
        <v>1297</v>
      </c>
      <c r="D701" s="14"/>
      <c r="E701" s="22"/>
      <c r="F701" s="23"/>
      <c r="G701" s="23"/>
      <c r="H701" s="24" t="s">
        <v>203</v>
      </c>
      <c r="I701" s="45">
        <v>12</v>
      </c>
      <c r="J701" s="25">
        <f t="shared" si="91"/>
        <v>17000</v>
      </c>
      <c r="K701" s="26">
        <f t="shared" si="90"/>
        <v>204000</v>
      </c>
    </row>
    <row r="702" spans="1:11" ht="13.2" customHeight="1" x14ac:dyDescent="0.25">
      <c r="A702" s="2"/>
      <c r="B702" s="20" t="s">
        <v>156</v>
      </c>
      <c r="C702" s="21" t="s">
        <v>1298</v>
      </c>
      <c r="D702" s="14"/>
      <c r="E702" s="22"/>
      <c r="F702" s="23"/>
      <c r="G702" s="23"/>
      <c r="H702" s="24" t="s">
        <v>203</v>
      </c>
      <c r="I702" s="45">
        <v>12</v>
      </c>
      <c r="J702" s="25">
        <f t="shared" si="91"/>
        <v>14000</v>
      </c>
      <c r="K702" s="26">
        <f t="shared" si="90"/>
        <v>168000</v>
      </c>
    </row>
    <row r="703" spans="1:11" ht="12.9" customHeight="1" x14ac:dyDescent="0.25">
      <c r="A703" s="6"/>
      <c r="B703" s="7"/>
      <c r="C703" s="8"/>
      <c r="D703" s="8"/>
      <c r="E703" s="8"/>
      <c r="F703" s="8"/>
      <c r="G703" s="9"/>
      <c r="H703" s="10" t="s">
        <v>715</v>
      </c>
      <c r="I703" s="11"/>
      <c r="J703" s="11"/>
      <c r="K703" s="27">
        <f>SUM(K696:K702)</f>
        <v>4363000</v>
      </c>
    </row>
    <row r="704" spans="1:11" ht="12.9" customHeight="1" x14ac:dyDescent="0.25">
      <c r="A704" s="6"/>
      <c r="B704" s="5"/>
      <c r="C704" s="3"/>
      <c r="D704" s="3"/>
      <c r="E704" s="3"/>
      <c r="F704" s="3"/>
      <c r="G704" s="4"/>
      <c r="H704" s="12" t="s">
        <v>603</v>
      </c>
      <c r="I704" s="28">
        <f>$K$3</f>
        <v>0.15</v>
      </c>
      <c r="J704" s="38"/>
      <c r="K704" s="29">
        <f>I704*K703</f>
        <v>654450</v>
      </c>
    </row>
    <row r="705" spans="1:11" ht="12.9" customHeight="1" x14ac:dyDescent="0.25">
      <c r="A705" s="6"/>
      <c r="B705" s="5"/>
      <c r="C705" s="3"/>
      <c r="D705" s="3"/>
      <c r="E705" s="3"/>
      <c r="F705" s="3"/>
      <c r="G705" s="4"/>
      <c r="H705" s="12" t="s">
        <v>604</v>
      </c>
      <c r="I705" s="14"/>
      <c r="J705" s="14"/>
      <c r="K705" s="29">
        <f>SUM(K703:K704)</f>
        <v>5017450</v>
      </c>
    </row>
    <row r="706" spans="1:11" ht="12.9" customHeight="1" thickBot="1" x14ac:dyDescent="0.3">
      <c r="A706" s="15"/>
      <c r="B706" s="16"/>
      <c r="C706" s="17"/>
      <c r="D706" s="17"/>
      <c r="E706" s="17"/>
      <c r="F706" s="17"/>
      <c r="G706" s="18"/>
      <c r="H706" s="46" t="s">
        <v>605</v>
      </c>
      <c r="I706" s="47"/>
      <c r="J706" s="47"/>
      <c r="K706" s="144">
        <f>ROUND(K705,-1)</f>
        <v>5017450</v>
      </c>
    </row>
    <row r="707" spans="1:11" ht="14.1" customHeight="1" x14ac:dyDescent="0.25">
      <c r="A707" s="81">
        <v>61</v>
      </c>
      <c r="B707" s="699" t="s">
        <v>713</v>
      </c>
      <c r="C707" s="700"/>
      <c r="D707" s="137" t="s">
        <v>2150</v>
      </c>
      <c r="E707" s="138"/>
      <c r="F707" s="139"/>
      <c r="G707" s="139"/>
      <c r="H707" s="140"/>
      <c r="I707" s="141"/>
      <c r="J707" s="142"/>
      <c r="K707" s="143"/>
    </row>
    <row r="708" spans="1:11" ht="13.2" customHeight="1" x14ac:dyDescent="0.25">
      <c r="A708" s="2"/>
      <c r="B708" s="20" t="s">
        <v>4</v>
      </c>
      <c r="C708" s="21" t="s">
        <v>1295</v>
      </c>
      <c r="D708" s="14"/>
      <c r="E708" s="22"/>
      <c r="F708" s="23"/>
      <c r="G708" s="23"/>
      <c r="H708" s="24" t="s">
        <v>235</v>
      </c>
      <c r="I708" s="45">
        <v>5</v>
      </c>
      <c r="J708" s="25">
        <f>J696</f>
        <v>659600</v>
      </c>
      <c r="K708" s="26">
        <f>I708*J708</f>
        <v>3298000</v>
      </c>
    </row>
    <row r="709" spans="1:11" ht="13.2" customHeight="1" x14ac:dyDescent="0.25">
      <c r="A709" s="2"/>
      <c r="B709" s="20" t="s">
        <v>30</v>
      </c>
      <c r="C709" s="21" t="s">
        <v>1316</v>
      </c>
      <c r="D709" s="14"/>
      <c r="E709" s="22"/>
      <c r="F709" s="23"/>
      <c r="G709" s="23"/>
      <c r="H709" s="24" t="s">
        <v>203</v>
      </c>
      <c r="I709" s="45">
        <v>1</v>
      </c>
      <c r="J709" s="55">
        <f>J661</f>
        <v>105500</v>
      </c>
      <c r="K709" s="26">
        <f t="shared" ref="K709:K714" si="92">I709*J709</f>
        <v>105500</v>
      </c>
    </row>
    <row r="710" spans="1:11" ht="13.2" customHeight="1" x14ac:dyDescent="0.25">
      <c r="A710" s="2"/>
      <c r="B710" s="20" t="s">
        <v>57</v>
      </c>
      <c r="C710" s="21" t="s">
        <v>1296</v>
      </c>
      <c r="D710" s="14"/>
      <c r="E710" s="22"/>
      <c r="F710" s="23"/>
      <c r="G710" s="23"/>
      <c r="H710" s="24" t="s">
        <v>203</v>
      </c>
      <c r="I710" s="45">
        <v>2</v>
      </c>
      <c r="J710" s="25">
        <f>J662</f>
        <v>50000</v>
      </c>
      <c r="K710" s="26">
        <f t="shared" si="92"/>
        <v>100000</v>
      </c>
    </row>
    <row r="711" spans="1:11" ht="13.2" customHeight="1" x14ac:dyDescent="0.25">
      <c r="A711" s="2"/>
      <c r="B711" s="20" t="s">
        <v>83</v>
      </c>
      <c r="C711" s="21" t="s">
        <v>1309</v>
      </c>
      <c r="D711" s="14"/>
      <c r="E711" s="22"/>
      <c r="F711" s="23"/>
      <c r="G711" s="23"/>
      <c r="H711" s="24" t="s">
        <v>203</v>
      </c>
      <c r="I711" s="45">
        <v>2</v>
      </c>
      <c r="J711" s="55">
        <f>'Harga Satuan Dasar mat'!G499</f>
        <v>196000</v>
      </c>
      <c r="K711" s="26">
        <f t="shared" si="92"/>
        <v>392000</v>
      </c>
    </row>
    <row r="712" spans="1:11" ht="13.2" customHeight="1" x14ac:dyDescent="0.25">
      <c r="A712" s="2"/>
      <c r="B712" s="20" t="s">
        <v>110</v>
      </c>
      <c r="C712" s="21" t="s">
        <v>1310</v>
      </c>
      <c r="D712" s="14"/>
      <c r="E712" s="22"/>
      <c r="F712" s="23"/>
      <c r="G712" s="23"/>
      <c r="H712" s="24" t="s">
        <v>203</v>
      </c>
      <c r="I712" s="45">
        <v>2</v>
      </c>
      <c r="J712" s="55">
        <f>'Harga Satuan Dasar mat'!G500</f>
        <v>204000</v>
      </c>
      <c r="K712" s="26">
        <f t="shared" si="92"/>
        <v>408000</v>
      </c>
    </row>
    <row r="713" spans="1:11" ht="13.2" customHeight="1" x14ac:dyDescent="0.25">
      <c r="A713" s="2"/>
      <c r="B713" s="20" t="s">
        <v>137</v>
      </c>
      <c r="C713" s="21" t="s">
        <v>1297</v>
      </c>
      <c r="D713" s="14"/>
      <c r="E713" s="22"/>
      <c r="F713" s="23"/>
      <c r="G713" s="23"/>
      <c r="H713" s="24" t="s">
        <v>203</v>
      </c>
      <c r="I713" s="45">
        <v>12</v>
      </c>
      <c r="J713" s="25">
        <f>J665</f>
        <v>17000</v>
      </c>
      <c r="K713" s="26">
        <f t="shared" si="92"/>
        <v>204000</v>
      </c>
    </row>
    <row r="714" spans="1:11" ht="13.2" customHeight="1" x14ac:dyDescent="0.25">
      <c r="A714" s="2"/>
      <c r="B714" s="20" t="s">
        <v>156</v>
      </c>
      <c r="C714" s="21" t="s">
        <v>1298</v>
      </c>
      <c r="D714" s="14"/>
      <c r="E714" s="22"/>
      <c r="F714" s="23"/>
      <c r="G714" s="23"/>
      <c r="H714" s="24" t="s">
        <v>203</v>
      </c>
      <c r="I714" s="45">
        <v>12</v>
      </c>
      <c r="J714" s="25">
        <f>J666</f>
        <v>14000</v>
      </c>
      <c r="K714" s="26">
        <f t="shared" si="92"/>
        <v>168000</v>
      </c>
    </row>
    <row r="715" spans="1:11" ht="12.9" customHeight="1" x14ac:dyDescent="0.25">
      <c r="A715" s="6"/>
      <c r="B715" s="7"/>
      <c r="C715" s="8"/>
      <c r="D715" s="8"/>
      <c r="E715" s="8"/>
      <c r="F715" s="8"/>
      <c r="G715" s="9"/>
      <c r="H715" s="10" t="s">
        <v>715</v>
      </c>
      <c r="I715" s="11"/>
      <c r="J715" s="11"/>
      <c r="K715" s="27">
        <f>SUM(K708:K714)</f>
        <v>4675500</v>
      </c>
    </row>
    <row r="716" spans="1:11" ht="12.9" customHeight="1" x14ac:dyDescent="0.25">
      <c r="A716" s="6"/>
      <c r="B716" s="5"/>
      <c r="C716" s="3"/>
      <c r="D716" s="3"/>
      <c r="E716" s="3"/>
      <c r="F716" s="3"/>
      <c r="G716" s="4"/>
      <c r="H716" s="12" t="s">
        <v>603</v>
      </c>
      <c r="I716" s="28">
        <f>$K$3</f>
        <v>0.15</v>
      </c>
      <c r="J716" s="38"/>
      <c r="K716" s="29">
        <f>I716*K715</f>
        <v>701325</v>
      </c>
    </row>
    <row r="717" spans="1:11" ht="12.9" customHeight="1" x14ac:dyDescent="0.25">
      <c r="A717" s="6"/>
      <c r="B717" s="5"/>
      <c r="C717" s="3"/>
      <c r="D717" s="3"/>
      <c r="E717" s="3"/>
      <c r="F717" s="3"/>
      <c r="G717" s="4"/>
      <c r="H717" s="12" t="s">
        <v>604</v>
      </c>
      <c r="I717" s="14"/>
      <c r="J717" s="14"/>
      <c r="K717" s="29">
        <f>SUM(K715:K716)</f>
        <v>5376825</v>
      </c>
    </row>
    <row r="718" spans="1:11" ht="12.9" customHeight="1" thickBot="1" x14ac:dyDescent="0.3">
      <c r="A718" s="15"/>
      <c r="B718" s="16"/>
      <c r="C718" s="17"/>
      <c r="D718" s="17"/>
      <c r="E718" s="17"/>
      <c r="F718" s="17"/>
      <c r="G718" s="18"/>
      <c r="H718" s="46" t="s">
        <v>605</v>
      </c>
      <c r="I718" s="47"/>
      <c r="J718" s="47"/>
      <c r="K718" s="144">
        <f>ROUND(K717,-1)</f>
        <v>5376830</v>
      </c>
    </row>
    <row r="719" spans="1:11" ht="14.1" customHeight="1" x14ac:dyDescent="0.25">
      <c r="A719" s="81">
        <v>62</v>
      </c>
      <c r="B719" s="699" t="s">
        <v>713</v>
      </c>
      <c r="C719" s="700"/>
      <c r="D719" s="137" t="s">
        <v>2149</v>
      </c>
      <c r="E719" s="138"/>
      <c r="F719" s="139"/>
      <c r="G719" s="139"/>
      <c r="H719" s="140"/>
      <c r="I719" s="141"/>
      <c r="J719" s="142"/>
      <c r="K719" s="143"/>
    </row>
    <row r="720" spans="1:11" ht="13.2" customHeight="1" x14ac:dyDescent="0.25">
      <c r="A720" s="2"/>
      <c r="B720" s="20" t="s">
        <v>4</v>
      </c>
      <c r="C720" s="21" t="s">
        <v>1295</v>
      </c>
      <c r="D720" s="14"/>
      <c r="E720" s="22"/>
      <c r="F720" s="23"/>
      <c r="G720" s="23"/>
      <c r="H720" s="24" t="s">
        <v>235</v>
      </c>
      <c r="I720" s="45">
        <v>5</v>
      </c>
      <c r="J720" s="25">
        <f>J708</f>
        <v>659600</v>
      </c>
      <c r="K720" s="26">
        <f>I720*J720</f>
        <v>3298000</v>
      </c>
    </row>
    <row r="721" spans="1:11" ht="13.2" customHeight="1" x14ac:dyDescent="0.25">
      <c r="A721" s="2"/>
      <c r="B721" s="20" t="s">
        <v>30</v>
      </c>
      <c r="C721" s="21" t="s">
        <v>1299</v>
      </c>
      <c r="D721" s="14"/>
      <c r="E721" s="22"/>
      <c r="F721" s="23"/>
      <c r="G721" s="23"/>
      <c r="H721" s="24" t="s">
        <v>203</v>
      </c>
      <c r="I721" s="45">
        <v>1</v>
      </c>
      <c r="J721" s="55">
        <f>J673</f>
        <v>115000</v>
      </c>
      <c r="K721" s="26">
        <f t="shared" ref="K721:K726" si="93">I721*J721</f>
        <v>115000</v>
      </c>
    </row>
    <row r="722" spans="1:11" ht="13.2" customHeight="1" x14ac:dyDescent="0.25">
      <c r="A722" s="2"/>
      <c r="B722" s="20" t="s">
        <v>57</v>
      </c>
      <c r="C722" s="21" t="s">
        <v>1296</v>
      </c>
      <c r="D722" s="14"/>
      <c r="E722" s="22"/>
      <c r="F722" s="23"/>
      <c r="G722" s="23"/>
      <c r="H722" s="24" t="s">
        <v>203</v>
      </c>
      <c r="I722" s="45">
        <v>2</v>
      </c>
      <c r="J722" s="25">
        <f t="shared" ref="J722:J726" si="94">J710</f>
        <v>50000</v>
      </c>
      <c r="K722" s="26">
        <f t="shared" si="93"/>
        <v>100000</v>
      </c>
    </row>
    <row r="723" spans="1:11" ht="13.2" customHeight="1" x14ac:dyDescent="0.25">
      <c r="A723" s="2"/>
      <c r="B723" s="20" t="s">
        <v>83</v>
      </c>
      <c r="C723" s="21" t="s">
        <v>1315</v>
      </c>
      <c r="D723" s="14"/>
      <c r="E723" s="22"/>
      <c r="F723" s="23"/>
      <c r="G723" s="23"/>
      <c r="H723" s="24" t="s">
        <v>203</v>
      </c>
      <c r="I723" s="45">
        <v>2</v>
      </c>
      <c r="J723" s="55">
        <f>J712</f>
        <v>204000</v>
      </c>
      <c r="K723" s="26">
        <f t="shared" si="93"/>
        <v>408000</v>
      </c>
    </row>
    <row r="724" spans="1:11" ht="13.2" customHeight="1" x14ac:dyDescent="0.25">
      <c r="A724" s="2"/>
      <c r="B724" s="20" t="s">
        <v>110</v>
      </c>
      <c r="C724" s="21" t="s">
        <v>1310</v>
      </c>
      <c r="D724" s="14"/>
      <c r="E724" s="22"/>
      <c r="F724" s="23"/>
      <c r="G724" s="23"/>
      <c r="H724" s="24" t="s">
        <v>203</v>
      </c>
      <c r="I724" s="45">
        <v>2</v>
      </c>
      <c r="J724" s="55">
        <f>J723</f>
        <v>204000</v>
      </c>
      <c r="K724" s="26">
        <f t="shared" si="93"/>
        <v>408000</v>
      </c>
    </row>
    <row r="725" spans="1:11" ht="13.2" customHeight="1" x14ac:dyDescent="0.25">
      <c r="A725" s="2"/>
      <c r="B725" s="20" t="s">
        <v>137</v>
      </c>
      <c r="C725" s="21" t="s">
        <v>1297</v>
      </c>
      <c r="D725" s="14"/>
      <c r="E725" s="22"/>
      <c r="F725" s="23"/>
      <c r="G725" s="23"/>
      <c r="H725" s="24" t="s">
        <v>203</v>
      </c>
      <c r="I725" s="45">
        <v>12</v>
      </c>
      <c r="J725" s="25">
        <f t="shared" si="94"/>
        <v>17000</v>
      </c>
      <c r="K725" s="26">
        <f t="shared" si="93"/>
        <v>204000</v>
      </c>
    </row>
    <row r="726" spans="1:11" ht="13.2" customHeight="1" x14ac:dyDescent="0.25">
      <c r="A726" s="2"/>
      <c r="B726" s="20" t="s">
        <v>156</v>
      </c>
      <c r="C726" s="21" t="s">
        <v>1298</v>
      </c>
      <c r="D726" s="14"/>
      <c r="E726" s="22"/>
      <c r="F726" s="23"/>
      <c r="G726" s="23"/>
      <c r="H726" s="24" t="s">
        <v>203</v>
      </c>
      <c r="I726" s="45">
        <v>12</v>
      </c>
      <c r="J726" s="25">
        <f t="shared" si="94"/>
        <v>14000</v>
      </c>
      <c r="K726" s="26">
        <f t="shared" si="93"/>
        <v>168000</v>
      </c>
    </row>
    <row r="727" spans="1:11" ht="12.9" customHeight="1" x14ac:dyDescent="0.25">
      <c r="A727" s="6"/>
      <c r="B727" s="7"/>
      <c r="C727" s="8"/>
      <c r="D727" s="8"/>
      <c r="E727" s="8"/>
      <c r="F727" s="8"/>
      <c r="G727" s="9"/>
      <c r="H727" s="10" t="s">
        <v>715</v>
      </c>
      <c r="I727" s="11"/>
      <c r="J727" s="11"/>
      <c r="K727" s="27">
        <f>SUM(K720:K726)</f>
        <v>4701000</v>
      </c>
    </row>
    <row r="728" spans="1:11" ht="12.9" customHeight="1" x14ac:dyDescent="0.25">
      <c r="A728" s="6"/>
      <c r="B728" s="5"/>
      <c r="C728" s="3"/>
      <c r="D728" s="3"/>
      <c r="E728" s="3"/>
      <c r="F728" s="3"/>
      <c r="G728" s="4"/>
      <c r="H728" s="12" t="s">
        <v>603</v>
      </c>
      <c r="I728" s="28">
        <f>$K$3</f>
        <v>0.15</v>
      </c>
      <c r="J728" s="38"/>
      <c r="K728" s="29">
        <f>I728*K727</f>
        <v>705150</v>
      </c>
    </row>
    <row r="729" spans="1:11" ht="12.9" customHeight="1" x14ac:dyDescent="0.25">
      <c r="A729" s="6"/>
      <c r="B729" s="5"/>
      <c r="C729" s="3"/>
      <c r="D729" s="3"/>
      <c r="E729" s="3"/>
      <c r="F729" s="3"/>
      <c r="G729" s="4"/>
      <c r="H729" s="12" t="s">
        <v>604</v>
      </c>
      <c r="I729" s="14"/>
      <c r="J729" s="14"/>
      <c r="K729" s="29">
        <f>SUM(K727:K728)</f>
        <v>5406150</v>
      </c>
    </row>
    <row r="730" spans="1:11" ht="12.9" customHeight="1" thickBot="1" x14ac:dyDescent="0.3">
      <c r="A730" s="15"/>
      <c r="B730" s="16"/>
      <c r="C730" s="17"/>
      <c r="D730" s="17"/>
      <c r="E730" s="17"/>
      <c r="F730" s="17"/>
      <c r="G730" s="18"/>
      <c r="H730" s="46" t="s">
        <v>605</v>
      </c>
      <c r="I730" s="47"/>
      <c r="J730" s="47"/>
      <c r="K730" s="144">
        <f>ROUND(K729,-1)</f>
        <v>5406150</v>
      </c>
    </row>
    <row r="731" spans="1:11" ht="14.1" customHeight="1" x14ac:dyDescent="0.25">
      <c r="A731" s="81">
        <v>63</v>
      </c>
      <c r="B731" s="699" t="s">
        <v>713</v>
      </c>
      <c r="C731" s="700"/>
      <c r="D731" s="137" t="s">
        <v>2148</v>
      </c>
      <c r="E731" s="138"/>
      <c r="F731" s="139"/>
      <c r="G731" s="139"/>
      <c r="H731" s="140"/>
      <c r="I731" s="141"/>
      <c r="J731" s="142"/>
      <c r="K731" s="143"/>
    </row>
    <row r="732" spans="1:11" ht="13.2" customHeight="1" x14ac:dyDescent="0.25">
      <c r="A732" s="2"/>
      <c r="B732" s="20" t="s">
        <v>4</v>
      </c>
      <c r="C732" s="21" t="s">
        <v>1295</v>
      </c>
      <c r="D732" s="14"/>
      <c r="E732" s="22"/>
      <c r="F732" s="23"/>
      <c r="G732" s="23"/>
      <c r="H732" s="24" t="s">
        <v>235</v>
      </c>
      <c r="I732" s="45">
        <v>5</v>
      </c>
      <c r="J732" s="25">
        <f>J720</f>
        <v>659600</v>
      </c>
      <c r="K732" s="26">
        <f>I732*J732</f>
        <v>3298000</v>
      </c>
    </row>
    <row r="733" spans="1:11" ht="13.2" customHeight="1" x14ac:dyDescent="0.25">
      <c r="A733" s="2"/>
      <c r="B733" s="20" t="s">
        <v>30</v>
      </c>
      <c r="C733" s="21" t="s">
        <v>1300</v>
      </c>
      <c r="D733" s="14"/>
      <c r="E733" s="22"/>
      <c r="F733" s="23"/>
      <c r="G733" s="23"/>
      <c r="H733" s="24" t="s">
        <v>203</v>
      </c>
      <c r="I733" s="45">
        <v>1</v>
      </c>
      <c r="J733" s="55">
        <f>J685</f>
        <v>95500</v>
      </c>
      <c r="K733" s="26">
        <f t="shared" ref="K733:K738" si="95">I733*J733</f>
        <v>95500</v>
      </c>
    </row>
    <row r="734" spans="1:11" ht="13.2" customHeight="1" x14ac:dyDescent="0.25">
      <c r="A734" s="2"/>
      <c r="B734" s="20" t="s">
        <v>57</v>
      </c>
      <c r="C734" s="21" t="s">
        <v>1296</v>
      </c>
      <c r="D734" s="14"/>
      <c r="E734" s="22"/>
      <c r="F734" s="23"/>
      <c r="G734" s="23"/>
      <c r="H734" s="24" t="s">
        <v>203</v>
      </c>
      <c r="I734" s="45">
        <v>2</v>
      </c>
      <c r="J734" s="25">
        <f t="shared" ref="J734:J738" si="96">J722</f>
        <v>50000</v>
      </c>
      <c r="K734" s="26">
        <f t="shared" si="95"/>
        <v>100000</v>
      </c>
    </row>
    <row r="735" spans="1:11" ht="13.2" customHeight="1" x14ac:dyDescent="0.25">
      <c r="A735" s="2"/>
      <c r="B735" s="20" t="s">
        <v>83</v>
      </c>
      <c r="C735" s="21" t="s">
        <v>1313</v>
      </c>
      <c r="D735" s="14"/>
      <c r="E735" s="22"/>
      <c r="F735" s="23"/>
      <c r="G735" s="23"/>
      <c r="H735" s="24" t="s">
        <v>203</v>
      </c>
      <c r="I735" s="45">
        <v>2</v>
      </c>
      <c r="J735" s="25">
        <f>'Harga Satuan Dasar mat'!G496</f>
        <v>171000</v>
      </c>
      <c r="K735" s="26">
        <f t="shared" si="95"/>
        <v>342000</v>
      </c>
    </row>
    <row r="736" spans="1:11" ht="13.2" customHeight="1" x14ac:dyDescent="0.25">
      <c r="A736" s="2"/>
      <c r="B736" s="20" t="s">
        <v>110</v>
      </c>
      <c r="C736" s="21" t="s">
        <v>1314</v>
      </c>
      <c r="D736" s="14"/>
      <c r="E736" s="22"/>
      <c r="F736" s="23"/>
      <c r="G736" s="23"/>
      <c r="H736" s="24" t="s">
        <v>203</v>
      </c>
      <c r="I736" s="45">
        <v>2</v>
      </c>
      <c r="J736" s="25">
        <f>J735</f>
        <v>171000</v>
      </c>
      <c r="K736" s="26">
        <f t="shared" si="95"/>
        <v>342000</v>
      </c>
    </row>
    <row r="737" spans="1:11" ht="13.2" customHeight="1" x14ac:dyDescent="0.25">
      <c r="A737" s="2"/>
      <c r="B737" s="20" t="s">
        <v>137</v>
      </c>
      <c r="C737" s="21" t="s">
        <v>1297</v>
      </c>
      <c r="D737" s="14"/>
      <c r="E737" s="22"/>
      <c r="F737" s="23"/>
      <c r="G737" s="23"/>
      <c r="H737" s="24" t="s">
        <v>203</v>
      </c>
      <c r="I737" s="45">
        <v>12</v>
      </c>
      <c r="J737" s="25">
        <f t="shared" si="96"/>
        <v>17000</v>
      </c>
      <c r="K737" s="26">
        <f t="shared" si="95"/>
        <v>204000</v>
      </c>
    </row>
    <row r="738" spans="1:11" ht="13.2" customHeight="1" x14ac:dyDescent="0.25">
      <c r="A738" s="2"/>
      <c r="B738" s="20" t="s">
        <v>156</v>
      </c>
      <c r="C738" s="21" t="s">
        <v>1298</v>
      </c>
      <c r="D738" s="14"/>
      <c r="E738" s="22"/>
      <c r="F738" s="23"/>
      <c r="G738" s="23"/>
      <c r="H738" s="24" t="s">
        <v>203</v>
      </c>
      <c r="I738" s="45">
        <v>12</v>
      </c>
      <c r="J738" s="25">
        <f t="shared" si="96"/>
        <v>14000</v>
      </c>
      <c r="K738" s="26">
        <f t="shared" si="95"/>
        <v>168000</v>
      </c>
    </row>
    <row r="739" spans="1:11" ht="12.9" customHeight="1" x14ac:dyDescent="0.25">
      <c r="A739" s="6"/>
      <c r="B739" s="7"/>
      <c r="C739" s="8"/>
      <c r="D739" s="8"/>
      <c r="E739" s="8"/>
      <c r="F739" s="8"/>
      <c r="G739" s="9"/>
      <c r="H739" s="10" t="s">
        <v>715</v>
      </c>
      <c r="I739" s="11"/>
      <c r="J739" s="11"/>
      <c r="K739" s="27">
        <f>SUM(K732:K738)</f>
        <v>4549500</v>
      </c>
    </row>
    <row r="740" spans="1:11" ht="12.9" customHeight="1" x14ac:dyDescent="0.25">
      <c r="A740" s="6"/>
      <c r="B740" s="5"/>
      <c r="C740" s="3"/>
      <c r="D740" s="3"/>
      <c r="E740" s="3"/>
      <c r="F740" s="3"/>
      <c r="G740" s="4"/>
      <c r="H740" s="12" t="s">
        <v>603</v>
      </c>
      <c r="I740" s="28">
        <f>$K$3</f>
        <v>0.15</v>
      </c>
      <c r="J740" s="38"/>
      <c r="K740" s="29">
        <f>I740*K739</f>
        <v>682425</v>
      </c>
    </row>
    <row r="741" spans="1:11" ht="12.9" customHeight="1" x14ac:dyDescent="0.25">
      <c r="A741" s="6"/>
      <c r="B741" s="5"/>
      <c r="C741" s="3"/>
      <c r="D741" s="3"/>
      <c r="E741" s="3"/>
      <c r="F741" s="3"/>
      <c r="G741" s="4"/>
      <c r="H741" s="12" t="s">
        <v>604</v>
      </c>
      <c r="I741" s="14"/>
      <c r="J741" s="14"/>
      <c r="K741" s="29">
        <f>SUM(K739:K740)</f>
        <v>5231925</v>
      </c>
    </row>
    <row r="742" spans="1:11" ht="12.9" customHeight="1" thickBot="1" x14ac:dyDescent="0.3">
      <c r="A742" s="15"/>
      <c r="B742" s="16"/>
      <c r="C742" s="17"/>
      <c r="D742" s="17"/>
      <c r="E742" s="17"/>
      <c r="F742" s="17"/>
      <c r="G742" s="18"/>
      <c r="H742" s="46" t="s">
        <v>605</v>
      </c>
      <c r="I742" s="47"/>
      <c r="J742" s="47"/>
      <c r="K742" s="144">
        <f>ROUND(K741,-1)</f>
        <v>5231930</v>
      </c>
    </row>
    <row r="743" spans="1:11" ht="14.1" customHeight="1" x14ac:dyDescent="0.25">
      <c r="A743" s="81">
        <v>64</v>
      </c>
      <c r="B743" s="699" t="s">
        <v>713</v>
      </c>
      <c r="C743" s="700"/>
      <c r="D743" s="137" t="s">
        <v>2147</v>
      </c>
      <c r="E743" s="138"/>
      <c r="F743" s="139"/>
      <c r="G743" s="139"/>
      <c r="H743" s="140"/>
      <c r="I743" s="141"/>
      <c r="J743" s="142"/>
      <c r="K743" s="143"/>
    </row>
    <row r="744" spans="1:11" ht="13.2" customHeight="1" x14ac:dyDescent="0.25">
      <c r="A744" s="2"/>
      <c r="B744" s="20" t="s">
        <v>4</v>
      </c>
      <c r="C744" s="21" t="s">
        <v>1295</v>
      </c>
      <c r="D744" s="14"/>
      <c r="E744" s="22"/>
      <c r="F744" s="23"/>
      <c r="G744" s="23"/>
      <c r="H744" s="24" t="s">
        <v>235</v>
      </c>
      <c r="I744" s="45">
        <v>5</v>
      </c>
      <c r="J744" s="25">
        <f>J732</f>
        <v>659600</v>
      </c>
      <c r="K744" s="26">
        <f>I744*J744</f>
        <v>3298000</v>
      </c>
    </row>
    <row r="745" spans="1:11" ht="13.2" customHeight="1" x14ac:dyDescent="0.25">
      <c r="A745" s="2"/>
      <c r="B745" s="20" t="s">
        <v>30</v>
      </c>
      <c r="C745" s="21" t="s">
        <v>1301</v>
      </c>
      <c r="D745" s="14"/>
      <c r="E745" s="22"/>
      <c r="F745" s="23"/>
      <c r="G745" s="23"/>
      <c r="H745" s="24" t="s">
        <v>203</v>
      </c>
      <c r="I745" s="45">
        <v>1</v>
      </c>
      <c r="J745" s="25">
        <f>'Harga Satuan Dasar mat'!G20</f>
        <v>85000</v>
      </c>
      <c r="K745" s="26">
        <f t="shared" ref="K745:K750" si="97">I745*J745</f>
        <v>85000</v>
      </c>
    </row>
    <row r="746" spans="1:11" ht="13.2" customHeight="1" x14ac:dyDescent="0.25">
      <c r="A746" s="2"/>
      <c r="B746" s="20" t="s">
        <v>57</v>
      </c>
      <c r="C746" s="21" t="s">
        <v>1296</v>
      </c>
      <c r="D746" s="14"/>
      <c r="E746" s="22"/>
      <c r="F746" s="23"/>
      <c r="G746" s="23"/>
      <c r="H746" s="24" t="s">
        <v>203</v>
      </c>
      <c r="I746" s="45">
        <v>2</v>
      </c>
      <c r="J746" s="25">
        <f t="shared" ref="J746:J750" si="98">J734</f>
        <v>50000</v>
      </c>
      <c r="K746" s="26">
        <f t="shared" si="97"/>
        <v>100000</v>
      </c>
    </row>
    <row r="747" spans="1:11" ht="13.2" customHeight="1" x14ac:dyDescent="0.25">
      <c r="A747" s="2"/>
      <c r="B747" s="20" t="s">
        <v>83</v>
      </c>
      <c r="C747" s="21" t="s">
        <v>1311</v>
      </c>
      <c r="D747" s="14"/>
      <c r="E747" s="22"/>
      <c r="F747" s="23"/>
      <c r="G747" s="23"/>
      <c r="H747" s="24" t="s">
        <v>203</v>
      </c>
      <c r="I747" s="45">
        <v>2</v>
      </c>
      <c r="J747" s="25">
        <f>'Harga Satuan Dasar mat'!G494</f>
        <v>154000</v>
      </c>
      <c r="K747" s="26">
        <f t="shared" si="97"/>
        <v>308000</v>
      </c>
    </row>
    <row r="748" spans="1:11" ht="13.2" customHeight="1" x14ac:dyDescent="0.25">
      <c r="A748" s="2"/>
      <c r="B748" s="20" t="s">
        <v>110</v>
      </c>
      <c r="C748" s="21" t="s">
        <v>1312</v>
      </c>
      <c r="D748" s="14"/>
      <c r="E748" s="22"/>
      <c r="F748" s="23"/>
      <c r="G748" s="23"/>
      <c r="H748" s="24" t="s">
        <v>203</v>
      </c>
      <c r="I748" s="45">
        <v>2</v>
      </c>
      <c r="J748" s="25">
        <f>J747</f>
        <v>154000</v>
      </c>
      <c r="K748" s="26">
        <f t="shared" si="97"/>
        <v>308000</v>
      </c>
    </row>
    <row r="749" spans="1:11" ht="13.2" customHeight="1" x14ac:dyDescent="0.25">
      <c r="A749" s="2"/>
      <c r="B749" s="20" t="s">
        <v>137</v>
      </c>
      <c r="C749" s="21" t="s">
        <v>1297</v>
      </c>
      <c r="D749" s="14"/>
      <c r="E749" s="22"/>
      <c r="F749" s="23"/>
      <c r="G749" s="23"/>
      <c r="H749" s="24" t="s">
        <v>203</v>
      </c>
      <c r="I749" s="45">
        <v>12</v>
      </c>
      <c r="J749" s="25">
        <f t="shared" si="98"/>
        <v>17000</v>
      </c>
      <c r="K749" s="26">
        <f t="shared" si="97"/>
        <v>204000</v>
      </c>
    </row>
    <row r="750" spans="1:11" ht="13.2" customHeight="1" x14ac:dyDescent="0.25">
      <c r="A750" s="2"/>
      <c r="B750" s="20" t="s">
        <v>156</v>
      </c>
      <c r="C750" s="21" t="s">
        <v>1298</v>
      </c>
      <c r="D750" s="14"/>
      <c r="E750" s="22"/>
      <c r="F750" s="23"/>
      <c r="G750" s="23"/>
      <c r="H750" s="24" t="s">
        <v>203</v>
      </c>
      <c r="I750" s="45">
        <v>12</v>
      </c>
      <c r="J750" s="25">
        <f t="shared" si="98"/>
        <v>14000</v>
      </c>
      <c r="K750" s="26">
        <f t="shared" si="97"/>
        <v>168000</v>
      </c>
    </row>
    <row r="751" spans="1:11" ht="12.9" customHeight="1" x14ac:dyDescent="0.25">
      <c r="A751" s="6"/>
      <c r="B751" s="7"/>
      <c r="C751" s="8"/>
      <c r="D751" s="8"/>
      <c r="E751" s="8"/>
      <c r="F751" s="8"/>
      <c r="G751" s="9"/>
      <c r="H751" s="10" t="s">
        <v>715</v>
      </c>
      <c r="I751" s="11"/>
      <c r="J751" s="11"/>
      <c r="K751" s="27">
        <f>SUM(K744:K750)</f>
        <v>4471000</v>
      </c>
    </row>
    <row r="752" spans="1:11" ht="12.9" customHeight="1" x14ac:dyDescent="0.25">
      <c r="A752" s="6"/>
      <c r="B752" s="5"/>
      <c r="C752" s="3"/>
      <c r="D752" s="3"/>
      <c r="E752" s="3"/>
      <c r="F752" s="3"/>
      <c r="G752" s="4"/>
      <c r="H752" s="12" t="s">
        <v>603</v>
      </c>
      <c r="I752" s="28">
        <f>$K$3</f>
        <v>0.15</v>
      </c>
      <c r="J752" s="38"/>
      <c r="K752" s="29">
        <f>I752*K751</f>
        <v>670650</v>
      </c>
    </row>
    <row r="753" spans="1:11" ht="12.9" customHeight="1" x14ac:dyDescent="0.25">
      <c r="A753" s="6"/>
      <c r="B753" s="5"/>
      <c r="C753" s="3"/>
      <c r="D753" s="3"/>
      <c r="E753" s="3"/>
      <c r="F753" s="3"/>
      <c r="G753" s="4"/>
      <c r="H753" s="12" t="s">
        <v>604</v>
      </c>
      <c r="I753" s="14"/>
      <c r="J753" s="14"/>
      <c r="K753" s="29">
        <f>SUM(K751:K752)</f>
        <v>5141650</v>
      </c>
    </row>
    <row r="754" spans="1:11" ht="12.9" customHeight="1" thickBot="1" x14ac:dyDescent="0.3">
      <c r="A754" s="15"/>
      <c r="B754" s="16"/>
      <c r="C754" s="17"/>
      <c r="D754" s="17"/>
      <c r="E754" s="17"/>
      <c r="F754" s="17"/>
      <c r="G754" s="18"/>
      <c r="H754" s="46" t="s">
        <v>605</v>
      </c>
      <c r="I754" s="47"/>
      <c r="J754" s="47"/>
      <c r="K754" s="144">
        <f>ROUND(K753,-1)</f>
        <v>5141650</v>
      </c>
    </row>
    <row r="755" spans="1:11" ht="14.1" customHeight="1" x14ac:dyDescent="0.25">
      <c r="A755" s="81">
        <v>65</v>
      </c>
      <c r="B755" s="699" t="s">
        <v>713</v>
      </c>
      <c r="C755" s="700"/>
      <c r="D755" s="137" t="s">
        <v>2146</v>
      </c>
      <c r="E755" s="138"/>
      <c r="F755" s="139"/>
      <c r="G755" s="139"/>
      <c r="H755" s="140"/>
      <c r="I755" s="141"/>
      <c r="J755" s="142"/>
      <c r="K755" s="143"/>
    </row>
    <row r="756" spans="1:11" ht="13.2" customHeight="1" x14ac:dyDescent="0.25">
      <c r="A756" s="2"/>
      <c r="B756" s="20" t="s">
        <v>4</v>
      </c>
      <c r="C756" s="21" t="s">
        <v>1295</v>
      </c>
      <c r="D756" s="14"/>
      <c r="E756" s="22"/>
      <c r="F756" s="23"/>
      <c r="G756" s="23"/>
      <c r="H756" s="24" t="s">
        <v>235</v>
      </c>
      <c r="I756" s="45">
        <v>5</v>
      </c>
      <c r="J756" s="25">
        <f>J744</f>
        <v>659600</v>
      </c>
      <c r="K756" s="26">
        <f>I756*J756</f>
        <v>3298000</v>
      </c>
    </row>
    <row r="757" spans="1:11" ht="13.2" customHeight="1" x14ac:dyDescent="0.25">
      <c r="A757" s="2"/>
      <c r="B757" s="20" t="s">
        <v>30</v>
      </c>
      <c r="C757" s="21" t="s">
        <v>1316</v>
      </c>
      <c r="D757" s="14"/>
      <c r="E757" s="22"/>
      <c r="F757" s="23"/>
      <c r="G757" s="23"/>
      <c r="H757" s="24" t="s">
        <v>203</v>
      </c>
      <c r="I757" s="45">
        <v>1</v>
      </c>
      <c r="J757" s="55">
        <f>J709</f>
        <v>105500</v>
      </c>
      <c r="K757" s="26">
        <f t="shared" ref="K757:K762" si="99">I757*J757</f>
        <v>105500</v>
      </c>
    </row>
    <row r="758" spans="1:11" ht="13.2" customHeight="1" x14ac:dyDescent="0.25">
      <c r="A758" s="2"/>
      <c r="B758" s="20" t="s">
        <v>57</v>
      </c>
      <c r="C758" s="21" t="s">
        <v>1296</v>
      </c>
      <c r="D758" s="14"/>
      <c r="E758" s="22"/>
      <c r="F758" s="23"/>
      <c r="G758" s="23"/>
      <c r="H758" s="24" t="s">
        <v>203</v>
      </c>
      <c r="I758" s="45">
        <v>2</v>
      </c>
      <c r="J758" s="25">
        <f>J746</f>
        <v>50000</v>
      </c>
      <c r="K758" s="26">
        <f t="shared" si="99"/>
        <v>100000</v>
      </c>
    </row>
    <row r="759" spans="1:11" ht="13.2" customHeight="1" x14ac:dyDescent="0.25">
      <c r="A759" s="2"/>
      <c r="B759" s="20" t="s">
        <v>83</v>
      </c>
      <c r="C759" s="21" t="s">
        <v>1323</v>
      </c>
      <c r="D759" s="14"/>
      <c r="E759" s="22"/>
      <c r="F759" s="23"/>
      <c r="G759" s="23"/>
      <c r="H759" s="24" t="s">
        <v>203</v>
      </c>
      <c r="I759" s="45">
        <v>2</v>
      </c>
      <c r="J759" s="55">
        <f>'Harga Satuan Dasar mat'!G511</f>
        <v>263185</v>
      </c>
      <c r="K759" s="26">
        <f t="shared" si="99"/>
        <v>526370</v>
      </c>
    </row>
    <row r="760" spans="1:11" ht="13.2" customHeight="1" x14ac:dyDescent="0.25">
      <c r="A760" s="2"/>
      <c r="B760" s="20" t="s">
        <v>110</v>
      </c>
      <c r="C760" s="21" t="s">
        <v>1324</v>
      </c>
      <c r="D760" s="14"/>
      <c r="E760" s="22"/>
      <c r="F760" s="23"/>
      <c r="G760" s="23"/>
      <c r="H760" s="24" t="s">
        <v>203</v>
      </c>
      <c r="I760" s="45">
        <v>2</v>
      </c>
      <c r="J760" s="55">
        <f>'Harga Satuan Dasar mat'!G512</f>
        <v>274877.5</v>
      </c>
      <c r="K760" s="26">
        <f t="shared" si="99"/>
        <v>549755</v>
      </c>
    </row>
    <row r="761" spans="1:11" ht="13.2" customHeight="1" x14ac:dyDescent="0.25">
      <c r="A761" s="2"/>
      <c r="B761" s="20" t="s">
        <v>137</v>
      </c>
      <c r="C761" s="21" t="s">
        <v>1297</v>
      </c>
      <c r="D761" s="14"/>
      <c r="E761" s="22"/>
      <c r="F761" s="23"/>
      <c r="G761" s="23"/>
      <c r="H761" s="24" t="s">
        <v>203</v>
      </c>
      <c r="I761" s="45">
        <v>12</v>
      </c>
      <c r="J761" s="25">
        <f>J749</f>
        <v>17000</v>
      </c>
      <c r="K761" s="26">
        <f t="shared" si="99"/>
        <v>204000</v>
      </c>
    </row>
    <row r="762" spans="1:11" ht="13.2" customHeight="1" x14ac:dyDescent="0.25">
      <c r="A762" s="2"/>
      <c r="B762" s="20" t="s">
        <v>156</v>
      </c>
      <c r="C762" s="21" t="s">
        <v>1298</v>
      </c>
      <c r="D762" s="14"/>
      <c r="E762" s="22"/>
      <c r="F762" s="23"/>
      <c r="G762" s="23"/>
      <c r="H762" s="24" t="s">
        <v>203</v>
      </c>
      <c r="I762" s="45">
        <v>12</v>
      </c>
      <c r="J762" s="25">
        <f>J750</f>
        <v>14000</v>
      </c>
      <c r="K762" s="26">
        <f t="shared" si="99"/>
        <v>168000</v>
      </c>
    </row>
    <row r="763" spans="1:11" ht="12.9" customHeight="1" x14ac:dyDescent="0.25">
      <c r="A763" s="6"/>
      <c r="B763" s="7"/>
      <c r="C763" s="8"/>
      <c r="D763" s="8"/>
      <c r="E763" s="8"/>
      <c r="F763" s="8"/>
      <c r="G763" s="9"/>
      <c r="H763" s="10" t="s">
        <v>715</v>
      </c>
      <c r="I763" s="11"/>
      <c r="J763" s="11"/>
      <c r="K763" s="27">
        <f>SUM(K756:K762)</f>
        <v>4951625</v>
      </c>
    </row>
    <row r="764" spans="1:11" ht="12.9" customHeight="1" x14ac:dyDescent="0.25">
      <c r="A764" s="6"/>
      <c r="B764" s="5"/>
      <c r="C764" s="3"/>
      <c r="D764" s="3"/>
      <c r="E764" s="3"/>
      <c r="F764" s="3"/>
      <c r="G764" s="4"/>
      <c r="H764" s="12" t="s">
        <v>603</v>
      </c>
      <c r="I764" s="28">
        <f>$K$3</f>
        <v>0.15</v>
      </c>
      <c r="J764" s="38"/>
      <c r="K764" s="29">
        <f>I764*K763</f>
        <v>742743.75</v>
      </c>
    </row>
    <row r="765" spans="1:11" ht="12.9" customHeight="1" x14ac:dyDescent="0.25">
      <c r="A765" s="6"/>
      <c r="B765" s="5"/>
      <c r="C765" s="3"/>
      <c r="D765" s="3"/>
      <c r="E765" s="3"/>
      <c r="F765" s="3"/>
      <c r="G765" s="4"/>
      <c r="H765" s="12" t="s">
        <v>604</v>
      </c>
      <c r="I765" s="14"/>
      <c r="J765" s="14"/>
      <c r="K765" s="29">
        <f>SUM(K763:K764)</f>
        <v>5694368.75</v>
      </c>
    </row>
    <row r="766" spans="1:11" ht="12.9" customHeight="1" thickBot="1" x14ac:dyDescent="0.3">
      <c r="A766" s="15"/>
      <c r="B766" s="16"/>
      <c r="C766" s="17"/>
      <c r="D766" s="17"/>
      <c r="E766" s="17"/>
      <c r="F766" s="17"/>
      <c r="G766" s="18"/>
      <c r="H766" s="46" t="s">
        <v>605</v>
      </c>
      <c r="I766" s="47"/>
      <c r="J766" s="47"/>
      <c r="K766" s="144">
        <f>ROUND(K765,-1)</f>
        <v>5694370</v>
      </c>
    </row>
    <row r="767" spans="1:11" ht="14.1" customHeight="1" x14ac:dyDescent="0.25">
      <c r="A767" s="81">
        <v>66</v>
      </c>
      <c r="B767" s="699" t="s">
        <v>713</v>
      </c>
      <c r="C767" s="700"/>
      <c r="D767" s="137" t="s">
        <v>2145</v>
      </c>
      <c r="E767" s="138"/>
      <c r="F767" s="139"/>
      <c r="G767" s="139"/>
      <c r="H767" s="140"/>
      <c r="I767" s="141"/>
      <c r="J767" s="142"/>
      <c r="K767" s="143"/>
    </row>
    <row r="768" spans="1:11" ht="13.2" customHeight="1" x14ac:dyDescent="0.25">
      <c r="A768" s="2"/>
      <c r="B768" s="20" t="s">
        <v>4</v>
      </c>
      <c r="C768" s="21" t="s">
        <v>1295</v>
      </c>
      <c r="D768" s="14"/>
      <c r="E768" s="22"/>
      <c r="F768" s="23"/>
      <c r="G768" s="23"/>
      <c r="H768" s="24" t="s">
        <v>235</v>
      </c>
      <c r="I768" s="45">
        <v>5</v>
      </c>
      <c r="J768" s="25">
        <f>J756</f>
        <v>659600</v>
      </c>
      <c r="K768" s="26">
        <f>I768*J768</f>
        <v>3298000</v>
      </c>
    </row>
    <row r="769" spans="1:11" ht="13.2" customHeight="1" x14ac:dyDescent="0.25">
      <c r="A769" s="2"/>
      <c r="B769" s="20" t="s">
        <v>30</v>
      </c>
      <c r="C769" s="21" t="s">
        <v>1299</v>
      </c>
      <c r="D769" s="14"/>
      <c r="E769" s="22"/>
      <c r="F769" s="23"/>
      <c r="G769" s="23"/>
      <c r="H769" s="24" t="s">
        <v>203</v>
      </c>
      <c r="I769" s="45">
        <v>1</v>
      </c>
      <c r="J769" s="55">
        <f>J673</f>
        <v>115000</v>
      </c>
      <c r="K769" s="26">
        <f t="shared" ref="K769:K774" si="100">I769*J769</f>
        <v>115000</v>
      </c>
    </row>
    <row r="770" spans="1:11" ht="13.2" customHeight="1" x14ac:dyDescent="0.25">
      <c r="A770" s="2"/>
      <c r="B770" s="20" t="s">
        <v>57</v>
      </c>
      <c r="C770" s="21" t="s">
        <v>1296</v>
      </c>
      <c r="D770" s="14"/>
      <c r="E770" s="22"/>
      <c r="F770" s="23"/>
      <c r="G770" s="23"/>
      <c r="H770" s="24" t="s">
        <v>203</v>
      </c>
      <c r="I770" s="45">
        <v>2</v>
      </c>
      <c r="J770" s="25">
        <f>J674</f>
        <v>50000</v>
      </c>
      <c r="K770" s="26">
        <f t="shared" si="100"/>
        <v>100000</v>
      </c>
    </row>
    <row r="771" spans="1:11" ht="13.2" customHeight="1" x14ac:dyDescent="0.25">
      <c r="A771" s="2"/>
      <c r="B771" s="20" t="s">
        <v>83</v>
      </c>
      <c r="C771" s="21" t="s">
        <v>1321</v>
      </c>
      <c r="D771" s="14"/>
      <c r="E771" s="22"/>
      <c r="F771" s="23"/>
      <c r="G771" s="23"/>
      <c r="H771" s="24" t="s">
        <v>203</v>
      </c>
      <c r="I771" s="45">
        <v>2</v>
      </c>
      <c r="J771" s="55">
        <f>J760</f>
        <v>274877.5</v>
      </c>
      <c r="K771" s="26">
        <f t="shared" si="100"/>
        <v>549755</v>
      </c>
    </row>
    <row r="772" spans="1:11" ht="13.2" customHeight="1" x14ac:dyDescent="0.25">
      <c r="A772" s="2"/>
      <c r="B772" s="20" t="s">
        <v>110</v>
      </c>
      <c r="C772" s="21" t="s">
        <v>1322</v>
      </c>
      <c r="D772" s="14"/>
      <c r="E772" s="22"/>
      <c r="F772" s="23"/>
      <c r="G772" s="23"/>
      <c r="H772" s="24" t="s">
        <v>203</v>
      </c>
      <c r="I772" s="45">
        <v>2</v>
      </c>
      <c r="J772" s="55">
        <f>J760</f>
        <v>274877.5</v>
      </c>
      <c r="K772" s="26">
        <f t="shared" si="100"/>
        <v>549755</v>
      </c>
    </row>
    <row r="773" spans="1:11" ht="13.2" customHeight="1" x14ac:dyDescent="0.25">
      <c r="A773" s="2"/>
      <c r="B773" s="20" t="s">
        <v>137</v>
      </c>
      <c r="C773" s="21" t="s">
        <v>1297</v>
      </c>
      <c r="D773" s="14"/>
      <c r="E773" s="22"/>
      <c r="F773" s="23"/>
      <c r="G773" s="23"/>
      <c r="H773" s="24" t="s">
        <v>203</v>
      </c>
      <c r="I773" s="45">
        <v>12</v>
      </c>
      <c r="J773" s="25">
        <f>J677</f>
        <v>17000</v>
      </c>
      <c r="K773" s="26">
        <f t="shared" si="100"/>
        <v>204000</v>
      </c>
    </row>
    <row r="774" spans="1:11" ht="13.2" customHeight="1" x14ac:dyDescent="0.25">
      <c r="A774" s="2"/>
      <c r="B774" s="20" t="s">
        <v>156</v>
      </c>
      <c r="C774" s="21" t="s">
        <v>1298</v>
      </c>
      <c r="D774" s="14"/>
      <c r="E774" s="22"/>
      <c r="F774" s="23"/>
      <c r="G774" s="23"/>
      <c r="H774" s="24" t="s">
        <v>203</v>
      </c>
      <c r="I774" s="45">
        <v>12</v>
      </c>
      <c r="J774" s="25">
        <f>J678</f>
        <v>14000</v>
      </c>
      <c r="K774" s="26">
        <f t="shared" si="100"/>
        <v>168000</v>
      </c>
    </row>
    <row r="775" spans="1:11" ht="12.9" customHeight="1" x14ac:dyDescent="0.25">
      <c r="A775" s="6"/>
      <c r="B775" s="7"/>
      <c r="C775" s="8"/>
      <c r="D775" s="8"/>
      <c r="E775" s="8"/>
      <c r="F775" s="8"/>
      <c r="G775" s="9"/>
      <c r="H775" s="10" t="s">
        <v>715</v>
      </c>
      <c r="I775" s="11"/>
      <c r="J775" s="11"/>
      <c r="K775" s="27">
        <f>SUM(K768:K774)</f>
        <v>4984510</v>
      </c>
    </row>
    <row r="776" spans="1:11" ht="12.9" customHeight="1" x14ac:dyDescent="0.25">
      <c r="A776" s="6"/>
      <c r="B776" s="5"/>
      <c r="C776" s="3"/>
      <c r="D776" s="3"/>
      <c r="E776" s="3"/>
      <c r="F776" s="3"/>
      <c r="G776" s="4"/>
      <c r="H776" s="12" t="s">
        <v>603</v>
      </c>
      <c r="I776" s="28">
        <f>$K$3</f>
        <v>0.15</v>
      </c>
      <c r="J776" s="38"/>
      <c r="K776" s="29">
        <f>I776*K775</f>
        <v>747676.5</v>
      </c>
    </row>
    <row r="777" spans="1:11" ht="12.9" customHeight="1" x14ac:dyDescent="0.25">
      <c r="A777" s="6"/>
      <c r="B777" s="5"/>
      <c r="C777" s="3"/>
      <c r="D777" s="3"/>
      <c r="E777" s="3"/>
      <c r="F777" s="3"/>
      <c r="G777" s="4"/>
      <c r="H777" s="12" t="s">
        <v>604</v>
      </c>
      <c r="I777" s="14"/>
      <c r="J777" s="14"/>
      <c r="K777" s="29">
        <f>SUM(K775:K776)</f>
        <v>5732186.5</v>
      </c>
    </row>
    <row r="778" spans="1:11" ht="12.9" customHeight="1" thickBot="1" x14ac:dyDescent="0.3">
      <c r="A778" s="15"/>
      <c r="B778" s="16"/>
      <c r="C778" s="17"/>
      <c r="D778" s="17"/>
      <c r="E778" s="17"/>
      <c r="F778" s="17"/>
      <c r="G778" s="18"/>
      <c r="H778" s="46" t="s">
        <v>605</v>
      </c>
      <c r="I778" s="47"/>
      <c r="J778" s="47"/>
      <c r="K778" s="144">
        <f>ROUND(K777,-1)</f>
        <v>5732190</v>
      </c>
    </row>
    <row r="779" spans="1:11" ht="14.1" customHeight="1" x14ac:dyDescent="0.25">
      <c r="A779" s="81">
        <v>67</v>
      </c>
      <c r="B779" s="699" t="s">
        <v>713</v>
      </c>
      <c r="C779" s="700"/>
      <c r="D779" s="137" t="s">
        <v>2144</v>
      </c>
      <c r="E779" s="138"/>
      <c r="F779" s="139"/>
      <c r="G779" s="139"/>
      <c r="H779" s="140"/>
      <c r="I779" s="141"/>
      <c r="J779" s="142"/>
      <c r="K779" s="143"/>
    </row>
    <row r="780" spans="1:11" ht="13.2" customHeight="1" x14ac:dyDescent="0.25">
      <c r="A780" s="2"/>
      <c r="B780" s="20" t="s">
        <v>4</v>
      </c>
      <c r="C780" s="21" t="s">
        <v>1295</v>
      </c>
      <c r="D780" s="14"/>
      <c r="E780" s="22"/>
      <c r="F780" s="23"/>
      <c r="G780" s="23"/>
      <c r="H780" s="24" t="s">
        <v>235</v>
      </c>
      <c r="I780" s="45">
        <v>5</v>
      </c>
      <c r="J780" s="25">
        <f>J768</f>
        <v>659600</v>
      </c>
      <c r="K780" s="26">
        <f>I780*J780</f>
        <v>3298000</v>
      </c>
    </row>
    <row r="781" spans="1:11" ht="13.2" customHeight="1" x14ac:dyDescent="0.25">
      <c r="A781" s="2"/>
      <c r="B781" s="20" t="s">
        <v>30</v>
      </c>
      <c r="C781" s="21" t="s">
        <v>1300</v>
      </c>
      <c r="D781" s="14"/>
      <c r="E781" s="22"/>
      <c r="F781" s="23"/>
      <c r="G781" s="23"/>
      <c r="H781" s="24" t="s">
        <v>203</v>
      </c>
      <c r="I781" s="45">
        <v>1</v>
      </c>
      <c r="J781" s="55">
        <f>J733</f>
        <v>95500</v>
      </c>
      <c r="K781" s="26">
        <f t="shared" ref="K781:K786" si="101">I781*J781</f>
        <v>95500</v>
      </c>
    </row>
    <row r="782" spans="1:11" ht="13.2" customHeight="1" x14ac:dyDescent="0.25">
      <c r="A782" s="2"/>
      <c r="B782" s="20" t="s">
        <v>57</v>
      </c>
      <c r="C782" s="21" t="s">
        <v>1296</v>
      </c>
      <c r="D782" s="14"/>
      <c r="E782" s="22"/>
      <c r="F782" s="23"/>
      <c r="G782" s="23"/>
      <c r="H782" s="24" t="s">
        <v>203</v>
      </c>
      <c r="I782" s="45">
        <v>2</v>
      </c>
      <c r="J782" s="25">
        <f>J734</f>
        <v>50000</v>
      </c>
      <c r="K782" s="26">
        <f t="shared" si="101"/>
        <v>100000</v>
      </c>
    </row>
    <row r="783" spans="1:11" ht="13.2" customHeight="1" x14ac:dyDescent="0.25">
      <c r="A783" s="2"/>
      <c r="B783" s="20" t="s">
        <v>83</v>
      </c>
      <c r="C783" s="21" t="s">
        <v>1319</v>
      </c>
      <c r="D783" s="14"/>
      <c r="E783" s="22"/>
      <c r="F783" s="23"/>
      <c r="G783" s="23"/>
      <c r="H783" s="24" t="s">
        <v>203</v>
      </c>
      <c r="I783" s="45">
        <v>2</v>
      </c>
      <c r="J783" s="55">
        <f>'Harga Satuan Dasar mat'!G513</f>
        <v>228107.5</v>
      </c>
      <c r="K783" s="26">
        <f t="shared" si="101"/>
        <v>456215</v>
      </c>
    </row>
    <row r="784" spans="1:11" ht="13.2" customHeight="1" x14ac:dyDescent="0.25">
      <c r="A784" s="2"/>
      <c r="B784" s="20" t="s">
        <v>110</v>
      </c>
      <c r="C784" s="21" t="s">
        <v>1320</v>
      </c>
      <c r="D784" s="14"/>
      <c r="E784" s="22"/>
      <c r="F784" s="23"/>
      <c r="G784" s="23"/>
      <c r="H784" s="24" t="s">
        <v>203</v>
      </c>
      <c r="I784" s="45">
        <v>2</v>
      </c>
      <c r="J784" s="25">
        <f>J783</f>
        <v>228107.5</v>
      </c>
      <c r="K784" s="26">
        <f t="shared" si="101"/>
        <v>456215</v>
      </c>
    </row>
    <row r="785" spans="1:11" ht="13.2" customHeight="1" x14ac:dyDescent="0.25">
      <c r="A785" s="2"/>
      <c r="B785" s="20" t="s">
        <v>137</v>
      </c>
      <c r="C785" s="21" t="s">
        <v>1297</v>
      </c>
      <c r="D785" s="14"/>
      <c r="E785" s="22"/>
      <c r="F785" s="23"/>
      <c r="G785" s="23"/>
      <c r="H785" s="24" t="s">
        <v>203</v>
      </c>
      <c r="I785" s="45">
        <v>12</v>
      </c>
      <c r="J785" s="25">
        <f>J737</f>
        <v>17000</v>
      </c>
      <c r="K785" s="26">
        <f t="shared" si="101"/>
        <v>204000</v>
      </c>
    </row>
    <row r="786" spans="1:11" ht="13.2" customHeight="1" x14ac:dyDescent="0.25">
      <c r="A786" s="2"/>
      <c r="B786" s="20" t="s">
        <v>156</v>
      </c>
      <c r="C786" s="21" t="s">
        <v>1298</v>
      </c>
      <c r="D786" s="14"/>
      <c r="E786" s="22"/>
      <c r="F786" s="23"/>
      <c r="G786" s="23"/>
      <c r="H786" s="24" t="s">
        <v>203</v>
      </c>
      <c r="I786" s="45">
        <v>12</v>
      </c>
      <c r="J786" s="25">
        <f>J738</f>
        <v>14000</v>
      </c>
      <c r="K786" s="26">
        <f t="shared" si="101"/>
        <v>168000</v>
      </c>
    </row>
    <row r="787" spans="1:11" ht="12.9" customHeight="1" x14ac:dyDescent="0.25">
      <c r="A787" s="6"/>
      <c r="B787" s="7"/>
      <c r="C787" s="8"/>
      <c r="D787" s="8"/>
      <c r="E787" s="8"/>
      <c r="F787" s="8"/>
      <c r="G787" s="9"/>
      <c r="H787" s="10" t="s">
        <v>715</v>
      </c>
      <c r="I787" s="11"/>
      <c r="J787" s="11"/>
      <c r="K787" s="27">
        <f>SUM(K780:K786)</f>
        <v>4777930</v>
      </c>
    </row>
    <row r="788" spans="1:11" ht="12.9" customHeight="1" x14ac:dyDescent="0.25">
      <c r="A788" s="6"/>
      <c r="B788" s="5"/>
      <c r="C788" s="3"/>
      <c r="D788" s="3"/>
      <c r="E788" s="3"/>
      <c r="F788" s="3"/>
      <c r="G788" s="4"/>
      <c r="H788" s="12" t="s">
        <v>603</v>
      </c>
      <c r="I788" s="28">
        <f>$K$3</f>
        <v>0.15</v>
      </c>
      <c r="J788" s="38"/>
      <c r="K788" s="29">
        <f>I788*K787</f>
        <v>716689.5</v>
      </c>
    </row>
    <row r="789" spans="1:11" ht="12.9" customHeight="1" x14ac:dyDescent="0.25">
      <c r="A789" s="6"/>
      <c r="B789" s="5"/>
      <c r="C789" s="3"/>
      <c r="D789" s="3"/>
      <c r="E789" s="3"/>
      <c r="F789" s="3"/>
      <c r="G789" s="4"/>
      <c r="H789" s="12" t="s">
        <v>604</v>
      </c>
      <c r="I789" s="14"/>
      <c r="J789" s="14"/>
      <c r="K789" s="29">
        <f>SUM(K787:K788)</f>
        <v>5494619.5</v>
      </c>
    </row>
    <row r="790" spans="1:11" ht="12.9" customHeight="1" thickBot="1" x14ac:dyDescent="0.3">
      <c r="A790" s="15"/>
      <c r="B790" s="16"/>
      <c r="C790" s="17"/>
      <c r="D790" s="17"/>
      <c r="E790" s="17"/>
      <c r="F790" s="17"/>
      <c r="G790" s="18"/>
      <c r="H790" s="46" t="s">
        <v>605</v>
      </c>
      <c r="I790" s="47"/>
      <c r="J790" s="47"/>
      <c r="K790" s="144">
        <f>ROUND(K789,-1)</f>
        <v>5494620</v>
      </c>
    </row>
    <row r="791" spans="1:11" ht="14.1" customHeight="1" x14ac:dyDescent="0.25">
      <c r="A791" s="81">
        <v>68</v>
      </c>
      <c r="B791" s="699" t="s">
        <v>713</v>
      </c>
      <c r="C791" s="700"/>
      <c r="D791" s="137" t="s">
        <v>2143</v>
      </c>
      <c r="E791" s="138"/>
      <c r="F791" s="139"/>
      <c r="G791" s="139"/>
      <c r="H791" s="140"/>
      <c r="I791" s="141"/>
      <c r="J791" s="142"/>
      <c r="K791" s="143"/>
    </row>
    <row r="792" spans="1:11" ht="13.2" customHeight="1" x14ac:dyDescent="0.25">
      <c r="A792" s="2"/>
      <c r="B792" s="20" t="s">
        <v>4</v>
      </c>
      <c r="C792" s="21" t="s">
        <v>1295</v>
      </c>
      <c r="D792" s="14"/>
      <c r="E792" s="22"/>
      <c r="F792" s="23"/>
      <c r="G792" s="23"/>
      <c r="H792" s="24" t="s">
        <v>235</v>
      </c>
      <c r="I792" s="45">
        <v>5</v>
      </c>
      <c r="J792" s="25">
        <f>J780</f>
        <v>659600</v>
      </c>
      <c r="K792" s="26">
        <f>I792*J792</f>
        <v>3298000</v>
      </c>
    </row>
    <row r="793" spans="1:11" ht="13.2" customHeight="1" x14ac:dyDescent="0.25">
      <c r="A793" s="2"/>
      <c r="B793" s="20" t="s">
        <v>30</v>
      </c>
      <c r="C793" s="21" t="s">
        <v>1301</v>
      </c>
      <c r="D793" s="14"/>
      <c r="E793" s="22"/>
      <c r="F793" s="23"/>
      <c r="G793" s="23"/>
      <c r="H793" s="24" t="s">
        <v>203</v>
      </c>
      <c r="I793" s="45">
        <v>1</v>
      </c>
      <c r="J793" s="55">
        <f>J745</f>
        <v>85000</v>
      </c>
      <c r="K793" s="26">
        <f t="shared" ref="K793:K798" si="102">I793*J793</f>
        <v>85000</v>
      </c>
    </row>
    <row r="794" spans="1:11" ht="13.2" customHeight="1" x14ac:dyDescent="0.25">
      <c r="A794" s="2"/>
      <c r="B794" s="20" t="s">
        <v>57</v>
      </c>
      <c r="C794" s="21" t="s">
        <v>1296</v>
      </c>
      <c r="D794" s="14"/>
      <c r="E794" s="22"/>
      <c r="F794" s="23"/>
      <c r="G794" s="23"/>
      <c r="H794" s="24" t="s">
        <v>203</v>
      </c>
      <c r="I794" s="45">
        <v>2</v>
      </c>
      <c r="J794" s="25">
        <f>J746</f>
        <v>50000</v>
      </c>
      <c r="K794" s="26">
        <f t="shared" si="102"/>
        <v>100000</v>
      </c>
    </row>
    <row r="795" spans="1:11" ht="13.2" customHeight="1" x14ac:dyDescent="0.25">
      <c r="A795" s="2"/>
      <c r="B795" s="20" t="s">
        <v>83</v>
      </c>
      <c r="C795" s="21" t="s">
        <v>1317</v>
      </c>
      <c r="D795" s="14"/>
      <c r="E795" s="22"/>
      <c r="F795" s="23"/>
      <c r="G795" s="23"/>
      <c r="H795" s="24" t="s">
        <v>203</v>
      </c>
      <c r="I795" s="45">
        <v>2</v>
      </c>
      <c r="J795" s="55">
        <f>'Harga Satuan Dasar mat'!G514</f>
        <v>204722.5</v>
      </c>
      <c r="K795" s="26">
        <f t="shared" si="102"/>
        <v>409445</v>
      </c>
    </row>
    <row r="796" spans="1:11" ht="13.2" customHeight="1" x14ac:dyDescent="0.25">
      <c r="A796" s="2"/>
      <c r="B796" s="20" t="s">
        <v>110</v>
      </c>
      <c r="C796" s="21" t="s">
        <v>1318</v>
      </c>
      <c r="D796" s="14"/>
      <c r="E796" s="22"/>
      <c r="F796" s="23"/>
      <c r="G796" s="23"/>
      <c r="H796" s="24" t="s">
        <v>203</v>
      </c>
      <c r="I796" s="45">
        <v>2</v>
      </c>
      <c r="J796" s="67">
        <f>J795</f>
        <v>204722.5</v>
      </c>
      <c r="K796" s="26">
        <f t="shared" si="102"/>
        <v>409445</v>
      </c>
    </row>
    <row r="797" spans="1:11" ht="13.2" customHeight="1" x14ac:dyDescent="0.25">
      <c r="A797" s="2"/>
      <c r="B797" s="20" t="s">
        <v>137</v>
      </c>
      <c r="C797" s="21" t="s">
        <v>1297</v>
      </c>
      <c r="D797" s="14"/>
      <c r="E797" s="22"/>
      <c r="F797" s="23"/>
      <c r="G797" s="23"/>
      <c r="H797" s="24" t="s">
        <v>203</v>
      </c>
      <c r="I797" s="45">
        <v>12</v>
      </c>
      <c r="J797" s="25">
        <f>J749</f>
        <v>17000</v>
      </c>
      <c r="K797" s="26">
        <f t="shared" si="102"/>
        <v>204000</v>
      </c>
    </row>
    <row r="798" spans="1:11" ht="13.2" customHeight="1" x14ac:dyDescent="0.25">
      <c r="A798" s="2"/>
      <c r="B798" s="20" t="s">
        <v>156</v>
      </c>
      <c r="C798" s="21" t="s">
        <v>1298</v>
      </c>
      <c r="D798" s="14"/>
      <c r="E798" s="22"/>
      <c r="F798" s="23"/>
      <c r="G798" s="23"/>
      <c r="H798" s="24" t="s">
        <v>203</v>
      </c>
      <c r="I798" s="45">
        <v>12</v>
      </c>
      <c r="J798" s="25">
        <f>J750</f>
        <v>14000</v>
      </c>
      <c r="K798" s="26">
        <f t="shared" si="102"/>
        <v>168000</v>
      </c>
    </row>
    <row r="799" spans="1:11" ht="12.9" customHeight="1" x14ac:dyDescent="0.25">
      <c r="A799" s="6"/>
      <c r="B799" s="7"/>
      <c r="C799" s="8"/>
      <c r="D799" s="8"/>
      <c r="E799" s="8"/>
      <c r="F799" s="8"/>
      <c r="G799" s="9"/>
      <c r="H799" s="10" t="s">
        <v>715</v>
      </c>
      <c r="I799" s="11"/>
      <c r="J799" s="11"/>
      <c r="K799" s="27">
        <f>SUM(K792:K798)</f>
        <v>4673890</v>
      </c>
    </row>
    <row r="800" spans="1:11" ht="12.9" customHeight="1" x14ac:dyDescent="0.25">
      <c r="A800" s="6"/>
      <c r="B800" s="5"/>
      <c r="C800" s="3"/>
      <c r="D800" s="3"/>
      <c r="E800" s="3"/>
      <c r="F800" s="3"/>
      <c r="G800" s="4"/>
      <c r="H800" s="12" t="s">
        <v>603</v>
      </c>
      <c r="I800" s="28">
        <f>$K$3</f>
        <v>0.15</v>
      </c>
      <c r="J800" s="38"/>
      <c r="K800" s="29">
        <f>I800*K799</f>
        <v>701083.5</v>
      </c>
    </row>
    <row r="801" spans="1:11" ht="12.9" customHeight="1" x14ac:dyDescent="0.25">
      <c r="A801" s="6"/>
      <c r="B801" s="5"/>
      <c r="C801" s="3"/>
      <c r="D801" s="3"/>
      <c r="E801" s="3"/>
      <c r="F801" s="3"/>
      <c r="G801" s="4"/>
      <c r="H801" s="12" t="s">
        <v>604</v>
      </c>
      <c r="I801" s="14"/>
      <c r="J801" s="14"/>
      <c r="K801" s="29">
        <f>SUM(K799:K800)</f>
        <v>5374973.5</v>
      </c>
    </row>
    <row r="802" spans="1:11" ht="12.9" customHeight="1" thickBot="1" x14ac:dyDescent="0.3">
      <c r="A802" s="15"/>
      <c r="B802" s="16"/>
      <c r="C802" s="17"/>
      <c r="D802" s="17"/>
      <c r="E802" s="17"/>
      <c r="F802" s="17"/>
      <c r="G802" s="18"/>
      <c r="H802" s="46" t="s">
        <v>605</v>
      </c>
      <c r="I802" s="47"/>
      <c r="J802" s="47"/>
      <c r="K802" s="144">
        <f>ROUND(K801,-1)</f>
        <v>5374970</v>
      </c>
    </row>
  </sheetData>
  <mergeCells count="77">
    <mergeCell ref="B791:C791"/>
    <mergeCell ref="B719:C719"/>
    <mergeCell ref="B731:C731"/>
    <mergeCell ref="B743:C743"/>
    <mergeCell ref="B755:C755"/>
    <mergeCell ref="B767:C767"/>
    <mergeCell ref="B779:C779"/>
    <mergeCell ref="B707:C707"/>
    <mergeCell ref="B540:C540"/>
    <mergeCell ref="B557:C557"/>
    <mergeCell ref="B574:C574"/>
    <mergeCell ref="B591:C591"/>
    <mergeCell ref="B608:C608"/>
    <mergeCell ref="B625:C625"/>
    <mergeCell ref="B642:C642"/>
    <mergeCell ref="B659:C659"/>
    <mergeCell ref="B671:C671"/>
    <mergeCell ref="B683:C683"/>
    <mergeCell ref="B695:C695"/>
    <mergeCell ref="B523:C523"/>
    <mergeCell ref="B388:C388"/>
    <mergeCell ref="B397:C397"/>
    <mergeCell ref="B406:C406"/>
    <mergeCell ref="B415:C415"/>
    <mergeCell ref="B425:C425"/>
    <mergeCell ref="B435:C435"/>
    <mergeCell ref="B445:C445"/>
    <mergeCell ref="B455:C455"/>
    <mergeCell ref="B472:C472"/>
    <mergeCell ref="B489:C489"/>
    <mergeCell ref="B506:C506"/>
    <mergeCell ref="B379:C379"/>
    <mergeCell ref="B270:C270"/>
    <mergeCell ref="B281:C281"/>
    <mergeCell ref="B292:C292"/>
    <mergeCell ref="B303:C303"/>
    <mergeCell ref="B312:C312"/>
    <mergeCell ref="B321:C321"/>
    <mergeCell ref="B330:C330"/>
    <mergeCell ref="B339:C339"/>
    <mergeCell ref="B349:C349"/>
    <mergeCell ref="B359:C359"/>
    <mergeCell ref="B369:C369"/>
    <mergeCell ref="B259:C259"/>
    <mergeCell ref="B138:C138"/>
    <mergeCell ref="B149:C149"/>
    <mergeCell ref="B160:C160"/>
    <mergeCell ref="B171:C171"/>
    <mergeCell ref="B182:C182"/>
    <mergeCell ref="B193:C193"/>
    <mergeCell ref="B204:C204"/>
    <mergeCell ref="B215:C215"/>
    <mergeCell ref="B226:C226"/>
    <mergeCell ref="B237:C237"/>
    <mergeCell ref="B248:C248"/>
    <mergeCell ref="B127:C127"/>
    <mergeCell ref="B15:C15"/>
    <mergeCell ref="B23:C23"/>
    <mergeCell ref="B31:C31"/>
    <mergeCell ref="B39:C39"/>
    <mergeCell ref="B50:C50"/>
    <mergeCell ref="B61:C61"/>
    <mergeCell ref="B72:C72"/>
    <mergeCell ref="B83:C83"/>
    <mergeCell ref="B94:C94"/>
    <mergeCell ref="B105:C105"/>
    <mergeCell ref="B116:C116"/>
    <mergeCell ref="B7:C7"/>
    <mergeCell ref="A1:K1"/>
    <mergeCell ref="A4:A6"/>
    <mergeCell ref="B4:G6"/>
    <mergeCell ref="H4:H6"/>
    <mergeCell ref="I4:I6"/>
    <mergeCell ref="J4:K4"/>
    <mergeCell ref="J5:J6"/>
    <mergeCell ref="K5:K6"/>
    <mergeCell ref="A2:K2"/>
  </mergeCells>
  <pageMargins left="0.47244094488188981" right="0.11811023622047245" top="0.35433070866141736" bottom="0.15748031496062992" header="0.31496062992125984" footer="0.31496062992125984"/>
  <pageSetup paperSize="9" scale="87" orientation="portrait" verticalDpi="0" r:id="rId1"/>
  <rowBreaks count="11" manualBreakCount="11">
    <brk id="60" max="16383" man="1"/>
    <brk id="126" max="16383" man="1"/>
    <brk id="192" max="16383" man="1"/>
    <brk id="258" max="16383" man="1"/>
    <brk id="396" max="16383" man="1"/>
    <brk id="454" max="16383" man="1"/>
    <brk id="522" max="16383" man="1"/>
    <brk id="590" max="16383" man="1"/>
    <brk id="658" max="16383" man="1"/>
    <brk id="718" max="16383" man="1"/>
    <brk id="77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AAD1-677C-4A21-A8CF-D1C2B410D491}">
  <sheetPr>
    <tabColor rgb="FFFFC000"/>
  </sheetPr>
  <dimension ref="A1:K154"/>
  <sheetViews>
    <sheetView topLeftCell="A136" zoomScaleNormal="100" zoomScaleSheetLayoutView="100" workbookViewId="0">
      <selection activeCell="K156" sqref="K156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0.0976562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1440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0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99" t="s">
        <v>713</v>
      </c>
      <c r="C7" s="700"/>
      <c r="D7" s="137" t="s">
        <v>2178</v>
      </c>
      <c r="E7" s="138"/>
      <c r="F7" s="139"/>
      <c r="G7" s="139"/>
      <c r="H7" s="140"/>
      <c r="I7" s="141"/>
      <c r="J7" s="142"/>
      <c r="K7" s="143"/>
    </row>
    <row r="8" spans="1:11" ht="12.75" customHeight="1" x14ac:dyDescent="0.25">
      <c r="A8" s="2"/>
      <c r="B8" s="20" t="s">
        <v>4</v>
      </c>
      <c r="C8" s="21" t="s">
        <v>1326</v>
      </c>
      <c r="D8" s="14"/>
      <c r="E8" s="22"/>
      <c r="F8" s="23"/>
      <c r="G8" s="23"/>
      <c r="H8" s="24" t="s">
        <v>235</v>
      </c>
      <c r="I8" s="45">
        <v>1</v>
      </c>
      <c r="J8" s="25">
        <f>'Harga Satuan Dasar mat'!G335</f>
        <v>1998000</v>
      </c>
      <c r="K8" s="26">
        <f t="shared" ref="K8:K13" si="0">I8*J8</f>
        <v>1998000</v>
      </c>
    </row>
    <row r="9" spans="1:11" ht="12.75" customHeight="1" x14ac:dyDescent="0.25">
      <c r="A9" s="2"/>
      <c r="B9" s="20" t="s">
        <v>30</v>
      </c>
      <c r="C9" s="21" t="s">
        <v>1335</v>
      </c>
      <c r="D9" s="14"/>
      <c r="E9" s="22"/>
      <c r="F9" s="23"/>
      <c r="G9" s="23"/>
      <c r="H9" s="24" t="s">
        <v>203</v>
      </c>
      <c r="I9" s="45">
        <v>1</v>
      </c>
      <c r="J9" s="25">
        <f>'Harga Satuan Dasar mat'!G481</f>
        <v>165000</v>
      </c>
      <c r="K9" s="26">
        <f t="shared" si="0"/>
        <v>165000</v>
      </c>
    </row>
    <row r="10" spans="1:11" ht="12.75" customHeight="1" x14ac:dyDescent="0.25">
      <c r="A10" s="2"/>
      <c r="B10" s="20" t="s">
        <v>57</v>
      </c>
      <c r="C10" s="21" t="s">
        <v>1327</v>
      </c>
      <c r="D10" s="14"/>
      <c r="E10" s="22"/>
      <c r="F10" s="23"/>
      <c r="G10" s="23"/>
      <c r="H10" s="24" t="s">
        <v>203</v>
      </c>
      <c r="I10" s="45">
        <v>1</v>
      </c>
      <c r="J10" s="25">
        <f>'Harga Satuan Dasar mat'!G486</f>
        <v>182000</v>
      </c>
      <c r="K10" s="26">
        <f t="shared" si="0"/>
        <v>182000</v>
      </c>
    </row>
    <row r="11" spans="1:11" ht="12.75" customHeight="1" x14ac:dyDescent="0.25">
      <c r="A11" s="2"/>
      <c r="B11" s="20" t="s">
        <v>83</v>
      </c>
      <c r="C11" s="21" t="s">
        <v>1328</v>
      </c>
      <c r="D11" s="14"/>
      <c r="E11" s="22"/>
      <c r="F11" s="23"/>
      <c r="G11" s="23"/>
      <c r="H11" s="24" t="s">
        <v>203</v>
      </c>
      <c r="I11" s="45">
        <v>1</v>
      </c>
      <c r="J11" s="25">
        <f>'Harga Satuan Dasar mat'!G488</f>
        <v>196000</v>
      </c>
      <c r="K11" s="26">
        <f t="shared" si="0"/>
        <v>196000</v>
      </c>
    </row>
    <row r="12" spans="1:11" ht="12.75" customHeight="1" x14ac:dyDescent="0.25">
      <c r="A12" s="2"/>
      <c r="B12" s="20" t="s">
        <v>110</v>
      </c>
      <c r="C12" s="21" t="s">
        <v>1329</v>
      </c>
      <c r="D12" s="14"/>
      <c r="E12" s="22"/>
      <c r="F12" s="23"/>
      <c r="G12" s="23"/>
      <c r="H12" s="24" t="s">
        <v>203</v>
      </c>
      <c r="I12" s="45">
        <v>1</v>
      </c>
      <c r="J12" s="25">
        <f>'Harga Satuan Dasar mat'!G491</f>
        <v>240000</v>
      </c>
      <c r="K12" s="26">
        <f t="shared" si="0"/>
        <v>240000</v>
      </c>
    </row>
    <row r="13" spans="1:11" ht="12.75" customHeight="1" x14ac:dyDescent="0.25">
      <c r="A13" s="2"/>
      <c r="B13" s="20" t="s">
        <v>137</v>
      </c>
      <c r="C13" s="21" t="s">
        <v>1325</v>
      </c>
      <c r="D13" s="14"/>
      <c r="E13" s="22"/>
      <c r="F13" s="23"/>
      <c r="G13" s="23"/>
      <c r="H13" s="24" t="s">
        <v>203</v>
      </c>
      <c r="I13" s="45">
        <v>12</v>
      </c>
      <c r="J13" s="25">
        <f>'Harga Satuan Dasar mat'!G251</f>
        <v>17000</v>
      </c>
      <c r="K13" s="26">
        <f t="shared" si="0"/>
        <v>204000</v>
      </c>
    </row>
    <row r="14" spans="1:11" ht="12.9" customHeight="1" x14ac:dyDescent="0.25">
      <c r="A14" s="6"/>
      <c r="B14" s="7"/>
      <c r="C14" s="8"/>
      <c r="D14" s="8"/>
      <c r="E14" s="8"/>
      <c r="F14" s="8"/>
      <c r="G14" s="9"/>
      <c r="H14" s="10" t="s">
        <v>715</v>
      </c>
      <c r="I14" s="11"/>
      <c r="J14" s="11"/>
      <c r="K14" s="27">
        <f>SUM(K8:K13)</f>
        <v>2985000</v>
      </c>
    </row>
    <row r="15" spans="1:11" ht="12.9" customHeight="1" x14ac:dyDescent="0.25">
      <c r="A15" s="6"/>
      <c r="B15" s="5"/>
      <c r="C15" s="3"/>
      <c r="D15" s="3"/>
      <c r="E15" s="3"/>
      <c r="F15" s="3"/>
      <c r="G15" s="4"/>
      <c r="H15" s="12" t="s">
        <v>603</v>
      </c>
      <c r="I15" s="28">
        <f>$K$3</f>
        <v>0.15</v>
      </c>
      <c r="J15" s="38"/>
      <c r="K15" s="29">
        <f>I15*K14</f>
        <v>447750</v>
      </c>
    </row>
    <row r="16" spans="1:11" ht="12.9" customHeight="1" x14ac:dyDescent="0.25">
      <c r="A16" s="6"/>
      <c r="B16" s="5"/>
      <c r="C16" s="3"/>
      <c r="D16" s="3"/>
      <c r="E16" s="3"/>
      <c r="F16" s="3"/>
      <c r="G16" s="4"/>
      <c r="H16" s="12" t="s">
        <v>604</v>
      </c>
      <c r="I16" s="14"/>
      <c r="J16" s="14"/>
      <c r="K16" s="29">
        <f>SUM(K14:K15)</f>
        <v>3432750</v>
      </c>
    </row>
    <row r="17" spans="1:11" ht="12.9" customHeight="1" thickBot="1" x14ac:dyDescent="0.3">
      <c r="A17" s="15"/>
      <c r="B17" s="16"/>
      <c r="C17" s="17"/>
      <c r="D17" s="17"/>
      <c r="E17" s="17"/>
      <c r="F17" s="17"/>
      <c r="G17" s="18"/>
      <c r="H17" s="46" t="s">
        <v>605</v>
      </c>
      <c r="I17" s="47"/>
      <c r="J17" s="47"/>
      <c r="K17" s="144">
        <f>ROUND(K16,-1)</f>
        <v>3432750</v>
      </c>
    </row>
    <row r="18" spans="1:11" ht="14.1" customHeight="1" x14ac:dyDescent="0.25">
      <c r="A18" s="81">
        <v>2</v>
      </c>
      <c r="B18" s="699" t="s">
        <v>713</v>
      </c>
      <c r="C18" s="700"/>
      <c r="D18" s="137" t="s">
        <v>2177</v>
      </c>
      <c r="E18" s="138"/>
      <c r="F18" s="139"/>
      <c r="G18" s="139"/>
      <c r="H18" s="140"/>
      <c r="I18" s="141"/>
      <c r="J18" s="142"/>
      <c r="K18" s="143"/>
    </row>
    <row r="19" spans="1:11" ht="12.75" customHeight="1" x14ac:dyDescent="0.25">
      <c r="A19" s="2"/>
      <c r="B19" s="20" t="s">
        <v>4</v>
      </c>
      <c r="C19" s="21" t="s">
        <v>1326</v>
      </c>
      <c r="D19" s="14"/>
      <c r="E19" s="22"/>
      <c r="F19" s="23"/>
      <c r="G19" s="23"/>
      <c r="H19" s="24" t="s">
        <v>235</v>
      </c>
      <c r="I19" s="45">
        <v>1</v>
      </c>
      <c r="J19" s="25">
        <f>J8</f>
        <v>1998000</v>
      </c>
      <c r="K19" s="26">
        <f t="shared" ref="K19:K24" si="1">I19*J19</f>
        <v>1998000</v>
      </c>
    </row>
    <row r="20" spans="1:11" ht="12.75" customHeight="1" x14ac:dyDescent="0.25">
      <c r="A20" s="2"/>
      <c r="B20" s="20" t="s">
        <v>30</v>
      </c>
      <c r="C20" s="21" t="s">
        <v>1337</v>
      </c>
      <c r="D20" s="14"/>
      <c r="E20" s="22"/>
      <c r="F20" s="23"/>
      <c r="G20" s="23"/>
      <c r="H20" s="24" t="s">
        <v>203</v>
      </c>
      <c r="I20" s="45">
        <v>1</v>
      </c>
      <c r="J20" s="25">
        <f>'Harga Satuan Dasar mat'!G482</f>
        <v>172000</v>
      </c>
      <c r="K20" s="26">
        <f t="shared" si="1"/>
        <v>172000</v>
      </c>
    </row>
    <row r="21" spans="1:11" ht="12.75" customHeight="1" x14ac:dyDescent="0.25">
      <c r="A21" s="2"/>
      <c r="B21" s="20" t="s">
        <v>57</v>
      </c>
      <c r="C21" s="21" t="s">
        <v>1327</v>
      </c>
      <c r="D21" s="14"/>
      <c r="E21" s="22"/>
      <c r="F21" s="23"/>
      <c r="G21" s="23"/>
      <c r="H21" s="24" t="s">
        <v>203</v>
      </c>
      <c r="I21" s="45">
        <v>1</v>
      </c>
      <c r="J21" s="25">
        <f>J10</f>
        <v>182000</v>
      </c>
      <c r="K21" s="26">
        <f t="shared" si="1"/>
        <v>182000</v>
      </c>
    </row>
    <row r="22" spans="1:11" ht="12.75" customHeight="1" x14ac:dyDescent="0.25">
      <c r="A22" s="2"/>
      <c r="B22" s="20" t="s">
        <v>83</v>
      </c>
      <c r="C22" s="21" t="s">
        <v>1331</v>
      </c>
      <c r="D22" s="14"/>
      <c r="E22" s="22"/>
      <c r="F22" s="23"/>
      <c r="G22" s="23"/>
      <c r="H22" s="24" t="s">
        <v>203</v>
      </c>
      <c r="I22" s="45">
        <v>1</v>
      </c>
      <c r="J22" s="25">
        <f>J21</f>
        <v>182000</v>
      </c>
      <c r="K22" s="26">
        <f t="shared" si="1"/>
        <v>182000</v>
      </c>
    </row>
    <row r="23" spans="1:11" ht="12.75" customHeight="1" x14ac:dyDescent="0.25">
      <c r="A23" s="2"/>
      <c r="B23" s="20" t="s">
        <v>110</v>
      </c>
      <c r="C23" s="21" t="s">
        <v>1330</v>
      </c>
      <c r="D23" s="14"/>
      <c r="E23" s="22"/>
      <c r="F23" s="23"/>
      <c r="G23" s="23"/>
      <c r="H23" s="24" t="s">
        <v>203</v>
      </c>
      <c r="I23" s="45">
        <v>1</v>
      </c>
      <c r="J23" s="25">
        <f>'Harga Satuan Dasar mat'!G490</f>
        <v>232000</v>
      </c>
      <c r="K23" s="26">
        <f t="shared" si="1"/>
        <v>232000</v>
      </c>
    </row>
    <row r="24" spans="1:11" ht="12.75" customHeight="1" x14ac:dyDescent="0.25">
      <c r="A24" s="2"/>
      <c r="B24" s="20" t="s">
        <v>137</v>
      </c>
      <c r="C24" s="21" t="s">
        <v>1325</v>
      </c>
      <c r="D24" s="14"/>
      <c r="E24" s="22"/>
      <c r="F24" s="23"/>
      <c r="G24" s="23"/>
      <c r="H24" s="24" t="s">
        <v>203</v>
      </c>
      <c r="I24" s="45">
        <v>12</v>
      </c>
      <c r="J24" s="25">
        <f>J13</f>
        <v>17000</v>
      </c>
      <c r="K24" s="26">
        <f t="shared" si="1"/>
        <v>204000</v>
      </c>
    </row>
    <row r="25" spans="1:11" ht="12.9" customHeight="1" x14ac:dyDescent="0.25">
      <c r="A25" s="6"/>
      <c r="B25" s="7"/>
      <c r="C25" s="8"/>
      <c r="D25" s="8"/>
      <c r="E25" s="8"/>
      <c r="F25" s="8"/>
      <c r="G25" s="9"/>
      <c r="H25" s="10" t="s">
        <v>715</v>
      </c>
      <c r="I25" s="11"/>
      <c r="J25" s="11"/>
      <c r="K25" s="27">
        <f>SUM(K19:K24)</f>
        <v>2970000</v>
      </c>
    </row>
    <row r="26" spans="1:11" ht="12.9" customHeight="1" x14ac:dyDescent="0.25">
      <c r="A26" s="6"/>
      <c r="B26" s="5"/>
      <c r="C26" s="3"/>
      <c r="D26" s="3"/>
      <c r="E26" s="3"/>
      <c r="F26" s="3"/>
      <c r="G26" s="4"/>
      <c r="H26" s="12" t="s">
        <v>603</v>
      </c>
      <c r="I26" s="28">
        <f>$K$3</f>
        <v>0.15</v>
      </c>
      <c r="J26" s="38"/>
      <c r="K26" s="29">
        <f>I26*K25</f>
        <v>445500</v>
      </c>
    </row>
    <row r="27" spans="1:11" ht="12.9" customHeight="1" x14ac:dyDescent="0.25">
      <c r="A27" s="6"/>
      <c r="B27" s="5"/>
      <c r="C27" s="3"/>
      <c r="D27" s="3"/>
      <c r="E27" s="3"/>
      <c r="F27" s="3"/>
      <c r="G27" s="4"/>
      <c r="H27" s="12" t="s">
        <v>604</v>
      </c>
      <c r="I27" s="14"/>
      <c r="J27" s="14"/>
      <c r="K27" s="29">
        <f>SUM(K25:K26)</f>
        <v>3415500</v>
      </c>
    </row>
    <row r="28" spans="1:11" ht="12.9" customHeight="1" thickBot="1" x14ac:dyDescent="0.3">
      <c r="A28" s="15"/>
      <c r="B28" s="16"/>
      <c r="C28" s="17"/>
      <c r="D28" s="17"/>
      <c r="E28" s="17"/>
      <c r="F28" s="17"/>
      <c r="G28" s="18"/>
      <c r="H28" s="46" t="s">
        <v>605</v>
      </c>
      <c r="I28" s="47"/>
      <c r="J28" s="47"/>
      <c r="K28" s="144">
        <f>ROUND(K27,-1)</f>
        <v>3415500</v>
      </c>
    </row>
    <row r="29" spans="1:11" ht="14.1" customHeight="1" x14ac:dyDescent="0.25">
      <c r="A29" s="81">
        <v>3</v>
      </c>
      <c r="B29" s="699" t="s">
        <v>713</v>
      </c>
      <c r="C29" s="700"/>
      <c r="D29" s="137" t="s">
        <v>2176</v>
      </c>
      <c r="E29" s="138"/>
      <c r="F29" s="139"/>
      <c r="G29" s="139"/>
      <c r="H29" s="140"/>
      <c r="I29" s="141"/>
      <c r="J29" s="142"/>
      <c r="K29" s="143"/>
    </row>
    <row r="30" spans="1:11" ht="12.75" customHeight="1" x14ac:dyDescent="0.25">
      <c r="A30" s="2"/>
      <c r="B30" s="20" t="s">
        <v>4</v>
      </c>
      <c r="C30" s="21" t="s">
        <v>1326</v>
      </c>
      <c r="D30" s="14"/>
      <c r="E30" s="22"/>
      <c r="F30" s="23"/>
      <c r="G30" s="23"/>
      <c r="H30" s="24" t="s">
        <v>235</v>
      </c>
      <c r="I30" s="45">
        <v>1</v>
      </c>
      <c r="J30" s="25">
        <f>J19</f>
        <v>1998000</v>
      </c>
      <c r="K30" s="26">
        <f t="shared" ref="K30:K35" si="2">I30*J30</f>
        <v>1998000</v>
      </c>
    </row>
    <row r="31" spans="1:11" ht="12.75" customHeight="1" x14ac:dyDescent="0.25">
      <c r="A31" s="2"/>
      <c r="B31" s="20" t="s">
        <v>30</v>
      </c>
      <c r="C31" s="21" t="s">
        <v>1336</v>
      </c>
      <c r="D31" s="14"/>
      <c r="E31" s="22"/>
      <c r="F31" s="23"/>
      <c r="G31" s="23"/>
      <c r="H31" s="24" t="s">
        <v>203</v>
      </c>
      <c r="I31" s="45">
        <v>1</v>
      </c>
      <c r="J31" s="25">
        <f>'Harga Satuan Dasar mat'!G478</f>
        <v>142000</v>
      </c>
      <c r="K31" s="26">
        <f t="shared" si="2"/>
        <v>142000</v>
      </c>
    </row>
    <row r="32" spans="1:11" ht="12.75" customHeight="1" x14ac:dyDescent="0.25">
      <c r="A32" s="2"/>
      <c r="B32" s="20" t="s">
        <v>57</v>
      </c>
      <c r="C32" s="21" t="s">
        <v>1334</v>
      </c>
      <c r="D32" s="14"/>
      <c r="E32" s="22"/>
      <c r="F32" s="23"/>
      <c r="G32" s="23"/>
      <c r="H32" s="24" t="s">
        <v>203</v>
      </c>
      <c r="I32" s="45">
        <v>1</v>
      </c>
      <c r="J32" s="25">
        <f>J20</f>
        <v>172000</v>
      </c>
      <c r="K32" s="26">
        <f t="shared" si="2"/>
        <v>172000</v>
      </c>
    </row>
    <row r="33" spans="1:11" ht="12.75" customHeight="1" x14ac:dyDescent="0.25">
      <c r="A33" s="2"/>
      <c r="B33" s="20" t="s">
        <v>83</v>
      </c>
      <c r="C33" s="21" t="s">
        <v>1333</v>
      </c>
      <c r="D33" s="14"/>
      <c r="E33" s="22"/>
      <c r="F33" s="23"/>
      <c r="G33" s="23"/>
      <c r="H33" s="24" t="s">
        <v>203</v>
      </c>
      <c r="I33" s="45">
        <v>1</v>
      </c>
      <c r="J33" s="25">
        <f>J32</f>
        <v>172000</v>
      </c>
      <c r="K33" s="26">
        <f t="shared" si="2"/>
        <v>172000</v>
      </c>
    </row>
    <row r="34" spans="1:11" ht="12.75" customHeight="1" x14ac:dyDescent="0.25">
      <c r="A34" s="2"/>
      <c r="B34" s="20" t="s">
        <v>110</v>
      </c>
      <c r="C34" s="21" t="s">
        <v>1332</v>
      </c>
      <c r="D34" s="14"/>
      <c r="E34" s="22"/>
      <c r="F34" s="23"/>
      <c r="G34" s="23"/>
      <c r="H34" s="24" t="s">
        <v>203</v>
      </c>
      <c r="I34" s="45">
        <v>1</v>
      </c>
      <c r="J34" s="25">
        <f>J21</f>
        <v>182000</v>
      </c>
      <c r="K34" s="26">
        <f t="shared" si="2"/>
        <v>182000</v>
      </c>
    </row>
    <row r="35" spans="1:11" ht="12.75" customHeight="1" x14ac:dyDescent="0.25">
      <c r="A35" s="2"/>
      <c r="B35" s="20" t="s">
        <v>137</v>
      </c>
      <c r="C35" s="21" t="s">
        <v>1325</v>
      </c>
      <c r="D35" s="14"/>
      <c r="E35" s="22"/>
      <c r="F35" s="23"/>
      <c r="G35" s="23"/>
      <c r="H35" s="24" t="s">
        <v>203</v>
      </c>
      <c r="I35" s="45">
        <v>12</v>
      </c>
      <c r="J35" s="25">
        <f>J24</f>
        <v>17000</v>
      </c>
      <c r="K35" s="26">
        <f t="shared" si="2"/>
        <v>204000</v>
      </c>
    </row>
    <row r="36" spans="1:11" ht="12.9" customHeight="1" x14ac:dyDescent="0.25">
      <c r="A36" s="6"/>
      <c r="B36" s="7"/>
      <c r="C36" s="8"/>
      <c r="D36" s="8"/>
      <c r="E36" s="8"/>
      <c r="F36" s="8"/>
      <c r="G36" s="9"/>
      <c r="H36" s="10" t="s">
        <v>715</v>
      </c>
      <c r="I36" s="11"/>
      <c r="J36" s="11"/>
      <c r="K36" s="27">
        <f>SUM(K30:K35)</f>
        <v>2870000</v>
      </c>
    </row>
    <row r="37" spans="1:11" ht="12.9" customHeight="1" x14ac:dyDescent="0.25">
      <c r="A37" s="6"/>
      <c r="B37" s="5"/>
      <c r="C37" s="3"/>
      <c r="D37" s="3"/>
      <c r="E37" s="3"/>
      <c r="F37" s="3"/>
      <c r="G37" s="4"/>
      <c r="H37" s="12" t="s">
        <v>603</v>
      </c>
      <c r="I37" s="28">
        <f>$K$3</f>
        <v>0.15</v>
      </c>
      <c r="J37" s="38"/>
      <c r="K37" s="29">
        <f>I37*K36</f>
        <v>430500</v>
      </c>
    </row>
    <row r="38" spans="1:11" ht="12.9" customHeight="1" x14ac:dyDescent="0.25">
      <c r="A38" s="6"/>
      <c r="B38" s="5"/>
      <c r="C38" s="3"/>
      <c r="D38" s="3"/>
      <c r="E38" s="3"/>
      <c r="F38" s="3"/>
      <c r="G38" s="4"/>
      <c r="H38" s="12" t="s">
        <v>604</v>
      </c>
      <c r="I38" s="14"/>
      <c r="J38" s="14"/>
      <c r="K38" s="29">
        <f>SUM(K36:K37)</f>
        <v>3300500</v>
      </c>
    </row>
    <row r="39" spans="1:11" ht="12.9" customHeight="1" thickBot="1" x14ac:dyDescent="0.3">
      <c r="A39" s="15"/>
      <c r="B39" s="16"/>
      <c r="C39" s="17"/>
      <c r="D39" s="17"/>
      <c r="E39" s="17"/>
      <c r="F39" s="17"/>
      <c r="G39" s="18"/>
      <c r="H39" s="46" t="s">
        <v>605</v>
      </c>
      <c r="I39" s="47"/>
      <c r="J39" s="47"/>
      <c r="K39" s="144">
        <f>ROUND(K38,-1)</f>
        <v>3300500</v>
      </c>
    </row>
    <row r="40" spans="1:11" ht="14.1" customHeight="1" x14ac:dyDescent="0.25">
      <c r="A40" s="81">
        <v>4</v>
      </c>
      <c r="B40" s="699" t="s">
        <v>713</v>
      </c>
      <c r="C40" s="700"/>
      <c r="D40" s="137" t="s">
        <v>2175</v>
      </c>
      <c r="E40" s="138"/>
      <c r="F40" s="139"/>
      <c r="G40" s="139"/>
      <c r="H40" s="140"/>
      <c r="I40" s="141"/>
      <c r="J40" s="142"/>
      <c r="K40" s="143"/>
    </row>
    <row r="41" spans="1:11" ht="13.2" customHeight="1" x14ac:dyDescent="0.25">
      <c r="A41" s="2"/>
      <c r="B41" s="20" t="s">
        <v>4</v>
      </c>
      <c r="C41" s="21" t="s">
        <v>1326</v>
      </c>
      <c r="D41" s="14"/>
      <c r="E41" s="22"/>
      <c r="F41" s="23"/>
      <c r="G41" s="23"/>
      <c r="H41" s="24" t="s">
        <v>235</v>
      </c>
      <c r="I41" s="45">
        <v>1</v>
      </c>
      <c r="J41" s="25">
        <f>J30</f>
        <v>1998000</v>
      </c>
      <c r="K41" s="26">
        <f t="shared" ref="K41:K46" si="3">I41*J41</f>
        <v>1998000</v>
      </c>
    </row>
    <row r="42" spans="1:11" ht="13.2" customHeight="1" x14ac:dyDescent="0.25">
      <c r="A42" s="2"/>
      <c r="B42" s="20" t="s">
        <v>30</v>
      </c>
      <c r="C42" s="21" t="s">
        <v>1341</v>
      </c>
      <c r="D42" s="14"/>
      <c r="E42" s="22"/>
      <c r="F42" s="23"/>
      <c r="G42" s="23"/>
      <c r="H42" s="24" t="s">
        <v>203</v>
      </c>
      <c r="I42" s="45">
        <v>1</v>
      </c>
      <c r="J42" s="25">
        <f>'Harga Satuan Dasar mat'!G476</f>
        <v>127000</v>
      </c>
      <c r="K42" s="26">
        <f t="shared" si="3"/>
        <v>127000</v>
      </c>
    </row>
    <row r="43" spans="1:11" ht="13.2" customHeight="1" x14ac:dyDescent="0.25">
      <c r="A43" s="2"/>
      <c r="B43" s="20" t="s">
        <v>57</v>
      </c>
      <c r="C43" s="21" t="s">
        <v>1340</v>
      </c>
      <c r="D43" s="14"/>
      <c r="E43" s="22"/>
      <c r="F43" s="23"/>
      <c r="G43" s="23"/>
      <c r="H43" s="24" t="s">
        <v>203</v>
      </c>
      <c r="I43" s="45">
        <v>1</v>
      </c>
      <c r="J43" s="25">
        <f>'Harga Satuan Dasar mat'!G480</f>
        <v>157000</v>
      </c>
      <c r="K43" s="26">
        <f t="shared" si="3"/>
        <v>157000</v>
      </c>
    </row>
    <row r="44" spans="1:11" ht="13.2" customHeight="1" x14ac:dyDescent="0.25">
      <c r="A44" s="2"/>
      <c r="B44" s="20" t="s">
        <v>83</v>
      </c>
      <c r="C44" s="21" t="s">
        <v>1339</v>
      </c>
      <c r="D44" s="14"/>
      <c r="E44" s="22"/>
      <c r="F44" s="23"/>
      <c r="G44" s="23"/>
      <c r="H44" s="24" t="s">
        <v>203</v>
      </c>
      <c r="I44" s="45">
        <v>1</v>
      </c>
      <c r="J44" s="25">
        <f>J43</f>
        <v>157000</v>
      </c>
      <c r="K44" s="26">
        <f t="shared" si="3"/>
        <v>157000</v>
      </c>
    </row>
    <row r="45" spans="1:11" ht="13.2" customHeight="1" x14ac:dyDescent="0.25">
      <c r="A45" s="2"/>
      <c r="B45" s="20" t="s">
        <v>110</v>
      </c>
      <c r="C45" s="21" t="s">
        <v>1338</v>
      </c>
      <c r="D45" s="14"/>
      <c r="E45" s="22"/>
      <c r="F45" s="23"/>
      <c r="G45" s="23"/>
      <c r="H45" s="24" t="s">
        <v>203</v>
      </c>
      <c r="I45" s="45">
        <v>1</v>
      </c>
      <c r="J45" s="25">
        <f>J32</f>
        <v>172000</v>
      </c>
      <c r="K45" s="26">
        <f t="shared" si="3"/>
        <v>172000</v>
      </c>
    </row>
    <row r="46" spans="1:11" ht="13.2" customHeight="1" x14ac:dyDescent="0.25">
      <c r="A46" s="2"/>
      <c r="B46" s="20" t="s">
        <v>137</v>
      </c>
      <c r="C46" s="21" t="s">
        <v>1325</v>
      </c>
      <c r="D46" s="14"/>
      <c r="E46" s="22"/>
      <c r="F46" s="23"/>
      <c r="G46" s="23"/>
      <c r="H46" s="24" t="s">
        <v>203</v>
      </c>
      <c r="I46" s="45">
        <v>12</v>
      </c>
      <c r="J46" s="25">
        <f>J35</f>
        <v>17000</v>
      </c>
      <c r="K46" s="26">
        <f t="shared" si="3"/>
        <v>204000</v>
      </c>
    </row>
    <row r="47" spans="1:11" ht="12.9" customHeight="1" x14ac:dyDescent="0.25">
      <c r="A47" s="6"/>
      <c r="B47" s="7"/>
      <c r="C47" s="8"/>
      <c r="D47" s="8"/>
      <c r="E47" s="8"/>
      <c r="F47" s="8"/>
      <c r="G47" s="9"/>
      <c r="H47" s="10" t="s">
        <v>715</v>
      </c>
      <c r="I47" s="11"/>
      <c r="J47" s="11"/>
      <c r="K47" s="27">
        <f>SUM(K41:K46)</f>
        <v>2815000</v>
      </c>
    </row>
    <row r="48" spans="1:11" ht="12.9" customHeight="1" x14ac:dyDescent="0.25">
      <c r="A48" s="6"/>
      <c r="B48" s="5"/>
      <c r="C48" s="3"/>
      <c r="D48" s="3"/>
      <c r="E48" s="3"/>
      <c r="F48" s="3"/>
      <c r="G48" s="4"/>
      <c r="H48" s="12" t="s">
        <v>603</v>
      </c>
      <c r="I48" s="28">
        <f>$K$3</f>
        <v>0.15</v>
      </c>
      <c r="J48" s="38"/>
      <c r="K48" s="29">
        <f>I48*K47</f>
        <v>422250</v>
      </c>
    </row>
    <row r="49" spans="1:11" ht="12.9" customHeight="1" x14ac:dyDescent="0.25">
      <c r="A49" s="6"/>
      <c r="B49" s="5"/>
      <c r="C49" s="3"/>
      <c r="D49" s="3"/>
      <c r="E49" s="3"/>
      <c r="F49" s="3"/>
      <c r="G49" s="4"/>
      <c r="H49" s="12" t="s">
        <v>604</v>
      </c>
      <c r="I49" s="14"/>
      <c r="J49" s="14"/>
      <c r="K49" s="29">
        <f>SUM(K47:K48)</f>
        <v>3237250</v>
      </c>
    </row>
    <row r="50" spans="1:11" ht="12.9" customHeight="1" thickBot="1" x14ac:dyDescent="0.3">
      <c r="A50" s="15"/>
      <c r="B50" s="16"/>
      <c r="C50" s="17"/>
      <c r="D50" s="17"/>
      <c r="E50" s="17"/>
      <c r="F50" s="17"/>
      <c r="G50" s="18"/>
      <c r="H50" s="46" t="s">
        <v>605</v>
      </c>
      <c r="I50" s="47"/>
      <c r="J50" s="47"/>
      <c r="K50" s="144">
        <f>ROUND(K49,-1)</f>
        <v>3237250</v>
      </c>
    </row>
    <row r="51" spans="1:11" ht="14.1" customHeight="1" x14ac:dyDescent="0.25">
      <c r="A51" s="81">
        <v>5</v>
      </c>
      <c r="B51" s="699" t="s">
        <v>713</v>
      </c>
      <c r="C51" s="700"/>
      <c r="D51" s="137" t="s">
        <v>2174</v>
      </c>
      <c r="E51" s="138"/>
      <c r="F51" s="139"/>
      <c r="G51" s="139"/>
      <c r="H51" s="140"/>
      <c r="I51" s="141"/>
      <c r="J51" s="142"/>
      <c r="K51" s="143"/>
    </row>
    <row r="52" spans="1:11" ht="13.2" customHeight="1" x14ac:dyDescent="0.25">
      <c r="A52" s="2"/>
      <c r="B52" s="20" t="s">
        <v>4</v>
      </c>
      <c r="C52" s="21" t="s">
        <v>1342</v>
      </c>
      <c r="D52" s="14"/>
      <c r="E52" s="22"/>
      <c r="F52" s="23"/>
      <c r="G52" s="23"/>
      <c r="H52" s="24" t="s">
        <v>235</v>
      </c>
      <c r="I52" s="45">
        <v>1</v>
      </c>
      <c r="J52" s="25">
        <f>'Harga Satuan Dasar mat'!G344</f>
        <v>2496150.0000000005</v>
      </c>
      <c r="K52" s="26">
        <f t="shared" ref="K52:K57" si="4">I52*J52</f>
        <v>2496150.0000000005</v>
      </c>
    </row>
    <row r="53" spans="1:11" ht="13.2" customHeight="1" x14ac:dyDescent="0.25">
      <c r="A53" s="2"/>
      <c r="B53" s="20" t="s">
        <v>30</v>
      </c>
      <c r="C53" s="21" t="s">
        <v>1343</v>
      </c>
      <c r="D53" s="14"/>
      <c r="E53" s="22"/>
      <c r="F53" s="23"/>
      <c r="G53" s="23"/>
      <c r="H53" s="24" t="s">
        <v>203</v>
      </c>
      <c r="I53" s="45">
        <v>1</v>
      </c>
      <c r="J53" s="25">
        <f>J9</f>
        <v>165000</v>
      </c>
      <c r="K53" s="26">
        <f t="shared" si="4"/>
        <v>165000</v>
      </c>
    </row>
    <row r="54" spans="1:11" ht="13.2" customHeight="1" x14ac:dyDescent="0.25">
      <c r="A54" s="2"/>
      <c r="B54" s="20" t="s">
        <v>57</v>
      </c>
      <c r="C54" s="21" t="s">
        <v>1344</v>
      </c>
      <c r="D54" s="14"/>
      <c r="E54" s="22"/>
      <c r="F54" s="23"/>
      <c r="G54" s="23"/>
      <c r="H54" s="24" t="s">
        <v>203</v>
      </c>
      <c r="I54" s="45">
        <v>1</v>
      </c>
      <c r="J54" s="25">
        <f>J10</f>
        <v>182000</v>
      </c>
      <c r="K54" s="26">
        <f t="shared" si="4"/>
        <v>182000</v>
      </c>
    </row>
    <row r="55" spans="1:11" ht="13.2" customHeight="1" x14ac:dyDescent="0.25">
      <c r="A55" s="2"/>
      <c r="B55" s="20" t="s">
        <v>83</v>
      </c>
      <c r="C55" s="21" t="s">
        <v>1345</v>
      </c>
      <c r="D55" s="14"/>
      <c r="E55" s="22"/>
      <c r="F55" s="23"/>
      <c r="G55" s="23"/>
      <c r="H55" s="24" t="s">
        <v>203</v>
      </c>
      <c r="I55" s="45">
        <v>1</v>
      </c>
      <c r="J55" s="25">
        <f>J11</f>
        <v>196000</v>
      </c>
      <c r="K55" s="26">
        <f t="shared" si="4"/>
        <v>196000</v>
      </c>
    </row>
    <row r="56" spans="1:11" ht="13.2" customHeight="1" x14ac:dyDescent="0.25">
      <c r="A56" s="2"/>
      <c r="B56" s="20" t="s">
        <v>110</v>
      </c>
      <c r="C56" s="21" t="s">
        <v>1346</v>
      </c>
      <c r="D56" s="14"/>
      <c r="E56" s="22"/>
      <c r="F56" s="23"/>
      <c r="G56" s="23"/>
      <c r="H56" s="24" t="s">
        <v>203</v>
      </c>
      <c r="I56" s="45">
        <v>1</v>
      </c>
      <c r="J56" s="25">
        <f>J12</f>
        <v>240000</v>
      </c>
      <c r="K56" s="26">
        <f t="shared" si="4"/>
        <v>240000</v>
      </c>
    </row>
    <row r="57" spans="1:11" ht="13.2" customHeight="1" x14ac:dyDescent="0.25">
      <c r="A57" s="2"/>
      <c r="B57" s="20" t="s">
        <v>137</v>
      </c>
      <c r="C57" s="21" t="s">
        <v>1325</v>
      </c>
      <c r="D57" s="14"/>
      <c r="E57" s="22"/>
      <c r="F57" s="23"/>
      <c r="G57" s="23"/>
      <c r="H57" s="24" t="s">
        <v>203</v>
      </c>
      <c r="I57" s="45">
        <v>12</v>
      </c>
      <c r="J57" s="25">
        <f>J13</f>
        <v>17000</v>
      </c>
      <c r="K57" s="26">
        <f t="shared" si="4"/>
        <v>204000</v>
      </c>
    </row>
    <row r="58" spans="1:11" ht="12.9" customHeight="1" x14ac:dyDescent="0.25">
      <c r="A58" s="6"/>
      <c r="B58" s="7"/>
      <c r="C58" s="8"/>
      <c r="D58" s="8"/>
      <c r="E58" s="8"/>
      <c r="F58" s="8"/>
      <c r="G58" s="9"/>
      <c r="H58" s="10" t="s">
        <v>715</v>
      </c>
      <c r="I58" s="11"/>
      <c r="J58" s="11"/>
      <c r="K58" s="27">
        <f>SUM(K52:K57)</f>
        <v>3483150.0000000005</v>
      </c>
    </row>
    <row r="59" spans="1:11" ht="12.9" customHeight="1" x14ac:dyDescent="0.25">
      <c r="A59" s="6"/>
      <c r="B59" s="5"/>
      <c r="C59" s="3"/>
      <c r="D59" s="3"/>
      <c r="E59" s="3"/>
      <c r="F59" s="3"/>
      <c r="G59" s="4"/>
      <c r="H59" s="12" t="s">
        <v>603</v>
      </c>
      <c r="I59" s="28">
        <f>$K$3</f>
        <v>0.15</v>
      </c>
      <c r="J59" s="38"/>
      <c r="K59" s="29">
        <f>I59*K58</f>
        <v>522472.50000000006</v>
      </c>
    </row>
    <row r="60" spans="1:11" ht="12.9" customHeight="1" x14ac:dyDescent="0.25">
      <c r="A60" s="6"/>
      <c r="B60" s="5"/>
      <c r="C60" s="3"/>
      <c r="D60" s="3"/>
      <c r="E60" s="3"/>
      <c r="F60" s="3"/>
      <c r="G60" s="4"/>
      <c r="H60" s="12" t="s">
        <v>604</v>
      </c>
      <c r="I60" s="14"/>
      <c r="J60" s="14"/>
      <c r="K60" s="29">
        <f>SUM(K58:K59)</f>
        <v>4005622.5000000005</v>
      </c>
    </row>
    <row r="61" spans="1:11" ht="12.9" customHeight="1" thickBot="1" x14ac:dyDescent="0.3">
      <c r="A61" s="15"/>
      <c r="B61" s="16"/>
      <c r="C61" s="17"/>
      <c r="D61" s="17"/>
      <c r="E61" s="17"/>
      <c r="F61" s="17"/>
      <c r="G61" s="18"/>
      <c r="H61" s="46" t="s">
        <v>605</v>
      </c>
      <c r="I61" s="47"/>
      <c r="J61" s="47"/>
      <c r="K61" s="144">
        <f>ROUND(K60,-1)</f>
        <v>4005620</v>
      </c>
    </row>
    <row r="62" spans="1:11" ht="14.1" customHeight="1" x14ac:dyDescent="0.25">
      <c r="A62" s="81">
        <v>6</v>
      </c>
      <c r="B62" s="699" t="s">
        <v>713</v>
      </c>
      <c r="C62" s="700"/>
      <c r="D62" s="137" t="s">
        <v>2173</v>
      </c>
      <c r="E62" s="138"/>
      <c r="F62" s="139"/>
      <c r="G62" s="139"/>
      <c r="H62" s="140"/>
      <c r="I62" s="141"/>
      <c r="J62" s="142"/>
      <c r="K62" s="143"/>
    </row>
    <row r="63" spans="1:11" ht="13.2" customHeight="1" x14ac:dyDescent="0.25">
      <c r="A63" s="2"/>
      <c r="B63" s="20" t="s">
        <v>4</v>
      </c>
      <c r="C63" s="21" t="s">
        <v>1342</v>
      </c>
      <c r="D63" s="14"/>
      <c r="E63" s="22"/>
      <c r="F63" s="23"/>
      <c r="G63" s="23"/>
      <c r="H63" s="24" t="s">
        <v>235</v>
      </c>
      <c r="I63" s="45">
        <v>1</v>
      </c>
      <c r="J63" s="25">
        <f>J52</f>
        <v>2496150.0000000005</v>
      </c>
      <c r="K63" s="26">
        <f t="shared" ref="K63:K68" si="5">I63*J63</f>
        <v>2496150.0000000005</v>
      </c>
    </row>
    <row r="64" spans="1:11" ht="13.2" customHeight="1" x14ac:dyDescent="0.25">
      <c r="A64" s="2"/>
      <c r="B64" s="20" t="s">
        <v>30</v>
      </c>
      <c r="C64" s="21" t="s">
        <v>1347</v>
      </c>
      <c r="D64" s="14"/>
      <c r="E64" s="22"/>
      <c r="F64" s="23"/>
      <c r="G64" s="23"/>
      <c r="H64" s="24" t="s">
        <v>203</v>
      </c>
      <c r="I64" s="45">
        <v>1</v>
      </c>
      <c r="J64" s="25">
        <f>J20</f>
        <v>172000</v>
      </c>
      <c r="K64" s="26">
        <f t="shared" si="5"/>
        <v>172000</v>
      </c>
    </row>
    <row r="65" spans="1:11" ht="13.2" customHeight="1" x14ac:dyDescent="0.25">
      <c r="A65" s="2"/>
      <c r="B65" s="20" t="s">
        <v>57</v>
      </c>
      <c r="C65" s="21" t="s">
        <v>1344</v>
      </c>
      <c r="D65" s="14"/>
      <c r="E65" s="22"/>
      <c r="F65" s="23"/>
      <c r="G65" s="23"/>
      <c r="H65" s="24" t="s">
        <v>203</v>
      </c>
      <c r="I65" s="45">
        <v>1</v>
      </c>
      <c r="J65" s="25">
        <f>J21</f>
        <v>182000</v>
      </c>
      <c r="K65" s="26">
        <f t="shared" si="5"/>
        <v>182000</v>
      </c>
    </row>
    <row r="66" spans="1:11" ht="13.2" customHeight="1" x14ac:dyDescent="0.25">
      <c r="A66" s="2"/>
      <c r="B66" s="20" t="s">
        <v>83</v>
      </c>
      <c r="C66" s="21" t="s">
        <v>1348</v>
      </c>
      <c r="D66" s="14"/>
      <c r="E66" s="22"/>
      <c r="F66" s="23"/>
      <c r="G66" s="23"/>
      <c r="H66" s="24" t="s">
        <v>203</v>
      </c>
      <c r="I66" s="45">
        <v>1</v>
      </c>
      <c r="J66" s="25">
        <f>J22</f>
        <v>182000</v>
      </c>
      <c r="K66" s="26">
        <f t="shared" si="5"/>
        <v>182000</v>
      </c>
    </row>
    <row r="67" spans="1:11" ht="13.2" customHeight="1" x14ac:dyDescent="0.25">
      <c r="A67" s="2"/>
      <c r="B67" s="20" t="s">
        <v>110</v>
      </c>
      <c r="C67" s="21" t="s">
        <v>1349</v>
      </c>
      <c r="D67" s="14"/>
      <c r="E67" s="22"/>
      <c r="F67" s="23"/>
      <c r="G67" s="23"/>
      <c r="H67" s="24" t="s">
        <v>203</v>
      </c>
      <c r="I67" s="45">
        <v>1</v>
      </c>
      <c r="J67" s="25">
        <f>J23</f>
        <v>232000</v>
      </c>
      <c r="K67" s="26">
        <f t="shared" si="5"/>
        <v>232000</v>
      </c>
    </row>
    <row r="68" spans="1:11" ht="13.2" customHeight="1" x14ac:dyDescent="0.25">
      <c r="A68" s="2"/>
      <c r="B68" s="20" t="s">
        <v>137</v>
      </c>
      <c r="C68" s="21" t="s">
        <v>1325</v>
      </c>
      <c r="D68" s="14"/>
      <c r="E68" s="22"/>
      <c r="F68" s="23"/>
      <c r="G68" s="23"/>
      <c r="H68" s="24" t="s">
        <v>203</v>
      </c>
      <c r="I68" s="45">
        <v>12</v>
      </c>
      <c r="J68" s="25">
        <f>J24</f>
        <v>17000</v>
      </c>
      <c r="K68" s="26">
        <f t="shared" si="5"/>
        <v>204000</v>
      </c>
    </row>
    <row r="69" spans="1:11" ht="12.9" customHeight="1" x14ac:dyDescent="0.25">
      <c r="A69" s="6"/>
      <c r="B69" s="7"/>
      <c r="C69" s="8"/>
      <c r="D69" s="8"/>
      <c r="E69" s="8"/>
      <c r="F69" s="8"/>
      <c r="G69" s="9"/>
      <c r="H69" s="10" t="s">
        <v>715</v>
      </c>
      <c r="I69" s="11"/>
      <c r="J69" s="11"/>
      <c r="K69" s="27">
        <f>SUM(K63:K68)</f>
        <v>3468150.0000000005</v>
      </c>
    </row>
    <row r="70" spans="1:11" ht="12.9" customHeight="1" x14ac:dyDescent="0.25">
      <c r="A70" s="6"/>
      <c r="B70" s="5"/>
      <c r="C70" s="3"/>
      <c r="D70" s="3"/>
      <c r="E70" s="3"/>
      <c r="F70" s="3"/>
      <c r="G70" s="4"/>
      <c r="H70" s="12" t="s">
        <v>603</v>
      </c>
      <c r="I70" s="28">
        <f>$K$3</f>
        <v>0.15</v>
      </c>
      <c r="J70" s="38"/>
      <c r="K70" s="29">
        <f>I70*K69</f>
        <v>520222.50000000006</v>
      </c>
    </row>
    <row r="71" spans="1:11" ht="12.9" customHeight="1" x14ac:dyDescent="0.25">
      <c r="A71" s="6"/>
      <c r="B71" s="5"/>
      <c r="C71" s="3"/>
      <c r="D71" s="3"/>
      <c r="E71" s="3"/>
      <c r="F71" s="3"/>
      <c r="G71" s="4"/>
      <c r="H71" s="12" t="s">
        <v>604</v>
      </c>
      <c r="I71" s="14"/>
      <c r="J71" s="14"/>
      <c r="K71" s="29">
        <f>SUM(K69:K70)</f>
        <v>3988372.5000000005</v>
      </c>
    </row>
    <row r="72" spans="1:11" ht="12.9" customHeight="1" thickBot="1" x14ac:dyDescent="0.3">
      <c r="A72" s="15"/>
      <c r="B72" s="16"/>
      <c r="C72" s="17"/>
      <c r="D72" s="17"/>
      <c r="E72" s="17"/>
      <c r="F72" s="17"/>
      <c r="G72" s="18"/>
      <c r="H72" s="46" t="s">
        <v>605</v>
      </c>
      <c r="I72" s="47"/>
      <c r="J72" s="47"/>
      <c r="K72" s="144">
        <f>ROUND(K71,-1)</f>
        <v>3988370</v>
      </c>
    </row>
    <row r="73" spans="1:11" ht="14.1" customHeight="1" x14ac:dyDescent="0.25">
      <c r="A73" s="81">
        <v>7</v>
      </c>
      <c r="B73" s="699" t="s">
        <v>713</v>
      </c>
      <c r="C73" s="700"/>
      <c r="D73" s="137" t="s">
        <v>2172</v>
      </c>
      <c r="E73" s="138"/>
      <c r="F73" s="139"/>
      <c r="G73" s="139"/>
      <c r="H73" s="140"/>
      <c r="I73" s="141"/>
      <c r="J73" s="142"/>
      <c r="K73" s="143"/>
    </row>
    <row r="74" spans="1:11" ht="13.2" customHeight="1" x14ac:dyDescent="0.25">
      <c r="A74" s="2"/>
      <c r="B74" s="20" t="s">
        <v>4</v>
      </c>
      <c r="C74" s="21" t="s">
        <v>1342</v>
      </c>
      <c r="D74" s="14"/>
      <c r="E74" s="22"/>
      <c r="F74" s="23"/>
      <c r="G74" s="23"/>
      <c r="H74" s="24" t="s">
        <v>235</v>
      </c>
      <c r="I74" s="45">
        <v>1</v>
      </c>
      <c r="J74" s="25">
        <f>J63</f>
        <v>2496150.0000000005</v>
      </c>
      <c r="K74" s="26">
        <f t="shared" ref="K74:K79" si="6">I74*J74</f>
        <v>2496150.0000000005</v>
      </c>
    </row>
    <row r="75" spans="1:11" ht="13.2" customHeight="1" x14ac:dyDescent="0.25">
      <c r="A75" s="2"/>
      <c r="B75" s="20" t="s">
        <v>30</v>
      </c>
      <c r="C75" s="21" t="s">
        <v>1350</v>
      </c>
      <c r="D75" s="14"/>
      <c r="E75" s="22"/>
      <c r="F75" s="23"/>
      <c r="G75" s="23"/>
      <c r="H75" s="24" t="s">
        <v>203</v>
      </c>
      <c r="I75" s="45">
        <v>1</v>
      </c>
      <c r="J75" s="25">
        <f>J31</f>
        <v>142000</v>
      </c>
      <c r="K75" s="26">
        <f t="shared" si="6"/>
        <v>142000</v>
      </c>
    </row>
    <row r="76" spans="1:11" ht="13.2" customHeight="1" x14ac:dyDescent="0.25">
      <c r="A76" s="2"/>
      <c r="B76" s="20" t="s">
        <v>57</v>
      </c>
      <c r="C76" s="21" t="s">
        <v>1351</v>
      </c>
      <c r="D76" s="14"/>
      <c r="E76" s="22"/>
      <c r="F76" s="23"/>
      <c r="G76" s="23"/>
      <c r="H76" s="24" t="s">
        <v>203</v>
      </c>
      <c r="I76" s="45">
        <v>1</v>
      </c>
      <c r="J76" s="25">
        <f>J32</f>
        <v>172000</v>
      </c>
      <c r="K76" s="26">
        <f t="shared" si="6"/>
        <v>172000</v>
      </c>
    </row>
    <row r="77" spans="1:11" ht="13.2" customHeight="1" x14ac:dyDescent="0.25">
      <c r="A77" s="2"/>
      <c r="B77" s="20" t="s">
        <v>83</v>
      </c>
      <c r="C77" s="21" t="s">
        <v>1352</v>
      </c>
      <c r="D77" s="14"/>
      <c r="E77" s="22"/>
      <c r="F77" s="23"/>
      <c r="G77" s="23"/>
      <c r="H77" s="24" t="s">
        <v>203</v>
      </c>
      <c r="I77" s="45">
        <v>1</v>
      </c>
      <c r="J77" s="25">
        <f>J33</f>
        <v>172000</v>
      </c>
      <c r="K77" s="26">
        <f t="shared" si="6"/>
        <v>172000</v>
      </c>
    </row>
    <row r="78" spans="1:11" ht="13.2" customHeight="1" x14ac:dyDescent="0.25">
      <c r="A78" s="2"/>
      <c r="B78" s="20" t="s">
        <v>110</v>
      </c>
      <c r="C78" s="21" t="s">
        <v>1353</v>
      </c>
      <c r="D78" s="14"/>
      <c r="E78" s="22"/>
      <c r="F78" s="23"/>
      <c r="G78" s="23"/>
      <c r="H78" s="24" t="s">
        <v>203</v>
      </c>
      <c r="I78" s="45">
        <v>1</v>
      </c>
      <c r="J78" s="25">
        <f>J34</f>
        <v>182000</v>
      </c>
      <c r="K78" s="26">
        <f t="shared" si="6"/>
        <v>182000</v>
      </c>
    </row>
    <row r="79" spans="1:11" ht="13.2" customHeight="1" x14ac:dyDescent="0.25">
      <c r="A79" s="2"/>
      <c r="B79" s="20" t="s">
        <v>137</v>
      </c>
      <c r="C79" s="21" t="s">
        <v>1325</v>
      </c>
      <c r="D79" s="14"/>
      <c r="E79" s="22"/>
      <c r="F79" s="23"/>
      <c r="G79" s="23"/>
      <c r="H79" s="24" t="s">
        <v>203</v>
      </c>
      <c r="I79" s="45">
        <v>12</v>
      </c>
      <c r="J79" s="25">
        <f>J35</f>
        <v>17000</v>
      </c>
      <c r="K79" s="26">
        <f t="shared" si="6"/>
        <v>204000</v>
      </c>
    </row>
    <row r="80" spans="1:11" ht="12.9" customHeight="1" x14ac:dyDescent="0.25">
      <c r="A80" s="6"/>
      <c r="B80" s="7"/>
      <c r="C80" s="8"/>
      <c r="D80" s="8"/>
      <c r="E80" s="8"/>
      <c r="F80" s="8"/>
      <c r="G80" s="9"/>
      <c r="H80" s="10" t="s">
        <v>715</v>
      </c>
      <c r="I80" s="11"/>
      <c r="J80" s="11"/>
      <c r="K80" s="27">
        <f>SUM(K74:K79)</f>
        <v>3368150.0000000005</v>
      </c>
    </row>
    <row r="81" spans="1:11" ht="12.9" customHeight="1" x14ac:dyDescent="0.25">
      <c r="A81" s="6"/>
      <c r="B81" s="5"/>
      <c r="C81" s="3"/>
      <c r="D81" s="3"/>
      <c r="E81" s="3"/>
      <c r="F81" s="3"/>
      <c r="G81" s="4"/>
      <c r="H81" s="12" t="s">
        <v>603</v>
      </c>
      <c r="I81" s="28">
        <f>$K$3</f>
        <v>0.15</v>
      </c>
      <c r="J81" s="38"/>
      <c r="K81" s="29">
        <f>I81*K80</f>
        <v>505222.50000000006</v>
      </c>
    </row>
    <row r="82" spans="1:11" ht="12.9" customHeight="1" x14ac:dyDescent="0.25">
      <c r="A82" s="6"/>
      <c r="B82" s="5"/>
      <c r="C82" s="3"/>
      <c r="D82" s="3"/>
      <c r="E82" s="3"/>
      <c r="F82" s="3"/>
      <c r="G82" s="4"/>
      <c r="H82" s="12" t="s">
        <v>604</v>
      </c>
      <c r="I82" s="14"/>
      <c r="J82" s="14"/>
      <c r="K82" s="29">
        <f>SUM(K80:K81)</f>
        <v>3873372.5000000005</v>
      </c>
    </row>
    <row r="83" spans="1:11" ht="12.9" customHeight="1" thickBot="1" x14ac:dyDescent="0.3">
      <c r="A83" s="15"/>
      <c r="B83" s="16"/>
      <c r="C83" s="17"/>
      <c r="D83" s="17"/>
      <c r="E83" s="17"/>
      <c r="F83" s="17"/>
      <c r="G83" s="18"/>
      <c r="H83" s="46" t="s">
        <v>605</v>
      </c>
      <c r="I83" s="47"/>
      <c r="J83" s="47"/>
      <c r="K83" s="144">
        <f>ROUND(K82,-1)</f>
        <v>3873370</v>
      </c>
    </row>
    <row r="84" spans="1:11" ht="14.1" customHeight="1" x14ac:dyDescent="0.25">
      <c r="A84" s="81">
        <v>8</v>
      </c>
      <c r="B84" s="699" t="s">
        <v>713</v>
      </c>
      <c r="C84" s="700"/>
      <c r="D84" s="137" t="s">
        <v>2171</v>
      </c>
      <c r="E84" s="138"/>
      <c r="F84" s="139"/>
      <c r="G84" s="139"/>
      <c r="H84" s="140"/>
      <c r="I84" s="141"/>
      <c r="J84" s="142"/>
      <c r="K84" s="143"/>
    </row>
    <row r="85" spans="1:11" ht="13.2" customHeight="1" x14ac:dyDescent="0.25">
      <c r="A85" s="2"/>
      <c r="B85" s="20" t="s">
        <v>4</v>
      </c>
      <c r="C85" s="21" t="s">
        <v>1342</v>
      </c>
      <c r="D85" s="14"/>
      <c r="E85" s="22"/>
      <c r="F85" s="23"/>
      <c r="G85" s="23"/>
      <c r="H85" s="24" t="s">
        <v>235</v>
      </c>
      <c r="I85" s="45">
        <v>1</v>
      </c>
      <c r="J85" s="25">
        <f>J74</f>
        <v>2496150.0000000005</v>
      </c>
      <c r="K85" s="26">
        <f t="shared" ref="K85:K90" si="7">I85*J85</f>
        <v>2496150.0000000005</v>
      </c>
    </row>
    <row r="86" spans="1:11" ht="13.2" customHeight="1" x14ac:dyDescent="0.25">
      <c r="A86" s="2"/>
      <c r="B86" s="20" t="s">
        <v>30</v>
      </c>
      <c r="C86" s="21" t="s">
        <v>1354</v>
      </c>
      <c r="D86" s="14"/>
      <c r="E86" s="22"/>
      <c r="F86" s="23"/>
      <c r="G86" s="23"/>
      <c r="H86" s="24" t="s">
        <v>203</v>
      </c>
      <c r="I86" s="45">
        <v>1</v>
      </c>
      <c r="J86" s="25">
        <f>J42</f>
        <v>127000</v>
      </c>
      <c r="K86" s="26">
        <f t="shared" si="7"/>
        <v>127000</v>
      </c>
    </row>
    <row r="87" spans="1:11" ht="13.2" customHeight="1" x14ac:dyDescent="0.25">
      <c r="A87" s="2"/>
      <c r="B87" s="20" t="s">
        <v>57</v>
      </c>
      <c r="C87" s="21" t="s">
        <v>1355</v>
      </c>
      <c r="D87" s="14"/>
      <c r="E87" s="22"/>
      <c r="F87" s="23"/>
      <c r="G87" s="23"/>
      <c r="H87" s="24" t="s">
        <v>203</v>
      </c>
      <c r="I87" s="45">
        <v>1</v>
      </c>
      <c r="J87" s="25">
        <f>J43</f>
        <v>157000</v>
      </c>
      <c r="K87" s="26">
        <f t="shared" si="7"/>
        <v>157000</v>
      </c>
    </row>
    <row r="88" spans="1:11" ht="13.2" customHeight="1" x14ac:dyDescent="0.25">
      <c r="A88" s="2"/>
      <c r="B88" s="20" t="s">
        <v>83</v>
      </c>
      <c r="C88" s="21" t="s">
        <v>1356</v>
      </c>
      <c r="D88" s="14"/>
      <c r="E88" s="22"/>
      <c r="F88" s="23"/>
      <c r="G88" s="23"/>
      <c r="H88" s="24" t="s">
        <v>203</v>
      </c>
      <c r="I88" s="45">
        <v>1</v>
      </c>
      <c r="J88" s="25">
        <f>J44</f>
        <v>157000</v>
      </c>
      <c r="K88" s="26">
        <f t="shared" si="7"/>
        <v>157000</v>
      </c>
    </row>
    <row r="89" spans="1:11" ht="13.2" customHeight="1" x14ac:dyDescent="0.25">
      <c r="A89" s="2"/>
      <c r="B89" s="20" t="s">
        <v>110</v>
      </c>
      <c r="C89" s="21" t="s">
        <v>1357</v>
      </c>
      <c r="D89" s="14"/>
      <c r="E89" s="22"/>
      <c r="F89" s="23"/>
      <c r="G89" s="23"/>
      <c r="H89" s="24" t="s">
        <v>203</v>
      </c>
      <c r="I89" s="45">
        <v>1</v>
      </c>
      <c r="J89" s="25">
        <f>J45</f>
        <v>172000</v>
      </c>
      <c r="K89" s="26">
        <f t="shared" si="7"/>
        <v>172000</v>
      </c>
    </row>
    <row r="90" spans="1:11" ht="13.2" customHeight="1" x14ac:dyDescent="0.25">
      <c r="A90" s="2"/>
      <c r="B90" s="20" t="s">
        <v>137</v>
      </c>
      <c r="C90" s="21" t="s">
        <v>1325</v>
      </c>
      <c r="D90" s="14"/>
      <c r="E90" s="22"/>
      <c r="F90" s="23"/>
      <c r="G90" s="23"/>
      <c r="H90" s="24" t="s">
        <v>203</v>
      </c>
      <c r="I90" s="45">
        <v>12</v>
      </c>
      <c r="J90" s="25">
        <f>J46</f>
        <v>17000</v>
      </c>
      <c r="K90" s="26">
        <f t="shared" si="7"/>
        <v>204000</v>
      </c>
    </row>
    <row r="91" spans="1:11" ht="12.9" customHeight="1" x14ac:dyDescent="0.25">
      <c r="A91" s="6"/>
      <c r="B91" s="7"/>
      <c r="C91" s="8"/>
      <c r="D91" s="8"/>
      <c r="E91" s="8"/>
      <c r="F91" s="8"/>
      <c r="G91" s="9"/>
      <c r="H91" s="10" t="s">
        <v>715</v>
      </c>
      <c r="I91" s="11"/>
      <c r="J91" s="11"/>
      <c r="K91" s="27">
        <f>SUM(K85:K90)</f>
        <v>3313150.0000000005</v>
      </c>
    </row>
    <row r="92" spans="1:11" ht="12.9" customHeight="1" x14ac:dyDescent="0.25">
      <c r="A92" s="6"/>
      <c r="B92" s="5"/>
      <c r="C92" s="3"/>
      <c r="D92" s="3"/>
      <c r="E92" s="3"/>
      <c r="F92" s="3"/>
      <c r="G92" s="4"/>
      <c r="H92" s="12" t="s">
        <v>603</v>
      </c>
      <c r="I92" s="28">
        <f>$K$3</f>
        <v>0.15</v>
      </c>
      <c r="J92" s="38"/>
      <c r="K92" s="29">
        <f>I92*K91</f>
        <v>496972.50000000006</v>
      </c>
    </row>
    <row r="93" spans="1:11" ht="12.9" customHeight="1" x14ac:dyDescent="0.25">
      <c r="A93" s="6"/>
      <c r="B93" s="5"/>
      <c r="C93" s="3"/>
      <c r="D93" s="3"/>
      <c r="E93" s="3"/>
      <c r="F93" s="3"/>
      <c r="G93" s="4"/>
      <c r="H93" s="12" t="s">
        <v>604</v>
      </c>
      <c r="I93" s="14"/>
      <c r="J93" s="14"/>
      <c r="K93" s="29">
        <f>SUM(K91:K92)</f>
        <v>3810122.5000000005</v>
      </c>
    </row>
    <row r="94" spans="1:11" ht="12.9" customHeight="1" thickBot="1" x14ac:dyDescent="0.3">
      <c r="A94" s="15"/>
      <c r="B94" s="16"/>
      <c r="C94" s="17"/>
      <c r="D94" s="17"/>
      <c r="E94" s="17"/>
      <c r="F94" s="17"/>
      <c r="G94" s="18"/>
      <c r="H94" s="46" t="s">
        <v>605</v>
      </c>
      <c r="I94" s="47"/>
      <c r="J94" s="47"/>
      <c r="K94" s="144">
        <f>ROUND(K93,-1)</f>
        <v>3810120</v>
      </c>
    </row>
    <row r="95" spans="1:11" ht="14.1" customHeight="1" x14ac:dyDescent="0.25">
      <c r="A95" s="81">
        <v>9</v>
      </c>
      <c r="B95" s="699" t="s">
        <v>713</v>
      </c>
      <c r="C95" s="700"/>
      <c r="D95" s="137" t="s">
        <v>2170</v>
      </c>
      <c r="E95" s="138"/>
      <c r="F95" s="139"/>
      <c r="G95" s="139"/>
      <c r="H95" s="140"/>
      <c r="I95" s="141"/>
      <c r="J95" s="142"/>
      <c r="K95" s="143"/>
    </row>
    <row r="96" spans="1:11" ht="13.2" customHeight="1" x14ac:dyDescent="0.25">
      <c r="A96" s="2"/>
      <c r="B96" s="20" t="s">
        <v>4</v>
      </c>
      <c r="C96" s="21" t="s">
        <v>1358</v>
      </c>
      <c r="D96" s="14"/>
      <c r="E96" s="22"/>
      <c r="F96" s="23"/>
      <c r="G96" s="23"/>
      <c r="H96" s="24" t="s">
        <v>235</v>
      </c>
      <c r="I96" s="45">
        <v>1</v>
      </c>
      <c r="J96" s="25">
        <f>'Harga Satuan Dasar mat'!G353</f>
        <v>2995880.0000000005</v>
      </c>
      <c r="K96" s="26">
        <f t="shared" ref="K96:K101" si="8">I96*J96</f>
        <v>2995880.0000000005</v>
      </c>
    </row>
    <row r="97" spans="1:11" ht="13.2" customHeight="1" x14ac:dyDescent="0.25">
      <c r="A97" s="2"/>
      <c r="B97" s="20" t="s">
        <v>30</v>
      </c>
      <c r="C97" s="21" t="s">
        <v>1359</v>
      </c>
      <c r="D97" s="14"/>
      <c r="E97" s="22"/>
      <c r="F97" s="23"/>
      <c r="G97" s="23"/>
      <c r="H97" s="24" t="s">
        <v>203</v>
      </c>
      <c r="I97" s="45">
        <v>1</v>
      </c>
      <c r="J97" s="25">
        <f>'Harga Satuan Dasar mat'!G499</f>
        <v>196000</v>
      </c>
      <c r="K97" s="26">
        <f t="shared" si="8"/>
        <v>196000</v>
      </c>
    </row>
    <row r="98" spans="1:11" ht="13.2" customHeight="1" x14ac:dyDescent="0.25">
      <c r="A98" s="2"/>
      <c r="B98" s="20" t="s">
        <v>57</v>
      </c>
      <c r="C98" s="21" t="s">
        <v>1360</v>
      </c>
      <c r="D98" s="14"/>
      <c r="E98" s="22"/>
      <c r="F98" s="23"/>
      <c r="G98" s="23"/>
      <c r="H98" s="24" t="s">
        <v>203</v>
      </c>
      <c r="I98" s="45">
        <v>1</v>
      </c>
      <c r="J98" s="25">
        <f>'Harga Satuan Dasar mat'!G503</f>
        <v>238000</v>
      </c>
      <c r="K98" s="26">
        <f t="shared" si="8"/>
        <v>238000</v>
      </c>
    </row>
    <row r="99" spans="1:11" ht="13.2" customHeight="1" x14ac:dyDescent="0.25">
      <c r="A99" s="2"/>
      <c r="B99" s="20" t="s">
        <v>83</v>
      </c>
      <c r="C99" s="21" t="s">
        <v>1361</v>
      </c>
      <c r="D99" s="14"/>
      <c r="E99" s="22"/>
      <c r="F99" s="23"/>
      <c r="G99" s="23"/>
      <c r="H99" s="24" t="s">
        <v>203</v>
      </c>
      <c r="I99" s="45">
        <v>1</v>
      </c>
      <c r="J99" s="25">
        <f>'Harga Satuan Dasar mat'!G505</f>
        <v>255000</v>
      </c>
      <c r="K99" s="26">
        <f t="shared" si="8"/>
        <v>255000</v>
      </c>
    </row>
    <row r="100" spans="1:11" ht="13.2" customHeight="1" x14ac:dyDescent="0.25">
      <c r="A100" s="2"/>
      <c r="B100" s="20" t="s">
        <v>110</v>
      </c>
      <c r="C100" s="21" t="s">
        <v>1362</v>
      </c>
      <c r="D100" s="14"/>
      <c r="E100" s="22"/>
      <c r="F100" s="23"/>
      <c r="G100" s="23"/>
      <c r="H100" s="24" t="s">
        <v>203</v>
      </c>
      <c r="I100" s="45">
        <v>1</v>
      </c>
      <c r="J100" s="25">
        <f>'Harga Satuan Dasar mat'!G508</f>
        <v>280000</v>
      </c>
      <c r="K100" s="26">
        <f t="shared" si="8"/>
        <v>280000</v>
      </c>
    </row>
    <row r="101" spans="1:11" ht="13.2" customHeight="1" x14ac:dyDescent="0.25">
      <c r="A101" s="2"/>
      <c r="B101" s="20" t="s">
        <v>137</v>
      </c>
      <c r="C101" s="21" t="s">
        <v>1325</v>
      </c>
      <c r="D101" s="14"/>
      <c r="E101" s="22"/>
      <c r="F101" s="23"/>
      <c r="G101" s="23"/>
      <c r="H101" s="24" t="s">
        <v>203</v>
      </c>
      <c r="I101" s="45">
        <v>12</v>
      </c>
      <c r="J101" s="25">
        <f>J90</f>
        <v>17000</v>
      </c>
      <c r="K101" s="26">
        <f t="shared" si="8"/>
        <v>204000</v>
      </c>
    </row>
    <row r="102" spans="1:11" ht="12.9" customHeight="1" x14ac:dyDescent="0.25">
      <c r="A102" s="6"/>
      <c r="B102" s="7"/>
      <c r="C102" s="8"/>
      <c r="D102" s="8"/>
      <c r="E102" s="8"/>
      <c r="F102" s="8"/>
      <c r="G102" s="9"/>
      <c r="H102" s="10" t="s">
        <v>715</v>
      </c>
      <c r="I102" s="11"/>
      <c r="J102" s="11"/>
      <c r="K102" s="27">
        <f>SUM(K96:K101)</f>
        <v>4168880.0000000005</v>
      </c>
    </row>
    <row r="103" spans="1:11" ht="12.9" customHeight="1" x14ac:dyDescent="0.25">
      <c r="A103" s="6"/>
      <c r="B103" s="5"/>
      <c r="C103" s="3"/>
      <c r="D103" s="3"/>
      <c r="E103" s="3"/>
      <c r="F103" s="3"/>
      <c r="G103" s="4"/>
      <c r="H103" s="12" t="s">
        <v>603</v>
      </c>
      <c r="I103" s="28">
        <f>$K$3</f>
        <v>0.15</v>
      </c>
      <c r="J103" s="38"/>
      <c r="K103" s="29">
        <f>I103*K102</f>
        <v>625332</v>
      </c>
    </row>
    <row r="104" spans="1:11" ht="12.9" customHeight="1" x14ac:dyDescent="0.25">
      <c r="A104" s="6"/>
      <c r="B104" s="5"/>
      <c r="C104" s="3"/>
      <c r="D104" s="3"/>
      <c r="E104" s="3"/>
      <c r="F104" s="3"/>
      <c r="G104" s="4"/>
      <c r="H104" s="12" t="s">
        <v>604</v>
      </c>
      <c r="I104" s="14"/>
      <c r="J104" s="14"/>
      <c r="K104" s="29">
        <f>SUM(K102:K103)</f>
        <v>4794212</v>
      </c>
    </row>
    <row r="105" spans="1:11" ht="12.9" customHeight="1" thickBot="1" x14ac:dyDescent="0.3">
      <c r="A105" s="15"/>
      <c r="B105" s="16"/>
      <c r="C105" s="17"/>
      <c r="D105" s="17"/>
      <c r="E105" s="17"/>
      <c r="F105" s="17"/>
      <c r="G105" s="18"/>
      <c r="H105" s="46" t="s">
        <v>605</v>
      </c>
      <c r="I105" s="47"/>
      <c r="J105" s="47"/>
      <c r="K105" s="144">
        <f>ROUND(K104,-1)</f>
        <v>4794210</v>
      </c>
    </row>
    <row r="106" spans="1:11" ht="14.1" customHeight="1" x14ac:dyDescent="0.25">
      <c r="A106" s="81">
        <v>10</v>
      </c>
      <c r="B106" s="699" t="s">
        <v>713</v>
      </c>
      <c r="C106" s="700"/>
      <c r="D106" s="137" t="s">
        <v>2169</v>
      </c>
      <c r="E106" s="138"/>
      <c r="F106" s="139"/>
      <c r="G106" s="139"/>
      <c r="H106" s="140"/>
      <c r="I106" s="141"/>
      <c r="J106" s="142"/>
      <c r="K106" s="143"/>
    </row>
    <row r="107" spans="1:11" ht="13.2" customHeight="1" x14ac:dyDescent="0.25">
      <c r="A107" s="2"/>
      <c r="B107" s="20" t="s">
        <v>4</v>
      </c>
      <c r="C107" s="21" t="s">
        <v>1358</v>
      </c>
      <c r="D107" s="14"/>
      <c r="E107" s="22"/>
      <c r="F107" s="23"/>
      <c r="G107" s="23"/>
      <c r="H107" s="24" t="s">
        <v>235</v>
      </c>
      <c r="I107" s="45">
        <v>1</v>
      </c>
      <c r="J107" s="25">
        <f>J96</f>
        <v>2995880.0000000005</v>
      </c>
      <c r="K107" s="26">
        <f t="shared" ref="K107:K112" si="9">I107*J107</f>
        <v>2995880.0000000005</v>
      </c>
    </row>
    <row r="108" spans="1:11" ht="13.2" customHeight="1" x14ac:dyDescent="0.25">
      <c r="A108" s="2"/>
      <c r="B108" s="20" t="s">
        <v>30</v>
      </c>
      <c r="C108" s="21" t="s">
        <v>1363</v>
      </c>
      <c r="D108" s="14"/>
      <c r="E108" s="22"/>
      <c r="F108" s="23"/>
      <c r="G108" s="23"/>
      <c r="H108" s="24" t="s">
        <v>203</v>
      </c>
      <c r="I108" s="45">
        <v>1</v>
      </c>
      <c r="J108" s="25">
        <f>'Harga Satuan Dasar mat'!G500</f>
        <v>204000</v>
      </c>
      <c r="K108" s="26">
        <f t="shared" si="9"/>
        <v>204000</v>
      </c>
    </row>
    <row r="109" spans="1:11" ht="13.2" customHeight="1" x14ac:dyDescent="0.25">
      <c r="A109" s="2"/>
      <c r="B109" s="20" t="s">
        <v>57</v>
      </c>
      <c r="C109" s="21" t="s">
        <v>1360</v>
      </c>
      <c r="D109" s="14"/>
      <c r="E109" s="22"/>
      <c r="F109" s="23"/>
      <c r="G109" s="23"/>
      <c r="H109" s="24" t="s">
        <v>203</v>
      </c>
      <c r="I109" s="45">
        <v>1</v>
      </c>
      <c r="J109" s="25">
        <f>J98</f>
        <v>238000</v>
      </c>
      <c r="K109" s="26">
        <f t="shared" si="9"/>
        <v>238000</v>
      </c>
    </row>
    <row r="110" spans="1:11" ht="13.2" customHeight="1" x14ac:dyDescent="0.25">
      <c r="A110" s="2"/>
      <c r="B110" s="20" t="s">
        <v>83</v>
      </c>
      <c r="C110" s="21" t="s">
        <v>1364</v>
      </c>
      <c r="D110" s="14"/>
      <c r="E110" s="22"/>
      <c r="F110" s="23"/>
      <c r="G110" s="23"/>
      <c r="H110" s="24" t="s">
        <v>203</v>
      </c>
      <c r="I110" s="45">
        <v>1</v>
      </c>
      <c r="J110" s="25">
        <f>J109</f>
        <v>238000</v>
      </c>
      <c r="K110" s="26">
        <f t="shared" si="9"/>
        <v>238000</v>
      </c>
    </row>
    <row r="111" spans="1:11" ht="13.2" customHeight="1" x14ac:dyDescent="0.25">
      <c r="A111" s="2"/>
      <c r="B111" s="20" t="s">
        <v>110</v>
      </c>
      <c r="C111" s="21" t="s">
        <v>1365</v>
      </c>
      <c r="D111" s="14"/>
      <c r="E111" s="22"/>
      <c r="F111" s="23"/>
      <c r="G111" s="23"/>
      <c r="H111" s="24" t="s">
        <v>203</v>
      </c>
      <c r="I111" s="45">
        <v>1</v>
      </c>
      <c r="J111" s="25">
        <f>'Harga Satuan Dasar mat'!G507</f>
        <v>271000</v>
      </c>
      <c r="K111" s="26">
        <f t="shared" si="9"/>
        <v>271000</v>
      </c>
    </row>
    <row r="112" spans="1:11" ht="13.2" customHeight="1" x14ac:dyDescent="0.25">
      <c r="A112" s="2"/>
      <c r="B112" s="20" t="s">
        <v>137</v>
      </c>
      <c r="C112" s="21" t="s">
        <v>1325</v>
      </c>
      <c r="D112" s="14"/>
      <c r="E112" s="22"/>
      <c r="F112" s="23"/>
      <c r="G112" s="23"/>
      <c r="H112" s="24" t="s">
        <v>203</v>
      </c>
      <c r="I112" s="45">
        <v>12</v>
      </c>
      <c r="J112" s="25">
        <f>J101</f>
        <v>17000</v>
      </c>
      <c r="K112" s="26">
        <f t="shared" si="9"/>
        <v>204000</v>
      </c>
    </row>
    <row r="113" spans="1:11" ht="12.9" customHeight="1" x14ac:dyDescent="0.25">
      <c r="A113" s="6"/>
      <c r="B113" s="7"/>
      <c r="C113" s="8"/>
      <c r="D113" s="8"/>
      <c r="E113" s="8"/>
      <c r="F113" s="8"/>
      <c r="G113" s="9"/>
      <c r="H113" s="10" t="s">
        <v>715</v>
      </c>
      <c r="I113" s="11"/>
      <c r="J113" s="11"/>
      <c r="K113" s="27">
        <f>SUM(K107:K112)</f>
        <v>4150880.0000000005</v>
      </c>
    </row>
    <row r="114" spans="1:11" ht="12.9" customHeight="1" x14ac:dyDescent="0.25">
      <c r="A114" s="6"/>
      <c r="B114" s="5"/>
      <c r="C114" s="3"/>
      <c r="D114" s="3"/>
      <c r="E114" s="3"/>
      <c r="F114" s="3"/>
      <c r="G114" s="4"/>
      <c r="H114" s="12" t="s">
        <v>603</v>
      </c>
      <c r="I114" s="28">
        <f>$K$3</f>
        <v>0.15</v>
      </c>
      <c r="J114" s="38"/>
      <c r="K114" s="29">
        <f>I114*K113</f>
        <v>622632</v>
      </c>
    </row>
    <row r="115" spans="1:11" ht="12.9" customHeight="1" x14ac:dyDescent="0.25">
      <c r="A115" s="6"/>
      <c r="B115" s="5"/>
      <c r="C115" s="3"/>
      <c r="D115" s="3"/>
      <c r="E115" s="3"/>
      <c r="F115" s="3"/>
      <c r="G115" s="4"/>
      <c r="H115" s="12" t="s">
        <v>604</v>
      </c>
      <c r="I115" s="14"/>
      <c r="J115" s="14"/>
      <c r="K115" s="29">
        <f>SUM(K113:K114)</f>
        <v>4773512</v>
      </c>
    </row>
    <row r="116" spans="1:11" ht="12.9" customHeight="1" thickBot="1" x14ac:dyDescent="0.3">
      <c r="A116" s="15"/>
      <c r="B116" s="16"/>
      <c r="C116" s="17"/>
      <c r="D116" s="17"/>
      <c r="E116" s="17"/>
      <c r="F116" s="17"/>
      <c r="G116" s="18"/>
      <c r="H116" s="46" t="s">
        <v>605</v>
      </c>
      <c r="I116" s="47"/>
      <c r="J116" s="47"/>
      <c r="K116" s="144">
        <f>ROUND(K115,-1)</f>
        <v>4773510</v>
      </c>
    </row>
    <row r="117" spans="1:11" ht="14.1" customHeight="1" x14ac:dyDescent="0.25">
      <c r="A117" s="81">
        <v>11</v>
      </c>
      <c r="B117" s="699" t="s">
        <v>713</v>
      </c>
      <c r="C117" s="700"/>
      <c r="D117" s="137" t="s">
        <v>2168</v>
      </c>
      <c r="E117" s="138"/>
      <c r="F117" s="139"/>
      <c r="G117" s="139"/>
      <c r="H117" s="140"/>
      <c r="I117" s="141"/>
      <c r="J117" s="142"/>
      <c r="K117" s="143"/>
    </row>
    <row r="118" spans="1:11" ht="13.2" customHeight="1" x14ac:dyDescent="0.25">
      <c r="A118" s="2"/>
      <c r="B118" s="20" t="s">
        <v>4</v>
      </c>
      <c r="C118" s="21" t="s">
        <v>1358</v>
      </c>
      <c r="D118" s="14"/>
      <c r="E118" s="22"/>
      <c r="F118" s="23"/>
      <c r="G118" s="23"/>
      <c r="H118" s="24" t="s">
        <v>235</v>
      </c>
      <c r="I118" s="45">
        <v>1</v>
      </c>
      <c r="J118" s="25">
        <f>J107</f>
        <v>2995880.0000000005</v>
      </c>
      <c r="K118" s="26">
        <f t="shared" ref="K118:K123" si="10">I118*J118</f>
        <v>2995880.0000000005</v>
      </c>
    </row>
    <row r="119" spans="1:11" ht="13.2" customHeight="1" x14ac:dyDescent="0.25">
      <c r="A119" s="2"/>
      <c r="B119" s="20" t="s">
        <v>30</v>
      </c>
      <c r="C119" s="21" t="s">
        <v>1366</v>
      </c>
      <c r="D119" s="14"/>
      <c r="E119" s="22"/>
      <c r="F119" s="23"/>
      <c r="G119" s="23"/>
      <c r="H119" s="24" t="s">
        <v>203</v>
      </c>
      <c r="I119" s="45">
        <v>1</v>
      </c>
      <c r="J119" s="25">
        <f>'Harga Satuan Dasar mat'!G496</f>
        <v>171000</v>
      </c>
      <c r="K119" s="26">
        <f t="shared" si="10"/>
        <v>171000</v>
      </c>
    </row>
    <row r="120" spans="1:11" ht="13.2" customHeight="1" x14ac:dyDescent="0.25">
      <c r="A120" s="2"/>
      <c r="B120" s="20" t="s">
        <v>57</v>
      </c>
      <c r="C120" s="21" t="s">
        <v>1367</v>
      </c>
      <c r="D120" s="14"/>
      <c r="E120" s="22"/>
      <c r="F120" s="23"/>
      <c r="G120" s="23"/>
      <c r="H120" s="24" t="s">
        <v>203</v>
      </c>
      <c r="I120" s="45">
        <v>1</v>
      </c>
      <c r="J120" s="25">
        <f>J108</f>
        <v>204000</v>
      </c>
      <c r="K120" s="26">
        <f t="shared" si="10"/>
        <v>204000</v>
      </c>
    </row>
    <row r="121" spans="1:11" ht="13.2" customHeight="1" x14ac:dyDescent="0.25">
      <c r="A121" s="2"/>
      <c r="B121" s="20" t="s">
        <v>83</v>
      </c>
      <c r="C121" s="21" t="s">
        <v>1368</v>
      </c>
      <c r="D121" s="14"/>
      <c r="E121" s="22"/>
      <c r="F121" s="23"/>
      <c r="G121" s="23"/>
      <c r="H121" s="24" t="s">
        <v>203</v>
      </c>
      <c r="I121" s="45">
        <v>1</v>
      </c>
      <c r="J121" s="25">
        <f>J120</f>
        <v>204000</v>
      </c>
      <c r="K121" s="26">
        <f t="shared" si="10"/>
        <v>204000</v>
      </c>
    </row>
    <row r="122" spans="1:11" ht="13.2" customHeight="1" x14ac:dyDescent="0.25">
      <c r="A122" s="2"/>
      <c r="B122" s="20" t="s">
        <v>110</v>
      </c>
      <c r="C122" s="21" t="s">
        <v>1369</v>
      </c>
      <c r="D122" s="14"/>
      <c r="E122" s="22"/>
      <c r="F122" s="23"/>
      <c r="G122" s="23"/>
      <c r="H122" s="24" t="s">
        <v>203</v>
      </c>
      <c r="I122" s="45">
        <v>1</v>
      </c>
      <c r="J122" s="25">
        <f>J110</f>
        <v>238000</v>
      </c>
      <c r="K122" s="26">
        <f t="shared" si="10"/>
        <v>238000</v>
      </c>
    </row>
    <row r="123" spans="1:11" ht="13.2" customHeight="1" x14ac:dyDescent="0.25">
      <c r="A123" s="2"/>
      <c r="B123" s="20" t="s">
        <v>137</v>
      </c>
      <c r="C123" s="21" t="s">
        <v>1325</v>
      </c>
      <c r="D123" s="14"/>
      <c r="E123" s="22"/>
      <c r="F123" s="23"/>
      <c r="G123" s="23"/>
      <c r="H123" s="24" t="s">
        <v>203</v>
      </c>
      <c r="I123" s="45">
        <v>12</v>
      </c>
      <c r="J123" s="25">
        <f>J112</f>
        <v>17000</v>
      </c>
      <c r="K123" s="26">
        <f t="shared" si="10"/>
        <v>204000</v>
      </c>
    </row>
    <row r="124" spans="1:11" ht="12.9" customHeight="1" x14ac:dyDescent="0.25">
      <c r="A124" s="6"/>
      <c r="B124" s="7"/>
      <c r="C124" s="8"/>
      <c r="D124" s="8"/>
      <c r="E124" s="8"/>
      <c r="F124" s="8"/>
      <c r="G124" s="9"/>
      <c r="H124" s="10" t="s">
        <v>715</v>
      </c>
      <c r="I124" s="11"/>
      <c r="J124" s="11"/>
      <c r="K124" s="27">
        <f>SUM(K118:K123)</f>
        <v>4016880.0000000005</v>
      </c>
    </row>
    <row r="125" spans="1:11" ht="12.9" customHeight="1" x14ac:dyDescent="0.25">
      <c r="A125" s="6"/>
      <c r="B125" s="5"/>
      <c r="C125" s="3"/>
      <c r="D125" s="3"/>
      <c r="E125" s="3"/>
      <c r="F125" s="3"/>
      <c r="G125" s="4"/>
      <c r="H125" s="12" t="s">
        <v>603</v>
      </c>
      <c r="I125" s="28">
        <f>$K$3</f>
        <v>0.15</v>
      </c>
      <c r="J125" s="38"/>
      <c r="K125" s="29">
        <f>I125*K124</f>
        <v>602532</v>
      </c>
    </row>
    <row r="126" spans="1:11" ht="12.9" customHeight="1" x14ac:dyDescent="0.25">
      <c r="A126" s="6"/>
      <c r="B126" s="5"/>
      <c r="C126" s="3"/>
      <c r="D126" s="3"/>
      <c r="E126" s="3"/>
      <c r="F126" s="3"/>
      <c r="G126" s="4"/>
      <c r="H126" s="12" t="s">
        <v>604</v>
      </c>
      <c r="I126" s="14"/>
      <c r="J126" s="14"/>
      <c r="K126" s="29">
        <f>SUM(K124:K125)</f>
        <v>4619412</v>
      </c>
    </row>
    <row r="127" spans="1:11" ht="12.9" customHeight="1" thickBot="1" x14ac:dyDescent="0.3">
      <c r="A127" s="15"/>
      <c r="B127" s="16"/>
      <c r="C127" s="17"/>
      <c r="D127" s="17"/>
      <c r="E127" s="17"/>
      <c r="F127" s="17"/>
      <c r="G127" s="18"/>
      <c r="H127" s="46" t="s">
        <v>605</v>
      </c>
      <c r="I127" s="47"/>
      <c r="J127" s="47"/>
      <c r="K127" s="144">
        <f>ROUND(K126,-1)</f>
        <v>4619410</v>
      </c>
    </row>
    <row r="128" spans="1:11" ht="14.1" customHeight="1" x14ac:dyDescent="0.25">
      <c r="A128" s="81">
        <v>12</v>
      </c>
      <c r="B128" s="699" t="s">
        <v>713</v>
      </c>
      <c r="C128" s="700"/>
      <c r="D128" s="137" t="s">
        <v>2167</v>
      </c>
      <c r="E128" s="138"/>
      <c r="F128" s="139"/>
      <c r="G128" s="139"/>
      <c r="H128" s="140"/>
      <c r="I128" s="141"/>
      <c r="J128" s="142"/>
      <c r="K128" s="143"/>
    </row>
    <row r="129" spans="1:11" ht="13.2" customHeight="1" x14ac:dyDescent="0.25">
      <c r="A129" s="2"/>
      <c r="B129" s="20" t="s">
        <v>4</v>
      </c>
      <c r="C129" s="21" t="s">
        <v>1358</v>
      </c>
      <c r="D129" s="14"/>
      <c r="E129" s="22"/>
      <c r="F129" s="23"/>
      <c r="G129" s="23"/>
      <c r="H129" s="24" t="s">
        <v>235</v>
      </c>
      <c r="I129" s="45">
        <v>1</v>
      </c>
      <c r="J129" s="25">
        <f>J118</f>
        <v>2995880.0000000005</v>
      </c>
      <c r="K129" s="26">
        <f t="shared" ref="K129:K134" si="11">I129*J129</f>
        <v>2995880.0000000005</v>
      </c>
    </row>
    <row r="130" spans="1:11" ht="13.2" customHeight="1" x14ac:dyDescent="0.25">
      <c r="A130" s="2"/>
      <c r="B130" s="20" t="s">
        <v>30</v>
      </c>
      <c r="C130" s="21" t="s">
        <v>1370</v>
      </c>
      <c r="D130" s="14"/>
      <c r="E130" s="22"/>
      <c r="F130" s="23"/>
      <c r="G130" s="23"/>
      <c r="H130" s="24" t="s">
        <v>203</v>
      </c>
      <c r="I130" s="45">
        <v>1</v>
      </c>
      <c r="J130" s="25">
        <f>'Harga Satuan Dasar mat'!G494</f>
        <v>154000</v>
      </c>
      <c r="K130" s="26">
        <f t="shared" si="11"/>
        <v>154000</v>
      </c>
    </row>
    <row r="131" spans="1:11" ht="13.2" customHeight="1" x14ac:dyDescent="0.25">
      <c r="A131" s="2"/>
      <c r="B131" s="20" t="s">
        <v>57</v>
      </c>
      <c r="C131" s="21" t="s">
        <v>1371</v>
      </c>
      <c r="D131" s="14"/>
      <c r="E131" s="22"/>
      <c r="F131" s="23"/>
      <c r="G131" s="23"/>
      <c r="H131" s="24" t="s">
        <v>203</v>
      </c>
      <c r="I131" s="45">
        <v>1</v>
      </c>
      <c r="J131" s="25">
        <f>'Harga Satuan Dasar mat'!G498</f>
        <v>187000</v>
      </c>
      <c r="K131" s="26">
        <f t="shared" si="11"/>
        <v>187000</v>
      </c>
    </row>
    <row r="132" spans="1:11" ht="13.2" customHeight="1" x14ac:dyDescent="0.25">
      <c r="A132" s="2"/>
      <c r="B132" s="20" t="s">
        <v>83</v>
      </c>
      <c r="C132" s="21" t="s">
        <v>1372</v>
      </c>
      <c r="D132" s="14"/>
      <c r="E132" s="22"/>
      <c r="F132" s="23"/>
      <c r="G132" s="23"/>
      <c r="H132" s="24" t="s">
        <v>203</v>
      </c>
      <c r="I132" s="45">
        <v>1</v>
      </c>
      <c r="J132" s="25">
        <f>J131</f>
        <v>187000</v>
      </c>
      <c r="K132" s="26">
        <f t="shared" si="11"/>
        <v>187000</v>
      </c>
    </row>
    <row r="133" spans="1:11" ht="13.2" customHeight="1" x14ac:dyDescent="0.25">
      <c r="A133" s="2"/>
      <c r="B133" s="20" t="s">
        <v>110</v>
      </c>
      <c r="C133" s="21" t="s">
        <v>1373</v>
      </c>
      <c r="D133" s="14"/>
      <c r="E133" s="22"/>
      <c r="F133" s="23"/>
      <c r="G133" s="23"/>
      <c r="H133" s="24" t="s">
        <v>203</v>
      </c>
      <c r="I133" s="45">
        <v>1</v>
      </c>
      <c r="J133" s="25">
        <f>J120</f>
        <v>204000</v>
      </c>
      <c r="K133" s="26">
        <f t="shared" si="11"/>
        <v>204000</v>
      </c>
    </row>
    <row r="134" spans="1:11" ht="13.2" customHeight="1" x14ac:dyDescent="0.25">
      <c r="A134" s="2"/>
      <c r="B134" s="20" t="s">
        <v>137</v>
      </c>
      <c r="C134" s="21" t="s">
        <v>1325</v>
      </c>
      <c r="D134" s="14"/>
      <c r="E134" s="22"/>
      <c r="F134" s="23"/>
      <c r="G134" s="23"/>
      <c r="H134" s="24" t="s">
        <v>203</v>
      </c>
      <c r="I134" s="45">
        <v>12</v>
      </c>
      <c r="J134" s="25">
        <f>J123</f>
        <v>17000</v>
      </c>
      <c r="K134" s="26">
        <f t="shared" si="11"/>
        <v>204000</v>
      </c>
    </row>
    <row r="135" spans="1:11" ht="12.9" customHeight="1" x14ac:dyDescent="0.25">
      <c r="A135" s="6"/>
      <c r="B135" s="7"/>
      <c r="C135" s="8"/>
      <c r="D135" s="8"/>
      <c r="E135" s="8"/>
      <c r="F135" s="8"/>
      <c r="G135" s="9"/>
      <c r="H135" s="10" t="s">
        <v>715</v>
      </c>
      <c r="I135" s="11"/>
      <c r="J135" s="11"/>
      <c r="K135" s="27">
        <f>SUM(K129:K134)</f>
        <v>3931880.0000000005</v>
      </c>
    </row>
    <row r="136" spans="1:11" ht="12.9" customHeight="1" x14ac:dyDescent="0.25">
      <c r="A136" s="6"/>
      <c r="B136" s="5"/>
      <c r="C136" s="3"/>
      <c r="D136" s="3"/>
      <c r="E136" s="3"/>
      <c r="F136" s="3"/>
      <c r="G136" s="4"/>
      <c r="H136" s="12" t="s">
        <v>603</v>
      </c>
      <c r="I136" s="28">
        <f>$K$3</f>
        <v>0.15</v>
      </c>
      <c r="J136" s="38"/>
      <c r="K136" s="29">
        <f>I136*K135</f>
        <v>589782</v>
      </c>
    </row>
    <row r="137" spans="1:11" ht="12.9" customHeight="1" x14ac:dyDescent="0.25">
      <c r="A137" s="6"/>
      <c r="B137" s="5"/>
      <c r="C137" s="3"/>
      <c r="D137" s="3"/>
      <c r="E137" s="3"/>
      <c r="F137" s="3"/>
      <c r="G137" s="4"/>
      <c r="H137" s="12" t="s">
        <v>604</v>
      </c>
      <c r="I137" s="14"/>
      <c r="J137" s="14"/>
      <c r="K137" s="29">
        <f>SUM(K135:K136)</f>
        <v>4521662</v>
      </c>
    </row>
    <row r="138" spans="1:11" ht="12.9" customHeight="1" thickBot="1" x14ac:dyDescent="0.3">
      <c r="A138" s="15"/>
      <c r="B138" s="16"/>
      <c r="C138" s="17"/>
      <c r="D138" s="17"/>
      <c r="E138" s="17"/>
      <c r="F138" s="17"/>
      <c r="G138" s="18"/>
      <c r="H138" s="46" t="s">
        <v>605</v>
      </c>
      <c r="I138" s="47"/>
      <c r="J138" s="47"/>
      <c r="K138" s="144">
        <f>ROUND(K137,-1)</f>
        <v>4521660</v>
      </c>
    </row>
    <row r="139" spans="1:11" ht="14.1" customHeight="1" x14ac:dyDescent="0.25">
      <c r="A139" s="81">
        <v>13</v>
      </c>
      <c r="B139" s="699" t="s">
        <v>713</v>
      </c>
      <c r="C139" s="700"/>
      <c r="D139" s="137" t="s">
        <v>1667</v>
      </c>
      <c r="E139" s="138"/>
      <c r="F139" s="139"/>
      <c r="G139" s="139"/>
      <c r="H139" s="140"/>
      <c r="I139" s="141"/>
      <c r="J139" s="142"/>
      <c r="K139" s="143"/>
    </row>
    <row r="140" spans="1:11" ht="13.2" customHeight="1" x14ac:dyDescent="0.25">
      <c r="A140" s="2"/>
      <c r="B140" s="20" t="s">
        <v>4</v>
      </c>
      <c r="C140" s="21" t="s">
        <v>1668</v>
      </c>
      <c r="D140" s="14"/>
      <c r="E140" s="22"/>
      <c r="F140" s="23"/>
      <c r="G140" s="23"/>
      <c r="H140" s="24" t="s">
        <v>203</v>
      </c>
      <c r="I140" s="45">
        <v>1</v>
      </c>
      <c r="J140" s="25">
        <f>'Harga Satuan Dasar mat'!G741</f>
        <v>132500</v>
      </c>
      <c r="K140" s="26">
        <f>I140*J140</f>
        <v>132500</v>
      </c>
    </row>
    <row r="141" spans="1:11" ht="13.2" customHeight="1" x14ac:dyDescent="0.25">
      <c r="A141" s="2"/>
      <c r="B141" s="20" t="s">
        <v>30</v>
      </c>
      <c r="C141" s="21" t="s">
        <v>1669</v>
      </c>
      <c r="D141" s="14"/>
      <c r="E141" s="22"/>
      <c r="F141" s="23"/>
      <c r="G141" s="23"/>
      <c r="H141" s="24" t="s">
        <v>203</v>
      </c>
      <c r="I141" s="45">
        <v>1</v>
      </c>
      <c r="J141" s="25">
        <f>'Harga Satuan Dasar mat'!G766</f>
        <v>10750</v>
      </c>
      <c r="K141" s="26">
        <f>I141*J141</f>
        <v>10750</v>
      </c>
    </row>
    <row r="142" spans="1:11" ht="12.9" customHeight="1" x14ac:dyDescent="0.25">
      <c r="A142" s="6"/>
      <c r="B142" s="7"/>
      <c r="C142" s="8"/>
      <c r="D142" s="8"/>
      <c r="E142" s="8"/>
      <c r="F142" s="8"/>
      <c r="G142" s="9"/>
      <c r="H142" s="10" t="s">
        <v>715</v>
      </c>
      <c r="I142" s="11"/>
      <c r="J142" s="11"/>
      <c r="K142" s="27">
        <f>SUM(K140:K141)</f>
        <v>143250</v>
      </c>
    </row>
    <row r="143" spans="1:11" ht="12.9" customHeight="1" x14ac:dyDescent="0.25">
      <c r="A143" s="6"/>
      <c r="B143" s="5"/>
      <c r="C143" s="3"/>
      <c r="D143" s="3"/>
      <c r="E143" s="3"/>
      <c r="F143" s="3"/>
      <c r="G143" s="4"/>
      <c r="H143" s="12" t="s">
        <v>603</v>
      </c>
      <c r="I143" s="28">
        <f>$K$3</f>
        <v>0.15</v>
      </c>
      <c r="J143" s="38"/>
      <c r="K143" s="29">
        <f>I143*K142</f>
        <v>21487.5</v>
      </c>
    </row>
    <row r="144" spans="1:11" ht="12.9" customHeight="1" x14ac:dyDescent="0.25">
      <c r="A144" s="6"/>
      <c r="B144" s="5"/>
      <c r="C144" s="3"/>
      <c r="D144" s="3"/>
      <c r="E144" s="3"/>
      <c r="F144" s="3"/>
      <c r="G144" s="4"/>
      <c r="H144" s="12" t="s">
        <v>604</v>
      </c>
      <c r="I144" s="14"/>
      <c r="J144" s="14"/>
      <c r="K144" s="29">
        <f>SUM(K142:K143)</f>
        <v>164737.5</v>
      </c>
    </row>
    <row r="145" spans="1:11" ht="12.9" customHeight="1" thickBot="1" x14ac:dyDescent="0.3">
      <c r="A145" s="15"/>
      <c r="B145" s="16"/>
      <c r="C145" s="17"/>
      <c r="D145" s="17"/>
      <c r="E145" s="17"/>
      <c r="F145" s="17"/>
      <c r="G145" s="18"/>
      <c r="H145" s="46" t="s">
        <v>605</v>
      </c>
      <c r="I145" s="47"/>
      <c r="J145" s="47"/>
      <c r="K145" s="144">
        <f>ROUND(K144,-1)</f>
        <v>164740</v>
      </c>
    </row>
    <row r="146" spans="1:11" ht="14.1" customHeight="1" x14ac:dyDescent="0.25">
      <c r="A146" s="81">
        <v>14</v>
      </c>
      <c r="B146" s="699" t="s">
        <v>1692</v>
      </c>
      <c r="C146" s="700"/>
      <c r="D146" s="137" t="s">
        <v>1689</v>
      </c>
      <c r="E146" s="138"/>
      <c r="F146" s="139"/>
      <c r="G146" s="139"/>
      <c r="H146" s="140"/>
      <c r="I146" s="141"/>
      <c r="J146" s="142"/>
      <c r="K146" s="143"/>
    </row>
    <row r="147" spans="1:11" ht="13.2" customHeight="1" x14ac:dyDescent="0.25">
      <c r="A147" s="2"/>
      <c r="B147" s="20" t="s">
        <v>4</v>
      </c>
      <c r="C147" s="21" t="s">
        <v>1690</v>
      </c>
      <c r="D147" s="14"/>
      <c r="E147" s="22"/>
      <c r="F147" s="23"/>
      <c r="G147" s="23"/>
      <c r="H147" s="24" t="s">
        <v>203</v>
      </c>
      <c r="I147" s="45">
        <v>1</v>
      </c>
      <c r="J147" s="25">
        <f>'Harga Satuan Dasar mat'!G781</f>
        <v>1889000</v>
      </c>
      <c r="K147" s="26">
        <f>I147*J147</f>
        <v>1889000</v>
      </c>
    </row>
    <row r="148" spans="1:11" ht="13.2" customHeight="1" x14ac:dyDescent="0.25">
      <c r="A148" s="2"/>
      <c r="B148" s="20" t="s">
        <v>30</v>
      </c>
      <c r="C148" s="21" t="s">
        <v>1644</v>
      </c>
      <c r="D148" s="14"/>
      <c r="E148" s="22"/>
      <c r="F148" s="23"/>
      <c r="G148" s="23"/>
      <c r="H148" s="24" t="s">
        <v>203</v>
      </c>
      <c r="I148" s="45">
        <v>2</v>
      </c>
      <c r="J148" s="25">
        <f>'Harga Satuan Dasar mat'!G782</f>
        <v>295500</v>
      </c>
      <c r="K148" s="26">
        <f t="shared" ref="K148:K150" si="12">I148*J148</f>
        <v>591000</v>
      </c>
    </row>
    <row r="149" spans="1:11" ht="13.2" customHeight="1" x14ac:dyDescent="0.25">
      <c r="A149" s="2"/>
      <c r="B149" s="20" t="s">
        <v>57</v>
      </c>
      <c r="C149" s="21" t="s">
        <v>1691</v>
      </c>
      <c r="D149" s="14"/>
      <c r="E149" s="22"/>
      <c r="F149" s="23"/>
      <c r="G149" s="23"/>
      <c r="H149" s="24" t="s">
        <v>203</v>
      </c>
      <c r="I149" s="45">
        <v>1</v>
      </c>
      <c r="J149" s="25">
        <f>'Harga Satuan Dasar mat'!G783</f>
        <v>44000</v>
      </c>
      <c r="K149" s="26">
        <f t="shared" si="12"/>
        <v>44000</v>
      </c>
    </row>
    <row r="150" spans="1:11" ht="13.2" customHeight="1" x14ac:dyDescent="0.25">
      <c r="A150" s="2"/>
      <c r="B150" s="49" t="s">
        <v>83</v>
      </c>
      <c r="C150" s="50" t="s">
        <v>594</v>
      </c>
      <c r="D150" s="51"/>
      <c r="E150" s="52"/>
      <c r="F150" s="53"/>
      <c r="G150" s="53"/>
      <c r="H150" s="24" t="s">
        <v>203</v>
      </c>
      <c r="I150" s="66">
        <v>2</v>
      </c>
      <c r="J150" s="25">
        <f>'Harga Satuan Dasar mat'!G744</f>
        <v>18700</v>
      </c>
      <c r="K150" s="26">
        <f t="shared" si="12"/>
        <v>37400</v>
      </c>
    </row>
    <row r="151" spans="1:11" ht="12.9" customHeight="1" x14ac:dyDescent="0.25">
      <c r="A151" s="6"/>
      <c r="B151" s="7"/>
      <c r="C151" s="8"/>
      <c r="D151" s="8"/>
      <c r="E151" s="8"/>
      <c r="F151" s="8"/>
      <c r="G151" s="9"/>
      <c r="H151" s="10" t="s">
        <v>715</v>
      </c>
      <c r="I151" s="11"/>
      <c r="J151" s="11"/>
      <c r="K151" s="27">
        <f>SUM(K147:K150)</f>
        <v>2561400</v>
      </c>
    </row>
    <row r="152" spans="1:11" ht="12.9" customHeight="1" x14ac:dyDescent="0.25">
      <c r="A152" s="6"/>
      <c r="B152" s="5"/>
      <c r="C152" s="3"/>
      <c r="D152" s="3"/>
      <c r="E152" s="3"/>
      <c r="F152" s="3"/>
      <c r="G152" s="4"/>
      <c r="H152" s="12" t="s">
        <v>603</v>
      </c>
      <c r="I152" s="28">
        <f>$K$3</f>
        <v>0.15</v>
      </c>
      <c r="J152" s="38"/>
      <c r="K152" s="29">
        <f>I152*K151</f>
        <v>384210</v>
      </c>
    </row>
    <row r="153" spans="1:11" ht="12.9" customHeight="1" x14ac:dyDescent="0.25">
      <c r="A153" s="6"/>
      <c r="B153" s="5"/>
      <c r="C153" s="3"/>
      <c r="D153" s="3"/>
      <c r="E153" s="3"/>
      <c r="F153" s="3"/>
      <c r="G153" s="4"/>
      <c r="H153" s="12" t="s">
        <v>604</v>
      </c>
      <c r="I153" s="14"/>
      <c r="J153" s="14"/>
      <c r="K153" s="29">
        <f>SUM(K151:K152)</f>
        <v>2945610</v>
      </c>
    </row>
    <row r="154" spans="1:11" ht="12.9" customHeight="1" thickBot="1" x14ac:dyDescent="0.3">
      <c r="A154" s="15"/>
      <c r="B154" s="16"/>
      <c r="C154" s="17"/>
      <c r="D154" s="17"/>
      <c r="E154" s="17"/>
      <c r="F154" s="17"/>
      <c r="G154" s="18"/>
      <c r="H154" s="46" t="s">
        <v>605</v>
      </c>
      <c r="I154" s="47"/>
      <c r="J154" s="47"/>
      <c r="K154" s="144">
        <f>ROUND(K153,-1)</f>
        <v>2945610</v>
      </c>
    </row>
  </sheetData>
  <mergeCells count="23">
    <mergeCell ref="B128:C128"/>
    <mergeCell ref="B62:C62"/>
    <mergeCell ref="B73:C73"/>
    <mergeCell ref="B84:C84"/>
    <mergeCell ref="B95:C95"/>
    <mergeCell ref="B106:C106"/>
    <mergeCell ref="B117:C117"/>
    <mergeCell ref="B139:C139"/>
    <mergeCell ref="B146:C146"/>
    <mergeCell ref="A1:K1"/>
    <mergeCell ref="A4:A6"/>
    <mergeCell ref="B4:G6"/>
    <mergeCell ref="H4:H6"/>
    <mergeCell ref="I4:I6"/>
    <mergeCell ref="J4:K4"/>
    <mergeCell ref="J5:J6"/>
    <mergeCell ref="K5:K6"/>
    <mergeCell ref="A2:K2"/>
    <mergeCell ref="B7:C7"/>
    <mergeCell ref="B18:C18"/>
    <mergeCell ref="B29:C29"/>
    <mergeCell ref="B40:C40"/>
    <mergeCell ref="B51:C51"/>
  </mergeCells>
  <pageMargins left="0.47244094488188981" right="0.11811023622047245" top="0.35433070866141736" bottom="0.15748031496062992" header="0.31496062992125984" footer="0.31496062992125984"/>
  <pageSetup paperSize="9" scale="87" orientation="portrait" verticalDpi="0" r:id="rId1"/>
  <rowBreaks count="2" manualBreakCount="2">
    <brk id="61" max="16383" man="1"/>
    <brk id="12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A045-226D-428A-8DA2-7503D4F8F23F}">
  <sheetPr>
    <tabColor rgb="FFFFC000"/>
  </sheetPr>
  <dimension ref="A1:K1109"/>
  <sheetViews>
    <sheetView topLeftCell="A1071" zoomScaleNormal="100" zoomScaleSheetLayoutView="88" workbookViewId="0">
      <selection activeCell="K1111" sqref="K1111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3.8984375" bestFit="1" customWidth="1"/>
  </cols>
  <sheetData>
    <row r="1" spans="1:11" ht="14.4" x14ac:dyDescent="0.3">
      <c r="A1" s="655" t="s">
        <v>711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11" ht="14.4" x14ac:dyDescent="0.3">
      <c r="A2" s="655" t="s">
        <v>1444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</row>
    <row r="3" spans="1:11" ht="14.4" thickBot="1" x14ac:dyDescent="0.3">
      <c r="J3" s="282" t="s">
        <v>708</v>
      </c>
      <c r="K3" s="291">
        <v>0.15</v>
      </c>
    </row>
    <row r="4" spans="1:11" x14ac:dyDescent="0.25">
      <c r="A4" s="656" t="s">
        <v>0</v>
      </c>
      <c r="B4" s="659" t="s">
        <v>597</v>
      </c>
      <c r="C4" s="660"/>
      <c r="D4" s="660"/>
      <c r="E4" s="660"/>
      <c r="F4" s="660"/>
      <c r="G4" s="661"/>
      <c r="H4" s="668" t="s">
        <v>2</v>
      </c>
      <c r="I4" s="668" t="s">
        <v>3</v>
      </c>
      <c r="J4" s="671" t="s">
        <v>712</v>
      </c>
      <c r="K4" s="672"/>
    </row>
    <row r="5" spans="1:11" x14ac:dyDescent="0.25">
      <c r="A5" s="657"/>
      <c r="B5" s="662"/>
      <c r="C5" s="663"/>
      <c r="D5" s="663"/>
      <c r="E5" s="663"/>
      <c r="F5" s="663"/>
      <c r="G5" s="664"/>
      <c r="H5" s="669"/>
      <c r="I5" s="669"/>
      <c r="J5" s="673" t="s">
        <v>598</v>
      </c>
      <c r="K5" s="674" t="s">
        <v>617</v>
      </c>
    </row>
    <row r="6" spans="1:11" ht="14.4" thickBot="1" x14ac:dyDescent="0.3">
      <c r="A6" s="658"/>
      <c r="B6" s="665"/>
      <c r="C6" s="666"/>
      <c r="D6" s="666"/>
      <c r="E6" s="666"/>
      <c r="F6" s="666"/>
      <c r="G6" s="667"/>
      <c r="H6" s="670"/>
      <c r="I6" s="670"/>
      <c r="J6" s="670"/>
      <c r="K6" s="675"/>
    </row>
    <row r="7" spans="1:11" ht="14.1" customHeight="1" x14ac:dyDescent="0.25">
      <c r="A7" s="215">
        <v>1</v>
      </c>
      <c r="B7" s="651" t="s">
        <v>713</v>
      </c>
      <c r="C7" s="652"/>
      <c r="D7" s="216" t="s">
        <v>1024</v>
      </c>
      <c r="E7" s="217"/>
      <c r="F7" s="218"/>
      <c r="G7" s="218"/>
      <c r="H7" s="219"/>
      <c r="I7" s="220"/>
      <c r="J7" s="221"/>
      <c r="K7" s="222"/>
    </row>
    <row r="8" spans="1:11" ht="13.2" customHeight="1" x14ac:dyDescent="0.25">
      <c r="A8" s="223"/>
      <c r="B8" s="224" t="s">
        <v>4</v>
      </c>
      <c r="C8" s="225" t="s">
        <v>980</v>
      </c>
      <c r="D8" s="226"/>
      <c r="E8" s="44"/>
      <c r="F8" s="227"/>
      <c r="G8" s="227"/>
      <c r="H8" s="228" t="s">
        <v>235</v>
      </c>
      <c r="I8" s="263">
        <v>1</v>
      </c>
      <c r="J8" s="60">
        <f>'Harga Satuan Dasar mat'!G147</f>
        <v>800000</v>
      </c>
      <c r="K8" s="230">
        <f>I8*J8</f>
        <v>800000</v>
      </c>
    </row>
    <row r="9" spans="1:11" ht="13.2" customHeight="1" x14ac:dyDescent="0.25">
      <c r="A9" s="223"/>
      <c r="B9" s="224" t="s">
        <v>30</v>
      </c>
      <c r="C9" s="225" t="s">
        <v>940</v>
      </c>
      <c r="D9" s="226"/>
      <c r="E9" s="44"/>
      <c r="F9" s="227"/>
      <c r="G9" s="227"/>
      <c r="H9" s="228" t="s">
        <v>203</v>
      </c>
      <c r="I9" s="253">
        <v>1</v>
      </c>
      <c r="J9" s="60">
        <f>'Harga Satuan Dasar mat'!G25</f>
        <v>110000</v>
      </c>
      <c r="K9" s="230">
        <f t="shared" ref="K9:K12" si="0">I9*J9</f>
        <v>110000</v>
      </c>
    </row>
    <row r="10" spans="1:11" ht="13.2" customHeight="1" x14ac:dyDescent="0.25">
      <c r="A10" s="223"/>
      <c r="B10" s="224" t="s">
        <v>57</v>
      </c>
      <c r="C10" s="225" t="s">
        <v>979</v>
      </c>
      <c r="D10" s="226"/>
      <c r="E10" s="44"/>
      <c r="F10" s="227"/>
      <c r="G10" s="227"/>
      <c r="H10" s="228" t="s">
        <v>203</v>
      </c>
      <c r="I10" s="253">
        <v>7</v>
      </c>
      <c r="J10" s="60">
        <f>'Harga Satuan Dasar mat'!G252</f>
        <v>14000</v>
      </c>
      <c r="K10" s="230">
        <f t="shared" si="0"/>
        <v>98000</v>
      </c>
    </row>
    <row r="11" spans="1:11" ht="13.2" customHeight="1" x14ac:dyDescent="0.25">
      <c r="A11" s="223"/>
      <c r="B11" s="224" t="s">
        <v>83</v>
      </c>
      <c r="C11" s="225" t="s">
        <v>997</v>
      </c>
      <c r="D11" s="226"/>
      <c r="E11" s="44"/>
      <c r="F11" s="227"/>
      <c r="G11" s="227"/>
      <c r="H11" s="264" t="s">
        <v>203</v>
      </c>
      <c r="I11" s="253">
        <v>2</v>
      </c>
      <c r="J11" s="265">
        <f>'Harga Satuan Dasar mat'!G203</f>
        <v>283250</v>
      </c>
      <c r="K11" s="230">
        <f t="shared" si="0"/>
        <v>566500</v>
      </c>
    </row>
    <row r="12" spans="1:11" ht="13.2" customHeight="1" x14ac:dyDescent="0.25">
      <c r="A12" s="223"/>
      <c r="B12" s="266" t="s">
        <v>110</v>
      </c>
      <c r="C12" s="267" t="s">
        <v>1000</v>
      </c>
      <c r="D12" s="268"/>
      <c r="E12" s="269"/>
      <c r="F12" s="270"/>
      <c r="G12" s="270"/>
      <c r="H12" s="271" t="s">
        <v>203</v>
      </c>
      <c r="I12" s="261">
        <v>1</v>
      </c>
      <c r="J12" s="272">
        <f>'Harga Satuan Dasar mat'!G104</f>
        <v>221500</v>
      </c>
      <c r="K12" s="273">
        <f t="shared" si="0"/>
        <v>221500</v>
      </c>
    </row>
    <row r="13" spans="1:11" ht="12.9" customHeight="1" x14ac:dyDescent="0.25">
      <c r="A13" s="58"/>
      <c r="B13" s="231"/>
      <c r="C13" s="232"/>
      <c r="D13" s="232"/>
      <c r="E13" s="232"/>
      <c r="F13" s="232"/>
      <c r="G13" s="233"/>
      <c r="H13" s="234" t="s">
        <v>715</v>
      </c>
      <c r="I13" s="235"/>
      <c r="J13" s="235"/>
      <c r="K13" s="236">
        <f>SUM(K8:K12)</f>
        <v>1796000</v>
      </c>
    </row>
    <row r="14" spans="1:11" ht="12.9" customHeight="1" x14ac:dyDescent="0.25">
      <c r="A14" s="58"/>
      <c r="B14" s="59"/>
      <c r="C14" s="56"/>
      <c r="D14" s="56"/>
      <c r="E14" s="56"/>
      <c r="F14" s="56"/>
      <c r="G14" s="237"/>
      <c r="H14" s="238" t="s">
        <v>603</v>
      </c>
      <c r="I14" s="239">
        <f>$K$3</f>
        <v>0.15</v>
      </c>
      <c r="J14" s="240"/>
      <c r="K14" s="241">
        <f>I14*K13</f>
        <v>269400</v>
      </c>
    </row>
    <row r="15" spans="1:11" ht="12.9" customHeight="1" x14ac:dyDescent="0.25">
      <c r="A15" s="58"/>
      <c r="B15" s="59"/>
      <c r="C15" s="56"/>
      <c r="D15" s="56"/>
      <c r="E15" s="56"/>
      <c r="F15" s="56"/>
      <c r="G15" s="237"/>
      <c r="H15" s="238" t="s">
        <v>604</v>
      </c>
      <c r="I15" s="226"/>
      <c r="J15" s="226"/>
      <c r="K15" s="241">
        <f>SUM(K13:K14)</f>
        <v>2065400</v>
      </c>
    </row>
    <row r="16" spans="1:11" ht="12.9" customHeight="1" thickBot="1" x14ac:dyDescent="0.3">
      <c r="A16" s="242"/>
      <c r="B16" s="243"/>
      <c r="C16" s="244"/>
      <c r="D16" s="244"/>
      <c r="E16" s="244"/>
      <c r="F16" s="244"/>
      <c r="G16" s="245"/>
      <c r="H16" s="246" t="s">
        <v>605</v>
      </c>
      <c r="I16" s="247"/>
      <c r="J16" s="247"/>
      <c r="K16" s="248">
        <f>ROUND(K15,-1)</f>
        <v>2065400</v>
      </c>
    </row>
    <row r="17" spans="1:11" ht="14.1" customHeight="1" x14ac:dyDescent="0.25">
      <c r="A17" s="215">
        <v>2</v>
      </c>
      <c r="B17" s="651" t="s">
        <v>713</v>
      </c>
      <c r="C17" s="652"/>
      <c r="D17" s="216" t="s">
        <v>1025</v>
      </c>
      <c r="E17" s="217"/>
      <c r="F17" s="218"/>
      <c r="G17" s="218"/>
      <c r="H17" s="219"/>
      <c r="I17" s="220"/>
      <c r="J17" s="221"/>
      <c r="K17" s="222"/>
    </row>
    <row r="18" spans="1:11" ht="13.2" customHeight="1" x14ac:dyDescent="0.25">
      <c r="A18" s="223"/>
      <c r="B18" s="224" t="s">
        <v>4</v>
      </c>
      <c r="C18" s="225" t="s">
        <v>980</v>
      </c>
      <c r="D18" s="226"/>
      <c r="E18" s="44"/>
      <c r="F18" s="227"/>
      <c r="G18" s="227"/>
      <c r="H18" s="228" t="s">
        <v>235</v>
      </c>
      <c r="I18" s="263">
        <v>1</v>
      </c>
      <c r="J18" s="60">
        <f>J8</f>
        <v>800000</v>
      </c>
      <c r="K18" s="230">
        <f>I18*J18</f>
        <v>800000</v>
      </c>
    </row>
    <row r="19" spans="1:11" ht="13.2" customHeight="1" x14ac:dyDescent="0.25">
      <c r="A19" s="223"/>
      <c r="B19" s="224" t="s">
        <v>30</v>
      </c>
      <c r="C19" s="225" t="s">
        <v>838</v>
      </c>
      <c r="D19" s="226"/>
      <c r="E19" s="44"/>
      <c r="F19" s="227"/>
      <c r="G19" s="227"/>
      <c r="H19" s="228" t="s">
        <v>203</v>
      </c>
      <c r="I19" s="253">
        <v>1</v>
      </c>
      <c r="J19" s="60">
        <f>'Harga Satuan Dasar mat'!G26</f>
        <v>115000</v>
      </c>
      <c r="K19" s="230">
        <f t="shared" ref="K19:K22" si="1">I19*J19</f>
        <v>115000</v>
      </c>
    </row>
    <row r="20" spans="1:11" ht="13.2" customHeight="1" x14ac:dyDescent="0.25">
      <c r="A20" s="223"/>
      <c r="B20" s="224" t="s">
        <v>57</v>
      </c>
      <c r="C20" s="225" t="s">
        <v>979</v>
      </c>
      <c r="D20" s="226"/>
      <c r="E20" s="44"/>
      <c r="F20" s="227"/>
      <c r="G20" s="227"/>
      <c r="H20" s="228" t="s">
        <v>203</v>
      </c>
      <c r="I20" s="253">
        <v>7</v>
      </c>
      <c r="J20" s="60">
        <f>J10</f>
        <v>14000</v>
      </c>
      <c r="K20" s="230">
        <f t="shared" si="1"/>
        <v>98000</v>
      </c>
    </row>
    <row r="21" spans="1:11" ht="13.2" customHeight="1" x14ac:dyDescent="0.25">
      <c r="A21" s="223"/>
      <c r="B21" s="224" t="s">
        <v>83</v>
      </c>
      <c r="C21" s="225" t="s">
        <v>997</v>
      </c>
      <c r="D21" s="226"/>
      <c r="E21" s="44"/>
      <c r="F21" s="227"/>
      <c r="G21" s="227"/>
      <c r="H21" s="264" t="s">
        <v>203</v>
      </c>
      <c r="I21" s="253">
        <v>2</v>
      </c>
      <c r="J21" s="265">
        <f>J11</f>
        <v>283250</v>
      </c>
      <c r="K21" s="230">
        <f t="shared" si="1"/>
        <v>566500</v>
      </c>
    </row>
    <row r="22" spans="1:11" ht="13.2" customHeight="1" x14ac:dyDescent="0.25">
      <c r="A22" s="223"/>
      <c r="B22" s="266" t="s">
        <v>110</v>
      </c>
      <c r="C22" s="267" t="s">
        <v>1000</v>
      </c>
      <c r="D22" s="268"/>
      <c r="E22" s="269"/>
      <c r="F22" s="270"/>
      <c r="G22" s="270"/>
      <c r="H22" s="271" t="s">
        <v>203</v>
      </c>
      <c r="I22" s="261">
        <v>1</v>
      </c>
      <c r="J22" s="272">
        <f>J12</f>
        <v>221500</v>
      </c>
      <c r="K22" s="273">
        <f t="shared" si="1"/>
        <v>221500</v>
      </c>
    </row>
    <row r="23" spans="1:11" ht="12.9" customHeight="1" x14ac:dyDescent="0.25">
      <c r="A23" s="58"/>
      <c r="B23" s="231"/>
      <c r="C23" s="232"/>
      <c r="D23" s="232"/>
      <c r="E23" s="232"/>
      <c r="F23" s="232"/>
      <c r="G23" s="233"/>
      <c r="H23" s="234" t="s">
        <v>715</v>
      </c>
      <c r="I23" s="235"/>
      <c r="J23" s="235"/>
      <c r="K23" s="236">
        <f>SUM(K18:K22)</f>
        <v>1801000</v>
      </c>
    </row>
    <row r="24" spans="1:11" ht="12.9" customHeight="1" x14ac:dyDescent="0.25">
      <c r="A24" s="58"/>
      <c r="B24" s="59"/>
      <c r="C24" s="56"/>
      <c r="D24" s="56"/>
      <c r="E24" s="56"/>
      <c r="F24" s="56"/>
      <c r="G24" s="237"/>
      <c r="H24" s="238" t="s">
        <v>603</v>
      </c>
      <c r="I24" s="239">
        <f>$K$3</f>
        <v>0.15</v>
      </c>
      <c r="J24" s="240"/>
      <c r="K24" s="241">
        <f>I24*K23</f>
        <v>270150</v>
      </c>
    </row>
    <row r="25" spans="1:11" ht="12.9" customHeight="1" x14ac:dyDescent="0.25">
      <c r="A25" s="58"/>
      <c r="B25" s="59"/>
      <c r="C25" s="56"/>
      <c r="D25" s="56"/>
      <c r="E25" s="56"/>
      <c r="F25" s="56"/>
      <c r="G25" s="237"/>
      <c r="H25" s="238" t="s">
        <v>604</v>
      </c>
      <c r="I25" s="226"/>
      <c r="J25" s="226"/>
      <c r="K25" s="241">
        <f>SUM(K23:K24)</f>
        <v>2071150</v>
      </c>
    </row>
    <row r="26" spans="1:11" ht="12.9" customHeight="1" thickBot="1" x14ac:dyDescent="0.3">
      <c r="A26" s="242"/>
      <c r="B26" s="243"/>
      <c r="C26" s="244"/>
      <c r="D26" s="244"/>
      <c r="E26" s="244"/>
      <c r="F26" s="244"/>
      <c r="G26" s="245"/>
      <c r="H26" s="246" t="s">
        <v>605</v>
      </c>
      <c r="I26" s="247"/>
      <c r="J26" s="247"/>
      <c r="K26" s="248">
        <f>ROUND(K25,-1)</f>
        <v>2071150</v>
      </c>
    </row>
    <row r="27" spans="1:11" ht="14.1" customHeight="1" x14ac:dyDescent="0.25">
      <c r="A27" s="215">
        <v>3</v>
      </c>
      <c r="B27" s="651" t="s">
        <v>713</v>
      </c>
      <c r="C27" s="652"/>
      <c r="D27" s="216" t="s">
        <v>1026</v>
      </c>
      <c r="E27" s="217"/>
      <c r="F27" s="218"/>
      <c r="G27" s="218"/>
      <c r="H27" s="219"/>
      <c r="I27" s="220"/>
      <c r="J27" s="221"/>
      <c r="K27" s="222"/>
    </row>
    <row r="28" spans="1:11" ht="13.2" customHeight="1" x14ac:dyDescent="0.25">
      <c r="A28" s="223"/>
      <c r="B28" s="224" t="s">
        <v>4</v>
      </c>
      <c r="C28" s="225" t="s">
        <v>980</v>
      </c>
      <c r="D28" s="226"/>
      <c r="E28" s="44"/>
      <c r="F28" s="227"/>
      <c r="G28" s="227"/>
      <c r="H28" s="228" t="s">
        <v>235</v>
      </c>
      <c r="I28" s="263">
        <v>1</v>
      </c>
      <c r="J28" s="60">
        <f>J18</f>
        <v>800000</v>
      </c>
      <c r="K28" s="230">
        <f>I28*J28</f>
        <v>800000</v>
      </c>
    </row>
    <row r="29" spans="1:11" ht="13.2" customHeight="1" x14ac:dyDescent="0.25">
      <c r="A29" s="223"/>
      <c r="B29" s="224" t="s">
        <v>30</v>
      </c>
      <c r="C29" s="225" t="s">
        <v>839</v>
      </c>
      <c r="D29" s="226"/>
      <c r="E29" s="44"/>
      <c r="F29" s="227"/>
      <c r="G29" s="227"/>
      <c r="H29" s="228" t="s">
        <v>203</v>
      </c>
      <c r="I29" s="253">
        <v>1</v>
      </c>
      <c r="J29" s="60">
        <f>'Harga Satuan Dasar mat'!G22</f>
        <v>95500</v>
      </c>
      <c r="K29" s="230">
        <f t="shared" ref="K29:K32" si="2">I29*J29</f>
        <v>95500</v>
      </c>
    </row>
    <row r="30" spans="1:11" ht="13.2" customHeight="1" x14ac:dyDescent="0.25">
      <c r="A30" s="223"/>
      <c r="B30" s="224" t="s">
        <v>57</v>
      </c>
      <c r="C30" s="225" t="s">
        <v>979</v>
      </c>
      <c r="D30" s="226"/>
      <c r="E30" s="44"/>
      <c r="F30" s="227"/>
      <c r="G30" s="227"/>
      <c r="H30" s="228" t="s">
        <v>203</v>
      </c>
      <c r="I30" s="253">
        <v>7</v>
      </c>
      <c r="J30" s="60">
        <f>J20</f>
        <v>14000</v>
      </c>
      <c r="K30" s="230">
        <f t="shared" si="2"/>
        <v>98000</v>
      </c>
    </row>
    <row r="31" spans="1:11" ht="13.2" customHeight="1" x14ac:dyDescent="0.25">
      <c r="A31" s="223"/>
      <c r="B31" s="224" t="s">
        <v>83</v>
      </c>
      <c r="C31" s="225" t="s">
        <v>997</v>
      </c>
      <c r="D31" s="226"/>
      <c r="E31" s="44"/>
      <c r="F31" s="227"/>
      <c r="G31" s="227"/>
      <c r="H31" s="264" t="s">
        <v>203</v>
      </c>
      <c r="I31" s="253">
        <v>2</v>
      </c>
      <c r="J31" s="265">
        <f>J21</f>
        <v>283250</v>
      </c>
      <c r="K31" s="230">
        <f t="shared" si="2"/>
        <v>566500</v>
      </c>
    </row>
    <row r="32" spans="1:11" ht="13.2" customHeight="1" x14ac:dyDescent="0.25">
      <c r="A32" s="223"/>
      <c r="B32" s="266" t="s">
        <v>110</v>
      </c>
      <c r="C32" s="267" t="s">
        <v>1001</v>
      </c>
      <c r="D32" s="268"/>
      <c r="E32" s="269"/>
      <c r="F32" s="270"/>
      <c r="G32" s="270"/>
      <c r="H32" s="271" t="s">
        <v>203</v>
      </c>
      <c r="I32" s="261">
        <v>1</v>
      </c>
      <c r="J32" s="272">
        <f>'Harga Satuan Dasar mat'!G100</f>
        <v>184000</v>
      </c>
      <c r="K32" s="273">
        <f t="shared" si="2"/>
        <v>184000</v>
      </c>
    </row>
    <row r="33" spans="1:11" ht="12.9" customHeight="1" x14ac:dyDescent="0.25">
      <c r="A33" s="58"/>
      <c r="B33" s="231"/>
      <c r="C33" s="232"/>
      <c r="D33" s="232"/>
      <c r="E33" s="232"/>
      <c r="F33" s="232"/>
      <c r="G33" s="233"/>
      <c r="H33" s="234" t="s">
        <v>715</v>
      </c>
      <c r="I33" s="235"/>
      <c r="J33" s="235"/>
      <c r="K33" s="236">
        <f>SUM(K28:K32)</f>
        <v>1744000</v>
      </c>
    </row>
    <row r="34" spans="1:11" ht="12.9" customHeight="1" x14ac:dyDescent="0.25">
      <c r="A34" s="58"/>
      <c r="B34" s="59"/>
      <c r="C34" s="56"/>
      <c r="D34" s="56"/>
      <c r="E34" s="56"/>
      <c r="F34" s="56"/>
      <c r="G34" s="237"/>
      <c r="H34" s="238" t="s">
        <v>603</v>
      </c>
      <c r="I34" s="239">
        <f>$K$3</f>
        <v>0.15</v>
      </c>
      <c r="J34" s="240"/>
      <c r="K34" s="241">
        <f>I34*K33</f>
        <v>261600</v>
      </c>
    </row>
    <row r="35" spans="1:11" ht="12.9" customHeight="1" x14ac:dyDescent="0.25">
      <c r="A35" s="58"/>
      <c r="B35" s="59"/>
      <c r="C35" s="56"/>
      <c r="D35" s="56"/>
      <c r="E35" s="56"/>
      <c r="F35" s="56"/>
      <c r="G35" s="237"/>
      <c r="H35" s="238" t="s">
        <v>604</v>
      </c>
      <c r="I35" s="226"/>
      <c r="J35" s="226"/>
      <c r="K35" s="241">
        <f>SUM(K33:K34)</f>
        <v>2005600</v>
      </c>
    </row>
    <row r="36" spans="1:11" ht="12.9" customHeight="1" thickBot="1" x14ac:dyDescent="0.3">
      <c r="A36" s="242"/>
      <c r="B36" s="243"/>
      <c r="C36" s="244"/>
      <c r="D36" s="244"/>
      <c r="E36" s="244"/>
      <c r="F36" s="244"/>
      <c r="G36" s="245"/>
      <c r="H36" s="246" t="s">
        <v>605</v>
      </c>
      <c r="I36" s="247"/>
      <c r="J36" s="247"/>
      <c r="K36" s="248">
        <f>ROUND(K35,-1)</f>
        <v>2005600</v>
      </c>
    </row>
    <row r="37" spans="1:11" ht="14.1" customHeight="1" x14ac:dyDescent="0.25">
      <c r="A37" s="215">
        <v>4</v>
      </c>
      <c r="B37" s="651" t="s">
        <v>713</v>
      </c>
      <c r="C37" s="652"/>
      <c r="D37" s="216" t="s">
        <v>1027</v>
      </c>
      <c r="E37" s="217"/>
      <c r="F37" s="218"/>
      <c r="G37" s="218"/>
      <c r="H37" s="219"/>
      <c r="I37" s="220"/>
      <c r="J37" s="221"/>
      <c r="K37" s="222"/>
    </row>
    <row r="38" spans="1:11" ht="13.2" customHeight="1" x14ac:dyDescent="0.25">
      <c r="A38" s="223"/>
      <c r="B38" s="224" t="s">
        <v>4</v>
      </c>
      <c r="C38" s="225" t="s">
        <v>980</v>
      </c>
      <c r="D38" s="226"/>
      <c r="E38" s="44"/>
      <c r="F38" s="227"/>
      <c r="G38" s="227"/>
      <c r="H38" s="228" t="s">
        <v>235</v>
      </c>
      <c r="I38" s="263">
        <v>1</v>
      </c>
      <c r="J38" s="60">
        <f>J28</f>
        <v>800000</v>
      </c>
      <c r="K38" s="230">
        <f>I38*J38</f>
        <v>800000</v>
      </c>
    </row>
    <row r="39" spans="1:11" ht="13.2" customHeight="1" x14ac:dyDescent="0.25">
      <c r="A39" s="223"/>
      <c r="B39" s="224" t="s">
        <v>30</v>
      </c>
      <c r="C39" s="225" t="s">
        <v>840</v>
      </c>
      <c r="D39" s="226"/>
      <c r="E39" s="44"/>
      <c r="F39" s="227"/>
      <c r="G39" s="227"/>
      <c r="H39" s="228" t="s">
        <v>203</v>
      </c>
      <c r="I39" s="253">
        <v>1</v>
      </c>
      <c r="J39" s="60">
        <f>'Harga Satuan Dasar mat'!G20</f>
        <v>85000</v>
      </c>
      <c r="K39" s="230">
        <f t="shared" ref="K39:K42" si="3">I39*J39</f>
        <v>85000</v>
      </c>
    </row>
    <row r="40" spans="1:11" ht="13.2" customHeight="1" x14ac:dyDescent="0.25">
      <c r="A40" s="223"/>
      <c r="B40" s="224" t="s">
        <v>57</v>
      </c>
      <c r="C40" s="225" t="s">
        <v>979</v>
      </c>
      <c r="D40" s="226"/>
      <c r="E40" s="44"/>
      <c r="F40" s="227"/>
      <c r="G40" s="227"/>
      <c r="H40" s="228" t="s">
        <v>203</v>
      </c>
      <c r="I40" s="253">
        <v>7</v>
      </c>
      <c r="J40" s="60">
        <f>J30</f>
        <v>14000</v>
      </c>
      <c r="K40" s="230">
        <f t="shared" si="3"/>
        <v>98000</v>
      </c>
    </row>
    <row r="41" spans="1:11" ht="13.2" customHeight="1" x14ac:dyDescent="0.25">
      <c r="A41" s="223"/>
      <c r="B41" s="224" t="s">
        <v>83</v>
      </c>
      <c r="C41" s="225" t="s">
        <v>997</v>
      </c>
      <c r="D41" s="226"/>
      <c r="E41" s="44"/>
      <c r="F41" s="227"/>
      <c r="G41" s="227"/>
      <c r="H41" s="264" t="s">
        <v>203</v>
      </c>
      <c r="I41" s="253">
        <v>2</v>
      </c>
      <c r="J41" s="265">
        <f>J31</f>
        <v>283250</v>
      </c>
      <c r="K41" s="230">
        <f t="shared" si="3"/>
        <v>566500</v>
      </c>
    </row>
    <row r="42" spans="1:11" ht="13.2" customHeight="1" x14ac:dyDescent="0.25">
      <c r="A42" s="223"/>
      <c r="B42" s="266" t="s">
        <v>110</v>
      </c>
      <c r="C42" s="267" t="s">
        <v>1002</v>
      </c>
      <c r="D42" s="268"/>
      <c r="E42" s="269"/>
      <c r="F42" s="270"/>
      <c r="G42" s="270"/>
      <c r="H42" s="271" t="s">
        <v>203</v>
      </c>
      <c r="I42" s="261">
        <v>1</v>
      </c>
      <c r="J42" s="272">
        <f>'Harga Satuan Dasar mat'!G98</f>
        <v>164500</v>
      </c>
      <c r="K42" s="273">
        <f t="shared" si="3"/>
        <v>164500</v>
      </c>
    </row>
    <row r="43" spans="1:11" ht="12.9" customHeight="1" x14ac:dyDescent="0.25">
      <c r="A43" s="58"/>
      <c r="B43" s="231"/>
      <c r="C43" s="232"/>
      <c r="D43" s="232"/>
      <c r="E43" s="232"/>
      <c r="F43" s="232"/>
      <c r="G43" s="233"/>
      <c r="H43" s="234" t="s">
        <v>715</v>
      </c>
      <c r="I43" s="235"/>
      <c r="J43" s="235"/>
      <c r="K43" s="236">
        <f>SUM(K38:K42)</f>
        <v>1714000</v>
      </c>
    </row>
    <row r="44" spans="1:11" ht="12.9" customHeight="1" x14ac:dyDescent="0.25">
      <c r="A44" s="58"/>
      <c r="B44" s="59"/>
      <c r="C44" s="56"/>
      <c r="D44" s="56"/>
      <c r="E44" s="56"/>
      <c r="F44" s="56"/>
      <c r="G44" s="237"/>
      <c r="H44" s="238" t="s">
        <v>603</v>
      </c>
      <c r="I44" s="239">
        <f>$K$3</f>
        <v>0.15</v>
      </c>
      <c r="J44" s="240"/>
      <c r="K44" s="241">
        <f>I44*K43</f>
        <v>257100</v>
      </c>
    </row>
    <row r="45" spans="1:11" ht="12.9" customHeight="1" x14ac:dyDescent="0.25">
      <c r="A45" s="58"/>
      <c r="B45" s="59"/>
      <c r="C45" s="56"/>
      <c r="D45" s="56"/>
      <c r="E45" s="56"/>
      <c r="F45" s="56"/>
      <c r="G45" s="237"/>
      <c r="H45" s="238" t="s">
        <v>604</v>
      </c>
      <c r="I45" s="226"/>
      <c r="J45" s="226"/>
      <c r="K45" s="241">
        <f>SUM(K43:K44)</f>
        <v>1971100</v>
      </c>
    </row>
    <row r="46" spans="1:11" ht="12.9" customHeight="1" thickBot="1" x14ac:dyDescent="0.3">
      <c r="A46" s="242"/>
      <c r="B46" s="243"/>
      <c r="C46" s="244"/>
      <c r="D46" s="244"/>
      <c r="E46" s="244"/>
      <c r="F46" s="244"/>
      <c r="G46" s="245"/>
      <c r="H46" s="246" t="s">
        <v>605</v>
      </c>
      <c r="I46" s="247"/>
      <c r="J46" s="247"/>
      <c r="K46" s="248">
        <f>ROUND(K45,-1)</f>
        <v>1971100</v>
      </c>
    </row>
    <row r="47" spans="1:11" ht="14.1" customHeight="1" x14ac:dyDescent="0.25">
      <c r="A47" s="215">
        <v>5</v>
      </c>
      <c r="B47" s="651" t="s">
        <v>713</v>
      </c>
      <c r="C47" s="652"/>
      <c r="D47" s="216" t="s">
        <v>1028</v>
      </c>
      <c r="E47" s="217"/>
      <c r="F47" s="218"/>
      <c r="G47" s="218"/>
      <c r="H47" s="219"/>
      <c r="I47" s="220"/>
      <c r="J47" s="221"/>
      <c r="K47" s="222"/>
    </row>
    <row r="48" spans="1:11" ht="13.2" customHeight="1" x14ac:dyDescent="0.25">
      <c r="A48" s="223"/>
      <c r="B48" s="224" t="s">
        <v>4</v>
      </c>
      <c r="C48" s="225" t="s">
        <v>980</v>
      </c>
      <c r="D48" s="226"/>
      <c r="E48" s="44"/>
      <c r="F48" s="227"/>
      <c r="G48" s="227"/>
      <c r="H48" s="228" t="s">
        <v>235</v>
      </c>
      <c r="I48" s="263">
        <v>1</v>
      </c>
      <c r="J48" s="60">
        <f>J38</f>
        <v>800000</v>
      </c>
      <c r="K48" s="230">
        <f>I48*J48</f>
        <v>800000</v>
      </c>
    </row>
    <row r="49" spans="1:11" ht="13.2" customHeight="1" x14ac:dyDescent="0.25">
      <c r="A49" s="223"/>
      <c r="B49" s="224" t="s">
        <v>30</v>
      </c>
      <c r="C49" s="225" t="s">
        <v>940</v>
      </c>
      <c r="D49" s="226"/>
      <c r="E49" s="44"/>
      <c r="F49" s="227"/>
      <c r="G49" s="227"/>
      <c r="H49" s="228" t="s">
        <v>203</v>
      </c>
      <c r="I49" s="253">
        <v>2</v>
      </c>
      <c r="J49" s="60">
        <f>J9</f>
        <v>110000</v>
      </c>
      <c r="K49" s="230">
        <f t="shared" ref="K49:K50" si="4">I49*J49</f>
        <v>220000</v>
      </c>
    </row>
    <row r="50" spans="1:11" ht="13.2" customHeight="1" x14ac:dyDescent="0.25">
      <c r="A50" s="223"/>
      <c r="B50" s="224" t="s">
        <v>57</v>
      </c>
      <c r="C50" s="225" t="s">
        <v>979</v>
      </c>
      <c r="D50" s="226"/>
      <c r="E50" s="44"/>
      <c r="F50" s="227"/>
      <c r="G50" s="227"/>
      <c r="H50" s="228" t="s">
        <v>203</v>
      </c>
      <c r="I50" s="253">
        <v>4</v>
      </c>
      <c r="J50" s="60">
        <f>J40</f>
        <v>14000</v>
      </c>
      <c r="K50" s="230">
        <f t="shared" si="4"/>
        <v>56000</v>
      </c>
    </row>
    <row r="51" spans="1:11" ht="12.9" customHeight="1" x14ac:dyDescent="0.25">
      <c r="A51" s="58"/>
      <c r="B51" s="231"/>
      <c r="C51" s="232"/>
      <c r="D51" s="232"/>
      <c r="E51" s="232"/>
      <c r="F51" s="232"/>
      <c r="G51" s="233"/>
      <c r="H51" s="234" t="s">
        <v>715</v>
      </c>
      <c r="I51" s="235"/>
      <c r="J51" s="235"/>
      <c r="K51" s="236">
        <f>SUM(K48:K50)</f>
        <v>1076000</v>
      </c>
    </row>
    <row r="52" spans="1:11" ht="12.9" customHeight="1" x14ac:dyDescent="0.25">
      <c r="A52" s="58"/>
      <c r="B52" s="59"/>
      <c r="C52" s="56"/>
      <c r="D52" s="56"/>
      <c r="E52" s="56"/>
      <c r="F52" s="56"/>
      <c r="G52" s="237"/>
      <c r="H52" s="238" t="s">
        <v>603</v>
      </c>
      <c r="I52" s="239">
        <f>$K$3</f>
        <v>0.15</v>
      </c>
      <c r="J52" s="240"/>
      <c r="K52" s="241">
        <f>I52*K51</f>
        <v>161400</v>
      </c>
    </row>
    <row r="53" spans="1:11" ht="12.9" customHeight="1" x14ac:dyDescent="0.25">
      <c r="A53" s="58"/>
      <c r="B53" s="59"/>
      <c r="C53" s="56"/>
      <c r="D53" s="56"/>
      <c r="E53" s="56"/>
      <c r="F53" s="56"/>
      <c r="G53" s="237"/>
      <c r="H53" s="238" t="s">
        <v>604</v>
      </c>
      <c r="I53" s="226"/>
      <c r="J53" s="226"/>
      <c r="K53" s="241">
        <f>SUM(K51:K52)</f>
        <v>1237400</v>
      </c>
    </row>
    <row r="54" spans="1:11" ht="12.9" customHeight="1" thickBot="1" x14ac:dyDescent="0.3">
      <c r="A54" s="242"/>
      <c r="B54" s="243"/>
      <c r="C54" s="244"/>
      <c r="D54" s="244"/>
      <c r="E54" s="244"/>
      <c r="F54" s="244"/>
      <c r="G54" s="245"/>
      <c r="H54" s="246" t="s">
        <v>605</v>
      </c>
      <c r="I54" s="247"/>
      <c r="J54" s="247"/>
      <c r="K54" s="248">
        <f>ROUND(K53,-1)</f>
        <v>1237400</v>
      </c>
    </row>
    <row r="55" spans="1:11" ht="14.1" customHeight="1" x14ac:dyDescent="0.25">
      <c r="A55" s="215">
        <v>6</v>
      </c>
      <c r="B55" s="651" t="s">
        <v>713</v>
      </c>
      <c r="C55" s="652"/>
      <c r="D55" s="216" t="s">
        <v>1030</v>
      </c>
      <c r="E55" s="217"/>
      <c r="F55" s="218"/>
      <c r="G55" s="218"/>
      <c r="H55" s="219"/>
      <c r="I55" s="220"/>
      <c r="J55" s="221"/>
      <c r="K55" s="222"/>
    </row>
    <row r="56" spans="1:11" ht="13.2" customHeight="1" x14ac:dyDescent="0.25">
      <c r="A56" s="223"/>
      <c r="B56" s="224" t="s">
        <v>4</v>
      </c>
      <c r="C56" s="225" t="s">
        <v>980</v>
      </c>
      <c r="D56" s="226"/>
      <c r="E56" s="44"/>
      <c r="F56" s="227"/>
      <c r="G56" s="227"/>
      <c r="H56" s="228" t="s">
        <v>235</v>
      </c>
      <c r="I56" s="263">
        <v>1</v>
      </c>
      <c r="J56" s="60">
        <f>J48</f>
        <v>800000</v>
      </c>
      <c r="K56" s="230">
        <f>I56*J56</f>
        <v>800000</v>
      </c>
    </row>
    <row r="57" spans="1:11" ht="13.2" customHeight="1" x14ac:dyDescent="0.25">
      <c r="A57" s="223"/>
      <c r="B57" s="224" t="s">
        <v>30</v>
      </c>
      <c r="C57" s="225" t="s">
        <v>838</v>
      </c>
      <c r="D57" s="226"/>
      <c r="E57" s="44"/>
      <c r="F57" s="227"/>
      <c r="G57" s="227"/>
      <c r="H57" s="228" t="s">
        <v>203</v>
      </c>
      <c r="I57" s="253">
        <v>2</v>
      </c>
      <c r="J57" s="60">
        <f>J19</f>
        <v>115000</v>
      </c>
      <c r="K57" s="230">
        <f t="shared" ref="K57:K58" si="5">I57*J57</f>
        <v>230000</v>
      </c>
    </row>
    <row r="58" spans="1:11" ht="13.2" customHeight="1" x14ac:dyDescent="0.25">
      <c r="A58" s="223"/>
      <c r="B58" s="224" t="s">
        <v>57</v>
      </c>
      <c r="C58" s="225" t="s">
        <v>979</v>
      </c>
      <c r="D58" s="226"/>
      <c r="E58" s="44"/>
      <c r="F58" s="227"/>
      <c r="G58" s="227"/>
      <c r="H58" s="228" t="s">
        <v>203</v>
      </c>
      <c r="I58" s="253">
        <v>4</v>
      </c>
      <c r="J58" s="60">
        <f>J50</f>
        <v>14000</v>
      </c>
      <c r="K58" s="230">
        <f t="shared" si="5"/>
        <v>56000</v>
      </c>
    </row>
    <row r="59" spans="1:11" ht="12.9" customHeight="1" x14ac:dyDescent="0.25">
      <c r="A59" s="58"/>
      <c r="B59" s="231"/>
      <c r="C59" s="232"/>
      <c r="D59" s="232"/>
      <c r="E59" s="232"/>
      <c r="F59" s="232"/>
      <c r="G59" s="233"/>
      <c r="H59" s="234" t="s">
        <v>715</v>
      </c>
      <c r="I59" s="235"/>
      <c r="J59" s="235"/>
      <c r="K59" s="236">
        <f>SUM(K56:K58)</f>
        <v>1086000</v>
      </c>
    </row>
    <row r="60" spans="1:11" ht="12.9" customHeight="1" x14ac:dyDescent="0.25">
      <c r="A60" s="58"/>
      <c r="B60" s="59"/>
      <c r="C60" s="56"/>
      <c r="D60" s="56"/>
      <c r="E60" s="56"/>
      <c r="F60" s="56"/>
      <c r="G60" s="237"/>
      <c r="H60" s="238" t="s">
        <v>603</v>
      </c>
      <c r="I60" s="239">
        <f>$K$3</f>
        <v>0.15</v>
      </c>
      <c r="J60" s="240"/>
      <c r="K60" s="241">
        <f>I60*K59</f>
        <v>162900</v>
      </c>
    </row>
    <row r="61" spans="1:11" ht="12.9" customHeight="1" x14ac:dyDescent="0.25">
      <c r="A61" s="58"/>
      <c r="B61" s="59"/>
      <c r="C61" s="56"/>
      <c r="D61" s="56"/>
      <c r="E61" s="56"/>
      <c r="F61" s="56"/>
      <c r="G61" s="237"/>
      <c r="H61" s="238" t="s">
        <v>604</v>
      </c>
      <c r="I61" s="226"/>
      <c r="J61" s="226"/>
      <c r="K61" s="241">
        <f>SUM(K59:K60)</f>
        <v>1248900</v>
      </c>
    </row>
    <row r="62" spans="1:11" ht="12.9" customHeight="1" thickBot="1" x14ac:dyDescent="0.3">
      <c r="A62" s="242"/>
      <c r="B62" s="243"/>
      <c r="C62" s="244"/>
      <c r="D62" s="244"/>
      <c r="E62" s="244"/>
      <c r="F62" s="244"/>
      <c r="G62" s="245"/>
      <c r="H62" s="246" t="s">
        <v>605</v>
      </c>
      <c r="I62" s="247"/>
      <c r="J62" s="247"/>
      <c r="K62" s="248">
        <f>ROUND(K61,-1)</f>
        <v>1248900</v>
      </c>
    </row>
    <row r="63" spans="1:11" ht="14.1" customHeight="1" x14ac:dyDescent="0.25">
      <c r="A63" s="215">
        <v>7</v>
      </c>
      <c r="B63" s="651" t="s">
        <v>713</v>
      </c>
      <c r="C63" s="652"/>
      <c r="D63" s="216" t="s">
        <v>1031</v>
      </c>
      <c r="E63" s="217"/>
      <c r="F63" s="218"/>
      <c r="G63" s="218"/>
      <c r="H63" s="219"/>
      <c r="I63" s="220"/>
      <c r="J63" s="221"/>
      <c r="K63" s="222"/>
    </row>
    <row r="64" spans="1:11" ht="13.2" customHeight="1" x14ac:dyDescent="0.25">
      <c r="A64" s="223"/>
      <c r="B64" s="224" t="s">
        <v>4</v>
      </c>
      <c r="C64" s="225" t="s">
        <v>980</v>
      </c>
      <c r="D64" s="226"/>
      <c r="E64" s="44"/>
      <c r="F64" s="227"/>
      <c r="G64" s="227"/>
      <c r="H64" s="228" t="s">
        <v>235</v>
      </c>
      <c r="I64" s="263">
        <v>1</v>
      </c>
      <c r="J64" s="60">
        <f>J56</f>
        <v>800000</v>
      </c>
      <c r="K64" s="230">
        <f>I64*J64</f>
        <v>800000</v>
      </c>
    </row>
    <row r="65" spans="1:11" ht="13.2" customHeight="1" x14ac:dyDescent="0.25">
      <c r="A65" s="223"/>
      <c r="B65" s="224" t="s">
        <v>30</v>
      </c>
      <c r="C65" s="225" t="s">
        <v>839</v>
      </c>
      <c r="D65" s="226"/>
      <c r="E65" s="44"/>
      <c r="F65" s="227"/>
      <c r="G65" s="227"/>
      <c r="H65" s="228" t="s">
        <v>203</v>
      </c>
      <c r="I65" s="253">
        <v>2</v>
      </c>
      <c r="J65" s="60">
        <f>J29</f>
        <v>95500</v>
      </c>
      <c r="K65" s="230">
        <f t="shared" ref="K65:K66" si="6">I65*J65</f>
        <v>191000</v>
      </c>
    </row>
    <row r="66" spans="1:11" ht="13.2" customHeight="1" x14ac:dyDescent="0.25">
      <c r="A66" s="223"/>
      <c r="B66" s="224" t="s">
        <v>57</v>
      </c>
      <c r="C66" s="225" t="s">
        <v>979</v>
      </c>
      <c r="D66" s="226"/>
      <c r="E66" s="44"/>
      <c r="F66" s="227"/>
      <c r="G66" s="227"/>
      <c r="H66" s="228" t="s">
        <v>203</v>
      </c>
      <c r="I66" s="253">
        <v>4</v>
      </c>
      <c r="J66" s="60">
        <f>J58</f>
        <v>14000</v>
      </c>
      <c r="K66" s="230">
        <f t="shared" si="6"/>
        <v>56000</v>
      </c>
    </row>
    <row r="67" spans="1:11" ht="12.9" customHeight="1" x14ac:dyDescent="0.25">
      <c r="A67" s="58"/>
      <c r="B67" s="231"/>
      <c r="C67" s="232"/>
      <c r="D67" s="232"/>
      <c r="E67" s="232"/>
      <c r="F67" s="232"/>
      <c r="G67" s="233"/>
      <c r="H67" s="234" t="s">
        <v>715</v>
      </c>
      <c r="I67" s="235"/>
      <c r="J67" s="235"/>
      <c r="K67" s="236">
        <f>SUM(K64:K66)</f>
        <v>1047000</v>
      </c>
    </row>
    <row r="68" spans="1:11" ht="12.9" customHeight="1" x14ac:dyDescent="0.25">
      <c r="A68" s="58"/>
      <c r="B68" s="59"/>
      <c r="C68" s="56"/>
      <c r="D68" s="56"/>
      <c r="E68" s="56"/>
      <c r="F68" s="56"/>
      <c r="G68" s="237"/>
      <c r="H68" s="238" t="s">
        <v>603</v>
      </c>
      <c r="I68" s="239">
        <f>$K$3</f>
        <v>0.15</v>
      </c>
      <c r="J68" s="240"/>
      <c r="K68" s="241">
        <f>I68*K67</f>
        <v>157050</v>
      </c>
    </row>
    <row r="69" spans="1:11" ht="12.9" customHeight="1" x14ac:dyDescent="0.25">
      <c r="A69" s="58"/>
      <c r="B69" s="59"/>
      <c r="C69" s="56"/>
      <c r="D69" s="56"/>
      <c r="E69" s="56"/>
      <c r="F69" s="56"/>
      <c r="G69" s="237"/>
      <c r="H69" s="238" t="s">
        <v>604</v>
      </c>
      <c r="I69" s="226"/>
      <c r="J69" s="226"/>
      <c r="K69" s="241">
        <f>SUM(K67:K68)</f>
        <v>1204050</v>
      </c>
    </row>
    <row r="70" spans="1:11" ht="12.9" customHeight="1" thickBot="1" x14ac:dyDescent="0.3">
      <c r="A70" s="242"/>
      <c r="B70" s="243"/>
      <c r="C70" s="244"/>
      <c r="D70" s="244"/>
      <c r="E70" s="244"/>
      <c r="F70" s="244"/>
      <c r="G70" s="245"/>
      <c r="H70" s="246" t="s">
        <v>605</v>
      </c>
      <c r="I70" s="247"/>
      <c r="J70" s="247"/>
      <c r="K70" s="248">
        <f>ROUND(K69,-1)</f>
        <v>1204050</v>
      </c>
    </row>
    <row r="71" spans="1:11" ht="14.1" customHeight="1" x14ac:dyDescent="0.25">
      <c r="A71" s="215">
        <v>8</v>
      </c>
      <c r="B71" s="651" t="s">
        <v>713</v>
      </c>
      <c r="C71" s="652"/>
      <c r="D71" s="216" t="s">
        <v>1032</v>
      </c>
      <c r="E71" s="217"/>
      <c r="F71" s="218"/>
      <c r="G71" s="218"/>
      <c r="H71" s="219"/>
      <c r="I71" s="220"/>
      <c r="J71" s="221"/>
      <c r="K71" s="222"/>
    </row>
    <row r="72" spans="1:11" ht="13.2" customHeight="1" x14ac:dyDescent="0.25">
      <c r="A72" s="223"/>
      <c r="B72" s="224" t="s">
        <v>4</v>
      </c>
      <c r="C72" s="225" t="s">
        <v>980</v>
      </c>
      <c r="D72" s="226"/>
      <c r="E72" s="44"/>
      <c r="F72" s="227"/>
      <c r="G72" s="227"/>
      <c r="H72" s="228" t="s">
        <v>235</v>
      </c>
      <c r="I72" s="263">
        <v>1</v>
      </c>
      <c r="J72" s="60">
        <f>J64</f>
        <v>800000</v>
      </c>
      <c r="K72" s="230">
        <f>I72*J72</f>
        <v>800000</v>
      </c>
    </row>
    <row r="73" spans="1:11" ht="13.2" customHeight="1" x14ac:dyDescent="0.25">
      <c r="A73" s="223"/>
      <c r="B73" s="224" t="s">
        <v>30</v>
      </c>
      <c r="C73" s="225" t="s">
        <v>840</v>
      </c>
      <c r="D73" s="226"/>
      <c r="E73" s="44"/>
      <c r="F73" s="227"/>
      <c r="G73" s="227"/>
      <c r="H73" s="228" t="s">
        <v>203</v>
      </c>
      <c r="I73" s="253">
        <v>2</v>
      </c>
      <c r="J73" s="60">
        <f>J39</f>
        <v>85000</v>
      </c>
      <c r="K73" s="230">
        <f t="shared" ref="K73:K74" si="7">I73*J73</f>
        <v>170000</v>
      </c>
    </row>
    <row r="74" spans="1:11" ht="13.2" customHeight="1" x14ac:dyDescent="0.25">
      <c r="A74" s="223"/>
      <c r="B74" s="224" t="s">
        <v>57</v>
      </c>
      <c r="C74" s="225" t="s">
        <v>979</v>
      </c>
      <c r="D74" s="226"/>
      <c r="E74" s="44"/>
      <c r="F74" s="227"/>
      <c r="G74" s="227"/>
      <c r="H74" s="228" t="s">
        <v>203</v>
      </c>
      <c r="I74" s="253">
        <v>4</v>
      </c>
      <c r="J74" s="60">
        <f>J66</f>
        <v>14000</v>
      </c>
      <c r="K74" s="230">
        <f t="shared" si="7"/>
        <v>56000</v>
      </c>
    </row>
    <row r="75" spans="1:11" ht="12.9" customHeight="1" x14ac:dyDescent="0.25">
      <c r="A75" s="58"/>
      <c r="B75" s="231"/>
      <c r="C75" s="232"/>
      <c r="D75" s="232"/>
      <c r="E75" s="232"/>
      <c r="F75" s="232"/>
      <c r="G75" s="233"/>
      <c r="H75" s="234" t="s">
        <v>715</v>
      </c>
      <c r="I75" s="235"/>
      <c r="J75" s="235"/>
      <c r="K75" s="236">
        <f>SUM(K72:K74)</f>
        <v>1026000</v>
      </c>
    </row>
    <row r="76" spans="1:11" ht="12.9" customHeight="1" x14ac:dyDescent="0.25">
      <c r="A76" s="58"/>
      <c r="B76" s="59"/>
      <c r="C76" s="56"/>
      <c r="D76" s="56"/>
      <c r="E76" s="56"/>
      <c r="F76" s="56"/>
      <c r="G76" s="237"/>
      <c r="H76" s="238" t="s">
        <v>603</v>
      </c>
      <c r="I76" s="239">
        <f>$K$3</f>
        <v>0.15</v>
      </c>
      <c r="J76" s="240"/>
      <c r="K76" s="241">
        <f>I76*K75</f>
        <v>153900</v>
      </c>
    </row>
    <row r="77" spans="1:11" ht="12.9" customHeight="1" x14ac:dyDescent="0.25">
      <c r="A77" s="58"/>
      <c r="B77" s="59"/>
      <c r="C77" s="56"/>
      <c r="D77" s="56"/>
      <c r="E77" s="56"/>
      <c r="F77" s="56"/>
      <c r="G77" s="237"/>
      <c r="H77" s="238" t="s">
        <v>604</v>
      </c>
      <c r="I77" s="226"/>
      <c r="J77" s="226"/>
      <c r="K77" s="241">
        <f>SUM(K75:K76)</f>
        <v>1179900</v>
      </c>
    </row>
    <row r="78" spans="1:11" ht="12.9" customHeight="1" thickBot="1" x14ac:dyDescent="0.3">
      <c r="A78" s="242"/>
      <c r="B78" s="243"/>
      <c r="C78" s="244"/>
      <c r="D78" s="244"/>
      <c r="E78" s="244"/>
      <c r="F78" s="244"/>
      <c r="G78" s="245"/>
      <c r="H78" s="246" t="s">
        <v>605</v>
      </c>
      <c r="I78" s="247"/>
      <c r="J78" s="247"/>
      <c r="K78" s="248">
        <f>ROUND(K77,-1)</f>
        <v>1179900</v>
      </c>
    </row>
    <row r="79" spans="1:11" ht="14.1" customHeight="1" x14ac:dyDescent="0.25">
      <c r="A79" s="215">
        <v>9</v>
      </c>
      <c r="B79" s="651" t="s">
        <v>713</v>
      </c>
      <c r="C79" s="652"/>
      <c r="D79" s="216" t="s">
        <v>1066</v>
      </c>
      <c r="E79" s="217"/>
      <c r="F79" s="218"/>
      <c r="G79" s="218"/>
      <c r="H79" s="219"/>
      <c r="I79" s="220"/>
      <c r="J79" s="221"/>
      <c r="K79" s="222"/>
    </row>
    <row r="80" spans="1:11" ht="13.2" customHeight="1" x14ac:dyDescent="0.25">
      <c r="A80" s="223"/>
      <c r="B80" s="224" t="s">
        <v>4</v>
      </c>
      <c r="C80" s="225" t="s">
        <v>980</v>
      </c>
      <c r="D80" s="226"/>
      <c r="E80" s="44"/>
      <c r="F80" s="227"/>
      <c r="G80" s="227"/>
      <c r="H80" s="228" t="s">
        <v>235</v>
      </c>
      <c r="I80" s="263">
        <v>1</v>
      </c>
      <c r="J80" s="60">
        <f>'Harga Satuan Dasar mat'!G147</f>
        <v>800000</v>
      </c>
      <c r="K80" s="230">
        <f>I80*J80</f>
        <v>800000</v>
      </c>
    </row>
    <row r="81" spans="1:11" ht="13.2" customHeight="1" x14ac:dyDescent="0.25">
      <c r="A81" s="223"/>
      <c r="B81" s="224" t="s">
        <v>30</v>
      </c>
      <c r="C81" s="225" t="s">
        <v>983</v>
      </c>
      <c r="D81" s="226"/>
      <c r="E81" s="44"/>
      <c r="F81" s="227"/>
      <c r="G81" s="227"/>
      <c r="H81" s="228" t="s">
        <v>203</v>
      </c>
      <c r="I81" s="253">
        <v>1</v>
      </c>
      <c r="J81" s="60">
        <f>J19</f>
        <v>115000</v>
      </c>
      <c r="K81" s="230">
        <f t="shared" ref="K81:K82" si="8">I81*J81</f>
        <v>115000</v>
      </c>
    </row>
    <row r="82" spans="1:11" ht="13.2" customHeight="1" x14ac:dyDescent="0.25">
      <c r="A82" s="223"/>
      <c r="B82" s="224" t="s">
        <v>57</v>
      </c>
      <c r="C82" s="225" t="s">
        <v>979</v>
      </c>
      <c r="D82" s="226"/>
      <c r="E82" s="44"/>
      <c r="F82" s="227"/>
      <c r="G82" s="227"/>
      <c r="H82" s="228" t="s">
        <v>203</v>
      </c>
      <c r="I82" s="253">
        <v>2</v>
      </c>
      <c r="J82" s="60">
        <f>J40</f>
        <v>14000</v>
      </c>
      <c r="K82" s="230">
        <f t="shared" si="8"/>
        <v>28000</v>
      </c>
    </row>
    <row r="83" spans="1:11" ht="12.9" customHeight="1" x14ac:dyDescent="0.25">
      <c r="A83" s="58"/>
      <c r="B83" s="231"/>
      <c r="C83" s="232"/>
      <c r="D83" s="232"/>
      <c r="E83" s="232"/>
      <c r="F83" s="232"/>
      <c r="G83" s="233"/>
      <c r="H83" s="234" t="s">
        <v>715</v>
      </c>
      <c r="I83" s="235"/>
      <c r="J83" s="235"/>
      <c r="K83" s="236">
        <f>SUM(K80:K82)</f>
        <v>943000</v>
      </c>
    </row>
    <row r="84" spans="1:11" ht="12.9" customHeight="1" x14ac:dyDescent="0.25">
      <c r="A84" s="58"/>
      <c r="B84" s="59"/>
      <c r="C84" s="56"/>
      <c r="D84" s="56"/>
      <c r="E84" s="56"/>
      <c r="F84" s="56"/>
      <c r="G84" s="237"/>
      <c r="H84" s="238" t="s">
        <v>603</v>
      </c>
      <c r="I84" s="239">
        <f>$K$3</f>
        <v>0.15</v>
      </c>
      <c r="J84" s="240"/>
      <c r="K84" s="241">
        <f>I84*K83</f>
        <v>141450</v>
      </c>
    </row>
    <row r="85" spans="1:11" ht="12.9" customHeight="1" x14ac:dyDescent="0.25">
      <c r="A85" s="58"/>
      <c r="B85" s="59"/>
      <c r="C85" s="56"/>
      <c r="D85" s="56"/>
      <c r="E85" s="56"/>
      <c r="F85" s="56"/>
      <c r="G85" s="237"/>
      <c r="H85" s="238" t="s">
        <v>604</v>
      </c>
      <c r="I85" s="226"/>
      <c r="J85" s="226"/>
      <c r="K85" s="241">
        <f>SUM(K83:K84)</f>
        <v>1084450</v>
      </c>
    </row>
    <row r="86" spans="1:11" ht="12.9" customHeight="1" thickBot="1" x14ac:dyDescent="0.3">
      <c r="A86" s="242"/>
      <c r="B86" s="243"/>
      <c r="C86" s="244"/>
      <c r="D86" s="244"/>
      <c r="E86" s="244"/>
      <c r="F86" s="244"/>
      <c r="G86" s="245"/>
      <c r="H86" s="246" t="s">
        <v>605</v>
      </c>
      <c r="I86" s="247"/>
      <c r="J86" s="247"/>
      <c r="K86" s="248">
        <f>ROUND(K85,-1)</f>
        <v>1084450</v>
      </c>
    </row>
    <row r="87" spans="1:11" ht="14.1" customHeight="1" x14ac:dyDescent="0.25">
      <c r="A87" s="215">
        <v>10</v>
      </c>
      <c r="B87" s="651" t="s">
        <v>713</v>
      </c>
      <c r="C87" s="652"/>
      <c r="D87" s="216" t="s">
        <v>1067</v>
      </c>
      <c r="E87" s="217"/>
      <c r="F87" s="218"/>
      <c r="G87" s="218"/>
      <c r="H87" s="219"/>
      <c r="I87" s="220"/>
      <c r="J87" s="221"/>
      <c r="K87" s="222"/>
    </row>
    <row r="88" spans="1:11" ht="13.2" customHeight="1" x14ac:dyDescent="0.25">
      <c r="A88" s="223"/>
      <c r="B88" s="224" t="s">
        <v>4</v>
      </c>
      <c r="C88" s="225" t="s">
        <v>980</v>
      </c>
      <c r="D88" s="226"/>
      <c r="E88" s="44"/>
      <c r="F88" s="227"/>
      <c r="G88" s="227"/>
      <c r="H88" s="228" t="s">
        <v>235</v>
      </c>
      <c r="I88" s="263">
        <v>1</v>
      </c>
      <c r="J88" s="60">
        <f>J80</f>
        <v>800000</v>
      </c>
      <c r="K88" s="230">
        <f>I88*J88</f>
        <v>800000</v>
      </c>
    </row>
    <row r="89" spans="1:11" ht="13.2" customHeight="1" x14ac:dyDescent="0.25">
      <c r="A89" s="223"/>
      <c r="B89" s="224" t="s">
        <v>30</v>
      </c>
      <c r="C89" s="225" t="s">
        <v>983</v>
      </c>
      <c r="D89" s="226"/>
      <c r="E89" s="44"/>
      <c r="F89" s="227"/>
      <c r="G89" s="227"/>
      <c r="H89" s="228" t="s">
        <v>203</v>
      </c>
      <c r="I89" s="253">
        <v>1</v>
      </c>
      <c r="J89" s="60">
        <f>J81</f>
        <v>115000</v>
      </c>
      <c r="K89" s="230">
        <f t="shared" ref="K89:K90" si="9">I89*J89</f>
        <v>115000</v>
      </c>
    </row>
    <row r="90" spans="1:11" ht="13.2" customHeight="1" x14ac:dyDescent="0.25">
      <c r="A90" s="223"/>
      <c r="B90" s="224" t="s">
        <v>57</v>
      </c>
      <c r="C90" s="225" t="s">
        <v>979</v>
      </c>
      <c r="D90" s="226"/>
      <c r="E90" s="44"/>
      <c r="F90" s="227"/>
      <c r="G90" s="227"/>
      <c r="H90" s="228" t="s">
        <v>203</v>
      </c>
      <c r="I90" s="253">
        <v>2</v>
      </c>
      <c r="J90" s="60">
        <f>J82</f>
        <v>14000</v>
      </c>
      <c r="K90" s="230">
        <f t="shared" si="9"/>
        <v>28000</v>
      </c>
    </row>
    <row r="91" spans="1:11" ht="12.9" customHeight="1" x14ac:dyDescent="0.25">
      <c r="A91" s="58"/>
      <c r="B91" s="231"/>
      <c r="C91" s="232"/>
      <c r="D91" s="232"/>
      <c r="E91" s="232"/>
      <c r="F91" s="232"/>
      <c r="G91" s="233"/>
      <c r="H91" s="234" t="s">
        <v>715</v>
      </c>
      <c r="I91" s="235"/>
      <c r="J91" s="235"/>
      <c r="K91" s="236">
        <f>SUM(K88:K90)</f>
        <v>943000</v>
      </c>
    </row>
    <row r="92" spans="1:11" ht="12.9" customHeight="1" x14ac:dyDescent="0.25">
      <c r="A92" s="58"/>
      <c r="B92" s="59"/>
      <c r="C92" s="56"/>
      <c r="D92" s="56"/>
      <c r="E92" s="56"/>
      <c r="F92" s="56"/>
      <c r="G92" s="237"/>
      <c r="H92" s="238" t="s">
        <v>603</v>
      </c>
      <c r="I92" s="239">
        <f>$K$3</f>
        <v>0.15</v>
      </c>
      <c r="J92" s="240"/>
      <c r="K92" s="241">
        <f>I92*K91</f>
        <v>141450</v>
      </c>
    </row>
    <row r="93" spans="1:11" ht="12.9" customHeight="1" x14ac:dyDescent="0.25">
      <c r="A93" s="58"/>
      <c r="B93" s="59"/>
      <c r="C93" s="56"/>
      <c r="D93" s="56"/>
      <c r="E93" s="56"/>
      <c r="F93" s="56"/>
      <c r="G93" s="237"/>
      <c r="H93" s="238" t="s">
        <v>604</v>
      </c>
      <c r="I93" s="226"/>
      <c r="J93" s="226"/>
      <c r="K93" s="241">
        <f>SUM(K91:K92)</f>
        <v>1084450</v>
      </c>
    </row>
    <row r="94" spans="1:11" ht="12.9" customHeight="1" thickBot="1" x14ac:dyDescent="0.3">
      <c r="A94" s="242"/>
      <c r="B94" s="243"/>
      <c r="C94" s="244"/>
      <c r="D94" s="244"/>
      <c r="E94" s="244"/>
      <c r="F94" s="244"/>
      <c r="G94" s="245"/>
      <c r="H94" s="246" t="s">
        <v>605</v>
      </c>
      <c r="I94" s="247"/>
      <c r="J94" s="247"/>
      <c r="K94" s="248">
        <f>ROUND(K93,-1)</f>
        <v>1084450</v>
      </c>
    </row>
    <row r="95" spans="1:11" ht="14.1" customHeight="1" x14ac:dyDescent="0.25">
      <c r="A95" s="215">
        <v>11</v>
      </c>
      <c r="B95" s="651" t="s">
        <v>713</v>
      </c>
      <c r="C95" s="652"/>
      <c r="D95" s="216" t="s">
        <v>1068</v>
      </c>
      <c r="E95" s="217"/>
      <c r="F95" s="218"/>
      <c r="G95" s="218"/>
      <c r="H95" s="219"/>
      <c r="I95" s="220"/>
      <c r="J95" s="221"/>
      <c r="K95" s="222"/>
    </row>
    <row r="96" spans="1:11" ht="13.2" customHeight="1" x14ac:dyDescent="0.25">
      <c r="A96" s="223"/>
      <c r="B96" s="224" t="s">
        <v>4</v>
      </c>
      <c r="C96" s="225" t="s">
        <v>980</v>
      </c>
      <c r="D96" s="226"/>
      <c r="E96" s="44"/>
      <c r="F96" s="227"/>
      <c r="G96" s="227"/>
      <c r="H96" s="228" t="s">
        <v>235</v>
      </c>
      <c r="I96" s="263">
        <v>1</v>
      </c>
      <c r="J96" s="60">
        <f>J88</f>
        <v>800000</v>
      </c>
      <c r="K96" s="230">
        <f>I96*J96</f>
        <v>800000</v>
      </c>
    </row>
    <row r="97" spans="1:11" ht="13.2" customHeight="1" x14ac:dyDescent="0.25">
      <c r="A97" s="223"/>
      <c r="B97" s="224" t="s">
        <v>30</v>
      </c>
      <c r="C97" s="225" t="s">
        <v>998</v>
      </c>
      <c r="D97" s="226"/>
      <c r="E97" s="44"/>
      <c r="F97" s="227"/>
      <c r="G97" s="227"/>
      <c r="H97" s="228" t="s">
        <v>203</v>
      </c>
      <c r="I97" s="253">
        <v>1</v>
      </c>
      <c r="J97" s="60">
        <f>J29</f>
        <v>95500</v>
      </c>
      <c r="K97" s="230">
        <f t="shared" ref="K97:K98" si="10">I97*J97</f>
        <v>95500</v>
      </c>
    </row>
    <row r="98" spans="1:11" ht="13.2" customHeight="1" x14ac:dyDescent="0.25">
      <c r="A98" s="223"/>
      <c r="B98" s="224" t="s">
        <v>57</v>
      </c>
      <c r="C98" s="225" t="s">
        <v>979</v>
      </c>
      <c r="D98" s="226"/>
      <c r="E98" s="44"/>
      <c r="F98" s="227"/>
      <c r="G98" s="227"/>
      <c r="H98" s="228" t="s">
        <v>203</v>
      </c>
      <c r="I98" s="253">
        <v>2</v>
      </c>
      <c r="J98" s="60">
        <f>J90</f>
        <v>14000</v>
      </c>
      <c r="K98" s="230">
        <f t="shared" si="10"/>
        <v>28000</v>
      </c>
    </row>
    <row r="99" spans="1:11" ht="12.9" customHeight="1" x14ac:dyDescent="0.25">
      <c r="A99" s="58"/>
      <c r="B99" s="231"/>
      <c r="C99" s="232"/>
      <c r="D99" s="232"/>
      <c r="E99" s="232"/>
      <c r="F99" s="232"/>
      <c r="G99" s="233"/>
      <c r="H99" s="234" t="s">
        <v>715</v>
      </c>
      <c r="I99" s="235"/>
      <c r="J99" s="235"/>
      <c r="K99" s="236">
        <f>SUM(K96:K98)</f>
        <v>923500</v>
      </c>
    </row>
    <row r="100" spans="1:11" ht="12.9" customHeight="1" x14ac:dyDescent="0.25">
      <c r="A100" s="58"/>
      <c r="B100" s="59"/>
      <c r="C100" s="56"/>
      <c r="D100" s="56"/>
      <c r="E100" s="56"/>
      <c r="F100" s="56"/>
      <c r="G100" s="237"/>
      <c r="H100" s="238" t="s">
        <v>603</v>
      </c>
      <c r="I100" s="239">
        <f>$K$3</f>
        <v>0.15</v>
      </c>
      <c r="J100" s="240"/>
      <c r="K100" s="241">
        <f>I100*K99</f>
        <v>138525</v>
      </c>
    </row>
    <row r="101" spans="1:11" ht="12.9" customHeight="1" x14ac:dyDescent="0.25">
      <c r="A101" s="58"/>
      <c r="B101" s="59"/>
      <c r="C101" s="56"/>
      <c r="D101" s="56"/>
      <c r="E101" s="56"/>
      <c r="F101" s="56"/>
      <c r="G101" s="237"/>
      <c r="H101" s="238" t="s">
        <v>604</v>
      </c>
      <c r="I101" s="226"/>
      <c r="J101" s="226"/>
      <c r="K101" s="241">
        <f>SUM(K99:K100)</f>
        <v>1062025</v>
      </c>
    </row>
    <row r="102" spans="1:11" ht="12.9" customHeight="1" thickBot="1" x14ac:dyDescent="0.3">
      <c r="A102" s="242"/>
      <c r="B102" s="243"/>
      <c r="C102" s="244"/>
      <c r="D102" s="244"/>
      <c r="E102" s="244"/>
      <c r="F102" s="244"/>
      <c r="G102" s="245"/>
      <c r="H102" s="246" t="s">
        <v>605</v>
      </c>
      <c r="I102" s="247"/>
      <c r="J102" s="247"/>
      <c r="K102" s="248">
        <f>ROUND(K101,-1)</f>
        <v>1062030</v>
      </c>
    </row>
    <row r="103" spans="1:11" ht="14.1" customHeight="1" x14ac:dyDescent="0.25">
      <c r="A103" s="215">
        <v>12</v>
      </c>
      <c r="B103" s="651" t="s">
        <v>713</v>
      </c>
      <c r="C103" s="652"/>
      <c r="D103" s="216" t="s">
        <v>1069</v>
      </c>
      <c r="E103" s="217"/>
      <c r="F103" s="218"/>
      <c r="G103" s="218"/>
      <c r="H103" s="219"/>
      <c r="I103" s="220"/>
      <c r="J103" s="221"/>
      <c r="K103" s="222"/>
    </row>
    <row r="104" spans="1:11" ht="13.2" customHeight="1" x14ac:dyDescent="0.25">
      <c r="A104" s="223"/>
      <c r="B104" s="224" t="s">
        <v>4</v>
      </c>
      <c r="C104" s="225" t="s">
        <v>980</v>
      </c>
      <c r="D104" s="226"/>
      <c r="E104" s="44"/>
      <c r="F104" s="227"/>
      <c r="G104" s="227"/>
      <c r="H104" s="228" t="s">
        <v>235</v>
      </c>
      <c r="I104" s="263">
        <v>1</v>
      </c>
      <c r="J104" s="60">
        <f>J96</f>
        <v>800000</v>
      </c>
      <c r="K104" s="230">
        <f>I104*J104</f>
        <v>800000</v>
      </c>
    </row>
    <row r="105" spans="1:11" ht="13.2" customHeight="1" x14ac:dyDescent="0.25">
      <c r="A105" s="223"/>
      <c r="B105" s="224" t="s">
        <v>30</v>
      </c>
      <c r="C105" s="225" t="s">
        <v>999</v>
      </c>
      <c r="D105" s="226"/>
      <c r="E105" s="44"/>
      <c r="F105" s="227"/>
      <c r="G105" s="227"/>
      <c r="H105" s="228" t="s">
        <v>203</v>
      </c>
      <c r="I105" s="253">
        <v>1</v>
      </c>
      <c r="J105" s="60">
        <f>J73</f>
        <v>85000</v>
      </c>
      <c r="K105" s="230">
        <f t="shared" ref="K105:K106" si="11">I105*J105</f>
        <v>85000</v>
      </c>
    </row>
    <row r="106" spans="1:11" ht="13.2" customHeight="1" x14ac:dyDescent="0.25">
      <c r="A106" s="223"/>
      <c r="B106" s="224" t="s">
        <v>57</v>
      </c>
      <c r="C106" s="225" t="s">
        <v>979</v>
      </c>
      <c r="D106" s="226"/>
      <c r="E106" s="44"/>
      <c r="F106" s="227"/>
      <c r="G106" s="227"/>
      <c r="H106" s="228" t="s">
        <v>203</v>
      </c>
      <c r="I106" s="253">
        <v>2</v>
      </c>
      <c r="J106" s="60">
        <f>J98</f>
        <v>14000</v>
      </c>
      <c r="K106" s="230">
        <f t="shared" si="11"/>
        <v>28000</v>
      </c>
    </row>
    <row r="107" spans="1:11" ht="12.9" customHeight="1" x14ac:dyDescent="0.25">
      <c r="A107" s="58"/>
      <c r="B107" s="231"/>
      <c r="C107" s="232"/>
      <c r="D107" s="232"/>
      <c r="E107" s="232"/>
      <c r="F107" s="232"/>
      <c r="G107" s="233"/>
      <c r="H107" s="234" t="s">
        <v>715</v>
      </c>
      <c r="I107" s="235"/>
      <c r="J107" s="235"/>
      <c r="K107" s="236">
        <f>SUM(K104:K106)</f>
        <v>913000</v>
      </c>
    </row>
    <row r="108" spans="1:11" ht="12.9" customHeight="1" x14ac:dyDescent="0.25">
      <c r="A108" s="58"/>
      <c r="B108" s="59"/>
      <c r="C108" s="56"/>
      <c r="D108" s="56"/>
      <c r="E108" s="56"/>
      <c r="F108" s="56"/>
      <c r="G108" s="237"/>
      <c r="H108" s="238" t="s">
        <v>603</v>
      </c>
      <c r="I108" s="239">
        <f>$K$3</f>
        <v>0.15</v>
      </c>
      <c r="J108" s="240"/>
      <c r="K108" s="241">
        <f>I108*K107</f>
        <v>136950</v>
      </c>
    </row>
    <row r="109" spans="1:11" ht="12.9" customHeight="1" x14ac:dyDescent="0.25">
      <c r="A109" s="58"/>
      <c r="B109" s="59"/>
      <c r="C109" s="56"/>
      <c r="D109" s="56"/>
      <c r="E109" s="56"/>
      <c r="F109" s="56"/>
      <c r="G109" s="237"/>
      <c r="H109" s="238" t="s">
        <v>604</v>
      </c>
      <c r="I109" s="226"/>
      <c r="J109" s="226"/>
      <c r="K109" s="241">
        <f>SUM(K107:K108)</f>
        <v>1049950</v>
      </c>
    </row>
    <row r="110" spans="1:11" ht="12.9" customHeight="1" thickBot="1" x14ac:dyDescent="0.3">
      <c r="A110" s="242"/>
      <c r="B110" s="243"/>
      <c r="C110" s="244"/>
      <c r="D110" s="244"/>
      <c r="E110" s="244"/>
      <c r="F110" s="244"/>
      <c r="G110" s="245"/>
      <c r="H110" s="246" t="s">
        <v>605</v>
      </c>
      <c r="I110" s="247"/>
      <c r="J110" s="247"/>
      <c r="K110" s="248">
        <f>ROUND(K109,-1)</f>
        <v>1049950</v>
      </c>
    </row>
    <row r="111" spans="1:11" ht="14.1" customHeight="1" x14ac:dyDescent="0.25">
      <c r="A111" s="215">
        <v>13</v>
      </c>
      <c r="B111" s="651" t="s">
        <v>713</v>
      </c>
      <c r="C111" s="652"/>
      <c r="D111" s="216" t="s">
        <v>1073</v>
      </c>
      <c r="E111" s="217"/>
      <c r="F111" s="218"/>
      <c r="G111" s="218"/>
      <c r="H111" s="219"/>
      <c r="I111" s="220"/>
      <c r="J111" s="221"/>
      <c r="K111" s="222"/>
    </row>
    <row r="112" spans="1:11" ht="13.2" customHeight="1" x14ac:dyDescent="0.25">
      <c r="A112" s="223"/>
      <c r="B112" s="224" t="s">
        <v>4</v>
      </c>
      <c r="C112" s="225" t="s">
        <v>980</v>
      </c>
      <c r="D112" s="226"/>
      <c r="E112" s="44"/>
      <c r="F112" s="227"/>
      <c r="G112" s="227"/>
      <c r="H112" s="228" t="s">
        <v>235</v>
      </c>
      <c r="I112" s="263">
        <v>1</v>
      </c>
      <c r="J112" s="60">
        <f>J104</f>
        <v>800000</v>
      </c>
      <c r="K112" s="230">
        <f>I112*J112</f>
        <v>800000</v>
      </c>
    </row>
    <row r="113" spans="1:11" ht="13.2" customHeight="1" x14ac:dyDescent="0.25">
      <c r="A113" s="223"/>
      <c r="B113" s="224" t="s">
        <v>30</v>
      </c>
      <c r="C113" s="225" t="s">
        <v>983</v>
      </c>
      <c r="D113" s="226"/>
      <c r="E113" s="44"/>
      <c r="F113" s="227"/>
      <c r="G113" s="227"/>
      <c r="H113" s="228" t="s">
        <v>203</v>
      </c>
      <c r="I113" s="253">
        <v>2</v>
      </c>
      <c r="J113" s="60">
        <f>J89</f>
        <v>115000</v>
      </c>
      <c r="K113" s="230">
        <f t="shared" ref="K113:K114" si="12">I113*J113</f>
        <v>230000</v>
      </c>
    </row>
    <row r="114" spans="1:11" ht="13.2" customHeight="1" x14ac:dyDescent="0.25">
      <c r="A114" s="223"/>
      <c r="B114" s="224" t="s">
        <v>57</v>
      </c>
      <c r="C114" s="225" t="s">
        <v>979</v>
      </c>
      <c r="D114" s="226"/>
      <c r="E114" s="44"/>
      <c r="F114" s="227"/>
      <c r="G114" s="227"/>
      <c r="H114" s="228" t="s">
        <v>203</v>
      </c>
      <c r="I114" s="253">
        <v>4</v>
      </c>
      <c r="J114" s="60">
        <f>J106</f>
        <v>14000</v>
      </c>
      <c r="K114" s="230">
        <f t="shared" si="12"/>
        <v>56000</v>
      </c>
    </row>
    <row r="115" spans="1:11" ht="12.9" customHeight="1" x14ac:dyDescent="0.25">
      <c r="A115" s="58"/>
      <c r="B115" s="231"/>
      <c r="C115" s="232"/>
      <c r="D115" s="232"/>
      <c r="E115" s="232"/>
      <c r="F115" s="232"/>
      <c r="G115" s="233"/>
      <c r="H115" s="234" t="s">
        <v>715</v>
      </c>
      <c r="I115" s="235"/>
      <c r="J115" s="235"/>
      <c r="K115" s="236">
        <f>SUM(K112:K114)</f>
        <v>1086000</v>
      </c>
    </row>
    <row r="116" spans="1:11" ht="12.9" customHeight="1" x14ac:dyDescent="0.25">
      <c r="A116" s="58"/>
      <c r="B116" s="59"/>
      <c r="C116" s="56"/>
      <c r="D116" s="56"/>
      <c r="E116" s="56"/>
      <c r="F116" s="56"/>
      <c r="G116" s="237"/>
      <c r="H116" s="238" t="s">
        <v>603</v>
      </c>
      <c r="I116" s="239">
        <f>$K$3</f>
        <v>0.15</v>
      </c>
      <c r="J116" s="240"/>
      <c r="K116" s="241">
        <f>I116*K115</f>
        <v>162900</v>
      </c>
    </row>
    <row r="117" spans="1:11" ht="12.9" customHeight="1" x14ac:dyDescent="0.25">
      <c r="A117" s="58"/>
      <c r="B117" s="59"/>
      <c r="C117" s="56"/>
      <c r="D117" s="56"/>
      <c r="E117" s="56"/>
      <c r="F117" s="56"/>
      <c r="G117" s="237"/>
      <c r="H117" s="238" t="s">
        <v>604</v>
      </c>
      <c r="I117" s="226"/>
      <c r="J117" s="226"/>
      <c r="K117" s="241">
        <f>SUM(K115:K116)</f>
        <v>1248900</v>
      </c>
    </row>
    <row r="118" spans="1:11" ht="12.9" customHeight="1" thickBot="1" x14ac:dyDescent="0.3">
      <c r="A118" s="242"/>
      <c r="B118" s="243"/>
      <c r="C118" s="244"/>
      <c r="D118" s="244"/>
      <c r="E118" s="244"/>
      <c r="F118" s="244"/>
      <c r="G118" s="245"/>
      <c r="H118" s="246" t="s">
        <v>605</v>
      </c>
      <c r="I118" s="247"/>
      <c r="J118" s="247"/>
      <c r="K118" s="248">
        <f>ROUND(K117,-1)</f>
        <v>1248900</v>
      </c>
    </row>
    <row r="119" spans="1:11" ht="14.1" customHeight="1" x14ac:dyDescent="0.25">
      <c r="A119" s="215">
        <v>14</v>
      </c>
      <c r="B119" s="651" t="s">
        <v>713</v>
      </c>
      <c r="C119" s="652"/>
      <c r="D119" s="216" t="s">
        <v>1074</v>
      </c>
      <c r="E119" s="217"/>
      <c r="F119" s="218"/>
      <c r="G119" s="218"/>
      <c r="H119" s="219"/>
      <c r="I119" s="220"/>
      <c r="J119" s="221"/>
      <c r="K119" s="222"/>
    </row>
    <row r="120" spans="1:11" ht="13.2" customHeight="1" x14ac:dyDescent="0.25">
      <c r="A120" s="223"/>
      <c r="B120" s="224" t="s">
        <v>4</v>
      </c>
      <c r="C120" s="225" t="s">
        <v>980</v>
      </c>
      <c r="D120" s="226"/>
      <c r="E120" s="44"/>
      <c r="F120" s="227"/>
      <c r="G120" s="227"/>
      <c r="H120" s="228" t="s">
        <v>235</v>
      </c>
      <c r="I120" s="263">
        <v>1</v>
      </c>
      <c r="J120" s="60">
        <f>J112</f>
        <v>800000</v>
      </c>
      <c r="K120" s="230">
        <f>I120*J120</f>
        <v>800000</v>
      </c>
    </row>
    <row r="121" spans="1:11" ht="13.2" customHeight="1" x14ac:dyDescent="0.25">
      <c r="A121" s="223"/>
      <c r="B121" s="224" t="s">
        <v>30</v>
      </c>
      <c r="C121" s="225" t="s">
        <v>983</v>
      </c>
      <c r="D121" s="226"/>
      <c r="E121" s="44"/>
      <c r="F121" s="227"/>
      <c r="G121" s="227"/>
      <c r="H121" s="228" t="s">
        <v>203</v>
      </c>
      <c r="I121" s="253">
        <v>2</v>
      </c>
      <c r="J121" s="60">
        <f>J113</f>
        <v>115000</v>
      </c>
      <c r="K121" s="230">
        <f t="shared" ref="K121:K122" si="13">I121*J121</f>
        <v>230000</v>
      </c>
    </row>
    <row r="122" spans="1:11" ht="13.2" customHeight="1" x14ac:dyDescent="0.25">
      <c r="A122" s="223"/>
      <c r="B122" s="224" t="s">
        <v>57</v>
      </c>
      <c r="C122" s="225" t="s">
        <v>979</v>
      </c>
      <c r="D122" s="226"/>
      <c r="E122" s="44"/>
      <c r="F122" s="227"/>
      <c r="G122" s="227"/>
      <c r="H122" s="228" t="s">
        <v>203</v>
      </c>
      <c r="I122" s="253">
        <v>4</v>
      </c>
      <c r="J122" s="60">
        <f>J114</f>
        <v>14000</v>
      </c>
      <c r="K122" s="230">
        <f t="shared" si="13"/>
        <v>56000</v>
      </c>
    </row>
    <row r="123" spans="1:11" ht="12.9" customHeight="1" x14ac:dyDescent="0.25">
      <c r="A123" s="58"/>
      <c r="B123" s="231"/>
      <c r="C123" s="232"/>
      <c r="D123" s="232"/>
      <c r="E123" s="232"/>
      <c r="F123" s="232"/>
      <c r="G123" s="233"/>
      <c r="H123" s="234" t="s">
        <v>715</v>
      </c>
      <c r="I123" s="235"/>
      <c r="J123" s="235"/>
      <c r="K123" s="236">
        <f>SUM(K120:K122)</f>
        <v>1086000</v>
      </c>
    </row>
    <row r="124" spans="1:11" ht="12.9" customHeight="1" x14ac:dyDescent="0.25">
      <c r="A124" s="58"/>
      <c r="B124" s="59"/>
      <c r="C124" s="56"/>
      <c r="D124" s="56"/>
      <c r="E124" s="56"/>
      <c r="F124" s="56"/>
      <c r="G124" s="237"/>
      <c r="H124" s="238" t="s">
        <v>603</v>
      </c>
      <c r="I124" s="239">
        <f>$K$3</f>
        <v>0.15</v>
      </c>
      <c r="J124" s="240"/>
      <c r="K124" s="241">
        <f>I124*K123</f>
        <v>162900</v>
      </c>
    </row>
    <row r="125" spans="1:11" ht="12.9" customHeight="1" x14ac:dyDescent="0.25">
      <c r="A125" s="58"/>
      <c r="B125" s="59"/>
      <c r="C125" s="56"/>
      <c r="D125" s="56"/>
      <c r="E125" s="56"/>
      <c r="F125" s="56"/>
      <c r="G125" s="237"/>
      <c r="H125" s="238" t="s">
        <v>604</v>
      </c>
      <c r="I125" s="226"/>
      <c r="J125" s="226"/>
      <c r="K125" s="241">
        <f>SUM(K123:K124)</f>
        <v>1248900</v>
      </c>
    </row>
    <row r="126" spans="1:11" ht="12.9" customHeight="1" thickBot="1" x14ac:dyDescent="0.3">
      <c r="A126" s="242"/>
      <c r="B126" s="243"/>
      <c r="C126" s="244"/>
      <c r="D126" s="244"/>
      <c r="E126" s="244"/>
      <c r="F126" s="244"/>
      <c r="G126" s="245"/>
      <c r="H126" s="246" t="s">
        <v>605</v>
      </c>
      <c r="I126" s="247"/>
      <c r="J126" s="247"/>
      <c r="K126" s="248">
        <f>ROUND(K125,-1)</f>
        <v>1248900</v>
      </c>
    </row>
    <row r="127" spans="1:11" ht="14.1" customHeight="1" x14ac:dyDescent="0.25">
      <c r="A127" s="215">
        <v>15</v>
      </c>
      <c r="B127" s="651" t="s">
        <v>713</v>
      </c>
      <c r="C127" s="652"/>
      <c r="D127" s="216" t="s">
        <v>1075</v>
      </c>
      <c r="E127" s="217"/>
      <c r="F127" s="218"/>
      <c r="G127" s="218"/>
      <c r="H127" s="219"/>
      <c r="I127" s="220"/>
      <c r="J127" s="221"/>
      <c r="K127" s="222"/>
    </row>
    <row r="128" spans="1:11" ht="13.2" customHeight="1" x14ac:dyDescent="0.25">
      <c r="A128" s="223"/>
      <c r="B128" s="224" t="s">
        <v>4</v>
      </c>
      <c r="C128" s="225" t="s">
        <v>980</v>
      </c>
      <c r="D128" s="226"/>
      <c r="E128" s="44"/>
      <c r="F128" s="227"/>
      <c r="G128" s="227"/>
      <c r="H128" s="228" t="s">
        <v>235</v>
      </c>
      <c r="I128" s="263">
        <v>1</v>
      </c>
      <c r="J128" s="60">
        <f>J120</f>
        <v>800000</v>
      </c>
      <c r="K128" s="230">
        <f>I128*J128</f>
        <v>800000</v>
      </c>
    </row>
    <row r="129" spans="1:11" ht="13.2" customHeight="1" x14ac:dyDescent="0.25">
      <c r="A129" s="223"/>
      <c r="B129" s="224" t="s">
        <v>30</v>
      </c>
      <c r="C129" s="225" t="s">
        <v>998</v>
      </c>
      <c r="D129" s="226"/>
      <c r="E129" s="44"/>
      <c r="F129" s="227"/>
      <c r="G129" s="227"/>
      <c r="H129" s="228" t="s">
        <v>203</v>
      </c>
      <c r="I129" s="253">
        <v>2</v>
      </c>
      <c r="J129" s="60">
        <f>'Harga Satuan Dasar mat'!G22</f>
        <v>95500</v>
      </c>
      <c r="K129" s="230">
        <f t="shared" ref="K129:K130" si="14">I129*J129</f>
        <v>191000</v>
      </c>
    </row>
    <row r="130" spans="1:11" ht="13.2" customHeight="1" x14ac:dyDescent="0.25">
      <c r="A130" s="223"/>
      <c r="B130" s="224" t="s">
        <v>57</v>
      </c>
      <c r="C130" s="225" t="s">
        <v>979</v>
      </c>
      <c r="D130" s="226"/>
      <c r="E130" s="44"/>
      <c r="F130" s="227"/>
      <c r="G130" s="227"/>
      <c r="H130" s="228" t="s">
        <v>203</v>
      </c>
      <c r="I130" s="253">
        <v>4</v>
      </c>
      <c r="J130" s="60">
        <f t="shared" ref="J130" si="15">J122</f>
        <v>14000</v>
      </c>
      <c r="K130" s="230">
        <f t="shared" si="14"/>
        <v>56000</v>
      </c>
    </row>
    <row r="131" spans="1:11" ht="12.9" customHeight="1" x14ac:dyDescent="0.25">
      <c r="A131" s="58"/>
      <c r="B131" s="231"/>
      <c r="C131" s="232"/>
      <c r="D131" s="232"/>
      <c r="E131" s="232"/>
      <c r="F131" s="232"/>
      <c r="G131" s="233"/>
      <c r="H131" s="234" t="s">
        <v>715</v>
      </c>
      <c r="I131" s="235"/>
      <c r="J131" s="235"/>
      <c r="K131" s="236">
        <f>SUM(K128:K130)</f>
        <v>1047000</v>
      </c>
    </row>
    <row r="132" spans="1:11" ht="12.9" customHeight="1" x14ac:dyDescent="0.25">
      <c r="A132" s="58"/>
      <c r="B132" s="59"/>
      <c r="C132" s="56"/>
      <c r="D132" s="56"/>
      <c r="E132" s="56"/>
      <c r="F132" s="56"/>
      <c r="G132" s="237"/>
      <c r="H132" s="238" t="s">
        <v>603</v>
      </c>
      <c r="I132" s="239">
        <f>$K$3</f>
        <v>0.15</v>
      </c>
      <c r="J132" s="240"/>
      <c r="K132" s="241">
        <f>I132*K131</f>
        <v>157050</v>
      </c>
    </row>
    <row r="133" spans="1:11" ht="12.9" customHeight="1" x14ac:dyDescent="0.25">
      <c r="A133" s="58"/>
      <c r="B133" s="59"/>
      <c r="C133" s="56"/>
      <c r="D133" s="56"/>
      <c r="E133" s="56"/>
      <c r="F133" s="56"/>
      <c r="G133" s="237"/>
      <c r="H133" s="238" t="s">
        <v>604</v>
      </c>
      <c r="I133" s="226"/>
      <c r="J133" s="226"/>
      <c r="K133" s="241">
        <f>SUM(K131:K132)</f>
        <v>1204050</v>
      </c>
    </row>
    <row r="134" spans="1:11" ht="12.9" customHeight="1" thickBot="1" x14ac:dyDescent="0.3">
      <c r="A134" s="242"/>
      <c r="B134" s="243"/>
      <c r="C134" s="244"/>
      <c r="D134" s="244"/>
      <c r="E134" s="244"/>
      <c r="F134" s="244"/>
      <c r="G134" s="245"/>
      <c r="H134" s="246" t="s">
        <v>605</v>
      </c>
      <c r="I134" s="247"/>
      <c r="J134" s="247"/>
      <c r="K134" s="248">
        <f>ROUND(K133,-1)</f>
        <v>1204050</v>
      </c>
    </row>
    <row r="135" spans="1:11" ht="14.1" customHeight="1" x14ac:dyDescent="0.25">
      <c r="A135" s="215">
        <v>16</v>
      </c>
      <c r="B135" s="651" t="s">
        <v>713</v>
      </c>
      <c r="C135" s="652"/>
      <c r="D135" s="216" t="s">
        <v>1076</v>
      </c>
      <c r="E135" s="217"/>
      <c r="F135" s="218"/>
      <c r="G135" s="218"/>
      <c r="H135" s="219"/>
      <c r="I135" s="220"/>
      <c r="J135" s="221"/>
      <c r="K135" s="222"/>
    </row>
    <row r="136" spans="1:11" ht="13.2" customHeight="1" x14ac:dyDescent="0.25">
      <c r="A136" s="223"/>
      <c r="B136" s="224" t="s">
        <v>4</v>
      </c>
      <c r="C136" s="225" t="s">
        <v>980</v>
      </c>
      <c r="D136" s="226"/>
      <c r="E136" s="44"/>
      <c r="F136" s="227"/>
      <c r="G136" s="227"/>
      <c r="H136" s="228" t="s">
        <v>235</v>
      </c>
      <c r="I136" s="263">
        <v>1</v>
      </c>
      <c r="J136" s="60">
        <f>J128</f>
        <v>800000</v>
      </c>
      <c r="K136" s="230">
        <f>I136*J136</f>
        <v>800000</v>
      </c>
    </row>
    <row r="137" spans="1:11" ht="13.2" customHeight="1" x14ac:dyDescent="0.25">
      <c r="A137" s="223"/>
      <c r="B137" s="224" t="s">
        <v>30</v>
      </c>
      <c r="C137" s="225" t="s">
        <v>999</v>
      </c>
      <c r="D137" s="226"/>
      <c r="E137" s="44"/>
      <c r="F137" s="227"/>
      <c r="G137" s="227"/>
      <c r="H137" s="228" t="s">
        <v>203</v>
      </c>
      <c r="I137" s="253">
        <v>2</v>
      </c>
      <c r="J137" s="60">
        <f>J105</f>
        <v>85000</v>
      </c>
      <c r="K137" s="230">
        <f t="shared" ref="K137:K138" si="16">I137*J137</f>
        <v>170000</v>
      </c>
    </row>
    <row r="138" spans="1:11" ht="13.2" customHeight="1" x14ac:dyDescent="0.25">
      <c r="A138" s="223"/>
      <c r="B138" s="224" t="s">
        <v>57</v>
      </c>
      <c r="C138" s="225" t="s">
        <v>979</v>
      </c>
      <c r="D138" s="226"/>
      <c r="E138" s="44"/>
      <c r="F138" s="227"/>
      <c r="G138" s="227"/>
      <c r="H138" s="228" t="s">
        <v>203</v>
      </c>
      <c r="I138" s="253">
        <v>4</v>
      </c>
      <c r="J138" s="60">
        <f t="shared" ref="J138" si="17">J130</f>
        <v>14000</v>
      </c>
      <c r="K138" s="230">
        <f t="shared" si="16"/>
        <v>56000</v>
      </c>
    </row>
    <row r="139" spans="1:11" ht="12.9" customHeight="1" x14ac:dyDescent="0.25">
      <c r="A139" s="58"/>
      <c r="B139" s="231"/>
      <c r="C139" s="232"/>
      <c r="D139" s="232"/>
      <c r="E139" s="232"/>
      <c r="F139" s="232"/>
      <c r="G139" s="233"/>
      <c r="H139" s="234" t="s">
        <v>715</v>
      </c>
      <c r="I139" s="235"/>
      <c r="J139" s="235"/>
      <c r="K139" s="236">
        <f>SUM(K136:K138)</f>
        <v>1026000</v>
      </c>
    </row>
    <row r="140" spans="1:11" ht="12.9" customHeight="1" x14ac:dyDescent="0.25">
      <c r="A140" s="58"/>
      <c r="B140" s="59"/>
      <c r="C140" s="56"/>
      <c r="D140" s="56"/>
      <c r="E140" s="56"/>
      <c r="F140" s="56"/>
      <c r="G140" s="237"/>
      <c r="H140" s="238" t="s">
        <v>603</v>
      </c>
      <c r="I140" s="239">
        <f>$K$3</f>
        <v>0.15</v>
      </c>
      <c r="J140" s="240"/>
      <c r="K140" s="241">
        <f>I140*K139</f>
        <v>153900</v>
      </c>
    </row>
    <row r="141" spans="1:11" ht="12.9" customHeight="1" x14ac:dyDescent="0.25">
      <c r="A141" s="58"/>
      <c r="B141" s="59"/>
      <c r="C141" s="56"/>
      <c r="D141" s="56"/>
      <c r="E141" s="56"/>
      <c r="F141" s="56"/>
      <c r="G141" s="237"/>
      <c r="H141" s="238" t="s">
        <v>604</v>
      </c>
      <c r="I141" s="226"/>
      <c r="J141" s="226"/>
      <c r="K141" s="241">
        <f>SUM(K139:K140)</f>
        <v>1179900</v>
      </c>
    </row>
    <row r="142" spans="1:11" ht="12.9" customHeight="1" thickBot="1" x14ac:dyDescent="0.3">
      <c r="A142" s="242"/>
      <c r="B142" s="243"/>
      <c r="C142" s="244"/>
      <c r="D142" s="244"/>
      <c r="E142" s="244"/>
      <c r="F142" s="244"/>
      <c r="G142" s="245"/>
      <c r="H142" s="246" t="s">
        <v>605</v>
      </c>
      <c r="I142" s="247"/>
      <c r="J142" s="247"/>
      <c r="K142" s="248">
        <f>ROUND(K141,-1)</f>
        <v>1179900</v>
      </c>
    </row>
    <row r="143" spans="1:11" ht="14.1" customHeight="1" x14ac:dyDescent="0.25">
      <c r="A143" s="215">
        <v>17</v>
      </c>
      <c r="B143" s="651" t="s">
        <v>713</v>
      </c>
      <c r="C143" s="652"/>
      <c r="D143" s="216" t="s">
        <v>1083</v>
      </c>
      <c r="E143" s="217"/>
      <c r="F143" s="218"/>
      <c r="G143" s="218"/>
      <c r="H143" s="219"/>
      <c r="I143" s="220"/>
      <c r="J143" s="221"/>
      <c r="K143" s="222"/>
    </row>
    <row r="144" spans="1:11" ht="13.2" customHeight="1" x14ac:dyDescent="0.25">
      <c r="A144" s="223"/>
      <c r="B144" s="224" t="s">
        <v>4</v>
      </c>
      <c r="C144" s="225" t="s">
        <v>889</v>
      </c>
      <c r="D144" s="226"/>
      <c r="E144" s="44"/>
      <c r="F144" s="227"/>
      <c r="G144" s="227"/>
      <c r="H144" s="228" t="s">
        <v>235</v>
      </c>
      <c r="I144" s="283">
        <v>2</v>
      </c>
      <c r="J144" s="60">
        <f>'Harga Satuan Dasar mat'!G149</f>
        <v>600000</v>
      </c>
      <c r="K144" s="230">
        <f>I144*J144</f>
        <v>1200000</v>
      </c>
    </row>
    <row r="145" spans="1:11" ht="13.2" customHeight="1" x14ac:dyDescent="0.25">
      <c r="A145" s="223"/>
      <c r="B145" s="224" t="s">
        <v>30</v>
      </c>
      <c r="C145" s="225" t="s">
        <v>890</v>
      </c>
      <c r="D145" s="226"/>
      <c r="E145" s="44"/>
      <c r="F145" s="227"/>
      <c r="G145" s="227"/>
      <c r="H145" s="228" t="s">
        <v>235</v>
      </c>
      <c r="I145" s="229">
        <v>2</v>
      </c>
      <c r="J145" s="60">
        <f>'Harga Satuan Dasar mat'!G152</f>
        <v>320000</v>
      </c>
      <c r="K145" s="230">
        <f t="shared" ref="K145:K147" si="18">I145*J145</f>
        <v>640000</v>
      </c>
    </row>
    <row r="146" spans="1:11" ht="13.2" customHeight="1" x14ac:dyDescent="0.25">
      <c r="A146" s="223"/>
      <c r="B146" s="224" t="s">
        <v>57</v>
      </c>
      <c r="C146" s="225" t="s">
        <v>977</v>
      </c>
      <c r="D146" s="226"/>
      <c r="E146" s="44"/>
      <c r="F146" s="227"/>
      <c r="G146" s="227"/>
      <c r="H146" s="228" t="s">
        <v>235</v>
      </c>
      <c r="I146" s="229">
        <v>2</v>
      </c>
      <c r="J146" s="60">
        <f>'Harga Satuan Dasar mat'!G172</f>
        <v>197500</v>
      </c>
      <c r="K146" s="230">
        <f t="shared" si="18"/>
        <v>395000</v>
      </c>
    </row>
    <row r="147" spans="1:11" ht="13.2" customHeight="1" x14ac:dyDescent="0.25">
      <c r="A147" s="223"/>
      <c r="B147" s="224" t="s">
        <v>83</v>
      </c>
      <c r="C147" s="225" t="s">
        <v>1097</v>
      </c>
      <c r="D147" s="226"/>
      <c r="E147" s="44"/>
      <c r="F147" s="227"/>
      <c r="G147" s="227"/>
      <c r="H147" s="228" t="s">
        <v>203</v>
      </c>
      <c r="I147" s="284">
        <v>1</v>
      </c>
      <c r="J147" s="254">
        <f>'Harga Satuan Dasar mat'!G57</f>
        <v>194500</v>
      </c>
      <c r="K147" s="230">
        <f t="shared" si="18"/>
        <v>194500</v>
      </c>
    </row>
    <row r="148" spans="1:11" ht="13.2" customHeight="1" x14ac:dyDescent="0.25">
      <c r="A148" s="223"/>
      <c r="B148" s="224" t="s">
        <v>110</v>
      </c>
      <c r="C148" s="225" t="s">
        <v>1003</v>
      </c>
      <c r="D148" s="226"/>
      <c r="E148" s="44"/>
      <c r="F148" s="227"/>
      <c r="G148" s="227"/>
      <c r="H148" s="228" t="s">
        <v>203</v>
      </c>
      <c r="I148" s="229">
        <v>1</v>
      </c>
      <c r="J148" s="254">
        <f>'Harga Satuan Dasar mat'!G109</f>
        <v>268500</v>
      </c>
      <c r="K148" s="230">
        <f>I148*J148</f>
        <v>268500</v>
      </c>
    </row>
    <row r="149" spans="1:11" ht="13.2" customHeight="1" x14ac:dyDescent="0.25">
      <c r="A149" s="223"/>
      <c r="B149" s="224" t="s">
        <v>137</v>
      </c>
      <c r="C149" s="225" t="s">
        <v>892</v>
      </c>
      <c r="D149" s="226"/>
      <c r="E149" s="44"/>
      <c r="F149" s="227"/>
      <c r="G149" s="227"/>
      <c r="H149" s="228" t="s">
        <v>235</v>
      </c>
      <c r="I149" s="229">
        <v>2</v>
      </c>
      <c r="J149" s="60">
        <f>'Harga Satuan Dasar mat'!G202</f>
        <v>336000</v>
      </c>
      <c r="K149" s="230">
        <f t="shared" ref="K149:K150" si="19">I149*J149</f>
        <v>672000</v>
      </c>
    </row>
    <row r="150" spans="1:11" ht="13.2" customHeight="1" x14ac:dyDescent="0.25">
      <c r="A150" s="223"/>
      <c r="B150" s="224" t="s">
        <v>156</v>
      </c>
      <c r="C150" s="225" t="s">
        <v>978</v>
      </c>
      <c r="D150" s="226"/>
      <c r="E150" s="44"/>
      <c r="F150" s="227"/>
      <c r="G150" s="227"/>
      <c r="H150" s="228" t="s">
        <v>235</v>
      </c>
      <c r="I150" s="229">
        <v>2</v>
      </c>
      <c r="J150" s="60">
        <f>'Harga Satuan Dasar mat'!G205</f>
        <v>267500</v>
      </c>
      <c r="K150" s="230">
        <f t="shared" si="19"/>
        <v>535000</v>
      </c>
    </row>
    <row r="151" spans="1:11" ht="13.2" customHeight="1" x14ac:dyDescent="0.25">
      <c r="A151" s="223"/>
      <c r="B151" s="224" t="s">
        <v>175</v>
      </c>
      <c r="C151" s="225" t="s">
        <v>1004</v>
      </c>
      <c r="D151" s="226"/>
      <c r="E151" s="44"/>
      <c r="F151" s="227"/>
      <c r="G151" s="227"/>
      <c r="H151" s="228" t="s">
        <v>203</v>
      </c>
      <c r="I151" s="284">
        <v>2</v>
      </c>
      <c r="J151" s="254">
        <f>'Harga Satuan Dasar mat'!G255</f>
        <v>70000</v>
      </c>
      <c r="K151" s="230">
        <f>I151*J151</f>
        <v>140000</v>
      </c>
    </row>
    <row r="152" spans="1:11" ht="13.2" customHeight="1" x14ac:dyDescent="0.25">
      <c r="A152" s="223"/>
      <c r="B152" s="224" t="s">
        <v>177</v>
      </c>
      <c r="C152" s="225" t="s">
        <v>979</v>
      </c>
      <c r="D152" s="226"/>
      <c r="E152" s="44"/>
      <c r="F152" s="227"/>
      <c r="G152" s="227"/>
      <c r="H152" s="228" t="s">
        <v>203</v>
      </c>
      <c r="I152" s="229">
        <v>20</v>
      </c>
      <c r="J152" s="60">
        <f>'Harga Satuan Dasar mat'!G252</f>
        <v>14000</v>
      </c>
      <c r="K152" s="230">
        <f t="shared" ref="K152" si="20">I152*J152</f>
        <v>280000</v>
      </c>
    </row>
    <row r="153" spans="1:11" ht="12.9" customHeight="1" x14ac:dyDescent="0.25">
      <c r="A153" s="58"/>
      <c r="B153" s="231"/>
      <c r="C153" s="232"/>
      <c r="D153" s="232"/>
      <c r="E153" s="232"/>
      <c r="F153" s="232"/>
      <c r="G153" s="233"/>
      <c r="H153" s="234" t="s">
        <v>715</v>
      </c>
      <c r="I153" s="235"/>
      <c r="J153" s="235"/>
      <c r="K153" s="236">
        <f>SUM(K144:K152)</f>
        <v>4325000</v>
      </c>
    </row>
    <row r="154" spans="1:11" ht="12.9" customHeight="1" x14ac:dyDescent="0.25">
      <c r="A154" s="58"/>
      <c r="B154" s="59"/>
      <c r="C154" s="56"/>
      <c r="D154" s="56"/>
      <c r="E154" s="56"/>
      <c r="F154" s="56"/>
      <c r="G154" s="237"/>
      <c r="H154" s="238" t="s">
        <v>603</v>
      </c>
      <c r="I154" s="239">
        <f>$K$3</f>
        <v>0.15</v>
      </c>
      <c r="J154" s="240"/>
      <c r="K154" s="241">
        <f>I154*K153</f>
        <v>648750</v>
      </c>
    </row>
    <row r="155" spans="1:11" ht="12.9" customHeight="1" x14ac:dyDescent="0.25">
      <c r="A155" s="58"/>
      <c r="B155" s="59"/>
      <c r="C155" s="56"/>
      <c r="D155" s="56"/>
      <c r="E155" s="56"/>
      <c r="F155" s="56"/>
      <c r="G155" s="237"/>
      <c r="H155" s="238" t="s">
        <v>604</v>
      </c>
      <c r="I155" s="226"/>
      <c r="J155" s="226"/>
      <c r="K155" s="241">
        <f>SUM(K153:K154)</f>
        <v>4973750</v>
      </c>
    </row>
    <row r="156" spans="1:11" ht="12.9" customHeight="1" thickBot="1" x14ac:dyDescent="0.3">
      <c r="A156" s="242"/>
      <c r="B156" s="243"/>
      <c r="C156" s="244"/>
      <c r="D156" s="244"/>
      <c r="E156" s="244"/>
      <c r="F156" s="244"/>
      <c r="G156" s="245"/>
      <c r="H156" s="246" t="s">
        <v>605</v>
      </c>
      <c r="I156" s="247"/>
      <c r="J156" s="247"/>
      <c r="K156" s="248">
        <f>ROUND(K155,-1)</f>
        <v>4973750</v>
      </c>
    </row>
    <row r="157" spans="1:11" ht="14.1" customHeight="1" x14ac:dyDescent="0.25">
      <c r="A157" s="215">
        <v>18</v>
      </c>
      <c r="B157" s="651" t="s">
        <v>713</v>
      </c>
      <c r="C157" s="652"/>
      <c r="D157" s="216" t="s">
        <v>1082</v>
      </c>
      <c r="E157" s="217"/>
      <c r="F157" s="218"/>
      <c r="G157" s="218"/>
      <c r="H157" s="219"/>
      <c r="I157" s="220"/>
      <c r="J157" s="221"/>
      <c r="K157" s="222"/>
    </row>
    <row r="158" spans="1:11" ht="13.2" customHeight="1" x14ac:dyDescent="0.25">
      <c r="A158" s="223"/>
      <c r="B158" s="224" t="s">
        <v>4</v>
      </c>
      <c r="C158" s="225" t="s">
        <v>889</v>
      </c>
      <c r="D158" s="226"/>
      <c r="E158" s="44"/>
      <c r="F158" s="227"/>
      <c r="G158" s="227"/>
      <c r="H158" s="228" t="s">
        <v>235</v>
      </c>
      <c r="I158" s="283">
        <v>2</v>
      </c>
      <c r="J158" s="60">
        <f>J144</f>
        <v>600000</v>
      </c>
      <c r="K158" s="230">
        <f>I158*J158</f>
        <v>1200000</v>
      </c>
    </row>
    <row r="159" spans="1:11" ht="13.2" customHeight="1" x14ac:dyDescent="0.25">
      <c r="A159" s="223"/>
      <c r="B159" s="224" t="s">
        <v>30</v>
      </c>
      <c r="C159" s="225" t="s">
        <v>890</v>
      </c>
      <c r="D159" s="226"/>
      <c r="E159" s="44"/>
      <c r="F159" s="227"/>
      <c r="G159" s="227"/>
      <c r="H159" s="228" t="s">
        <v>235</v>
      </c>
      <c r="I159" s="229">
        <v>2</v>
      </c>
      <c r="J159" s="60">
        <f>J145</f>
        <v>320000</v>
      </c>
      <c r="K159" s="230">
        <f t="shared" ref="K159:K161" si="21">I159*J159</f>
        <v>640000</v>
      </c>
    </row>
    <row r="160" spans="1:11" ht="13.2" customHeight="1" x14ac:dyDescent="0.25">
      <c r="A160" s="223"/>
      <c r="B160" s="224" t="s">
        <v>57</v>
      </c>
      <c r="C160" s="225" t="s">
        <v>977</v>
      </c>
      <c r="D160" s="226"/>
      <c r="E160" s="44"/>
      <c r="F160" s="227"/>
      <c r="G160" s="227"/>
      <c r="H160" s="228" t="s">
        <v>235</v>
      </c>
      <c r="I160" s="229">
        <v>2</v>
      </c>
      <c r="J160" s="60">
        <f>J146</f>
        <v>197500</v>
      </c>
      <c r="K160" s="230">
        <f t="shared" si="21"/>
        <v>395000</v>
      </c>
    </row>
    <row r="161" spans="1:11" ht="13.2" customHeight="1" x14ac:dyDescent="0.25">
      <c r="A161" s="223"/>
      <c r="B161" s="224" t="s">
        <v>83</v>
      </c>
      <c r="C161" s="225" t="s">
        <v>1095</v>
      </c>
      <c r="D161" s="226"/>
      <c r="E161" s="44"/>
      <c r="F161" s="227"/>
      <c r="G161" s="227"/>
      <c r="H161" s="228" t="s">
        <v>203</v>
      </c>
      <c r="I161" s="284">
        <v>1</v>
      </c>
      <c r="J161" s="254">
        <f>'Harga Satuan Dasar mat'!G56</f>
        <v>185000</v>
      </c>
      <c r="K161" s="230">
        <f t="shared" si="21"/>
        <v>185000</v>
      </c>
    </row>
    <row r="162" spans="1:11" ht="13.2" customHeight="1" x14ac:dyDescent="0.25">
      <c r="A162" s="223"/>
      <c r="B162" s="224" t="s">
        <v>110</v>
      </c>
      <c r="C162" s="225" t="s">
        <v>894</v>
      </c>
      <c r="D162" s="226"/>
      <c r="E162" s="44"/>
      <c r="F162" s="227"/>
      <c r="G162" s="227"/>
      <c r="H162" s="228" t="s">
        <v>203</v>
      </c>
      <c r="I162" s="229">
        <v>1</v>
      </c>
      <c r="J162" s="254">
        <f>'Harga Satuan Dasar mat'!G108</f>
        <v>257000</v>
      </c>
      <c r="K162" s="230">
        <f>I162*J162</f>
        <v>257000</v>
      </c>
    </row>
    <row r="163" spans="1:11" ht="13.2" customHeight="1" x14ac:dyDescent="0.25">
      <c r="A163" s="223"/>
      <c r="B163" s="224" t="s">
        <v>137</v>
      </c>
      <c r="C163" s="225" t="s">
        <v>892</v>
      </c>
      <c r="D163" s="226"/>
      <c r="E163" s="44"/>
      <c r="F163" s="227"/>
      <c r="G163" s="227"/>
      <c r="H163" s="228" t="s">
        <v>235</v>
      </c>
      <c r="I163" s="229">
        <v>2</v>
      </c>
      <c r="J163" s="60">
        <f>J149</f>
        <v>336000</v>
      </c>
      <c r="K163" s="230">
        <f t="shared" ref="K163:K164" si="22">I163*J163</f>
        <v>672000</v>
      </c>
    </row>
    <row r="164" spans="1:11" ht="13.2" customHeight="1" x14ac:dyDescent="0.25">
      <c r="A164" s="223"/>
      <c r="B164" s="224" t="s">
        <v>156</v>
      </c>
      <c r="C164" s="225" t="s">
        <v>978</v>
      </c>
      <c r="D164" s="226"/>
      <c r="E164" s="44"/>
      <c r="F164" s="227"/>
      <c r="G164" s="227"/>
      <c r="H164" s="228" t="s">
        <v>235</v>
      </c>
      <c r="I164" s="229">
        <v>2</v>
      </c>
      <c r="J164" s="60">
        <f>J150</f>
        <v>267500</v>
      </c>
      <c r="K164" s="230">
        <f t="shared" si="22"/>
        <v>535000</v>
      </c>
    </row>
    <row r="165" spans="1:11" ht="13.2" customHeight="1" x14ac:dyDescent="0.25">
      <c r="A165" s="223"/>
      <c r="B165" s="224" t="s">
        <v>175</v>
      </c>
      <c r="C165" s="225" t="s">
        <v>1004</v>
      </c>
      <c r="D165" s="226"/>
      <c r="E165" s="44"/>
      <c r="F165" s="227"/>
      <c r="G165" s="227"/>
      <c r="H165" s="228" t="s">
        <v>203</v>
      </c>
      <c r="I165" s="284">
        <v>2</v>
      </c>
      <c r="J165" s="254">
        <f>J151</f>
        <v>70000</v>
      </c>
      <c r="K165" s="230">
        <f>I165*J165</f>
        <v>140000</v>
      </c>
    </row>
    <row r="166" spans="1:11" ht="13.2" customHeight="1" x14ac:dyDescent="0.25">
      <c r="A166" s="223"/>
      <c r="B166" s="224" t="s">
        <v>177</v>
      </c>
      <c r="C166" s="225" t="s">
        <v>979</v>
      </c>
      <c r="D166" s="226"/>
      <c r="E166" s="44"/>
      <c r="F166" s="227"/>
      <c r="G166" s="227"/>
      <c r="H166" s="228" t="s">
        <v>203</v>
      </c>
      <c r="I166" s="229">
        <v>20</v>
      </c>
      <c r="J166" s="60">
        <f>J152</f>
        <v>14000</v>
      </c>
      <c r="K166" s="230">
        <f t="shared" ref="K166" si="23">I166*J166</f>
        <v>280000</v>
      </c>
    </row>
    <row r="167" spans="1:11" ht="12.9" customHeight="1" x14ac:dyDescent="0.25">
      <c r="A167" s="58"/>
      <c r="B167" s="231"/>
      <c r="C167" s="232"/>
      <c r="D167" s="232"/>
      <c r="E167" s="232"/>
      <c r="F167" s="232"/>
      <c r="G167" s="233"/>
      <c r="H167" s="234" t="s">
        <v>715</v>
      </c>
      <c r="I167" s="235"/>
      <c r="J167" s="235"/>
      <c r="K167" s="236">
        <f>SUM(K158:K166)</f>
        <v>4304000</v>
      </c>
    </row>
    <row r="168" spans="1:11" ht="12.9" customHeight="1" x14ac:dyDescent="0.25">
      <c r="A168" s="58"/>
      <c r="B168" s="59"/>
      <c r="C168" s="56"/>
      <c r="D168" s="56"/>
      <c r="E168" s="56"/>
      <c r="F168" s="56"/>
      <c r="G168" s="237"/>
      <c r="H168" s="238" t="s">
        <v>603</v>
      </c>
      <c r="I168" s="239">
        <f>$K$3</f>
        <v>0.15</v>
      </c>
      <c r="J168" s="240"/>
      <c r="K168" s="241">
        <f>I168*K167</f>
        <v>645600</v>
      </c>
    </row>
    <row r="169" spans="1:11" ht="12.9" customHeight="1" x14ac:dyDescent="0.25">
      <c r="A169" s="58"/>
      <c r="B169" s="59"/>
      <c r="C169" s="56"/>
      <c r="D169" s="56"/>
      <c r="E169" s="56"/>
      <c r="F169" s="56"/>
      <c r="G169" s="237"/>
      <c r="H169" s="238" t="s">
        <v>604</v>
      </c>
      <c r="I169" s="226"/>
      <c r="J169" s="226"/>
      <c r="K169" s="241">
        <f>SUM(K167:K168)</f>
        <v>4949600</v>
      </c>
    </row>
    <row r="170" spans="1:11" ht="12.9" customHeight="1" thickBot="1" x14ac:dyDescent="0.3">
      <c r="A170" s="242"/>
      <c r="B170" s="243"/>
      <c r="C170" s="244"/>
      <c r="D170" s="244"/>
      <c r="E170" s="244"/>
      <c r="F170" s="244"/>
      <c r="G170" s="245"/>
      <c r="H170" s="246" t="s">
        <v>605</v>
      </c>
      <c r="I170" s="247"/>
      <c r="J170" s="247"/>
      <c r="K170" s="248">
        <f>ROUND(K169,-1)</f>
        <v>4949600</v>
      </c>
    </row>
    <row r="171" spans="1:11" ht="14.1" customHeight="1" x14ac:dyDescent="0.25">
      <c r="A171" s="215">
        <v>19</v>
      </c>
      <c r="B171" s="651" t="s">
        <v>713</v>
      </c>
      <c r="C171" s="652"/>
      <c r="D171" s="216" t="s">
        <v>1081</v>
      </c>
      <c r="E171" s="217"/>
      <c r="F171" s="218"/>
      <c r="G171" s="218"/>
      <c r="H171" s="219"/>
      <c r="I171" s="220"/>
      <c r="J171" s="221"/>
      <c r="K171" s="222"/>
    </row>
    <row r="172" spans="1:11" ht="13.2" customHeight="1" x14ac:dyDescent="0.25">
      <c r="A172" s="223"/>
      <c r="B172" s="224" t="s">
        <v>4</v>
      </c>
      <c r="C172" s="225" t="s">
        <v>889</v>
      </c>
      <c r="D172" s="226"/>
      <c r="E172" s="44"/>
      <c r="F172" s="227"/>
      <c r="G172" s="227"/>
      <c r="H172" s="228" t="s">
        <v>235</v>
      </c>
      <c r="I172" s="283">
        <v>2</v>
      </c>
      <c r="J172" s="60">
        <f>J144</f>
        <v>600000</v>
      </c>
      <c r="K172" s="230">
        <f>I172*J172</f>
        <v>1200000</v>
      </c>
    </row>
    <row r="173" spans="1:11" ht="13.2" customHeight="1" x14ac:dyDescent="0.25">
      <c r="A173" s="223"/>
      <c r="B173" s="224" t="s">
        <v>30</v>
      </c>
      <c r="C173" s="225" t="s">
        <v>890</v>
      </c>
      <c r="D173" s="226"/>
      <c r="E173" s="44"/>
      <c r="F173" s="227"/>
      <c r="G173" s="227"/>
      <c r="H173" s="228" t="s">
        <v>235</v>
      </c>
      <c r="I173" s="229">
        <v>2</v>
      </c>
      <c r="J173" s="60">
        <f>J145</f>
        <v>320000</v>
      </c>
      <c r="K173" s="230">
        <f t="shared" ref="K173:K175" si="24">I173*J173</f>
        <v>640000</v>
      </c>
    </row>
    <row r="174" spans="1:11" ht="13.2" customHeight="1" x14ac:dyDescent="0.25">
      <c r="A174" s="223"/>
      <c r="B174" s="224" t="s">
        <v>57</v>
      </c>
      <c r="C174" s="225" t="s">
        <v>977</v>
      </c>
      <c r="D174" s="226"/>
      <c r="E174" s="44"/>
      <c r="F174" s="227"/>
      <c r="G174" s="227"/>
      <c r="H174" s="228" t="s">
        <v>235</v>
      </c>
      <c r="I174" s="229">
        <v>2</v>
      </c>
      <c r="J174" s="60">
        <f>J160</f>
        <v>197500</v>
      </c>
      <c r="K174" s="230">
        <f t="shared" si="24"/>
        <v>395000</v>
      </c>
    </row>
    <row r="175" spans="1:11" ht="13.2" customHeight="1" x14ac:dyDescent="0.25">
      <c r="A175" s="223"/>
      <c r="B175" s="224" t="s">
        <v>83</v>
      </c>
      <c r="C175" s="225" t="s">
        <v>1094</v>
      </c>
      <c r="D175" s="226"/>
      <c r="E175" s="44"/>
      <c r="F175" s="227"/>
      <c r="G175" s="227"/>
      <c r="H175" s="228" t="s">
        <v>203</v>
      </c>
      <c r="I175" s="284">
        <v>1</v>
      </c>
      <c r="J175" s="254">
        <f>'Harga Satuan Dasar mat'!G55</f>
        <v>177000</v>
      </c>
      <c r="K175" s="230">
        <f t="shared" si="24"/>
        <v>177000</v>
      </c>
    </row>
    <row r="176" spans="1:11" ht="13.2" customHeight="1" x14ac:dyDescent="0.25">
      <c r="A176" s="223"/>
      <c r="B176" s="224" t="s">
        <v>110</v>
      </c>
      <c r="C176" s="225" t="s">
        <v>895</v>
      </c>
      <c r="D176" s="226"/>
      <c r="E176" s="44"/>
      <c r="F176" s="227"/>
      <c r="G176" s="227"/>
      <c r="H176" s="228" t="s">
        <v>203</v>
      </c>
      <c r="I176" s="229">
        <v>1</v>
      </c>
      <c r="J176" s="254">
        <f>'Harga Satuan Dasar mat'!G107</f>
        <v>247000</v>
      </c>
      <c r="K176" s="230">
        <f>I176*J176</f>
        <v>247000</v>
      </c>
    </row>
    <row r="177" spans="1:11" ht="13.2" customHeight="1" x14ac:dyDescent="0.25">
      <c r="A177" s="223"/>
      <c r="B177" s="224" t="s">
        <v>137</v>
      </c>
      <c r="C177" s="225" t="s">
        <v>892</v>
      </c>
      <c r="D177" s="226"/>
      <c r="E177" s="44"/>
      <c r="F177" s="227"/>
      <c r="G177" s="227"/>
      <c r="H177" s="228" t="s">
        <v>235</v>
      </c>
      <c r="I177" s="229">
        <v>2</v>
      </c>
      <c r="J177" s="60">
        <f>J149</f>
        <v>336000</v>
      </c>
      <c r="K177" s="230">
        <f t="shared" ref="K177:K178" si="25">I177*J177</f>
        <v>672000</v>
      </c>
    </row>
    <row r="178" spans="1:11" ht="13.2" customHeight="1" x14ac:dyDescent="0.25">
      <c r="A178" s="223"/>
      <c r="B178" s="224" t="s">
        <v>156</v>
      </c>
      <c r="C178" s="225" t="s">
        <v>978</v>
      </c>
      <c r="D178" s="226"/>
      <c r="E178" s="44"/>
      <c r="F178" s="227"/>
      <c r="G178" s="227"/>
      <c r="H178" s="228" t="s">
        <v>235</v>
      </c>
      <c r="I178" s="229">
        <v>2</v>
      </c>
      <c r="J178" s="60">
        <f>J150</f>
        <v>267500</v>
      </c>
      <c r="K178" s="230">
        <f t="shared" si="25"/>
        <v>535000</v>
      </c>
    </row>
    <row r="179" spans="1:11" ht="13.2" customHeight="1" x14ac:dyDescent="0.25">
      <c r="A179" s="223"/>
      <c r="B179" s="224" t="s">
        <v>175</v>
      </c>
      <c r="C179" s="225" t="s">
        <v>1004</v>
      </c>
      <c r="D179" s="226"/>
      <c r="E179" s="44"/>
      <c r="F179" s="227"/>
      <c r="G179" s="227"/>
      <c r="H179" s="228" t="s">
        <v>203</v>
      </c>
      <c r="I179" s="284">
        <v>2</v>
      </c>
      <c r="J179" s="254">
        <f>J165</f>
        <v>70000</v>
      </c>
      <c r="K179" s="230">
        <f>I179*J179</f>
        <v>140000</v>
      </c>
    </row>
    <row r="180" spans="1:11" ht="13.2" customHeight="1" x14ac:dyDescent="0.25">
      <c r="A180" s="223"/>
      <c r="B180" s="224" t="s">
        <v>177</v>
      </c>
      <c r="C180" s="225" t="s">
        <v>979</v>
      </c>
      <c r="D180" s="226"/>
      <c r="E180" s="44"/>
      <c r="F180" s="227"/>
      <c r="G180" s="227"/>
      <c r="H180" s="228" t="s">
        <v>203</v>
      </c>
      <c r="I180" s="229">
        <v>20</v>
      </c>
      <c r="J180" s="60">
        <f>J152</f>
        <v>14000</v>
      </c>
      <c r="K180" s="230">
        <f t="shared" ref="K180" si="26">I180*J180</f>
        <v>280000</v>
      </c>
    </row>
    <row r="181" spans="1:11" ht="12.9" customHeight="1" x14ac:dyDescent="0.25">
      <c r="A181" s="58"/>
      <c r="B181" s="231"/>
      <c r="C181" s="232"/>
      <c r="D181" s="232"/>
      <c r="E181" s="232"/>
      <c r="F181" s="232"/>
      <c r="G181" s="233"/>
      <c r="H181" s="234" t="s">
        <v>715</v>
      </c>
      <c r="I181" s="235"/>
      <c r="J181" s="235"/>
      <c r="K181" s="236">
        <f>SUM(K172:K180)</f>
        <v>4286000</v>
      </c>
    </row>
    <row r="182" spans="1:11" ht="12.9" customHeight="1" x14ac:dyDescent="0.25">
      <c r="A182" s="58"/>
      <c r="B182" s="59"/>
      <c r="C182" s="56"/>
      <c r="D182" s="56"/>
      <c r="E182" s="56"/>
      <c r="F182" s="56"/>
      <c r="G182" s="237"/>
      <c r="H182" s="238" t="s">
        <v>603</v>
      </c>
      <c r="I182" s="239">
        <f>$K$3</f>
        <v>0.15</v>
      </c>
      <c r="J182" s="240"/>
      <c r="K182" s="241">
        <f>I182*K181</f>
        <v>642900</v>
      </c>
    </row>
    <row r="183" spans="1:11" ht="12.9" customHeight="1" x14ac:dyDescent="0.25">
      <c r="A183" s="58"/>
      <c r="B183" s="59"/>
      <c r="C183" s="56"/>
      <c r="D183" s="56"/>
      <c r="E183" s="56"/>
      <c r="F183" s="56"/>
      <c r="G183" s="237"/>
      <c r="H183" s="238" t="s">
        <v>604</v>
      </c>
      <c r="I183" s="226"/>
      <c r="J183" s="226"/>
      <c r="K183" s="241">
        <f>SUM(K181:K182)</f>
        <v>4928900</v>
      </c>
    </row>
    <row r="184" spans="1:11" ht="12.9" customHeight="1" thickBot="1" x14ac:dyDescent="0.3">
      <c r="A184" s="242"/>
      <c r="B184" s="243"/>
      <c r="C184" s="244"/>
      <c r="D184" s="244"/>
      <c r="E184" s="244"/>
      <c r="F184" s="244"/>
      <c r="G184" s="245"/>
      <c r="H184" s="246" t="s">
        <v>605</v>
      </c>
      <c r="I184" s="247"/>
      <c r="J184" s="247"/>
      <c r="K184" s="248">
        <f>ROUND(K183,-1)</f>
        <v>4928900</v>
      </c>
    </row>
    <row r="185" spans="1:11" ht="14.1" customHeight="1" x14ac:dyDescent="0.25">
      <c r="A185" s="215">
        <v>20</v>
      </c>
      <c r="B185" s="651" t="s">
        <v>713</v>
      </c>
      <c r="C185" s="652"/>
      <c r="D185" s="216" t="s">
        <v>1080</v>
      </c>
      <c r="E185" s="217"/>
      <c r="F185" s="218"/>
      <c r="G185" s="218"/>
      <c r="H185" s="219"/>
      <c r="I185" s="220"/>
      <c r="J185" s="221"/>
      <c r="K185" s="222"/>
    </row>
    <row r="186" spans="1:11" ht="13.2" customHeight="1" x14ac:dyDescent="0.25">
      <c r="A186" s="223"/>
      <c r="B186" s="224" t="s">
        <v>4</v>
      </c>
      <c r="C186" s="225" t="s">
        <v>889</v>
      </c>
      <c r="D186" s="226"/>
      <c r="E186" s="44"/>
      <c r="F186" s="227"/>
      <c r="G186" s="227"/>
      <c r="H186" s="228" t="s">
        <v>235</v>
      </c>
      <c r="I186" s="283">
        <v>2</v>
      </c>
      <c r="J186" s="60">
        <f t="shared" ref="J186:J192" si="27">J144</f>
        <v>600000</v>
      </c>
      <c r="K186" s="230">
        <f>I186*J186</f>
        <v>1200000</v>
      </c>
    </row>
    <row r="187" spans="1:11" ht="13.2" customHeight="1" x14ac:dyDescent="0.25">
      <c r="A187" s="223"/>
      <c r="B187" s="224" t="s">
        <v>30</v>
      </c>
      <c r="C187" s="225" t="s">
        <v>890</v>
      </c>
      <c r="D187" s="226"/>
      <c r="E187" s="44"/>
      <c r="F187" s="227"/>
      <c r="G187" s="227"/>
      <c r="H187" s="228" t="s">
        <v>235</v>
      </c>
      <c r="I187" s="229">
        <v>2</v>
      </c>
      <c r="J187" s="60">
        <f t="shared" si="27"/>
        <v>320000</v>
      </c>
      <c r="K187" s="230">
        <f t="shared" ref="K187:K189" si="28">I187*J187</f>
        <v>640000</v>
      </c>
    </row>
    <row r="188" spans="1:11" ht="13.2" customHeight="1" x14ac:dyDescent="0.25">
      <c r="A188" s="223"/>
      <c r="B188" s="224" t="s">
        <v>57</v>
      </c>
      <c r="C188" s="225" t="s">
        <v>977</v>
      </c>
      <c r="D188" s="226"/>
      <c r="E188" s="44"/>
      <c r="F188" s="227"/>
      <c r="G188" s="227"/>
      <c r="H188" s="228" t="s">
        <v>235</v>
      </c>
      <c r="I188" s="229">
        <v>2</v>
      </c>
      <c r="J188" s="60">
        <f>J174</f>
        <v>197500</v>
      </c>
      <c r="K188" s="230">
        <f t="shared" si="28"/>
        <v>395000</v>
      </c>
    </row>
    <row r="189" spans="1:11" ht="13.2" customHeight="1" x14ac:dyDescent="0.25">
      <c r="A189" s="223"/>
      <c r="B189" s="224" t="s">
        <v>83</v>
      </c>
      <c r="C189" s="225" t="s">
        <v>1095</v>
      </c>
      <c r="D189" s="226"/>
      <c r="E189" s="44"/>
      <c r="F189" s="227"/>
      <c r="G189" s="227"/>
      <c r="H189" s="228" t="s">
        <v>203</v>
      </c>
      <c r="I189" s="284">
        <v>1</v>
      </c>
      <c r="J189" s="254">
        <f>'Harga Satuan Dasar mat'!G56</f>
        <v>185000</v>
      </c>
      <c r="K189" s="230">
        <f t="shared" si="28"/>
        <v>185000</v>
      </c>
    </row>
    <row r="190" spans="1:11" ht="13.2" customHeight="1" x14ac:dyDescent="0.25">
      <c r="A190" s="223"/>
      <c r="B190" s="224" t="s">
        <v>110</v>
      </c>
      <c r="C190" s="225" t="s">
        <v>894</v>
      </c>
      <c r="D190" s="226"/>
      <c r="E190" s="44"/>
      <c r="F190" s="227"/>
      <c r="G190" s="227"/>
      <c r="H190" s="228" t="s">
        <v>203</v>
      </c>
      <c r="I190" s="229">
        <v>1</v>
      </c>
      <c r="J190" s="254">
        <f>'Harga Satuan Dasar mat'!G108</f>
        <v>257000</v>
      </c>
      <c r="K190" s="230">
        <f>I190*J190</f>
        <v>257000</v>
      </c>
    </row>
    <row r="191" spans="1:11" ht="13.2" customHeight="1" x14ac:dyDescent="0.25">
      <c r="A191" s="223"/>
      <c r="B191" s="224" t="s">
        <v>137</v>
      </c>
      <c r="C191" s="225" t="s">
        <v>892</v>
      </c>
      <c r="D191" s="226"/>
      <c r="E191" s="44"/>
      <c r="F191" s="227"/>
      <c r="G191" s="227"/>
      <c r="H191" s="228" t="s">
        <v>235</v>
      </c>
      <c r="I191" s="229">
        <v>2</v>
      </c>
      <c r="J191" s="60">
        <f t="shared" si="27"/>
        <v>336000</v>
      </c>
      <c r="K191" s="230">
        <f t="shared" ref="K191:K192" si="29">I191*J191</f>
        <v>672000</v>
      </c>
    </row>
    <row r="192" spans="1:11" ht="13.2" customHeight="1" x14ac:dyDescent="0.25">
      <c r="A192" s="223"/>
      <c r="B192" s="224" t="s">
        <v>156</v>
      </c>
      <c r="C192" s="225" t="s">
        <v>978</v>
      </c>
      <c r="D192" s="226"/>
      <c r="E192" s="44"/>
      <c r="F192" s="227"/>
      <c r="G192" s="227"/>
      <c r="H192" s="228" t="s">
        <v>235</v>
      </c>
      <c r="I192" s="229">
        <v>2</v>
      </c>
      <c r="J192" s="60">
        <f t="shared" si="27"/>
        <v>267500</v>
      </c>
      <c r="K192" s="230">
        <f t="shared" si="29"/>
        <v>535000</v>
      </c>
    </row>
    <row r="193" spans="1:11" ht="13.2" customHeight="1" x14ac:dyDescent="0.25">
      <c r="A193" s="223"/>
      <c r="B193" s="224" t="s">
        <v>175</v>
      </c>
      <c r="C193" s="225" t="s">
        <v>1004</v>
      </c>
      <c r="D193" s="226"/>
      <c r="E193" s="44"/>
      <c r="F193" s="227"/>
      <c r="G193" s="227"/>
      <c r="H193" s="228" t="s">
        <v>203</v>
      </c>
      <c r="I193" s="284">
        <v>2</v>
      </c>
      <c r="J193" s="254">
        <f>J165</f>
        <v>70000</v>
      </c>
      <c r="K193" s="230">
        <f>I193*J193</f>
        <v>140000</v>
      </c>
    </row>
    <row r="194" spans="1:11" ht="13.2" customHeight="1" x14ac:dyDescent="0.25">
      <c r="A194" s="223"/>
      <c r="B194" s="224" t="s">
        <v>177</v>
      </c>
      <c r="C194" s="225" t="s">
        <v>979</v>
      </c>
      <c r="D194" s="226"/>
      <c r="E194" s="44"/>
      <c r="F194" s="227"/>
      <c r="G194" s="227"/>
      <c r="H194" s="228" t="s">
        <v>203</v>
      </c>
      <c r="I194" s="229">
        <v>20</v>
      </c>
      <c r="J194" s="60">
        <f>J152</f>
        <v>14000</v>
      </c>
      <c r="K194" s="230">
        <f t="shared" ref="K194" si="30">I194*J194</f>
        <v>280000</v>
      </c>
    </row>
    <row r="195" spans="1:11" ht="12.9" customHeight="1" x14ac:dyDescent="0.25">
      <c r="A195" s="58"/>
      <c r="B195" s="231"/>
      <c r="C195" s="232"/>
      <c r="D195" s="232"/>
      <c r="E195" s="232"/>
      <c r="F195" s="232"/>
      <c r="G195" s="233"/>
      <c r="H195" s="234" t="s">
        <v>715</v>
      </c>
      <c r="I195" s="235"/>
      <c r="J195" s="235"/>
      <c r="K195" s="236">
        <f>SUM(K186:K194)</f>
        <v>4304000</v>
      </c>
    </row>
    <row r="196" spans="1:11" ht="12.9" customHeight="1" x14ac:dyDescent="0.25">
      <c r="A196" s="58"/>
      <c r="B196" s="59"/>
      <c r="C196" s="56"/>
      <c r="D196" s="56"/>
      <c r="E196" s="56"/>
      <c r="F196" s="56"/>
      <c r="G196" s="237"/>
      <c r="H196" s="238" t="s">
        <v>603</v>
      </c>
      <c r="I196" s="239">
        <f>$K$3</f>
        <v>0.15</v>
      </c>
      <c r="J196" s="240"/>
      <c r="K196" s="241">
        <f>I196*K195</f>
        <v>645600</v>
      </c>
    </row>
    <row r="197" spans="1:11" ht="12.9" customHeight="1" x14ac:dyDescent="0.25">
      <c r="A197" s="58"/>
      <c r="B197" s="59"/>
      <c r="C197" s="56"/>
      <c r="D197" s="56"/>
      <c r="E197" s="56"/>
      <c r="F197" s="56"/>
      <c r="G197" s="237"/>
      <c r="H197" s="238" t="s">
        <v>604</v>
      </c>
      <c r="I197" s="226"/>
      <c r="J197" s="226"/>
      <c r="K197" s="241">
        <f>SUM(K195:K196)</f>
        <v>4949600</v>
      </c>
    </row>
    <row r="198" spans="1:11" ht="12.9" customHeight="1" thickBot="1" x14ac:dyDescent="0.3">
      <c r="A198" s="242"/>
      <c r="B198" s="243"/>
      <c r="C198" s="244"/>
      <c r="D198" s="244"/>
      <c r="E198" s="244"/>
      <c r="F198" s="244"/>
      <c r="G198" s="245"/>
      <c r="H198" s="246" t="s">
        <v>605</v>
      </c>
      <c r="I198" s="247"/>
      <c r="J198" s="247"/>
      <c r="K198" s="248">
        <f>ROUND(K197,-1)</f>
        <v>4949600</v>
      </c>
    </row>
    <row r="199" spans="1:11" ht="14.1" customHeight="1" x14ac:dyDescent="0.25">
      <c r="A199" s="215">
        <v>21</v>
      </c>
      <c r="B199" s="651" t="s">
        <v>713</v>
      </c>
      <c r="C199" s="652"/>
      <c r="D199" s="216" t="s">
        <v>1079</v>
      </c>
      <c r="E199" s="217"/>
      <c r="F199" s="218"/>
      <c r="G199" s="218"/>
      <c r="H199" s="219"/>
      <c r="I199" s="220"/>
      <c r="J199" s="221"/>
      <c r="K199" s="222"/>
    </row>
    <row r="200" spans="1:11" ht="13.2" customHeight="1" x14ac:dyDescent="0.25">
      <c r="A200" s="223"/>
      <c r="B200" s="224" t="s">
        <v>4</v>
      </c>
      <c r="C200" s="225" t="s">
        <v>889</v>
      </c>
      <c r="D200" s="226"/>
      <c r="E200" s="44"/>
      <c r="F200" s="227"/>
      <c r="G200" s="227"/>
      <c r="H200" s="228" t="s">
        <v>235</v>
      </c>
      <c r="I200" s="283">
        <v>2</v>
      </c>
      <c r="J200" s="60">
        <f>J172</f>
        <v>600000</v>
      </c>
      <c r="K200" s="230">
        <f>I200*J200</f>
        <v>1200000</v>
      </c>
    </row>
    <row r="201" spans="1:11" ht="13.2" customHeight="1" x14ac:dyDescent="0.25">
      <c r="A201" s="223"/>
      <c r="B201" s="224" t="s">
        <v>30</v>
      </c>
      <c r="C201" s="225" t="s">
        <v>890</v>
      </c>
      <c r="D201" s="226"/>
      <c r="E201" s="44"/>
      <c r="F201" s="227"/>
      <c r="G201" s="227"/>
      <c r="H201" s="228" t="s">
        <v>235</v>
      </c>
      <c r="I201" s="229">
        <v>2</v>
      </c>
      <c r="J201" s="60">
        <f>J173</f>
        <v>320000</v>
      </c>
      <c r="K201" s="230">
        <f t="shared" ref="K201:K203" si="31">I201*J201</f>
        <v>640000</v>
      </c>
    </row>
    <row r="202" spans="1:11" ht="13.2" customHeight="1" x14ac:dyDescent="0.25">
      <c r="A202" s="223"/>
      <c r="B202" s="224" t="s">
        <v>57</v>
      </c>
      <c r="C202" s="225" t="s">
        <v>977</v>
      </c>
      <c r="D202" s="226"/>
      <c r="E202" s="44"/>
      <c r="F202" s="227"/>
      <c r="G202" s="227"/>
      <c r="H202" s="228" t="s">
        <v>235</v>
      </c>
      <c r="I202" s="229">
        <v>2</v>
      </c>
      <c r="J202" s="60">
        <f>J174</f>
        <v>197500</v>
      </c>
      <c r="K202" s="230">
        <f t="shared" si="31"/>
        <v>395000</v>
      </c>
    </row>
    <row r="203" spans="1:11" ht="13.2" customHeight="1" x14ac:dyDescent="0.25">
      <c r="A203" s="223"/>
      <c r="B203" s="224" t="s">
        <v>83</v>
      </c>
      <c r="C203" s="225" t="s">
        <v>1092</v>
      </c>
      <c r="D203" s="226"/>
      <c r="E203" s="44"/>
      <c r="F203" s="227"/>
      <c r="G203" s="227"/>
      <c r="H203" s="228" t="s">
        <v>203</v>
      </c>
      <c r="I203" s="284">
        <v>1</v>
      </c>
      <c r="J203" s="254">
        <f>'Harga Satuan Dasar mat'!G52</f>
        <v>157500</v>
      </c>
      <c r="K203" s="230">
        <f t="shared" si="31"/>
        <v>157500</v>
      </c>
    </row>
    <row r="204" spans="1:11" ht="13.2" customHeight="1" x14ac:dyDescent="0.25">
      <c r="A204" s="223"/>
      <c r="B204" s="224" t="s">
        <v>110</v>
      </c>
      <c r="C204" s="225" t="s">
        <v>896</v>
      </c>
      <c r="D204" s="226"/>
      <c r="E204" s="44"/>
      <c r="F204" s="227"/>
      <c r="G204" s="227"/>
      <c r="H204" s="228" t="s">
        <v>203</v>
      </c>
      <c r="I204" s="229">
        <v>1</v>
      </c>
      <c r="J204" s="254">
        <f>'Harga Satuan Dasar mat'!G104</f>
        <v>221500</v>
      </c>
      <c r="K204" s="230">
        <f>I204*J204</f>
        <v>221500</v>
      </c>
    </row>
    <row r="205" spans="1:11" ht="13.2" customHeight="1" x14ac:dyDescent="0.25">
      <c r="A205" s="223"/>
      <c r="B205" s="224" t="s">
        <v>137</v>
      </c>
      <c r="C205" s="225" t="s">
        <v>892</v>
      </c>
      <c r="D205" s="226"/>
      <c r="E205" s="44"/>
      <c r="F205" s="227"/>
      <c r="G205" s="227"/>
      <c r="H205" s="228" t="s">
        <v>235</v>
      </c>
      <c r="I205" s="229">
        <v>2</v>
      </c>
      <c r="J205" s="60">
        <f>J177</f>
        <v>336000</v>
      </c>
      <c r="K205" s="230">
        <f t="shared" ref="K205:K206" si="32">I205*J205</f>
        <v>672000</v>
      </c>
    </row>
    <row r="206" spans="1:11" ht="13.2" customHeight="1" x14ac:dyDescent="0.25">
      <c r="A206" s="223"/>
      <c r="B206" s="224" t="s">
        <v>156</v>
      </c>
      <c r="C206" s="225" t="s">
        <v>978</v>
      </c>
      <c r="D206" s="226"/>
      <c r="E206" s="44"/>
      <c r="F206" s="227"/>
      <c r="G206" s="227"/>
      <c r="H206" s="228" t="s">
        <v>235</v>
      </c>
      <c r="I206" s="229">
        <v>2</v>
      </c>
      <c r="J206" s="60">
        <f>J178</f>
        <v>267500</v>
      </c>
      <c r="K206" s="230">
        <f t="shared" si="32"/>
        <v>535000</v>
      </c>
    </row>
    <row r="207" spans="1:11" ht="13.2" customHeight="1" x14ac:dyDescent="0.25">
      <c r="A207" s="223"/>
      <c r="B207" s="224" t="s">
        <v>175</v>
      </c>
      <c r="C207" s="225" t="s">
        <v>1004</v>
      </c>
      <c r="D207" s="226"/>
      <c r="E207" s="44"/>
      <c r="F207" s="227"/>
      <c r="G207" s="227"/>
      <c r="H207" s="228" t="s">
        <v>203</v>
      </c>
      <c r="I207" s="284">
        <v>2</v>
      </c>
      <c r="J207" s="254">
        <f>J179</f>
        <v>70000</v>
      </c>
      <c r="K207" s="230">
        <f>I207*J207</f>
        <v>140000</v>
      </c>
    </row>
    <row r="208" spans="1:11" ht="13.2" customHeight="1" x14ac:dyDescent="0.25">
      <c r="A208" s="223"/>
      <c r="B208" s="224" t="s">
        <v>177</v>
      </c>
      <c r="C208" s="225" t="s">
        <v>979</v>
      </c>
      <c r="D208" s="226"/>
      <c r="E208" s="44"/>
      <c r="F208" s="227"/>
      <c r="G208" s="227"/>
      <c r="H208" s="228" t="s">
        <v>203</v>
      </c>
      <c r="I208" s="229">
        <v>20</v>
      </c>
      <c r="J208" s="60">
        <f>J180</f>
        <v>14000</v>
      </c>
      <c r="K208" s="230">
        <f t="shared" ref="K208" si="33">I208*J208</f>
        <v>280000</v>
      </c>
    </row>
    <row r="209" spans="1:11" ht="12.9" customHeight="1" x14ac:dyDescent="0.25">
      <c r="A209" s="58"/>
      <c r="B209" s="231"/>
      <c r="C209" s="232"/>
      <c r="D209" s="232"/>
      <c r="E209" s="232"/>
      <c r="F209" s="232"/>
      <c r="G209" s="233"/>
      <c r="H209" s="234" t="s">
        <v>715</v>
      </c>
      <c r="I209" s="235"/>
      <c r="J209" s="235"/>
      <c r="K209" s="236">
        <f>SUM(K200:K208)</f>
        <v>4241000</v>
      </c>
    </row>
    <row r="210" spans="1:11" ht="12.9" customHeight="1" x14ac:dyDescent="0.25">
      <c r="A210" s="58"/>
      <c r="B210" s="59"/>
      <c r="C210" s="56"/>
      <c r="D210" s="56"/>
      <c r="E210" s="56"/>
      <c r="F210" s="56"/>
      <c r="G210" s="237"/>
      <c r="H210" s="238" t="s">
        <v>603</v>
      </c>
      <c r="I210" s="239">
        <f>$K$3</f>
        <v>0.15</v>
      </c>
      <c r="J210" s="240"/>
      <c r="K210" s="241">
        <f>I210*K209</f>
        <v>636150</v>
      </c>
    </row>
    <row r="211" spans="1:11" ht="12.9" customHeight="1" x14ac:dyDescent="0.25">
      <c r="A211" s="58"/>
      <c r="B211" s="59"/>
      <c r="C211" s="56"/>
      <c r="D211" s="56"/>
      <c r="E211" s="56"/>
      <c r="F211" s="56"/>
      <c r="G211" s="237"/>
      <c r="H211" s="238" t="s">
        <v>604</v>
      </c>
      <c r="I211" s="226"/>
      <c r="J211" s="226"/>
      <c r="K211" s="241">
        <f>SUM(K209:K210)</f>
        <v>4877150</v>
      </c>
    </row>
    <row r="212" spans="1:11" ht="12.9" customHeight="1" thickBot="1" x14ac:dyDescent="0.3">
      <c r="A212" s="242"/>
      <c r="B212" s="243"/>
      <c r="C212" s="244"/>
      <c r="D212" s="244"/>
      <c r="E212" s="244"/>
      <c r="F212" s="244"/>
      <c r="G212" s="245"/>
      <c r="H212" s="246" t="s">
        <v>605</v>
      </c>
      <c r="I212" s="247"/>
      <c r="J212" s="247"/>
      <c r="K212" s="248">
        <f>ROUND(K211,-1)</f>
        <v>4877150</v>
      </c>
    </row>
    <row r="213" spans="1:11" ht="14.1" customHeight="1" x14ac:dyDescent="0.25">
      <c r="A213" s="215">
        <v>22</v>
      </c>
      <c r="B213" s="651" t="s">
        <v>713</v>
      </c>
      <c r="C213" s="652"/>
      <c r="D213" s="216" t="s">
        <v>1078</v>
      </c>
      <c r="E213" s="217"/>
      <c r="F213" s="218"/>
      <c r="G213" s="218"/>
      <c r="H213" s="219"/>
      <c r="I213" s="220"/>
      <c r="J213" s="221"/>
      <c r="K213" s="222"/>
    </row>
    <row r="214" spans="1:11" ht="13.2" customHeight="1" x14ac:dyDescent="0.25">
      <c r="A214" s="223"/>
      <c r="B214" s="224" t="s">
        <v>4</v>
      </c>
      <c r="C214" s="225" t="s">
        <v>889</v>
      </c>
      <c r="D214" s="226"/>
      <c r="E214" s="44"/>
      <c r="F214" s="227"/>
      <c r="G214" s="227"/>
      <c r="H214" s="228" t="s">
        <v>235</v>
      </c>
      <c r="I214" s="283">
        <v>2</v>
      </c>
      <c r="J214" s="60">
        <f>J186</f>
        <v>600000</v>
      </c>
      <c r="K214" s="230">
        <f>I214*J214</f>
        <v>1200000</v>
      </c>
    </row>
    <row r="215" spans="1:11" ht="13.2" customHeight="1" x14ac:dyDescent="0.25">
      <c r="A215" s="223"/>
      <c r="B215" s="224" t="s">
        <v>30</v>
      </c>
      <c r="C215" s="225" t="s">
        <v>890</v>
      </c>
      <c r="D215" s="226"/>
      <c r="E215" s="44"/>
      <c r="F215" s="227"/>
      <c r="G215" s="227"/>
      <c r="H215" s="228" t="s">
        <v>235</v>
      </c>
      <c r="I215" s="229">
        <v>2</v>
      </c>
      <c r="J215" s="60">
        <f>J187</f>
        <v>320000</v>
      </c>
      <c r="K215" s="230">
        <f t="shared" ref="K215:K217" si="34">I215*J215</f>
        <v>640000</v>
      </c>
    </row>
    <row r="216" spans="1:11" ht="13.2" customHeight="1" x14ac:dyDescent="0.25">
      <c r="A216" s="223"/>
      <c r="B216" s="224" t="s">
        <v>57</v>
      </c>
      <c r="C216" s="225" t="s">
        <v>977</v>
      </c>
      <c r="D216" s="226"/>
      <c r="E216" s="44"/>
      <c r="F216" s="227"/>
      <c r="G216" s="227"/>
      <c r="H216" s="228" t="s">
        <v>235</v>
      </c>
      <c r="I216" s="229">
        <v>2</v>
      </c>
      <c r="J216" s="60">
        <f>J202</f>
        <v>197500</v>
      </c>
      <c r="K216" s="230">
        <f t="shared" si="34"/>
        <v>395000</v>
      </c>
    </row>
    <row r="217" spans="1:11" ht="13.2" customHeight="1" x14ac:dyDescent="0.25">
      <c r="A217" s="223"/>
      <c r="B217" s="224" t="s">
        <v>83</v>
      </c>
      <c r="C217" s="225" t="s">
        <v>1098</v>
      </c>
      <c r="D217" s="226"/>
      <c r="E217" s="44"/>
      <c r="F217" s="227"/>
      <c r="G217" s="227"/>
      <c r="H217" s="228" t="s">
        <v>203</v>
      </c>
      <c r="I217" s="284">
        <v>1</v>
      </c>
      <c r="J217" s="254">
        <f>'Harga Satuan Dasar mat'!G50</f>
        <v>143000</v>
      </c>
      <c r="K217" s="230">
        <f t="shared" si="34"/>
        <v>143000</v>
      </c>
    </row>
    <row r="218" spans="1:11" ht="13.2" customHeight="1" x14ac:dyDescent="0.25">
      <c r="A218" s="223"/>
      <c r="B218" s="224" t="s">
        <v>110</v>
      </c>
      <c r="C218" s="225" t="s">
        <v>897</v>
      </c>
      <c r="D218" s="226"/>
      <c r="E218" s="44"/>
      <c r="F218" s="227"/>
      <c r="G218" s="227"/>
      <c r="H218" s="228" t="s">
        <v>203</v>
      </c>
      <c r="I218" s="229">
        <v>1</v>
      </c>
      <c r="J218" s="254">
        <f>'Harga Satuan Dasar mat'!G102</f>
        <v>203000</v>
      </c>
      <c r="K218" s="230">
        <f>I218*J218</f>
        <v>203000</v>
      </c>
    </row>
    <row r="219" spans="1:11" ht="13.2" customHeight="1" x14ac:dyDescent="0.25">
      <c r="A219" s="223"/>
      <c r="B219" s="224" t="s">
        <v>137</v>
      </c>
      <c r="C219" s="225" t="s">
        <v>892</v>
      </c>
      <c r="D219" s="226"/>
      <c r="E219" s="44"/>
      <c r="F219" s="227"/>
      <c r="G219" s="227"/>
      <c r="H219" s="228" t="s">
        <v>235</v>
      </c>
      <c r="I219" s="229">
        <v>2</v>
      </c>
      <c r="J219" s="60">
        <f>J191</f>
        <v>336000</v>
      </c>
      <c r="K219" s="230">
        <f t="shared" ref="K219:K220" si="35">I219*J219</f>
        <v>672000</v>
      </c>
    </row>
    <row r="220" spans="1:11" ht="13.2" customHeight="1" x14ac:dyDescent="0.25">
      <c r="A220" s="223"/>
      <c r="B220" s="224" t="s">
        <v>156</v>
      </c>
      <c r="C220" s="225" t="s">
        <v>978</v>
      </c>
      <c r="D220" s="226"/>
      <c r="E220" s="44"/>
      <c r="F220" s="227"/>
      <c r="G220" s="227"/>
      <c r="H220" s="228" t="s">
        <v>235</v>
      </c>
      <c r="I220" s="229">
        <v>2</v>
      </c>
      <c r="J220" s="60">
        <f>J192</f>
        <v>267500</v>
      </c>
      <c r="K220" s="230">
        <f t="shared" si="35"/>
        <v>535000</v>
      </c>
    </row>
    <row r="221" spans="1:11" ht="13.2" customHeight="1" x14ac:dyDescent="0.25">
      <c r="A221" s="223"/>
      <c r="B221" s="224" t="s">
        <v>175</v>
      </c>
      <c r="C221" s="225" t="s">
        <v>1005</v>
      </c>
      <c r="D221" s="226"/>
      <c r="E221" s="44"/>
      <c r="F221" s="227"/>
      <c r="G221" s="227"/>
      <c r="H221" s="228" t="s">
        <v>203</v>
      </c>
      <c r="I221" s="284">
        <v>2</v>
      </c>
      <c r="J221" s="254">
        <f>'Harga Satuan Dasar mat'!G257</f>
        <v>52500</v>
      </c>
      <c r="K221" s="230">
        <f>I221*J221</f>
        <v>105000</v>
      </c>
    </row>
    <row r="222" spans="1:11" ht="13.2" customHeight="1" x14ac:dyDescent="0.25">
      <c r="A222" s="223"/>
      <c r="B222" s="224" t="s">
        <v>177</v>
      </c>
      <c r="C222" s="225" t="s">
        <v>979</v>
      </c>
      <c r="D222" s="226"/>
      <c r="E222" s="44"/>
      <c r="F222" s="227"/>
      <c r="G222" s="227"/>
      <c r="H222" s="228" t="s">
        <v>203</v>
      </c>
      <c r="I222" s="229">
        <v>20</v>
      </c>
      <c r="J222" s="60">
        <f>J194</f>
        <v>14000</v>
      </c>
      <c r="K222" s="230">
        <f t="shared" ref="K222" si="36">I222*J222</f>
        <v>280000</v>
      </c>
    </row>
    <row r="223" spans="1:11" ht="12.9" customHeight="1" x14ac:dyDescent="0.25">
      <c r="A223" s="58"/>
      <c r="B223" s="231"/>
      <c r="C223" s="232"/>
      <c r="D223" s="232"/>
      <c r="E223" s="232"/>
      <c r="F223" s="232"/>
      <c r="G223" s="233"/>
      <c r="H223" s="234" t="s">
        <v>715</v>
      </c>
      <c r="I223" s="235"/>
      <c r="J223" s="235"/>
      <c r="K223" s="236">
        <f>SUM(K214:K222)</f>
        <v>4173000</v>
      </c>
    </row>
    <row r="224" spans="1:11" ht="12.9" customHeight="1" x14ac:dyDescent="0.25">
      <c r="A224" s="58"/>
      <c r="B224" s="59"/>
      <c r="C224" s="56"/>
      <c r="D224" s="56"/>
      <c r="E224" s="56"/>
      <c r="F224" s="56"/>
      <c r="G224" s="237"/>
      <c r="H224" s="238" t="s">
        <v>603</v>
      </c>
      <c r="I224" s="239">
        <f>$K$3</f>
        <v>0.15</v>
      </c>
      <c r="J224" s="240"/>
      <c r="K224" s="241">
        <f>I224*K223</f>
        <v>625950</v>
      </c>
    </row>
    <row r="225" spans="1:11" ht="12.9" customHeight="1" x14ac:dyDescent="0.25">
      <c r="A225" s="58"/>
      <c r="B225" s="59"/>
      <c r="C225" s="56"/>
      <c r="D225" s="56"/>
      <c r="E225" s="56"/>
      <c r="F225" s="56"/>
      <c r="G225" s="237"/>
      <c r="H225" s="238" t="s">
        <v>604</v>
      </c>
      <c r="I225" s="226"/>
      <c r="J225" s="226"/>
      <c r="K225" s="241">
        <f>SUM(K223:K224)</f>
        <v>4798950</v>
      </c>
    </row>
    <row r="226" spans="1:11" ht="12.9" customHeight="1" thickBot="1" x14ac:dyDescent="0.3">
      <c r="A226" s="242"/>
      <c r="B226" s="243"/>
      <c r="C226" s="244"/>
      <c r="D226" s="244"/>
      <c r="E226" s="244"/>
      <c r="F226" s="244"/>
      <c r="G226" s="245"/>
      <c r="H226" s="246" t="s">
        <v>605</v>
      </c>
      <c r="I226" s="247"/>
      <c r="J226" s="247"/>
      <c r="K226" s="248">
        <f>ROUND(K225,-1)</f>
        <v>4798950</v>
      </c>
    </row>
    <row r="227" spans="1:11" ht="14.1" customHeight="1" x14ac:dyDescent="0.25">
      <c r="A227" s="215">
        <v>23</v>
      </c>
      <c r="B227" s="651" t="s">
        <v>713</v>
      </c>
      <c r="C227" s="652"/>
      <c r="D227" s="216" t="s">
        <v>1077</v>
      </c>
      <c r="E227" s="217"/>
      <c r="F227" s="218"/>
      <c r="G227" s="218"/>
      <c r="H227" s="219"/>
      <c r="I227" s="249"/>
      <c r="J227" s="221"/>
      <c r="K227" s="222"/>
    </row>
    <row r="228" spans="1:11" ht="13.2" customHeight="1" x14ac:dyDescent="0.25">
      <c r="A228" s="223"/>
      <c r="B228" s="224" t="s">
        <v>4</v>
      </c>
      <c r="C228" s="225" t="s">
        <v>889</v>
      </c>
      <c r="D228" s="226"/>
      <c r="E228" s="44"/>
      <c r="F228" s="227"/>
      <c r="G228" s="227"/>
      <c r="H228" s="228" t="s">
        <v>235</v>
      </c>
      <c r="I228" s="283">
        <v>2</v>
      </c>
      <c r="J228" s="60">
        <f>'Harga Satuan Dasar mat'!G149</f>
        <v>600000</v>
      </c>
      <c r="K228" s="230">
        <f>I228*J228</f>
        <v>1200000</v>
      </c>
    </row>
    <row r="229" spans="1:11" ht="13.2" customHeight="1" x14ac:dyDescent="0.25">
      <c r="A229" s="223"/>
      <c r="B229" s="224" t="s">
        <v>30</v>
      </c>
      <c r="C229" s="225" t="s">
        <v>890</v>
      </c>
      <c r="D229" s="226"/>
      <c r="E229" s="44"/>
      <c r="F229" s="227"/>
      <c r="G229" s="227"/>
      <c r="H229" s="228" t="s">
        <v>235</v>
      </c>
      <c r="I229" s="229">
        <v>2</v>
      </c>
      <c r="J229" s="60">
        <f>'Harga Satuan Dasar mat'!G152</f>
        <v>320000</v>
      </c>
      <c r="K229" s="230">
        <f t="shared" ref="K229:K237" si="37">I229*J229</f>
        <v>640000</v>
      </c>
    </row>
    <row r="230" spans="1:11" ht="13.2" customHeight="1" x14ac:dyDescent="0.25">
      <c r="A230" s="223"/>
      <c r="B230" s="224" t="s">
        <v>57</v>
      </c>
      <c r="C230" s="225" t="s">
        <v>976</v>
      </c>
      <c r="D230" s="226"/>
      <c r="E230" s="44"/>
      <c r="F230" s="227"/>
      <c r="G230" s="227"/>
      <c r="H230" s="228" t="s">
        <v>235</v>
      </c>
      <c r="I230" s="229">
        <v>2</v>
      </c>
      <c r="J230" s="60">
        <f>'Harga Satuan Dasar mat'!G170</f>
        <v>263600</v>
      </c>
      <c r="K230" s="230">
        <f t="shared" si="37"/>
        <v>527200</v>
      </c>
    </row>
    <row r="231" spans="1:11" ht="13.2" customHeight="1" x14ac:dyDescent="0.25">
      <c r="A231" s="223"/>
      <c r="B231" s="224" t="s">
        <v>83</v>
      </c>
      <c r="C231" s="225" t="s">
        <v>1096</v>
      </c>
      <c r="D231" s="226"/>
      <c r="E231" s="44"/>
      <c r="F231" s="227"/>
      <c r="G231" s="227"/>
      <c r="H231" s="228" t="s">
        <v>203</v>
      </c>
      <c r="I231" s="284">
        <v>1</v>
      </c>
      <c r="J231" s="60">
        <f>'Harga Satuan Dasar mat'!G57</f>
        <v>194500</v>
      </c>
      <c r="K231" s="230">
        <f t="shared" si="37"/>
        <v>194500</v>
      </c>
    </row>
    <row r="232" spans="1:11" ht="13.2" customHeight="1" x14ac:dyDescent="0.25">
      <c r="A232" s="223"/>
      <c r="B232" s="224" t="s">
        <v>110</v>
      </c>
      <c r="C232" s="225" t="s">
        <v>1003</v>
      </c>
      <c r="D232" s="226"/>
      <c r="E232" s="44"/>
      <c r="F232" s="227"/>
      <c r="G232" s="227"/>
      <c r="H232" s="228" t="s">
        <v>203</v>
      </c>
      <c r="I232" s="229">
        <v>2</v>
      </c>
      <c r="J232" s="60">
        <f>'Harga Satuan Dasar mat'!G109</f>
        <v>268500</v>
      </c>
      <c r="K232" s="230">
        <f>I232*J232</f>
        <v>537000</v>
      </c>
    </row>
    <row r="233" spans="1:11" ht="13.2" customHeight="1" x14ac:dyDescent="0.25">
      <c r="A233" s="223"/>
      <c r="B233" s="224" t="s">
        <v>137</v>
      </c>
      <c r="C233" s="225" t="s">
        <v>892</v>
      </c>
      <c r="D233" s="226"/>
      <c r="E233" s="44"/>
      <c r="F233" s="227"/>
      <c r="G233" s="227"/>
      <c r="H233" s="228" t="s">
        <v>235</v>
      </c>
      <c r="I233" s="229">
        <v>2</v>
      </c>
      <c r="J233" s="60">
        <f>'Harga Satuan Dasar mat'!G202</f>
        <v>336000</v>
      </c>
      <c r="K233" s="230">
        <f t="shared" si="37"/>
        <v>672000</v>
      </c>
    </row>
    <row r="234" spans="1:11" ht="13.2" customHeight="1" x14ac:dyDescent="0.25">
      <c r="A234" s="223"/>
      <c r="B234" s="224" t="s">
        <v>156</v>
      </c>
      <c r="C234" s="225" t="s">
        <v>893</v>
      </c>
      <c r="D234" s="226"/>
      <c r="E234" s="44"/>
      <c r="F234" s="227"/>
      <c r="G234" s="227"/>
      <c r="H234" s="228" t="s">
        <v>235</v>
      </c>
      <c r="I234" s="229">
        <v>2</v>
      </c>
      <c r="J234" s="60">
        <f>'Harga Satuan Dasar mat'!G206</f>
        <v>222000</v>
      </c>
      <c r="K234" s="230">
        <f t="shared" si="37"/>
        <v>444000</v>
      </c>
    </row>
    <row r="235" spans="1:11" ht="13.2" customHeight="1" x14ac:dyDescent="0.25">
      <c r="A235" s="223"/>
      <c r="B235" s="224" t="s">
        <v>175</v>
      </c>
      <c r="C235" s="225" t="s">
        <v>1004</v>
      </c>
      <c r="D235" s="226"/>
      <c r="E235" s="44"/>
      <c r="F235" s="227"/>
      <c r="G235" s="227"/>
      <c r="H235" s="228" t="s">
        <v>203</v>
      </c>
      <c r="I235" s="284">
        <v>2</v>
      </c>
      <c r="J235" s="60">
        <f>'Harga Satuan Dasar mat'!G255</f>
        <v>70000</v>
      </c>
      <c r="K235" s="230">
        <f>I235*J235</f>
        <v>140000</v>
      </c>
    </row>
    <row r="236" spans="1:11" ht="13.2" customHeight="1" x14ac:dyDescent="0.25">
      <c r="A236" s="223"/>
      <c r="B236" s="224" t="s">
        <v>177</v>
      </c>
      <c r="C236" s="225" t="s">
        <v>787</v>
      </c>
      <c r="D236" s="226"/>
      <c r="E236" s="44"/>
      <c r="F236" s="227"/>
      <c r="G236" s="227"/>
      <c r="H236" s="228" t="s">
        <v>203</v>
      </c>
      <c r="I236" s="229">
        <v>8</v>
      </c>
      <c r="J236" s="60">
        <f>'Harga Satuan Dasar mat'!G248</f>
        <v>27000</v>
      </c>
      <c r="K236" s="230">
        <f t="shared" si="37"/>
        <v>216000</v>
      </c>
    </row>
    <row r="237" spans="1:11" ht="13.2" customHeight="1" x14ac:dyDescent="0.25">
      <c r="A237" s="223"/>
      <c r="B237" s="224" t="s">
        <v>197</v>
      </c>
      <c r="C237" s="225" t="s">
        <v>979</v>
      </c>
      <c r="D237" s="226"/>
      <c r="E237" s="44"/>
      <c r="F237" s="227"/>
      <c r="G237" s="227"/>
      <c r="H237" s="228" t="s">
        <v>203</v>
      </c>
      <c r="I237" s="229">
        <v>12</v>
      </c>
      <c r="J237" s="60">
        <f>'Harga Satuan Dasar mat'!G252</f>
        <v>14000</v>
      </c>
      <c r="K237" s="230">
        <f t="shared" si="37"/>
        <v>168000</v>
      </c>
    </row>
    <row r="238" spans="1:11" ht="12.9" customHeight="1" x14ac:dyDescent="0.25">
      <c r="A238" s="58"/>
      <c r="B238" s="231"/>
      <c r="C238" s="232"/>
      <c r="D238" s="232"/>
      <c r="E238" s="232"/>
      <c r="F238" s="232"/>
      <c r="G238" s="233"/>
      <c r="H238" s="234" t="s">
        <v>715</v>
      </c>
      <c r="I238" s="235"/>
      <c r="J238" s="235"/>
      <c r="K238" s="236">
        <f>SUM(K228:K237)</f>
        <v>4738700</v>
      </c>
    </row>
    <row r="239" spans="1:11" ht="12.9" customHeight="1" x14ac:dyDescent="0.25">
      <c r="A239" s="58"/>
      <c r="B239" s="59"/>
      <c r="C239" s="56"/>
      <c r="D239" s="56"/>
      <c r="E239" s="56"/>
      <c r="F239" s="56"/>
      <c r="G239" s="237"/>
      <c r="H239" s="238" t="s">
        <v>603</v>
      </c>
      <c r="I239" s="239">
        <f>$K$3</f>
        <v>0.15</v>
      </c>
      <c r="J239" s="240"/>
      <c r="K239" s="241">
        <f>I239*K238</f>
        <v>710805</v>
      </c>
    </row>
    <row r="240" spans="1:11" ht="12.9" customHeight="1" x14ac:dyDescent="0.25">
      <c r="A240" s="58"/>
      <c r="B240" s="59"/>
      <c r="C240" s="56"/>
      <c r="D240" s="56"/>
      <c r="E240" s="56"/>
      <c r="F240" s="56"/>
      <c r="G240" s="237"/>
      <c r="H240" s="238" t="s">
        <v>604</v>
      </c>
      <c r="I240" s="226"/>
      <c r="J240" s="226"/>
      <c r="K240" s="241">
        <f>SUM(K238:K239)</f>
        <v>5449505</v>
      </c>
    </row>
    <row r="241" spans="1:11" ht="12.9" customHeight="1" thickBot="1" x14ac:dyDescent="0.3">
      <c r="A241" s="242"/>
      <c r="B241" s="243"/>
      <c r="C241" s="244"/>
      <c r="D241" s="244"/>
      <c r="E241" s="244"/>
      <c r="F241" s="244"/>
      <c r="G241" s="245"/>
      <c r="H241" s="246" t="s">
        <v>605</v>
      </c>
      <c r="I241" s="247"/>
      <c r="J241" s="247"/>
      <c r="K241" s="248">
        <f>ROUND(K240,-1)</f>
        <v>5449510</v>
      </c>
    </row>
    <row r="242" spans="1:11" ht="14.1" customHeight="1" x14ac:dyDescent="0.25">
      <c r="A242" s="215">
        <v>24</v>
      </c>
      <c r="B242" s="651" t="s">
        <v>713</v>
      </c>
      <c r="C242" s="652"/>
      <c r="D242" s="216" t="s">
        <v>1084</v>
      </c>
      <c r="E242" s="217"/>
      <c r="F242" s="218"/>
      <c r="G242" s="218"/>
      <c r="H242" s="219"/>
      <c r="I242" s="220"/>
      <c r="J242" s="221"/>
      <c r="K242" s="222"/>
    </row>
    <row r="243" spans="1:11" ht="13.2" customHeight="1" x14ac:dyDescent="0.25">
      <c r="A243" s="223"/>
      <c r="B243" s="224" t="s">
        <v>4</v>
      </c>
      <c r="C243" s="225" t="s">
        <v>889</v>
      </c>
      <c r="D243" s="226"/>
      <c r="E243" s="44"/>
      <c r="F243" s="227"/>
      <c r="G243" s="227"/>
      <c r="H243" s="228" t="s">
        <v>235</v>
      </c>
      <c r="I243" s="263">
        <v>2</v>
      </c>
      <c r="J243" s="60">
        <f>J228</f>
        <v>600000</v>
      </c>
      <c r="K243" s="230">
        <f>I243*J243</f>
        <v>1200000</v>
      </c>
    </row>
    <row r="244" spans="1:11" ht="13.2" customHeight="1" x14ac:dyDescent="0.25">
      <c r="A244" s="223"/>
      <c r="B244" s="224" t="s">
        <v>30</v>
      </c>
      <c r="C244" s="225" t="s">
        <v>890</v>
      </c>
      <c r="D244" s="226"/>
      <c r="E244" s="44"/>
      <c r="F244" s="227"/>
      <c r="G244" s="227"/>
      <c r="H244" s="228" t="s">
        <v>235</v>
      </c>
      <c r="I244" s="253">
        <v>2</v>
      </c>
      <c r="J244" s="60">
        <f t="shared" ref="J244:J252" si="38">J229</f>
        <v>320000</v>
      </c>
      <c r="K244" s="230">
        <f t="shared" ref="K244:K246" si="39">I244*J244</f>
        <v>640000</v>
      </c>
    </row>
    <row r="245" spans="1:11" ht="13.2" customHeight="1" x14ac:dyDescent="0.25">
      <c r="A245" s="223"/>
      <c r="B245" s="224" t="s">
        <v>57</v>
      </c>
      <c r="C245" s="225" t="s">
        <v>891</v>
      </c>
      <c r="D245" s="226"/>
      <c r="E245" s="44"/>
      <c r="F245" s="227"/>
      <c r="G245" s="227"/>
      <c r="H245" s="228" t="s">
        <v>235</v>
      </c>
      <c r="I245" s="253">
        <v>2</v>
      </c>
      <c r="J245" s="60">
        <f>'Harga Satuan Dasar mat'!G153</f>
        <v>356250</v>
      </c>
      <c r="K245" s="230">
        <f t="shared" si="39"/>
        <v>712500</v>
      </c>
    </row>
    <row r="246" spans="1:11" ht="13.2" customHeight="1" x14ac:dyDescent="0.25">
      <c r="A246" s="223"/>
      <c r="B246" s="224" t="s">
        <v>83</v>
      </c>
      <c r="C246" s="225" t="s">
        <v>1095</v>
      </c>
      <c r="D246" s="226"/>
      <c r="E246" s="44"/>
      <c r="F246" s="227"/>
      <c r="G246" s="227"/>
      <c r="H246" s="228" t="s">
        <v>203</v>
      </c>
      <c r="I246" s="285">
        <v>1</v>
      </c>
      <c r="J246" s="60">
        <f>'Harga Satuan Dasar mat'!G56</f>
        <v>185000</v>
      </c>
      <c r="K246" s="230">
        <f t="shared" si="39"/>
        <v>185000</v>
      </c>
    </row>
    <row r="247" spans="1:11" ht="13.2" customHeight="1" x14ac:dyDescent="0.25">
      <c r="A247" s="223"/>
      <c r="B247" s="224" t="s">
        <v>110</v>
      </c>
      <c r="C247" s="225" t="s">
        <v>894</v>
      </c>
      <c r="D247" s="226"/>
      <c r="E247" s="44"/>
      <c r="F247" s="227"/>
      <c r="G247" s="227"/>
      <c r="H247" s="228" t="s">
        <v>203</v>
      </c>
      <c r="I247" s="253">
        <v>2</v>
      </c>
      <c r="J247" s="60">
        <f>'Harga Satuan Dasar mat'!G108</f>
        <v>257000</v>
      </c>
      <c r="K247" s="230">
        <f>I247*J247</f>
        <v>514000</v>
      </c>
    </row>
    <row r="248" spans="1:11" ht="13.2" customHeight="1" x14ac:dyDescent="0.25">
      <c r="A248" s="223"/>
      <c r="B248" s="224" t="s">
        <v>137</v>
      </c>
      <c r="C248" s="225" t="s">
        <v>892</v>
      </c>
      <c r="D248" s="226"/>
      <c r="E248" s="44"/>
      <c r="F248" s="227"/>
      <c r="G248" s="227"/>
      <c r="H248" s="228" t="s">
        <v>235</v>
      </c>
      <c r="I248" s="253">
        <v>2</v>
      </c>
      <c r="J248" s="60">
        <f t="shared" si="38"/>
        <v>336000</v>
      </c>
      <c r="K248" s="230">
        <f t="shared" ref="K248:K249" si="40">I248*J248</f>
        <v>672000</v>
      </c>
    </row>
    <row r="249" spans="1:11" ht="13.2" customHeight="1" x14ac:dyDescent="0.25">
      <c r="A249" s="223"/>
      <c r="B249" s="224" t="s">
        <v>156</v>
      </c>
      <c r="C249" s="225" t="s">
        <v>893</v>
      </c>
      <c r="D249" s="226"/>
      <c r="E249" s="44"/>
      <c r="F249" s="227"/>
      <c r="G249" s="227"/>
      <c r="H249" s="228" t="s">
        <v>235</v>
      </c>
      <c r="I249" s="253">
        <v>2</v>
      </c>
      <c r="J249" s="60">
        <f t="shared" si="38"/>
        <v>222000</v>
      </c>
      <c r="K249" s="230">
        <f t="shared" si="40"/>
        <v>444000</v>
      </c>
    </row>
    <row r="250" spans="1:11" ht="13.2" customHeight="1" x14ac:dyDescent="0.25">
      <c r="A250" s="223"/>
      <c r="B250" s="224" t="s">
        <v>175</v>
      </c>
      <c r="C250" s="225" t="s">
        <v>1004</v>
      </c>
      <c r="D250" s="226"/>
      <c r="E250" s="44"/>
      <c r="F250" s="227"/>
      <c r="G250" s="227"/>
      <c r="H250" s="228" t="s">
        <v>203</v>
      </c>
      <c r="I250" s="285">
        <v>2</v>
      </c>
      <c r="J250" s="60">
        <f t="shared" si="38"/>
        <v>70000</v>
      </c>
      <c r="K250" s="230">
        <f>I250*J250</f>
        <v>140000</v>
      </c>
    </row>
    <row r="251" spans="1:11" ht="13.2" customHeight="1" x14ac:dyDescent="0.25">
      <c r="A251" s="223"/>
      <c r="B251" s="224" t="s">
        <v>177</v>
      </c>
      <c r="C251" s="225" t="s">
        <v>787</v>
      </c>
      <c r="D251" s="226"/>
      <c r="E251" s="44"/>
      <c r="F251" s="227"/>
      <c r="G251" s="227"/>
      <c r="H251" s="228" t="s">
        <v>203</v>
      </c>
      <c r="I251" s="253">
        <v>8</v>
      </c>
      <c r="J251" s="60">
        <f t="shared" si="38"/>
        <v>27000</v>
      </c>
      <c r="K251" s="230">
        <f t="shared" ref="K251:K252" si="41">I251*J251</f>
        <v>216000</v>
      </c>
    </row>
    <row r="252" spans="1:11" ht="13.2" customHeight="1" x14ac:dyDescent="0.25">
      <c r="A252" s="223"/>
      <c r="B252" s="224" t="s">
        <v>197</v>
      </c>
      <c r="C252" s="225" t="s">
        <v>979</v>
      </c>
      <c r="D252" s="226"/>
      <c r="E252" s="44"/>
      <c r="F252" s="227"/>
      <c r="G252" s="227"/>
      <c r="H252" s="228" t="s">
        <v>203</v>
      </c>
      <c r="I252" s="253">
        <v>12</v>
      </c>
      <c r="J252" s="60">
        <f t="shared" si="38"/>
        <v>14000</v>
      </c>
      <c r="K252" s="230">
        <f t="shared" si="41"/>
        <v>168000</v>
      </c>
    </row>
    <row r="253" spans="1:11" ht="12.9" customHeight="1" x14ac:dyDescent="0.25">
      <c r="A253" s="58"/>
      <c r="B253" s="231"/>
      <c r="C253" s="232"/>
      <c r="D253" s="232"/>
      <c r="E253" s="232"/>
      <c r="F253" s="232"/>
      <c r="G253" s="233"/>
      <c r="H253" s="234" t="s">
        <v>715</v>
      </c>
      <c r="I253" s="235"/>
      <c r="J253" s="235"/>
      <c r="K253" s="236">
        <f>SUM(K243:K252)</f>
        <v>4891500</v>
      </c>
    </row>
    <row r="254" spans="1:11" ht="12.9" customHeight="1" x14ac:dyDescent="0.25">
      <c r="A254" s="58"/>
      <c r="B254" s="59"/>
      <c r="C254" s="56"/>
      <c r="D254" s="56"/>
      <c r="E254" s="56"/>
      <c r="F254" s="56"/>
      <c r="G254" s="237"/>
      <c r="H254" s="238" t="s">
        <v>603</v>
      </c>
      <c r="I254" s="239">
        <f>$K$3</f>
        <v>0.15</v>
      </c>
      <c r="J254" s="240"/>
      <c r="K254" s="241">
        <f>I254*K253</f>
        <v>733725</v>
      </c>
    </row>
    <row r="255" spans="1:11" ht="12.9" customHeight="1" x14ac:dyDescent="0.25">
      <c r="A255" s="58"/>
      <c r="B255" s="59"/>
      <c r="C255" s="56"/>
      <c r="D255" s="56"/>
      <c r="E255" s="56"/>
      <c r="F255" s="56"/>
      <c r="G255" s="237"/>
      <c r="H255" s="238" t="s">
        <v>604</v>
      </c>
      <c r="I255" s="226"/>
      <c r="J255" s="226"/>
      <c r="K255" s="241">
        <f>SUM(K253:K254)</f>
        <v>5625225</v>
      </c>
    </row>
    <row r="256" spans="1:11" ht="12.9" customHeight="1" thickBot="1" x14ac:dyDescent="0.3">
      <c r="A256" s="242"/>
      <c r="B256" s="243"/>
      <c r="C256" s="244"/>
      <c r="D256" s="244"/>
      <c r="E256" s="244"/>
      <c r="F256" s="244"/>
      <c r="G256" s="245"/>
      <c r="H256" s="246" t="s">
        <v>605</v>
      </c>
      <c r="I256" s="247"/>
      <c r="J256" s="247"/>
      <c r="K256" s="248">
        <f>ROUND(K255,-1)</f>
        <v>5625230</v>
      </c>
    </row>
    <row r="257" spans="1:11" ht="14.1" customHeight="1" x14ac:dyDescent="0.25">
      <c r="A257" s="215">
        <v>25</v>
      </c>
      <c r="B257" s="651" t="s">
        <v>713</v>
      </c>
      <c r="C257" s="652"/>
      <c r="D257" s="216" t="s">
        <v>1088</v>
      </c>
      <c r="E257" s="217"/>
      <c r="F257" s="218"/>
      <c r="G257" s="218"/>
      <c r="H257" s="219"/>
      <c r="I257" s="220"/>
      <c r="J257" s="221"/>
      <c r="K257" s="222"/>
    </row>
    <row r="258" spans="1:11" ht="13.2" customHeight="1" x14ac:dyDescent="0.25">
      <c r="A258" s="223"/>
      <c r="B258" s="224" t="s">
        <v>4</v>
      </c>
      <c r="C258" s="225" t="s">
        <v>889</v>
      </c>
      <c r="D258" s="226"/>
      <c r="E258" s="44"/>
      <c r="F258" s="227"/>
      <c r="G258" s="227"/>
      <c r="H258" s="228" t="s">
        <v>235</v>
      </c>
      <c r="I258" s="263">
        <v>2</v>
      </c>
      <c r="J258" s="60">
        <f>J228</f>
        <v>600000</v>
      </c>
      <c r="K258" s="230">
        <f>I258*J258</f>
        <v>1200000</v>
      </c>
    </row>
    <row r="259" spans="1:11" ht="13.2" customHeight="1" x14ac:dyDescent="0.25">
      <c r="A259" s="223"/>
      <c r="B259" s="224" t="s">
        <v>30</v>
      </c>
      <c r="C259" s="225" t="s">
        <v>890</v>
      </c>
      <c r="D259" s="226"/>
      <c r="E259" s="44"/>
      <c r="F259" s="227"/>
      <c r="G259" s="227"/>
      <c r="H259" s="228" t="s">
        <v>235</v>
      </c>
      <c r="I259" s="253">
        <v>2</v>
      </c>
      <c r="J259" s="60">
        <f>J229</f>
        <v>320000</v>
      </c>
      <c r="K259" s="230">
        <f t="shared" ref="K259:K267" si="42">I259*J259</f>
        <v>640000</v>
      </c>
    </row>
    <row r="260" spans="1:11" ht="13.2" customHeight="1" x14ac:dyDescent="0.25">
      <c r="A260" s="223"/>
      <c r="B260" s="224" t="s">
        <v>57</v>
      </c>
      <c r="C260" s="225" t="s">
        <v>891</v>
      </c>
      <c r="D260" s="226"/>
      <c r="E260" s="44"/>
      <c r="F260" s="227"/>
      <c r="G260" s="227"/>
      <c r="H260" s="228" t="s">
        <v>235</v>
      </c>
      <c r="I260" s="253">
        <v>2</v>
      </c>
      <c r="J260" s="60">
        <f>J245</f>
        <v>356250</v>
      </c>
      <c r="K260" s="230">
        <f t="shared" si="42"/>
        <v>712500</v>
      </c>
    </row>
    <row r="261" spans="1:11" ht="13.2" customHeight="1" x14ac:dyDescent="0.25">
      <c r="A261" s="223"/>
      <c r="B261" s="224" t="s">
        <v>83</v>
      </c>
      <c r="C261" s="225" t="s">
        <v>1094</v>
      </c>
      <c r="D261" s="226"/>
      <c r="E261" s="44"/>
      <c r="F261" s="227"/>
      <c r="G261" s="227"/>
      <c r="H261" s="228" t="s">
        <v>203</v>
      </c>
      <c r="I261" s="285">
        <v>1</v>
      </c>
      <c r="J261" s="60">
        <f>'Harga Satuan Dasar mat'!G55</f>
        <v>177000</v>
      </c>
      <c r="K261" s="230">
        <f t="shared" si="42"/>
        <v>177000</v>
      </c>
    </row>
    <row r="262" spans="1:11" ht="13.2" customHeight="1" x14ac:dyDescent="0.25">
      <c r="A262" s="223"/>
      <c r="B262" s="224" t="s">
        <v>110</v>
      </c>
      <c r="C262" s="225" t="s">
        <v>895</v>
      </c>
      <c r="D262" s="226"/>
      <c r="E262" s="44"/>
      <c r="F262" s="227"/>
      <c r="G262" s="227"/>
      <c r="H262" s="228" t="s">
        <v>203</v>
      </c>
      <c r="I262" s="253">
        <v>2</v>
      </c>
      <c r="J262" s="60">
        <f>'Harga Satuan Dasar mat'!G107</f>
        <v>247000</v>
      </c>
      <c r="K262" s="230">
        <f>I262*J262</f>
        <v>494000</v>
      </c>
    </row>
    <row r="263" spans="1:11" ht="13.2" customHeight="1" x14ac:dyDescent="0.25">
      <c r="A263" s="223"/>
      <c r="B263" s="224" t="s">
        <v>137</v>
      </c>
      <c r="C263" s="225" t="s">
        <v>892</v>
      </c>
      <c r="D263" s="226"/>
      <c r="E263" s="44"/>
      <c r="F263" s="227"/>
      <c r="G263" s="227"/>
      <c r="H263" s="228" t="s">
        <v>235</v>
      </c>
      <c r="I263" s="253">
        <v>2</v>
      </c>
      <c r="J263" s="60">
        <f>J233</f>
        <v>336000</v>
      </c>
      <c r="K263" s="230">
        <f t="shared" si="42"/>
        <v>672000</v>
      </c>
    </row>
    <row r="264" spans="1:11" ht="13.2" customHeight="1" x14ac:dyDescent="0.25">
      <c r="A264" s="223"/>
      <c r="B264" s="224" t="s">
        <v>156</v>
      </c>
      <c r="C264" s="225" t="s">
        <v>893</v>
      </c>
      <c r="D264" s="226"/>
      <c r="E264" s="44"/>
      <c r="F264" s="227"/>
      <c r="G264" s="227"/>
      <c r="H264" s="228" t="s">
        <v>235</v>
      </c>
      <c r="I264" s="253">
        <v>2</v>
      </c>
      <c r="J264" s="60">
        <f>J234</f>
        <v>222000</v>
      </c>
      <c r="K264" s="230">
        <f t="shared" si="42"/>
        <v>444000</v>
      </c>
    </row>
    <row r="265" spans="1:11" ht="13.2" customHeight="1" x14ac:dyDescent="0.25">
      <c r="A265" s="223"/>
      <c r="B265" s="224" t="s">
        <v>175</v>
      </c>
      <c r="C265" s="225" t="s">
        <v>1004</v>
      </c>
      <c r="D265" s="226"/>
      <c r="E265" s="44"/>
      <c r="F265" s="227"/>
      <c r="G265" s="227"/>
      <c r="H265" s="228" t="s">
        <v>203</v>
      </c>
      <c r="I265" s="285">
        <v>2</v>
      </c>
      <c r="J265" s="60">
        <f>J235</f>
        <v>70000</v>
      </c>
      <c r="K265" s="230">
        <f>I265*J265</f>
        <v>140000</v>
      </c>
    </row>
    <row r="266" spans="1:11" ht="13.2" customHeight="1" x14ac:dyDescent="0.25">
      <c r="A266" s="223"/>
      <c r="B266" s="224" t="s">
        <v>177</v>
      </c>
      <c r="C266" s="225" t="s">
        <v>787</v>
      </c>
      <c r="D266" s="226"/>
      <c r="E266" s="44"/>
      <c r="F266" s="227"/>
      <c r="G266" s="227"/>
      <c r="H266" s="228" t="s">
        <v>203</v>
      </c>
      <c r="I266" s="253">
        <v>8</v>
      </c>
      <c r="J266" s="60">
        <f>J236</f>
        <v>27000</v>
      </c>
      <c r="K266" s="230">
        <f t="shared" si="42"/>
        <v>216000</v>
      </c>
    </row>
    <row r="267" spans="1:11" ht="13.2" customHeight="1" x14ac:dyDescent="0.25">
      <c r="A267" s="223"/>
      <c r="B267" s="224" t="s">
        <v>197</v>
      </c>
      <c r="C267" s="225" t="s">
        <v>979</v>
      </c>
      <c r="D267" s="226"/>
      <c r="E267" s="44"/>
      <c r="F267" s="227"/>
      <c r="G267" s="227"/>
      <c r="H267" s="228" t="s">
        <v>203</v>
      </c>
      <c r="I267" s="253">
        <v>12</v>
      </c>
      <c r="J267" s="60">
        <f>J237</f>
        <v>14000</v>
      </c>
      <c r="K267" s="230">
        <f t="shared" si="42"/>
        <v>168000</v>
      </c>
    </row>
    <row r="268" spans="1:11" ht="12.9" customHeight="1" x14ac:dyDescent="0.25">
      <c r="A268" s="58"/>
      <c r="B268" s="231"/>
      <c r="C268" s="232"/>
      <c r="D268" s="232"/>
      <c r="E268" s="232"/>
      <c r="F268" s="232"/>
      <c r="G268" s="233"/>
      <c r="H268" s="234" t="s">
        <v>715</v>
      </c>
      <c r="I268" s="235"/>
      <c r="J268" s="235"/>
      <c r="K268" s="236">
        <f>SUM(K258:K267)</f>
        <v>4863500</v>
      </c>
    </row>
    <row r="269" spans="1:11" ht="12.9" customHeight="1" x14ac:dyDescent="0.25">
      <c r="A269" s="58"/>
      <c r="B269" s="59"/>
      <c r="C269" s="56"/>
      <c r="D269" s="56"/>
      <c r="E269" s="56"/>
      <c r="F269" s="56"/>
      <c r="G269" s="237"/>
      <c r="H269" s="238" t="s">
        <v>603</v>
      </c>
      <c r="I269" s="239">
        <f>$K$3</f>
        <v>0.15</v>
      </c>
      <c r="J269" s="240"/>
      <c r="K269" s="241">
        <f>I269*K268</f>
        <v>729525</v>
      </c>
    </row>
    <row r="270" spans="1:11" ht="12.9" customHeight="1" x14ac:dyDescent="0.25">
      <c r="A270" s="58"/>
      <c r="B270" s="59"/>
      <c r="C270" s="56"/>
      <c r="D270" s="56"/>
      <c r="E270" s="56"/>
      <c r="F270" s="56"/>
      <c r="G270" s="237"/>
      <c r="H270" s="238" t="s">
        <v>604</v>
      </c>
      <c r="I270" s="226"/>
      <c r="J270" s="226"/>
      <c r="K270" s="241">
        <f>SUM(K268:K269)</f>
        <v>5593025</v>
      </c>
    </row>
    <row r="271" spans="1:11" ht="12.9" customHeight="1" thickBot="1" x14ac:dyDescent="0.3">
      <c r="A271" s="242"/>
      <c r="B271" s="243"/>
      <c r="C271" s="244"/>
      <c r="D271" s="244"/>
      <c r="E271" s="244"/>
      <c r="F271" s="244"/>
      <c r="G271" s="245"/>
      <c r="H271" s="246" t="s">
        <v>605</v>
      </c>
      <c r="I271" s="247"/>
      <c r="J271" s="247"/>
      <c r="K271" s="248">
        <f>ROUND(K270,-1)</f>
        <v>5593030</v>
      </c>
    </row>
    <row r="272" spans="1:11" ht="14.1" customHeight="1" x14ac:dyDescent="0.25">
      <c r="A272" s="215">
        <v>26</v>
      </c>
      <c r="B272" s="651" t="s">
        <v>713</v>
      </c>
      <c r="C272" s="652"/>
      <c r="D272" s="216" t="s">
        <v>1087</v>
      </c>
      <c r="E272" s="217"/>
      <c r="F272" s="218"/>
      <c r="G272" s="218"/>
      <c r="H272" s="219"/>
      <c r="I272" s="220"/>
      <c r="J272" s="221"/>
      <c r="K272" s="222"/>
    </row>
    <row r="273" spans="1:11" ht="13.2" customHeight="1" x14ac:dyDescent="0.25">
      <c r="A273" s="223"/>
      <c r="B273" s="224" t="s">
        <v>4</v>
      </c>
      <c r="C273" s="225" t="s">
        <v>889</v>
      </c>
      <c r="D273" s="226"/>
      <c r="E273" s="44"/>
      <c r="F273" s="227"/>
      <c r="G273" s="227"/>
      <c r="H273" s="228" t="s">
        <v>235</v>
      </c>
      <c r="I273" s="263">
        <v>2</v>
      </c>
      <c r="J273" s="60">
        <f t="shared" ref="J273:J282" si="43">J228</f>
        <v>600000</v>
      </c>
      <c r="K273" s="230">
        <f>I273*J273</f>
        <v>1200000</v>
      </c>
    </row>
    <row r="274" spans="1:11" ht="13.2" customHeight="1" x14ac:dyDescent="0.25">
      <c r="A274" s="223"/>
      <c r="B274" s="224" t="s">
        <v>30</v>
      </c>
      <c r="C274" s="225" t="s">
        <v>890</v>
      </c>
      <c r="D274" s="226"/>
      <c r="E274" s="44"/>
      <c r="F274" s="227"/>
      <c r="G274" s="227"/>
      <c r="H274" s="228" t="s">
        <v>235</v>
      </c>
      <c r="I274" s="253">
        <v>2</v>
      </c>
      <c r="J274" s="60">
        <f t="shared" si="43"/>
        <v>320000</v>
      </c>
      <c r="K274" s="230">
        <f t="shared" ref="K274:K282" si="44">I274*J274</f>
        <v>640000</v>
      </c>
    </row>
    <row r="275" spans="1:11" ht="13.2" customHeight="1" x14ac:dyDescent="0.25">
      <c r="A275" s="223"/>
      <c r="B275" s="224" t="s">
        <v>57</v>
      </c>
      <c r="C275" s="225" t="s">
        <v>891</v>
      </c>
      <c r="D275" s="226"/>
      <c r="E275" s="44"/>
      <c r="F275" s="227"/>
      <c r="G275" s="227"/>
      <c r="H275" s="228" t="s">
        <v>235</v>
      </c>
      <c r="I275" s="253">
        <v>2</v>
      </c>
      <c r="J275" s="60">
        <f>J260</f>
        <v>356250</v>
      </c>
      <c r="K275" s="230">
        <f t="shared" si="44"/>
        <v>712500</v>
      </c>
    </row>
    <row r="276" spans="1:11" ht="13.2" customHeight="1" x14ac:dyDescent="0.25">
      <c r="A276" s="223"/>
      <c r="B276" s="224" t="s">
        <v>83</v>
      </c>
      <c r="C276" s="225" t="s">
        <v>1093</v>
      </c>
      <c r="D276" s="226"/>
      <c r="E276" s="44"/>
      <c r="F276" s="227"/>
      <c r="G276" s="227"/>
      <c r="H276" s="228" t="s">
        <v>203</v>
      </c>
      <c r="I276" s="285">
        <v>1</v>
      </c>
      <c r="J276" s="60">
        <f>'Harga Satuan Dasar mat'!G56</f>
        <v>185000</v>
      </c>
      <c r="K276" s="230">
        <f t="shared" si="44"/>
        <v>185000</v>
      </c>
    </row>
    <row r="277" spans="1:11" ht="13.2" customHeight="1" x14ac:dyDescent="0.25">
      <c r="A277" s="223"/>
      <c r="B277" s="224" t="s">
        <v>110</v>
      </c>
      <c r="C277" s="225" t="s">
        <v>894</v>
      </c>
      <c r="D277" s="226"/>
      <c r="E277" s="44"/>
      <c r="F277" s="227"/>
      <c r="G277" s="227"/>
      <c r="H277" s="228" t="s">
        <v>203</v>
      </c>
      <c r="I277" s="253">
        <v>2</v>
      </c>
      <c r="J277" s="60">
        <f>'Harga Satuan Dasar mat'!G108</f>
        <v>257000</v>
      </c>
      <c r="K277" s="230">
        <f>I277*J277</f>
        <v>514000</v>
      </c>
    </row>
    <row r="278" spans="1:11" ht="13.2" customHeight="1" x14ac:dyDescent="0.25">
      <c r="A278" s="223"/>
      <c r="B278" s="224" t="s">
        <v>137</v>
      </c>
      <c r="C278" s="225" t="s">
        <v>892</v>
      </c>
      <c r="D278" s="226"/>
      <c r="E278" s="44"/>
      <c r="F278" s="227"/>
      <c r="G278" s="227"/>
      <c r="H278" s="228" t="s">
        <v>235</v>
      </c>
      <c r="I278" s="253">
        <v>2</v>
      </c>
      <c r="J278" s="60">
        <f t="shared" si="43"/>
        <v>336000</v>
      </c>
      <c r="K278" s="230">
        <f t="shared" si="44"/>
        <v>672000</v>
      </c>
    </row>
    <row r="279" spans="1:11" ht="13.2" customHeight="1" x14ac:dyDescent="0.25">
      <c r="A279" s="223"/>
      <c r="B279" s="224" t="s">
        <v>156</v>
      </c>
      <c r="C279" s="225" t="s">
        <v>893</v>
      </c>
      <c r="D279" s="226"/>
      <c r="E279" s="44"/>
      <c r="F279" s="227"/>
      <c r="G279" s="227"/>
      <c r="H279" s="228" t="s">
        <v>235</v>
      </c>
      <c r="I279" s="253">
        <v>2</v>
      </c>
      <c r="J279" s="60">
        <f t="shared" si="43"/>
        <v>222000</v>
      </c>
      <c r="K279" s="230">
        <f t="shared" si="44"/>
        <v>444000</v>
      </c>
    </row>
    <row r="280" spans="1:11" ht="13.2" customHeight="1" x14ac:dyDescent="0.25">
      <c r="A280" s="223"/>
      <c r="B280" s="224" t="s">
        <v>175</v>
      </c>
      <c r="C280" s="225" t="s">
        <v>1004</v>
      </c>
      <c r="D280" s="226"/>
      <c r="E280" s="44"/>
      <c r="F280" s="227"/>
      <c r="G280" s="227"/>
      <c r="H280" s="228" t="s">
        <v>203</v>
      </c>
      <c r="I280" s="285">
        <v>2</v>
      </c>
      <c r="J280" s="60">
        <f t="shared" si="43"/>
        <v>70000</v>
      </c>
      <c r="K280" s="230">
        <f>I280*J280</f>
        <v>140000</v>
      </c>
    </row>
    <row r="281" spans="1:11" ht="13.2" customHeight="1" x14ac:dyDescent="0.25">
      <c r="A281" s="223"/>
      <c r="B281" s="224" t="s">
        <v>177</v>
      </c>
      <c r="C281" s="225" t="s">
        <v>787</v>
      </c>
      <c r="D281" s="226"/>
      <c r="E281" s="44"/>
      <c r="F281" s="227"/>
      <c r="G281" s="227"/>
      <c r="H281" s="228" t="s">
        <v>203</v>
      </c>
      <c r="I281" s="253">
        <v>8</v>
      </c>
      <c r="J281" s="60">
        <f t="shared" si="43"/>
        <v>27000</v>
      </c>
      <c r="K281" s="230">
        <f t="shared" si="44"/>
        <v>216000</v>
      </c>
    </row>
    <row r="282" spans="1:11" ht="13.2" customHeight="1" x14ac:dyDescent="0.25">
      <c r="A282" s="223"/>
      <c r="B282" s="224" t="s">
        <v>197</v>
      </c>
      <c r="C282" s="225" t="s">
        <v>979</v>
      </c>
      <c r="D282" s="226"/>
      <c r="E282" s="44"/>
      <c r="F282" s="227"/>
      <c r="G282" s="227"/>
      <c r="H282" s="228" t="s">
        <v>203</v>
      </c>
      <c r="I282" s="253">
        <v>12</v>
      </c>
      <c r="J282" s="60">
        <f t="shared" si="43"/>
        <v>14000</v>
      </c>
      <c r="K282" s="230">
        <f t="shared" si="44"/>
        <v>168000</v>
      </c>
    </row>
    <row r="283" spans="1:11" ht="12.9" customHeight="1" x14ac:dyDescent="0.25">
      <c r="A283" s="58"/>
      <c r="B283" s="231"/>
      <c r="C283" s="232"/>
      <c r="D283" s="232"/>
      <c r="E283" s="232"/>
      <c r="F283" s="232"/>
      <c r="G283" s="233"/>
      <c r="H283" s="234" t="s">
        <v>715</v>
      </c>
      <c r="I283" s="235"/>
      <c r="J283" s="235"/>
      <c r="K283" s="236">
        <f>SUM(K273:K282)</f>
        <v>4891500</v>
      </c>
    </row>
    <row r="284" spans="1:11" ht="12.9" customHeight="1" x14ac:dyDescent="0.25">
      <c r="A284" s="58"/>
      <c r="B284" s="59"/>
      <c r="C284" s="56"/>
      <c r="D284" s="56"/>
      <c r="E284" s="56"/>
      <c r="F284" s="56"/>
      <c r="G284" s="237"/>
      <c r="H284" s="238" t="s">
        <v>603</v>
      </c>
      <c r="I284" s="239">
        <f>$K$3</f>
        <v>0.15</v>
      </c>
      <c r="J284" s="240"/>
      <c r="K284" s="241">
        <f>I284*K283</f>
        <v>733725</v>
      </c>
    </row>
    <row r="285" spans="1:11" ht="12.9" customHeight="1" x14ac:dyDescent="0.25">
      <c r="A285" s="58"/>
      <c r="B285" s="59"/>
      <c r="C285" s="56"/>
      <c r="D285" s="56"/>
      <c r="E285" s="56"/>
      <c r="F285" s="56"/>
      <c r="G285" s="237"/>
      <c r="H285" s="238" t="s">
        <v>604</v>
      </c>
      <c r="I285" s="226"/>
      <c r="J285" s="226"/>
      <c r="K285" s="241">
        <f>SUM(K283:K284)</f>
        <v>5625225</v>
      </c>
    </row>
    <row r="286" spans="1:11" ht="12.9" customHeight="1" thickBot="1" x14ac:dyDescent="0.3">
      <c r="A286" s="242"/>
      <c r="B286" s="243"/>
      <c r="C286" s="244"/>
      <c r="D286" s="244"/>
      <c r="E286" s="244"/>
      <c r="F286" s="244"/>
      <c r="G286" s="245"/>
      <c r="H286" s="246" t="s">
        <v>605</v>
      </c>
      <c r="I286" s="247"/>
      <c r="J286" s="247"/>
      <c r="K286" s="248">
        <f>ROUND(K285,-1)</f>
        <v>5625230</v>
      </c>
    </row>
    <row r="287" spans="1:11" ht="14.1" customHeight="1" x14ac:dyDescent="0.25">
      <c r="A287" s="215">
        <v>27</v>
      </c>
      <c r="B287" s="651" t="s">
        <v>713</v>
      </c>
      <c r="C287" s="652"/>
      <c r="D287" s="216" t="s">
        <v>1086</v>
      </c>
      <c r="E287" s="217"/>
      <c r="F287" s="218"/>
      <c r="G287" s="218"/>
      <c r="H287" s="219"/>
      <c r="I287" s="220"/>
      <c r="J287" s="221"/>
      <c r="K287" s="222"/>
    </row>
    <row r="288" spans="1:11" ht="13.2" customHeight="1" x14ac:dyDescent="0.25">
      <c r="A288" s="223"/>
      <c r="B288" s="224" t="s">
        <v>4</v>
      </c>
      <c r="C288" s="225" t="s">
        <v>889</v>
      </c>
      <c r="D288" s="226"/>
      <c r="E288" s="44"/>
      <c r="F288" s="227"/>
      <c r="G288" s="227"/>
      <c r="H288" s="228" t="s">
        <v>235</v>
      </c>
      <c r="I288" s="263">
        <v>2</v>
      </c>
      <c r="J288" s="60">
        <f>J258</f>
        <v>600000</v>
      </c>
      <c r="K288" s="230">
        <f>I288*J288</f>
        <v>1200000</v>
      </c>
    </row>
    <row r="289" spans="1:11" ht="13.2" customHeight="1" x14ac:dyDescent="0.25">
      <c r="A289" s="223"/>
      <c r="B289" s="224" t="s">
        <v>30</v>
      </c>
      <c r="C289" s="225" t="s">
        <v>890</v>
      </c>
      <c r="D289" s="226"/>
      <c r="E289" s="44"/>
      <c r="F289" s="227"/>
      <c r="G289" s="227"/>
      <c r="H289" s="228" t="s">
        <v>235</v>
      </c>
      <c r="I289" s="253">
        <v>2</v>
      </c>
      <c r="J289" s="60">
        <f>J259</f>
        <v>320000</v>
      </c>
      <c r="K289" s="230">
        <f t="shared" ref="K289:K297" si="45">I289*J289</f>
        <v>640000</v>
      </c>
    </row>
    <row r="290" spans="1:11" ht="13.2" customHeight="1" x14ac:dyDescent="0.25">
      <c r="A290" s="223"/>
      <c r="B290" s="224" t="s">
        <v>57</v>
      </c>
      <c r="C290" s="225" t="s">
        <v>891</v>
      </c>
      <c r="D290" s="226"/>
      <c r="E290" s="44"/>
      <c r="F290" s="227"/>
      <c r="G290" s="227"/>
      <c r="H290" s="228" t="s">
        <v>235</v>
      </c>
      <c r="I290" s="253">
        <v>2</v>
      </c>
      <c r="J290" s="60">
        <f>J275</f>
        <v>356250</v>
      </c>
      <c r="K290" s="230">
        <f t="shared" si="45"/>
        <v>712500</v>
      </c>
    </row>
    <row r="291" spans="1:11" ht="13.2" customHeight="1" x14ac:dyDescent="0.25">
      <c r="A291" s="223"/>
      <c r="B291" s="224" t="s">
        <v>83</v>
      </c>
      <c r="C291" s="225" t="s">
        <v>1092</v>
      </c>
      <c r="D291" s="226"/>
      <c r="E291" s="44"/>
      <c r="F291" s="227"/>
      <c r="G291" s="227"/>
      <c r="H291" s="228" t="s">
        <v>203</v>
      </c>
      <c r="I291" s="285">
        <v>1</v>
      </c>
      <c r="J291" s="60">
        <f>'Harga Satuan Dasar mat'!G52</f>
        <v>157500</v>
      </c>
      <c r="K291" s="230">
        <f t="shared" si="45"/>
        <v>157500</v>
      </c>
    </row>
    <row r="292" spans="1:11" ht="13.2" customHeight="1" x14ac:dyDescent="0.25">
      <c r="A292" s="223"/>
      <c r="B292" s="224" t="s">
        <v>110</v>
      </c>
      <c r="C292" s="225" t="s">
        <v>896</v>
      </c>
      <c r="D292" s="226"/>
      <c r="E292" s="44"/>
      <c r="F292" s="227"/>
      <c r="G292" s="227"/>
      <c r="H292" s="228" t="s">
        <v>203</v>
      </c>
      <c r="I292" s="253">
        <v>2</v>
      </c>
      <c r="J292" s="60">
        <f>'Harga Satuan Dasar mat'!G104</f>
        <v>221500</v>
      </c>
      <c r="K292" s="230">
        <f>I292*J292</f>
        <v>443000</v>
      </c>
    </row>
    <row r="293" spans="1:11" ht="13.2" customHeight="1" x14ac:dyDescent="0.25">
      <c r="A293" s="223"/>
      <c r="B293" s="224" t="s">
        <v>137</v>
      </c>
      <c r="C293" s="225" t="s">
        <v>892</v>
      </c>
      <c r="D293" s="226"/>
      <c r="E293" s="44"/>
      <c r="F293" s="227"/>
      <c r="G293" s="227"/>
      <c r="H293" s="228" t="s">
        <v>235</v>
      </c>
      <c r="I293" s="253">
        <v>2</v>
      </c>
      <c r="J293" s="60">
        <f>J263</f>
        <v>336000</v>
      </c>
      <c r="K293" s="230">
        <f t="shared" si="45"/>
        <v>672000</v>
      </c>
    </row>
    <row r="294" spans="1:11" ht="13.2" customHeight="1" x14ac:dyDescent="0.25">
      <c r="A294" s="223"/>
      <c r="B294" s="224" t="s">
        <v>156</v>
      </c>
      <c r="C294" s="225" t="s">
        <v>893</v>
      </c>
      <c r="D294" s="226"/>
      <c r="E294" s="44"/>
      <c r="F294" s="227"/>
      <c r="G294" s="227"/>
      <c r="H294" s="228" t="s">
        <v>235</v>
      </c>
      <c r="I294" s="253">
        <v>2</v>
      </c>
      <c r="J294" s="60">
        <f>J264</f>
        <v>222000</v>
      </c>
      <c r="K294" s="230">
        <f t="shared" si="45"/>
        <v>444000</v>
      </c>
    </row>
    <row r="295" spans="1:11" ht="13.2" customHeight="1" x14ac:dyDescent="0.25">
      <c r="A295" s="223"/>
      <c r="B295" s="224" t="s">
        <v>175</v>
      </c>
      <c r="C295" s="225" t="s">
        <v>1004</v>
      </c>
      <c r="D295" s="226"/>
      <c r="E295" s="44"/>
      <c r="F295" s="227"/>
      <c r="G295" s="227"/>
      <c r="H295" s="228" t="s">
        <v>203</v>
      </c>
      <c r="I295" s="285">
        <v>2</v>
      </c>
      <c r="J295" s="60">
        <f>J265</f>
        <v>70000</v>
      </c>
      <c r="K295" s="230">
        <f>I295*J295</f>
        <v>140000</v>
      </c>
    </row>
    <row r="296" spans="1:11" ht="13.2" customHeight="1" x14ac:dyDescent="0.25">
      <c r="A296" s="223"/>
      <c r="B296" s="224" t="s">
        <v>177</v>
      </c>
      <c r="C296" s="225" t="s">
        <v>787</v>
      </c>
      <c r="D296" s="226"/>
      <c r="E296" s="44"/>
      <c r="F296" s="227"/>
      <c r="G296" s="227"/>
      <c r="H296" s="228" t="s">
        <v>203</v>
      </c>
      <c r="I296" s="253">
        <v>8</v>
      </c>
      <c r="J296" s="60">
        <f>J266</f>
        <v>27000</v>
      </c>
      <c r="K296" s="230">
        <f t="shared" si="45"/>
        <v>216000</v>
      </c>
    </row>
    <row r="297" spans="1:11" ht="13.2" customHeight="1" x14ac:dyDescent="0.25">
      <c r="A297" s="223"/>
      <c r="B297" s="224" t="s">
        <v>197</v>
      </c>
      <c r="C297" s="225" t="s">
        <v>979</v>
      </c>
      <c r="D297" s="226"/>
      <c r="E297" s="44"/>
      <c r="F297" s="227"/>
      <c r="G297" s="227"/>
      <c r="H297" s="228" t="s">
        <v>203</v>
      </c>
      <c r="I297" s="253">
        <v>12</v>
      </c>
      <c r="J297" s="60">
        <f>J267</f>
        <v>14000</v>
      </c>
      <c r="K297" s="230">
        <f t="shared" si="45"/>
        <v>168000</v>
      </c>
    </row>
    <row r="298" spans="1:11" ht="12.9" customHeight="1" x14ac:dyDescent="0.25">
      <c r="A298" s="58"/>
      <c r="B298" s="231"/>
      <c r="C298" s="232"/>
      <c r="D298" s="232"/>
      <c r="E298" s="232"/>
      <c r="F298" s="232"/>
      <c r="G298" s="233"/>
      <c r="H298" s="234" t="s">
        <v>715</v>
      </c>
      <c r="I298" s="235"/>
      <c r="J298" s="235"/>
      <c r="K298" s="236">
        <f>SUM(K288:K297)</f>
        <v>4793000</v>
      </c>
    </row>
    <row r="299" spans="1:11" ht="12.9" customHeight="1" x14ac:dyDescent="0.25">
      <c r="A299" s="58"/>
      <c r="B299" s="59"/>
      <c r="C299" s="56"/>
      <c r="D299" s="56"/>
      <c r="E299" s="56"/>
      <c r="F299" s="56"/>
      <c r="G299" s="237"/>
      <c r="H299" s="238" t="s">
        <v>603</v>
      </c>
      <c r="I299" s="239">
        <f>$K$3</f>
        <v>0.15</v>
      </c>
      <c r="J299" s="240"/>
      <c r="K299" s="241">
        <f>I299*K298</f>
        <v>718950</v>
      </c>
    </row>
    <row r="300" spans="1:11" ht="12.9" customHeight="1" x14ac:dyDescent="0.25">
      <c r="A300" s="58"/>
      <c r="B300" s="59"/>
      <c r="C300" s="56"/>
      <c r="D300" s="56"/>
      <c r="E300" s="56"/>
      <c r="F300" s="56"/>
      <c r="G300" s="237"/>
      <c r="H300" s="238" t="s">
        <v>604</v>
      </c>
      <c r="I300" s="226"/>
      <c r="J300" s="226"/>
      <c r="K300" s="241">
        <f>SUM(K298:K299)</f>
        <v>5511950</v>
      </c>
    </row>
    <row r="301" spans="1:11" ht="12.9" customHeight="1" thickBot="1" x14ac:dyDescent="0.3">
      <c r="A301" s="242"/>
      <c r="B301" s="243"/>
      <c r="C301" s="244"/>
      <c r="D301" s="244"/>
      <c r="E301" s="244"/>
      <c r="F301" s="244"/>
      <c r="G301" s="245"/>
      <c r="H301" s="246" t="s">
        <v>605</v>
      </c>
      <c r="I301" s="247"/>
      <c r="J301" s="247"/>
      <c r="K301" s="248">
        <f>ROUND(K300,-1)</f>
        <v>5511950</v>
      </c>
    </row>
    <row r="302" spans="1:11" ht="14.1" customHeight="1" x14ac:dyDescent="0.25">
      <c r="A302" s="215">
        <v>28</v>
      </c>
      <c r="B302" s="651" t="s">
        <v>713</v>
      </c>
      <c r="C302" s="652"/>
      <c r="D302" s="216" t="s">
        <v>1085</v>
      </c>
      <c r="E302" s="217"/>
      <c r="F302" s="218"/>
      <c r="G302" s="218"/>
      <c r="H302" s="219"/>
      <c r="I302" s="220"/>
      <c r="J302" s="221"/>
      <c r="K302" s="222"/>
    </row>
    <row r="303" spans="1:11" ht="13.2" customHeight="1" x14ac:dyDescent="0.25">
      <c r="A303" s="223"/>
      <c r="B303" s="224" t="s">
        <v>4</v>
      </c>
      <c r="C303" s="225" t="s">
        <v>889</v>
      </c>
      <c r="D303" s="226"/>
      <c r="E303" s="44"/>
      <c r="F303" s="227"/>
      <c r="G303" s="227"/>
      <c r="H303" s="228" t="s">
        <v>235</v>
      </c>
      <c r="I303" s="263">
        <v>2</v>
      </c>
      <c r="J303" s="60">
        <f>J273</f>
        <v>600000</v>
      </c>
      <c r="K303" s="230">
        <f>I303*J303</f>
        <v>1200000</v>
      </c>
    </row>
    <row r="304" spans="1:11" ht="13.2" customHeight="1" x14ac:dyDescent="0.25">
      <c r="A304" s="223"/>
      <c r="B304" s="224" t="s">
        <v>30</v>
      </c>
      <c r="C304" s="225" t="s">
        <v>890</v>
      </c>
      <c r="D304" s="226"/>
      <c r="E304" s="44"/>
      <c r="F304" s="227"/>
      <c r="G304" s="227"/>
      <c r="H304" s="228" t="s">
        <v>235</v>
      </c>
      <c r="I304" s="253">
        <v>2</v>
      </c>
      <c r="J304" s="60">
        <f>J274</f>
        <v>320000</v>
      </c>
      <c r="K304" s="230">
        <f t="shared" ref="K304:K306" si="46">I304*J304</f>
        <v>640000</v>
      </c>
    </row>
    <row r="305" spans="1:11" ht="13.2" customHeight="1" x14ac:dyDescent="0.25">
      <c r="A305" s="223"/>
      <c r="B305" s="224" t="s">
        <v>57</v>
      </c>
      <c r="C305" s="225" t="s">
        <v>891</v>
      </c>
      <c r="D305" s="226"/>
      <c r="E305" s="44"/>
      <c r="F305" s="227"/>
      <c r="G305" s="227"/>
      <c r="H305" s="228" t="s">
        <v>235</v>
      </c>
      <c r="I305" s="253">
        <v>2</v>
      </c>
      <c r="J305" s="60">
        <f>J290</f>
        <v>356250</v>
      </c>
      <c r="K305" s="230">
        <f t="shared" si="46"/>
        <v>712500</v>
      </c>
    </row>
    <row r="306" spans="1:11" ht="13.2" customHeight="1" x14ac:dyDescent="0.25">
      <c r="A306" s="223"/>
      <c r="B306" s="224" t="s">
        <v>83</v>
      </c>
      <c r="C306" s="225" t="s">
        <v>1098</v>
      </c>
      <c r="D306" s="226"/>
      <c r="E306" s="44"/>
      <c r="F306" s="227"/>
      <c r="G306" s="227"/>
      <c r="H306" s="228" t="s">
        <v>203</v>
      </c>
      <c r="I306" s="285">
        <v>1</v>
      </c>
      <c r="J306" s="60">
        <f>'Harga Satuan Dasar mat'!G50</f>
        <v>143000</v>
      </c>
      <c r="K306" s="230">
        <f t="shared" si="46"/>
        <v>143000</v>
      </c>
    </row>
    <row r="307" spans="1:11" ht="13.2" customHeight="1" x14ac:dyDescent="0.25">
      <c r="A307" s="223"/>
      <c r="B307" s="224" t="s">
        <v>110</v>
      </c>
      <c r="C307" s="225" t="s">
        <v>897</v>
      </c>
      <c r="D307" s="226"/>
      <c r="E307" s="44"/>
      <c r="F307" s="227"/>
      <c r="G307" s="227"/>
      <c r="H307" s="228" t="s">
        <v>203</v>
      </c>
      <c r="I307" s="253">
        <v>2</v>
      </c>
      <c r="J307" s="60">
        <f>'Harga Satuan Dasar mat'!G102</f>
        <v>203000</v>
      </c>
      <c r="K307" s="230">
        <f>I307*J307</f>
        <v>406000</v>
      </c>
    </row>
    <row r="308" spans="1:11" ht="13.2" customHeight="1" x14ac:dyDescent="0.25">
      <c r="A308" s="223"/>
      <c r="B308" s="224" t="s">
        <v>137</v>
      </c>
      <c r="C308" s="225" t="s">
        <v>892</v>
      </c>
      <c r="D308" s="226"/>
      <c r="E308" s="44"/>
      <c r="F308" s="227"/>
      <c r="G308" s="227"/>
      <c r="H308" s="228" t="s">
        <v>235</v>
      </c>
      <c r="I308" s="253">
        <v>2</v>
      </c>
      <c r="J308" s="60">
        <f>J278</f>
        <v>336000</v>
      </c>
      <c r="K308" s="230">
        <f t="shared" ref="K308:K309" si="47">I308*J308</f>
        <v>672000</v>
      </c>
    </row>
    <row r="309" spans="1:11" ht="13.2" customHeight="1" x14ac:dyDescent="0.25">
      <c r="A309" s="223"/>
      <c r="B309" s="224" t="s">
        <v>156</v>
      </c>
      <c r="C309" s="225" t="s">
        <v>893</v>
      </c>
      <c r="D309" s="226"/>
      <c r="E309" s="44"/>
      <c r="F309" s="227"/>
      <c r="G309" s="227"/>
      <c r="H309" s="228" t="s">
        <v>235</v>
      </c>
      <c r="I309" s="253">
        <v>2</v>
      </c>
      <c r="J309" s="60">
        <f>J279</f>
        <v>222000</v>
      </c>
      <c r="K309" s="230">
        <f t="shared" si="47"/>
        <v>444000</v>
      </c>
    </row>
    <row r="310" spans="1:11" ht="13.2" customHeight="1" x14ac:dyDescent="0.25">
      <c r="A310" s="223"/>
      <c r="B310" s="224" t="s">
        <v>175</v>
      </c>
      <c r="C310" s="225" t="s">
        <v>1005</v>
      </c>
      <c r="D310" s="226"/>
      <c r="E310" s="44"/>
      <c r="F310" s="227"/>
      <c r="G310" s="227"/>
      <c r="H310" s="228" t="s">
        <v>203</v>
      </c>
      <c r="I310" s="285">
        <v>2</v>
      </c>
      <c r="J310" s="60">
        <f>'Harga Satuan Dasar mat'!G257</f>
        <v>52500</v>
      </c>
      <c r="K310" s="230">
        <f>I310*J310</f>
        <v>105000</v>
      </c>
    </row>
    <row r="311" spans="1:11" ht="13.2" customHeight="1" x14ac:dyDescent="0.25">
      <c r="A311" s="223"/>
      <c r="B311" s="224" t="s">
        <v>177</v>
      </c>
      <c r="C311" s="225" t="s">
        <v>787</v>
      </c>
      <c r="D311" s="226"/>
      <c r="E311" s="44"/>
      <c r="F311" s="227"/>
      <c r="G311" s="227"/>
      <c r="H311" s="228" t="s">
        <v>203</v>
      </c>
      <c r="I311" s="253">
        <v>8</v>
      </c>
      <c r="J311" s="60">
        <f>J281</f>
        <v>27000</v>
      </c>
      <c r="K311" s="230">
        <f t="shared" ref="K311:K312" si="48">I311*J311</f>
        <v>216000</v>
      </c>
    </row>
    <row r="312" spans="1:11" ht="13.2" customHeight="1" x14ac:dyDescent="0.25">
      <c r="A312" s="223"/>
      <c r="B312" s="224" t="s">
        <v>197</v>
      </c>
      <c r="C312" s="225" t="s">
        <v>979</v>
      </c>
      <c r="D312" s="226"/>
      <c r="E312" s="44"/>
      <c r="F312" s="227"/>
      <c r="G312" s="227"/>
      <c r="H312" s="228" t="s">
        <v>203</v>
      </c>
      <c r="I312" s="253">
        <v>12</v>
      </c>
      <c r="J312" s="60">
        <f>J282</f>
        <v>14000</v>
      </c>
      <c r="K312" s="230">
        <f t="shared" si="48"/>
        <v>168000</v>
      </c>
    </row>
    <row r="313" spans="1:11" ht="12.9" customHeight="1" x14ac:dyDescent="0.25">
      <c r="A313" s="58"/>
      <c r="B313" s="231"/>
      <c r="C313" s="232"/>
      <c r="D313" s="232"/>
      <c r="E313" s="232"/>
      <c r="F313" s="232"/>
      <c r="G313" s="233"/>
      <c r="H313" s="234" t="s">
        <v>715</v>
      </c>
      <c r="I313" s="235"/>
      <c r="J313" s="235"/>
      <c r="K313" s="236">
        <f>SUM(K303:K312)</f>
        <v>4706500</v>
      </c>
    </row>
    <row r="314" spans="1:11" ht="12.9" customHeight="1" x14ac:dyDescent="0.25">
      <c r="A314" s="58"/>
      <c r="B314" s="59"/>
      <c r="C314" s="56"/>
      <c r="D314" s="56"/>
      <c r="E314" s="56"/>
      <c r="F314" s="56"/>
      <c r="G314" s="237"/>
      <c r="H314" s="238" t="s">
        <v>603</v>
      </c>
      <c r="I314" s="239">
        <f>$K$3</f>
        <v>0.15</v>
      </c>
      <c r="J314" s="240"/>
      <c r="K314" s="241">
        <f>I314*K313</f>
        <v>705975</v>
      </c>
    </row>
    <row r="315" spans="1:11" ht="12.9" customHeight="1" x14ac:dyDescent="0.25">
      <c r="A315" s="58"/>
      <c r="B315" s="59"/>
      <c r="C315" s="56"/>
      <c r="D315" s="56"/>
      <c r="E315" s="56"/>
      <c r="F315" s="56"/>
      <c r="G315" s="237"/>
      <c r="H315" s="238" t="s">
        <v>604</v>
      </c>
      <c r="I315" s="226"/>
      <c r="J315" s="226"/>
      <c r="K315" s="241">
        <f>SUM(K313:K314)</f>
        <v>5412475</v>
      </c>
    </row>
    <row r="316" spans="1:11" ht="12.9" customHeight="1" thickBot="1" x14ac:dyDescent="0.3">
      <c r="A316" s="242"/>
      <c r="B316" s="243"/>
      <c r="C316" s="244"/>
      <c r="D316" s="244"/>
      <c r="E316" s="244"/>
      <c r="F316" s="244"/>
      <c r="G316" s="245"/>
      <c r="H316" s="246" t="s">
        <v>605</v>
      </c>
      <c r="I316" s="247"/>
      <c r="J316" s="247"/>
      <c r="K316" s="248">
        <f>ROUND(K315,-1)</f>
        <v>5412480</v>
      </c>
    </row>
    <row r="317" spans="1:11" ht="14.1" customHeight="1" x14ac:dyDescent="0.25">
      <c r="A317" s="215">
        <v>29</v>
      </c>
      <c r="B317" s="651" t="s">
        <v>713</v>
      </c>
      <c r="C317" s="652"/>
      <c r="D317" s="216" t="s">
        <v>1089</v>
      </c>
      <c r="E317" s="217"/>
      <c r="F317" s="218"/>
      <c r="G317" s="218"/>
      <c r="H317" s="219"/>
      <c r="I317" s="249"/>
      <c r="J317" s="221"/>
      <c r="K317" s="222"/>
    </row>
    <row r="318" spans="1:11" ht="13.2" customHeight="1" x14ac:dyDescent="0.25">
      <c r="A318" s="223"/>
      <c r="B318" s="224" t="s">
        <v>4</v>
      </c>
      <c r="C318" s="225" t="s">
        <v>889</v>
      </c>
      <c r="D318" s="226"/>
      <c r="E318" s="44"/>
      <c r="F318" s="227"/>
      <c r="G318" s="227"/>
      <c r="H318" s="228" t="s">
        <v>235</v>
      </c>
      <c r="I318" s="283">
        <v>2</v>
      </c>
      <c r="J318" s="60">
        <f>J303</f>
        <v>600000</v>
      </c>
      <c r="K318" s="230">
        <f>I318*J318</f>
        <v>1200000</v>
      </c>
    </row>
    <row r="319" spans="1:11" ht="13.2" customHeight="1" x14ac:dyDescent="0.25">
      <c r="A319" s="223"/>
      <c r="B319" s="224" t="s">
        <v>30</v>
      </c>
      <c r="C319" s="225" t="s">
        <v>1090</v>
      </c>
      <c r="D319" s="226"/>
      <c r="E319" s="44"/>
      <c r="F319" s="227"/>
      <c r="G319" s="227"/>
      <c r="H319" s="228" t="s">
        <v>235</v>
      </c>
      <c r="I319" s="229">
        <v>2</v>
      </c>
      <c r="J319" s="60">
        <f>'Harga Satuan Dasar mat'!G170</f>
        <v>263600</v>
      </c>
      <c r="K319" s="230">
        <f t="shared" ref="K319:K325" si="49">I319*J319</f>
        <v>527200</v>
      </c>
    </row>
    <row r="320" spans="1:11" ht="13.2" customHeight="1" x14ac:dyDescent="0.25">
      <c r="A320" s="223"/>
      <c r="B320" s="224" t="s">
        <v>57</v>
      </c>
      <c r="C320" s="225" t="s">
        <v>1096</v>
      </c>
      <c r="D320" s="226"/>
      <c r="E320" s="44"/>
      <c r="F320" s="227"/>
      <c r="G320" s="227"/>
      <c r="H320" s="228" t="s">
        <v>203</v>
      </c>
      <c r="I320" s="284">
        <v>1</v>
      </c>
      <c r="J320" s="60">
        <f>'Harga Satuan Dasar mat'!G57</f>
        <v>194500</v>
      </c>
      <c r="K320" s="230">
        <f>I320*J320</f>
        <v>194500</v>
      </c>
    </row>
    <row r="321" spans="1:11" ht="13.2" customHeight="1" x14ac:dyDescent="0.25">
      <c r="A321" s="223"/>
      <c r="B321" s="224" t="s">
        <v>83</v>
      </c>
      <c r="C321" s="225" t="s">
        <v>1102</v>
      </c>
      <c r="D321" s="226"/>
      <c r="E321" s="44"/>
      <c r="F321" s="227"/>
      <c r="G321" s="227"/>
      <c r="H321" s="228" t="s">
        <v>203</v>
      </c>
      <c r="I321" s="284">
        <v>1</v>
      </c>
      <c r="J321" s="60">
        <f>'Harga Satuan Dasar mat'!G108</f>
        <v>257000</v>
      </c>
      <c r="K321" s="230">
        <f>I321*J321</f>
        <v>257000</v>
      </c>
    </row>
    <row r="322" spans="1:11" ht="13.2" customHeight="1" x14ac:dyDescent="0.25">
      <c r="A322" s="223"/>
      <c r="B322" s="224" t="s">
        <v>110</v>
      </c>
      <c r="C322" s="225" t="s">
        <v>1105</v>
      </c>
      <c r="D322" s="226"/>
      <c r="E322" s="44"/>
      <c r="F322" s="227"/>
      <c r="G322" s="227"/>
      <c r="H322" s="228" t="s">
        <v>203</v>
      </c>
      <c r="I322" s="284">
        <v>1</v>
      </c>
      <c r="J322" s="60">
        <f>'Harga Satuan Dasar mat'!G110</f>
        <v>277000</v>
      </c>
      <c r="K322" s="230">
        <f>I322*J322</f>
        <v>277000</v>
      </c>
    </row>
    <row r="323" spans="1:11" ht="13.2" customHeight="1" x14ac:dyDescent="0.25">
      <c r="A323" s="223"/>
      <c r="B323" s="224" t="s">
        <v>137</v>
      </c>
      <c r="C323" s="225" t="s">
        <v>1091</v>
      </c>
      <c r="D323" s="226"/>
      <c r="E323" s="44"/>
      <c r="F323" s="227"/>
      <c r="G323" s="227"/>
      <c r="H323" s="228" t="s">
        <v>235</v>
      </c>
      <c r="I323" s="229">
        <v>4</v>
      </c>
      <c r="J323" s="60">
        <f>'Harga Satuan Dasar mat'!G204</f>
        <v>279750</v>
      </c>
      <c r="K323" s="230">
        <f t="shared" si="49"/>
        <v>1119000</v>
      </c>
    </row>
    <row r="324" spans="1:11" ht="13.2" customHeight="1" x14ac:dyDescent="0.25">
      <c r="A324" s="223"/>
      <c r="B324" s="224" t="s">
        <v>156</v>
      </c>
      <c r="C324" s="225" t="s">
        <v>1004</v>
      </c>
      <c r="D324" s="226"/>
      <c r="E324" s="44"/>
      <c r="F324" s="227"/>
      <c r="G324" s="227"/>
      <c r="H324" s="228" t="s">
        <v>203</v>
      </c>
      <c r="I324" s="284">
        <v>2</v>
      </c>
      <c r="J324" s="60">
        <f>J295</f>
        <v>70000</v>
      </c>
      <c r="K324" s="230">
        <f t="shared" si="49"/>
        <v>140000</v>
      </c>
    </row>
    <row r="325" spans="1:11" ht="13.2" customHeight="1" x14ac:dyDescent="0.25">
      <c r="A325" s="223"/>
      <c r="B325" s="224" t="s">
        <v>175</v>
      </c>
      <c r="C325" s="225" t="s">
        <v>979</v>
      </c>
      <c r="D325" s="226"/>
      <c r="E325" s="44"/>
      <c r="F325" s="227"/>
      <c r="G325" s="227"/>
      <c r="H325" s="228" t="s">
        <v>203</v>
      </c>
      <c r="I325" s="229">
        <v>16</v>
      </c>
      <c r="J325" s="60">
        <f>J312</f>
        <v>14000</v>
      </c>
      <c r="K325" s="230">
        <f t="shared" si="49"/>
        <v>224000</v>
      </c>
    </row>
    <row r="326" spans="1:11" ht="12.9" customHeight="1" x14ac:dyDescent="0.25">
      <c r="A326" s="58"/>
      <c r="B326" s="231"/>
      <c r="C326" s="232"/>
      <c r="D326" s="232"/>
      <c r="E326" s="232"/>
      <c r="F326" s="232"/>
      <c r="G326" s="233"/>
      <c r="H326" s="234" t="s">
        <v>715</v>
      </c>
      <c r="I326" s="235"/>
      <c r="J326" s="235"/>
      <c r="K326" s="236">
        <f>SUM(K318:K325)</f>
        <v>3938700</v>
      </c>
    </row>
    <row r="327" spans="1:11" ht="12.9" customHeight="1" x14ac:dyDescent="0.25">
      <c r="A327" s="58"/>
      <c r="B327" s="59"/>
      <c r="C327" s="56"/>
      <c r="D327" s="56"/>
      <c r="E327" s="56"/>
      <c r="F327" s="56"/>
      <c r="G327" s="237"/>
      <c r="H327" s="238" t="s">
        <v>603</v>
      </c>
      <c r="I327" s="239">
        <f>$K$3</f>
        <v>0.15</v>
      </c>
      <c r="J327" s="240"/>
      <c r="K327" s="241">
        <f>I327*K326</f>
        <v>590805</v>
      </c>
    </row>
    <row r="328" spans="1:11" ht="12.9" customHeight="1" x14ac:dyDescent="0.25">
      <c r="A328" s="58"/>
      <c r="B328" s="59"/>
      <c r="C328" s="56"/>
      <c r="D328" s="56"/>
      <c r="E328" s="56"/>
      <c r="F328" s="56"/>
      <c r="G328" s="237"/>
      <c r="H328" s="238" t="s">
        <v>604</v>
      </c>
      <c r="I328" s="226"/>
      <c r="J328" s="226"/>
      <c r="K328" s="241">
        <f>SUM(K326:K327)</f>
        <v>4529505</v>
      </c>
    </row>
    <row r="329" spans="1:11" ht="12.9" customHeight="1" thickBot="1" x14ac:dyDescent="0.3">
      <c r="A329" s="242"/>
      <c r="B329" s="243"/>
      <c r="C329" s="244"/>
      <c r="D329" s="244"/>
      <c r="E329" s="244"/>
      <c r="F329" s="244"/>
      <c r="G329" s="245"/>
      <c r="H329" s="246" t="s">
        <v>605</v>
      </c>
      <c r="I329" s="247"/>
      <c r="J329" s="247"/>
      <c r="K329" s="248">
        <f>ROUND(K328,-1)</f>
        <v>4529510</v>
      </c>
    </row>
    <row r="330" spans="1:11" ht="14.1" customHeight="1" x14ac:dyDescent="0.25">
      <c r="A330" s="215">
        <v>30</v>
      </c>
      <c r="B330" s="651" t="s">
        <v>713</v>
      </c>
      <c r="C330" s="652"/>
      <c r="D330" s="216" t="s">
        <v>1106</v>
      </c>
      <c r="E330" s="217"/>
      <c r="F330" s="218"/>
      <c r="G330" s="218"/>
      <c r="H330" s="219"/>
      <c r="I330" s="220"/>
      <c r="J330" s="221"/>
      <c r="K330" s="222"/>
    </row>
    <row r="331" spans="1:11" ht="13.2" customHeight="1" x14ac:dyDescent="0.25">
      <c r="A331" s="223"/>
      <c r="B331" s="224" t="s">
        <v>4</v>
      </c>
      <c r="C331" s="225" t="s">
        <v>889</v>
      </c>
      <c r="D331" s="226"/>
      <c r="E331" s="44"/>
      <c r="F331" s="227"/>
      <c r="G331" s="227"/>
      <c r="H331" s="228" t="s">
        <v>235</v>
      </c>
      <c r="I331" s="283">
        <v>2</v>
      </c>
      <c r="J331" s="60">
        <f>J318</f>
        <v>600000</v>
      </c>
      <c r="K331" s="230">
        <f>I331*J331</f>
        <v>1200000</v>
      </c>
    </row>
    <row r="332" spans="1:11" ht="13.2" customHeight="1" x14ac:dyDescent="0.25">
      <c r="A332" s="223"/>
      <c r="B332" s="224" t="s">
        <v>30</v>
      </c>
      <c r="C332" s="225" t="s">
        <v>1090</v>
      </c>
      <c r="D332" s="226"/>
      <c r="E332" s="44"/>
      <c r="F332" s="227"/>
      <c r="G332" s="227"/>
      <c r="H332" s="228" t="s">
        <v>235</v>
      </c>
      <c r="I332" s="229">
        <v>2</v>
      </c>
      <c r="J332" s="60">
        <f t="shared" ref="J332:J338" si="50">J319</f>
        <v>263600</v>
      </c>
      <c r="K332" s="230">
        <f t="shared" ref="K332:K338" si="51">I332*J332</f>
        <v>527200</v>
      </c>
    </row>
    <row r="333" spans="1:11" ht="13.2" customHeight="1" x14ac:dyDescent="0.25">
      <c r="A333" s="223"/>
      <c r="B333" s="224" t="s">
        <v>57</v>
      </c>
      <c r="C333" s="225" t="s">
        <v>1095</v>
      </c>
      <c r="D333" s="226"/>
      <c r="E333" s="44"/>
      <c r="F333" s="227"/>
      <c r="G333" s="227"/>
      <c r="H333" s="228" t="s">
        <v>203</v>
      </c>
      <c r="I333" s="284">
        <v>1</v>
      </c>
      <c r="J333" s="60">
        <f>'Harga Satuan Dasar mat'!G56</f>
        <v>185000</v>
      </c>
      <c r="K333" s="230">
        <f t="shared" si="51"/>
        <v>185000</v>
      </c>
    </row>
    <row r="334" spans="1:11" ht="13.2" customHeight="1" x14ac:dyDescent="0.25">
      <c r="A334" s="223"/>
      <c r="B334" s="224" t="s">
        <v>83</v>
      </c>
      <c r="C334" s="225" t="s">
        <v>1103</v>
      </c>
      <c r="D334" s="226"/>
      <c r="E334" s="44"/>
      <c r="F334" s="227"/>
      <c r="G334" s="227"/>
      <c r="H334" s="228" t="s">
        <v>203</v>
      </c>
      <c r="I334" s="284">
        <v>1</v>
      </c>
      <c r="J334" s="60">
        <f>'Harga Satuan Dasar mat'!G107</f>
        <v>247000</v>
      </c>
      <c r="K334" s="230">
        <f t="shared" si="51"/>
        <v>247000</v>
      </c>
    </row>
    <row r="335" spans="1:11" ht="13.2" customHeight="1" x14ac:dyDescent="0.25">
      <c r="A335" s="223"/>
      <c r="B335" s="224" t="s">
        <v>110</v>
      </c>
      <c r="C335" s="225" t="s">
        <v>1104</v>
      </c>
      <c r="D335" s="226"/>
      <c r="E335" s="44"/>
      <c r="F335" s="227"/>
      <c r="G335" s="227"/>
      <c r="H335" s="228" t="s">
        <v>203</v>
      </c>
      <c r="I335" s="284">
        <v>1</v>
      </c>
      <c r="J335" s="60">
        <f>'Harga Satuan Dasar mat'!G109</f>
        <v>268500</v>
      </c>
      <c r="K335" s="230">
        <f t="shared" si="51"/>
        <v>268500</v>
      </c>
    </row>
    <row r="336" spans="1:11" ht="13.2" customHeight="1" x14ac:dyDescent="0.25">
      <c r="A336" s="223"/>
      <c r="B336" s="224" t="s">
        <v>137</v>
      </c>
      <c r="C336" s="225" t="s">
        <v>1091</v>
      </c>
      <c r="D336" s="226"/>
      <c r="E336" s="44"/>
      <c r="F336" s="227"/>
      <c r="G336" s="227"/>
      <c r="H336" s="228" t="s">
        <v>235</v>
      </c>
      <c r="I336" s="229">
        <v>4</v>
      </c>
      <c r="J336" s="60">
        <f t="shared" si="50"/>
        <v>279750</v>
      </c>
      <c r="K336" s="230">
        <f t="shared" si="51"/>
        <v>1119000</v>
      </c>
    </row>
    <row r="337" spans="1:11" ht="13.2" customHeight="1" x14ac:dyDescent="0.25">
      <c r="A337" s="223"/>
      <c r="B337" s="224" t="s">
        <v>156</v>
      </c>
      <c r="C337" s="225" t="s">
        <v>1004</v>
      </c>
      <c r="D337" s="226"/>
      <c r="E337" s="44"/>
      <c r="F337" s="227"/>
      <c r="G337" s="227"/>
      <c r="H337" s="228" t="s">
        <v>203</v>
      </c>
      <c r="I337" s="284">
        <v>2</v>
      </c>
      <c r="J337" s="60">
        <f t="shared" si="50"/>
        <v>70000</v>
      </c>
      <c r="K337" s="230">
        <f t="shared" si="51"/>
        <v>140000</v>
      </c>
    </row>
    <row r="338" spans="1:11" ht="13.2" customHeight="1" x14ac:dyDescent="0.25">
      <c r="A338" s="223"/>
      <c r="B338" s="224" t="s">
        <v>175</v>
      </c>
      <c r="C338" s="225" t="s">
        <v>979</v>
      </c>
      <c r="D338" s="226"/>
      <c r="E338" s="44"/>
      <c r="F338" s="227"/>
      <c r="G338" s="227"/>
      <c r="H338" s="228" t="s">
        <v>203</v>
      </c>
      <c r="I338" s="229">
        <v>16</v>
      </c>
      <c r="J338" s="60">
        <f t="shared" si="50"/>
        <v>14000</v>
      </c>
      <c r="K338" s="230">
        <f t="shared" si="51"/>
        <v>224000</v>
      </c>
    </row>
    <row r="339" spans="1:11" ht="12.9" customHeight="1" x14ac:dyDescent="0.25">
      <c r="A339" s="58"/>
      <c r="B339" s="231"/>
      <c r="C339" s="232"/>
      <c r="D339" s="232"/>
      <c r="E339" s="232"/>
      <c r="F339" s="232"/>
      <c r="G339" s="233"/>
      <c r="H339" s="234" t="s">
        <v>715</v>
      </c>
      <c r="I339" s="235"/>
      <c r="J339" s="235"/>
      <c r="K339" s="236">
        <f>SUM(K331:K338)</f>
        <v>3910700</v>
      </c>
    </row>
    <row r="340" spans="1:11" ht="12.9" customHeight="1" x14ac:dyDescent="0.25">
      <c r="A340" s="58"/>
      <c r="B340" s="59"/>
      <c r="C340" s="56"/>
      <c r="D340" s="56"/>
      <c r="E340" s="56"/>
      <c r="F340" s="56"/>
      <c r="G340" s="237"/>
      <c r="H340" s="238" t="s">
        <v>603</v>
      </c>
      <c r="I340" s="239">
        <f>$K$3</f>
        <v>0.15</v>
      </c>
      <c r="J340" s="240"/>
      <c r="K340" s="241">
        <f>I340*K339</f>
        <v>586605</v>
      </c>
    </row>
    <row r="341" spans="1:11" ht="12.9" customHeight="1" x14ac:dyDescent="0.25">
      <c r="A341" s="58"/>
      <c r="B341" s="59"/>
      <c r="C341" s="56"/>
      <c r="D341" s="56"/>
      <c r="E341" s="56"/>
      <c r="F341" s="56"/>
      <c r="G341" s="237"/>
      <c r="H341" s="238" t="s">
        <v>604</v>
      </c>
      <c r="I341" s="226"/>
      <c r="J341" s="226"/>
      <c r="K341" s="241">
        <f>SUM(K339:K340)</f>
        <v>4497305</v>
      </c>
    </row>
    <row r="342" spans="1:11" ht="12.9" customHeight="1" thickBot="1" x14ac:dyDescent="0.3">
      <c r="A342" s="242"/>
      <c r="B342" s="243"/>
      <c r="C342" s="244"/>
      <c r="D342" s="244"/>
      <c r="E342" s="244"/>
      <c r="F342" s="244"/>
      <c r="G342" s="245"/>
      <c r="H342" s="246" t="s">
        <v>605</v>
      </c>
      <c r="I342" s="247"/>
      <c r="J342" s="247"/>
      <c r="K342" s="248">
        <f>ROUND(K341,-1)</f>
        <v>4497310</v>
      </c>
    </row>
    <row r="343" spans="1:11" ht="14.1" customHeight="1" x14ac:dyDescent="0.25">
      <c r="A343" s="215">
        <v>31</v>
      </c>
      <c r="B343" s="651" t="s">
        <v>713</v>
      </c>
      <c r="C343" s="652"/>
      <c r="D343" s="216" t="s">
        <v>1107</v>
      </c>
      <c r="E343" s="217"/>
      <c r="F343" s="218"/>
      <c r="G343" s="218"/>
      <c r="H343" s="219"/>
      <c r="I343" s="220"/>
      <c r="J343" s="221"/>
      <c r="K343" s="222"/>
    </row>
    <row r="344" spans="1:11" ht="13.2" customHeight="1" x14ac:dyDescent="0.25">
      <c r="A344" s="223"/>
      <c r="B344" s="224" t="s">
        <v>4</v>
      </c>
      <c r="C344" s="225" t="s">
        <v>889</v>
      </c>
      <c r="D344" s="226"/>
      <c r="E344" s="44"/>
      <c r="F344" s="227"/>
      <c r="G344" s="227"/>
      <c r="H344" s="228" t="s">
        <v>235</v>
      </c>
      <c r="I344" s="283">
        <v>2</v>
      </c>
      <c r="J344" s="60">
        <f>J331</f>
        <v>600000</v>
      </c>
      <c r="K344" s="230">
        <f>I344*J344</f>
        <v>1200000</v>
      </c>
    </row>
    <row r="345" spans="1:11" ht="13.2" customHeight="1" x14ac:dyDescent="0.25">
      <c r="A345" s="223"/>
      <c r="B345" s="224" t="s">
        <v>30</v>
      </c>
      <c r="C345" s="225" t="s">
        <v>1090</v>
      </c>
      <c r="D345" s="226"/>
      <c r="E345" s="44"/>
      <c r="F345" s="227"/>
      <c r="G345" s="227"/>
      <c r="H345" s="228" t="s">
        <v>235</v>
      </c>
      <c r="I345" s="229">
        <v>2</v>
      </c>
      <c r="J345" s="60">
        <f t="shared" ref="J345:J351" si="52">J332</f>
        <v>263600</v>
      </c>
      <c r="K345" s="230">
        <f t="shared" ref="K345:K351" si="53">I345*J345</f>
        <v>527200</v>
      </c>
    </row>
    <row r="346" spans="1:11" ht="13.2" customHeight="1" x14ac:dyDescent="0.25">
      <c r="A346" s="223"/>
      <c r="B346" s="224" t="s">
        <v>57</v>
      </c>
      <c r="C346" s="225" t="s">
        <v>1100</v>
      </c>
      <c r="D346" s="226"/>
      <c r="E346" s="44"/>
      <c r="F346" s="227"/>
      <c r="G346" s="227"/>
      <c r="H346" s="228" t="s">
        <v>203</v>
      </c>
      <c r="I346" s="284">
        <v>1</v>
      </c>
      <c r="J346" s="60">
        <f>'Harga Satuan Dasar mat'!G55</f>
        <v>177000</v>
      </c>
      <c r="K346" s="230">
        <f t="shared" si="53"/>
        <v>177000</v>
      </c>
    </row>
    <row r="347" spans="1:11" ht="13.2" customHeight="1" x14ac:dyDescent="0.25">
      <c r="A347" s="223"/>
      <c r="B347" s="224" t="s">
        <v>83</v>
      </c>
      <c r="C347" s="225" t="s">
        <v>1101</v>
      </c>
      <c r="D347" s="226"/>
      <c r="E347" s="44"/>
      <c r="F347" s="227"/>
      <c r="G347" s="227"/>
      <c r="H347" s="228" t="s">
        <v>203</v>
      </c>
      <c r="I347" s="284">
        <v>1</v>
      </c>
      <c r="J347" s="60">
        <f>'Harga Satuan Dasar mat'!G106</f>
        <v>238000</v>
      </c>
      <c r="K347" s="230">
        <f t="shared" si="53"/>
        <v>238000</v>
      </c>
    </row>
    <row r="348" spans="1:11" ht="13.2" customHeight="1" x14ac:dyDescent="0.25">
      <c r="A348" s="223"/>
      <c r="B348" s="224" t="s">
        <v>110</v>
      </c>
      <c r="C348" s="225" t="s">
        <v>1102</v>
      </c>
      <c r="D348" s="226"/>
      <c r="E348" s="44"/>
      <c r="F348" s="227"/>
      <c r="G348" s="227"/>
      <c r="H348" s="228" t="s">
        <v>203</v>
      </c>
      <c r="I348" s="284">
        <v>1</v>
      </c>
      <c r="J348" s="60">
        <f>'Harga Satuan Dasar mat'!G108</f>
        <v>257000</v>
      </c>
      <c r="K348" s="230">
        <f t="shared" si="53"/>
        <v>257000</v>
      </c>
    </row>
    <row r="349" spans="1:11" ht="13.2" customHeight="1" x14ac:dyDescent="0.25">
      <c r="A349" s="223"/>
      <c r="B349" s="224" t="s">
        <v>137</v>
      </c>
      <c r="C349" s="225" t="s">
        <v>1091</v>
      </c>
      <c r="D349" s="226"/>
      <c r="E349" s="44"/>
      <c r="F349" s="227"/>
      <c r="G349" s="227"/>
      <c r="H349" s="228" t="s">
        <v>235</v>
      </c>
      <c r="I349" s="229">
        <v>4</v>
      </c>
      <c r="J349" s="60">
        <f t="shared" si="52"/>
        <v>279750</v>
      </c>
      <c r="K349" s="230">
        <f t="shared" si="53"/>
        <v>1119000</v>
      </c>
    </row>
    <row r="350" spans="1:11" ht="13.2" customHeight="1" x14ac:dyDescent="0.25">
      <c r="A350" s="223"/>
      <c r="B350" s="224" t="s">
        <v>156</v>
      </c>
      <c r="C350" s="225" t="s">
        <v>1004</v>
      </c>
      <c r="D350" s="226"/>
      <c r="E350" s="44"/>
      <c r="F350" s="227"/>
      <c r="G350" s="227"/>
      <c r="H350" s="228" t="s">
        <v>203</v>
      </c>
      <c r="I350" s="284">
        <v>2</v>
      </c>
      <c r="J350" s="60">
        <f t="shared" si="52"/>
        <v>70000</v>
      </c>
      <c r="K350" s="230">
        <f t="shared" si="53"/>
        <v>140000</v>
      </c>
    </row>
    <row r="351" spans="1:11" ht="13.2" customHeight="1" x14ac:dyDescent="0.25">
      <c r="A351" s="223"/>
      <c r="B351" s="224" t="s">
        <v>175</v>
      </c>
      <c r="C351" s="225" t="s">
        <v>979</v>
      </c>
      <c r="D351" s="226"/>
      <c r="E351" s="44"/>
      <c r="F351" s="227"/>
      <c r="G351" s="227"/>
      <c r="H351" s="228" t="s">
        <v>203</v>
      </c>
      <c r="I351" s="229">
        <v>16</v>
      </c>
      <c r="J351" s="60">
        <f t="shared" si="52"/>
        <v>14000</v>
      </c>
      <c r="K351" s="230">
        <f t="shared" si="53"/>
        <v>224000</v>
      </c>
    </row>
    <row r="352" spans="1:11" ht="12.9" customHeight="1" x14ac:dyDescent="0.25">
      <c r="A352" s="58"/>
      <c r="B352" s="231"/>
      <c r="C352" s="232"/>
      <c r="D352" s="232"/>
      <c r="E352" s="232"/>
      <c r="F352" s="232"/>
      <c r="G352" s="233"/>
      <c r="H352" s="234" t="s">
        <v>715</v>
      </c>
      <c r="I352" s="235"/>
      <c r="J352" s="235"/>
      <c r="K352" s="236">
        <f>SUM(K344:K351)</f>
        <v>3882200</v>
      </c>
    </row>
    <row r="353" spans="1:11" ht="12.9" customHeight="1" x14ac:dyDescent="0.25">
      <c r="A353" s="58"/>
      <c r="B353" s="59"/>
      <c r="C353" s="56"/>
      <c r="D353" s="56"/>
      <c r="E353" s="56"/>
      <c r="F353" s="56"/>
      <c r="G353" s="237"/>
      <c r="H353" s="238" t="s">
        <v>603</v>
      </c>
      <c r="I353" s="239">
        <f>$K$3</f>
        <v>0.15</v>
      </c>
      <c r="J353" s="240"/>
      <c r="K353" s="241">
        <f>I353*K352</f>
        <v>582330</v>
      </c>
    </row>
    <row r="354" spans="1:11" ht="12.9" customHeight="1" x14ac:dyDescent="0.25">
      <c r="A354" s="58"/>
      <c r="B354" s="59"/>
      <c r="C354" s="56"/>
      <c r="D354" s="56"/>
      <c r="E354" s="56"/>
      <c r="F354" s="56"/>
      <c r="G354" s="237"/>
      <c r="H354" s="238" t="s">
        <v>604</v>
      </c>
      <c r="I354" s="226"/>
      <c r="J354" s="226"/>
      <c r="K354" s="241">
        <f>SUM(K352:K353)</f>
        <v>4464530</v>
      </c>
    </row>
    <row r="355" spans="1:11" ht="12.9" customHeight="1" thickBot="1" x14ac:dyDescent="0.3">
      <c r="A355" s="242"/>
      <c r="B355" s="243"/>
      <c r="C355" s="244"/>
      <c r="D355" s="244"/>
      <c r="E355" s="244"/>
      <c r="F355" s="244"/>
      <c r="G355" s="245"/>
      <c r="H355" s="246" t="s">
        <v>605</v>
      </c>
      <c r="I355" s="247"/>
      <c r="J355" s="247"/>
      <c r="K355" s="248">
        <f>ROUND(K354,-1)</f>
        <v>4464530</v>
      </c>
    </row>
    <row r="356" spans="1:11" ht="14.1" customHeight="1" x14ac:dyDescent="0.25">
      <c r="A356" s="215">
        <v>32</v>
      </c>
      <c r="B356" s="651" t="s">
        <v>713</v>
      </c>
      <c r="C356" s="652"/>
      <c r="D356" s="216" t="s">
        <v>1111</v>
      </c>
      <c r="E356" s="217"/>
      <c r="F356" s="218"/>
      <c r="G356" s="218"/>
      <c r="H356" s="219"/>
      <c r="I356" s="220"/>
      <c r="J356" s="221"/>
      <c r="K356" s="222"/>
    </row>
    <row r="357" spans="1:11" ht="13.2" customHeight="1" x14ac:dyDescent="0.25">
      <c r="A357" s="223"/>
      <c r="B357" s="224" t="s">
        <v>4</v>
      </c>
      <c r="C357" s="225" t="s">
        <v>889</v>
      </c>
      <c r="D357" s="226"/>
      <c r="E357" s="44"/>
      <c r="F357" s="227"/>
      <c r="G357" s="227"/>
      <c r="H357" s="228" t="s">
        <v>235</v>
      </c>
      <c r="I357" s="283">
        <v>2</v>
      </c>
      <c r="J357" s="60">
        <f>J344</f>
        <v>600000</v>
      </c>
      <c r="K357" s="230">
        <f>I357*J357</f>
        <v>1200000</v>
      </c>
    </row>
    <row r="358" spans="1:11" ht="13.2" customHeight="1" x14ac:dyDescent="0.25">
      <c r="A358" s="223"/>
      <c r="B358" s="224" t="s">
        <v>30</v>
      </c>
      <c r="C358" s="225" t="s">
        <v>1090</v>
      </c>
      <c r="D358" s="226"/>
      <c r="E358" s="44"/>
      <c r="F358" s="227"/>
      <c r="G358" s="227"/>
      <c r="H358" s="228" t="s">
        <v>235</v>
      </c>
      <c r="I358" s="229">
        <v>2</v>
      </c>
      <c r="J358" s="60">
        <f t="shared" ref="J358:J364" si="54">J345</f>
        <v>263600</v>
      </c>
      <c r="K358" s="230">
        <f t="shared" ref="K358:K364" si="55">I358*J358</f>
        <v>527200</v>
      </c>
    </row>
    <row r="359" spans="1:11" ht="13.2" customHeight="1" x14ac:dyDescent="0.25">
      <c r="A359" s="223"/>
      <c r="B359" s="224" t="s">
        <v>57</v>
      </c>
      <c r="C359" s="225" t="s">
        <v>1095</v>
      </c>
      <c r="D359" s="226"/>
      <c r="E359" s="44"/>
      <c r="F359" s="227"/>
      <c r="G359" s="227"/>
      <c r="H359" s="228" t="s">
        <v>203</v>
      </c>
      <c r="I359" s="284">
        <v>1</v>
      </c>
      <c r="J359" s="60">
        <f>'Harga Satuan Dasar mat'!G56</f>
        <v>185000</v>
      </c>
      <c r="K359" s="230">
        <f t="shared" si="55"/>
        <v>185000</v>
      </c>
    </row>
    <row r="360" spans="1:11" ht="13.2" customHeight="1" x14ac:dyDescent="0.25">
      <c r="A360" s="223"/>
      <c r="B360" s="224" t="s">
        <v>83</v>
      </c>
      <c r="C360" s="225" t="s">
        <v>1102</v>
      </c>
      <c r="D360" s="226"/>
      <c r="E360" s="44"/>
      <c r="F360" s="227"/>
      <c r="G360" s="227"/>
      <c r="H360" s="228" t="s">
        <v>203</v>
      </c>
      <c r="I360" s="284">
        <v>1</v>
      </c>
      <c r="J360" s="60">
        <f>'Harga Satuan Dasar mat'!G108</f>
        <v>257000</v>
      </c>
      <c r="K360" s="230">
        <f t="shared" si="55"/>
        <v>257000</v>
      </c>
    </row>
    <row r="361" spans="1:11" ht="13.2" customHeight="1" x14ac:dyDescent="0.25">
      <c r="A361" s="223"/>
      <c r="B361" s="224" t="s">
        <v>110</v>
      </c>
      <c r="C361" s="225" t="s">
        <v>1102</v>
      </c>
      <c r="D361" s="226"/>
      <c r="E361" s="44"/>
      <c r="F361" s="227"/>
      <c r="G361" s="227"/>
      <c r="H361" s="228" t="s">
        <v>203</v>
      </c>
      <c r="I361" s="284">
        <v>1</v>
      </c>
      <c r="J361" s="60">
        <f>J360</f>
        <v>257000</v>
      </c>
      <c r="K361" s="230">
        <f t="shared" si="55"/>
        <v>257000</v>
      </c>
    </row>
    <row r="362" spans="1:11" ht="13.2" customHeight="1" x14ac:dyDescent="0.25">
      <c r="A362" s="223"/>
      <c r="B362" s="224" t="s">
        <v>137</v>
      </c>
      <c r="C362" s="225" t="s">
        <v>1091</v>
      </c>
      <c r="D362" s="226"/>
      <c r="E362" s="44"/>
      <c r="F362" s="227"/>
      <c r="G362" s="227"/>
      <c r="H362" s="228" t="s">
        <v>235</v>
      </c>
      <c r="I362" s="229">
        <v>4</v>
      </c>
      <c r="J362" s="60">
        <f t="shared" si="54"/>
        <v>279750</v>
      </c>
      <c r="K362" s="230">
        <f t="shared" si="55"/>
        <v>1119000</v>
      </c>
    </row>
    <row r="363" spans="1:11" ht="13.2" customHeight="1" x14ac:dyDescent="0.25">
      <c r="A363" s="223"/>
      <c r="B363" s="224" t="s">
        <v>156</v>
      </c>
      <c r="C363" s="225" t="s">
        <v>1004</v>
      </c>
      <c r="D363" s="226"/>
      <c r="E363" s="44"/>
      <c r="F363" s="227"/>
      <c r="G363" s="227"/>
      <c r="H363" s="228" t="s">
        <v>203</v>
      </c>
      <c r="I363" s="284">
        <v>2</v>
      </c>
      <c r="J363" s="60">
        <f t="shared" si="54"/>
        <v>70000</v>
      </c>
      <c r="K363" s="230">
        <f t="shared" si="55"/>
        <v>140000</v>
      </c>
    </row>
    <row r="364" spans="1:11" ht="13.2" customHeight="1" x14ac:dyDescent="0.25">
      <c r="A364" s="223"/>
      <c r="B364" s="224" t="s">
        <v>175</v>
      </c>
      <c r="C364" s="225" t="s">
        <v>979</v>
      </c>
      <c r="D364" s="226"/>
      <c r="E364" s="44"/>
      <c r="F364" s="227"/>
      <c r="G364" s="227"/>
      <c r="H364" s="228" t="s">
        <v>203</v>
      </c>
      <c r="I364" s="229">
        <v>16</v>
      </c>
      <c r="J364" s="60">
        <f t="shared" si="54"/>
        <v>14000</v>
      </c>
      <c r="K364" s="230">
        <f t="shared" si="55"/>
        <v>224000</v>
      </c>
    </row>
    <row r="365" spans="1:11" ht="12.9" customHeight="1" x14ac:dyDescent="0.25">
      <c r="A365" s="58"/>
      <c r="B365" s="231"/>
      <c r="C365" s="232"/>
      <c r="D365" s="232"/>
      <c r="E365" s="232"/>
      <c r="F365" s="232"/>
      <c r="G365" s="233"/>
      <c r="H365" s="234" t="s">
        <v>715</v>
      </c>
      <c r="I365" s="235"/>
      <c r="J365" s="235"/>
      <c r="K365" s="236">
        <f>SUM(K357:K364)</f>
        <v>3909200</v>
      </c>
    </row>
    <row r="366" spans="1:11" ht="12.9" customHeight="1" x14ac:dyDescent="0.25">
      <c r="A366" s="58"/>
      <c r="B366" s="59"/>
      <c r="C366" s="56"/>
      <c r="D366" s="56"/>
      <c r="E366" s="56"/>
      <c r="F366" s="56"/>
      <c r="G366" s="237"/>
      <c r="H366" s="238" t="s">
        <v>603</v>
      </c>
      <c r="I366" s="239">
        <f>$K$3</f>
        <v>0.15</v>
      </c>
      <c r="J366" s="240"/>
      <c r="K366" s="241">
        <f>I366*K365</f>
        <v>586380</v>
      </c>
    </row>
    <row r="367" spans="1:11" ht="12.9" customHeight="1" x14ac:dyDescent="0.25">
      <c r="A367" s="58"/>
      <c r="B367" s="59"/>
      <c r="C367" s="56"/>
      <c r="D367" s="56"/>
      <c r="E367" s="56"/>
      <c r="F367" s="56"/>
      <c r="G367" s="237"/>
      <c r="H367" s="238" t="s">
        <v>604</v>
      </c>
      <c r="I367" s="226"/>
      <c r="J367" s="226"/>
      <c r="K367" s="241">
        <f>SUM(K365:K366)</f>
        <v>4495580</v>
      </c>
    </row>
    <row r="368" spans="1:11" ht="12.9" customHeight="1" thickBot="1" x14ac:dyDescent="0.3">
      <c r="A368" s="242"/>
      <c r="B368" s="243"/>
      <c r="C368" s="244"/>
      <c r="D368" s="244"/>
      <c r="E368" s="244"/>
      <c r="F368" s="244"/>
      <c r="G368" s="245"/>
      <c r="H368" s="246" t="s">
        <v>605</v>
      </c>
      <c r="I368" s="247"/>
      <c r="J368" s="247"/>
      <c r="K368" s="248">
        <f>ROUND(K367,-1)</f>
        <v>4495580</v>
      </c>
    </row>
    <row r="369" spans="1:11" ht="14.1" customHeight="1" x14ac:dyDescent="0.25">
      <c r="A369" s="215">
        <v>33</v>
      </c>
      <c r="B369" s="651" t="s">
        <v>713</v>
      </c>
      <c r="C369" s="652"/>
      <c r="D369" s="216" t="s">
        <v>1110</v>
      </c>
      <c r="E369" s="217"/>
      <c r="F369" s="218"/>
      <c r="G369" s="218"/>
      <c r="H369" s="219"/>
      <c r="I369" s="220"/>
      <c r="J369" s="221"/>
      <c r="K369" s="222"/>
    </row>
    <row r="370" spans="1:11" ht="13.2" customHeight="1" x14ac:dyDescent="0.25">
      <c r="A370" s="223"/>
      <c r="B370" s="224" t="s">
        <v>4</v>
      </c>
      <c r="C370" s="225" t="s">
        <v>889</v>
      </c>
      <c r="D370" s="226"/>
      <c r="E370" s="44"/>
      <c r="F370" s="227"/>
      <c r="G370" s="227"/>
      <c r="H370" s="228" t="s">
        <v>235</v>
      </c>
      <c r="I370" s="283">
        <v>2</v>
      </c>
      <c r="J370" s="60">
        <f>J357</f>
        <v>600000</v>
      </c>
      <c r="K370" s="230">
        <f>I370*J370</f>
        <v>1200000</v>
      </c>
    </row>
    <row r="371" spans="1:11" ht="13.2" customHeight="1" x14ac:dyDescent="0.25">
      <c r="A371" s="223"/>
      <c r="B371" s="224" t="s">
        <v>30</v>
      </c>
      <c r="C371" s="225" t="s">
        <v>1090</v>
      </c>
      <c r="D371" s="226"/>
      <c r="E371" s="44"/>
      <c r="F371" s="227"/>
      <c r="G371" s="227"/>
      <c r="H371" s="228" t="s">
        <v>235</v>
      </c>
      <c r="I371" s="229">
        <v>2</v>
      </c>
      <c r="J371" s="60">
        <f t="shared" ref="J371:J377" si="56">J358</f>
        <v>263600</v>
      </c>
      <c r="K371" s="230">
        <f t="shared" ref="K371:K377" si="57">I371*J371</f>
        <v>527200</v>
      </c>
    </row>
    <row r="372" spans="1:11" ht="13.2" customHeight="1" x14ac:dyDescent="0.25">
      <c r="A372" s="223"/>
      <c r="B372" s="224" t="s">
        <v>57</v>
      </c>
      <c r="C372" s="225" t="s">
        <v>1092</v>
      </c>
      <c r="D372" s="226"/>
      <c r="E372" s="44"/>
      <c r="F372" s="227"/>
      <c r="G372" s="227"/>
      <c r="H372" s="228" t="s">
        <v>203</v>
      </c>
      <c r="I372" s="284">
        <v>1</v>
      </c>
      <c r="J372" s="60">
        <f>'Harga Satuan Dasar mat'!G52</f>
        <v>157500</v>
      </c>
      <c r="K372" s="230">
        <f t="shared" si="57"/>
        <v>157500</v>
      </c>
    </row>
    <row r="373" spans="1:11" ht="13.2" customHeight="1" x14ac:dyDescent="0.25">
      <c r="A373" s="223"/>
      <c r="B373" s="224" t="s">
        <v>83</v>
      </c>
      <c r="C373" s="225" t="s">
        <v>1108</v>
      </c>
      <c r="D373" s="226"/>
      <c r="E373" s="44"/>
      <c r="F373" s="227"/>
      <c r="G373" s="227"/>
      <c r="H373" s="228" t="s">
        <v>203</v>
      </c>
      <c r="I373" s="284">
        <v>1</v>
      </c>
      <c r="J373" s="60">
        <f>'Harga Satuan Dasar mat'!G104</f>
        <v>221500</v>
      </c>
      <c r="K373" s="230">
        <f t="shared" si="57"/>
        <v>221500</v>
      </c>
    </row>
    <row r="374" spans="1:11" ht="13.2" customHeight="1" x14ac:dyDescent="0.25">
      <c r="A374" s="223"/>
      <c r="B374" s="224" t="s">
        <v>110</v>
      </c>
      <c r="C374" s="225" t="s">
        <v>1108</v>
      </c>
      <c r="D374" s="226"/>
      <c r="E374" s="44"/>
      <c r="F374" s="227"/>
      <c r="G374" s="227"/>
      <c r="H374" s="228" t="s">
        <v>203</v>
      </c>
      <c r="I374" s="284">
        <v>1</v>
      </c>
      <c r="J374" s="60">
        <f>J373</f>
        <v>221500</v>
      </c>
      <c r="K374" s="230">
        <f t="shared" si="57"/>
        <v>221500</v>
      </c>
    </row>
    <row r="375" spans="1:11" ht="13.2" customHeight="1" x14ac:dyDescent="0.25">
      <c r="A375" s="223"/>
      <c r="B375" s="224" t="s">
        <v>137</v>
      </c>
      <c r="C375" s="225" t="s">
        <v>1091</v>
      </c>
      <c r="D375" s="226"/>
      <c r="E375" s="44"/>
      <c r="F375" s="227"/>
      <c r="G375" s="227"/>
      <c r="H375" s="228" t="s">
        <v>235</v>
      </c>
      <c r="I375" s="229">
        <v>4</v>
      </c>
      <c r="J375" s="60">
        <f t="shared" si="56"/>
        <v>279750</v>
      </c>
      <c r="K375" s="230">
        <f t="shared" si="57"/>
        <v>1119000</v>
      </c>
    </row>
    <row r="376" spans="1:11" ht="13.2" customHeight="1" x14ac:dyDescent="0.25">
      <c r="A376" s="223"/>
      <c r="B376" s="224" t="s">
        <v>156</v>
      </c>
      <c r="C376" s="225" t="s">
        <v>1004</v>
      </c>
      <c r="D376" s="226"/>
      <c r="E376" s="44"/>
      <c r="F376" s="227"/>
      <c r="G376" s="227"/>
      <c r="H376" s="228" t="s">
        <v>203</v>
      </c>
      <c r="I376" s="284">
        <v>2</v>
      </c>
      <c r="J376" s="60">
        <f t="shared" si="56"/>
        <v>70000</v>
      </c>
      <c r="K376" s="230">
        <f t="shared" si="57"/>
        <v>140000</v>
      </c>
    </row>
    <row r="377" spans="1:11" ht="13.2" customHeight="1" x14ac:dyDescent="0.25">
      <c r="A377" s="223"/>
      <c r="B377" s="224" t="s">
        <v>175</v>
      </c>
      <c r="C377" s="225" t="s">
        <v>979</v>
      </c>
      <c r="D377" s="226"/>
      <c r="E377" s="44"/>
      <c r="F377" s="227"/>
      <c r="G377" s="227"/>
      <c r="H377" s="228" t="s">
        <v>203</v>
      </c>
      <c r="I377" s="229">
        <v>16</v>
      </c>
      <c r="J377" s="60">
        <f t="shared" si="56"/>
        <v>14000</v>
      </c>
      <c r="K377" s="230">
        <f t="shared" si="57"/>
        <v>224000</v>
      </c>
    </row>
    <row r="378" spans="1:11" ht="12.9" customHeight="1" x14ac:dyDescent="0.25">
      <c r="A378" s="58"/>
      <c r="B378" s="231"/>
      <c r="C378" s="232"/>
      <c r="D378" s="232"/>
      <c r="E378" s="232"/>
      <c r="F378" s="232"/>
      <c r="G378" s="233"/>
      <c r="H378" s="234" t="s">
        <v>715</v>
      </c>
      <c r="I378" s="235"/>
      <c r="J378" s="235"/>
      <c r="K378" s="236">
        <f>SUM(K370:K377)</f>
        <v>3810700</v>
      </c>
    </row>
    <row r="379" spans="1:11" ht="12.9" customHeight="1" x14ac:dyDescent="0.25">
      <c r="A379" s="58"/>
      <c r="B379" s="59"/>
      <c r="C379" s="56"/>
      <c r="D379" s="56"/>
      <c r="E379" s="56"/>
      <c r="F379" s="56"/>
      <c r="G379" s="237"/>
      <c r="H379" s="238" t="s">
        <v>603</v>
      </c>
      <c r="I379" s="239">
        <f>$K$3</f>
        <v>0.15</v>
      </c>
      <c r="J379" s="240"/>
      <c r="K379" s="241">
        <f>I379*K378</f>
        <v>571605</v>
      </c>
    </row>
    <row r="380" spans="1:11" ht="12.9" customHeight="1" x14ac:dyDescent="0.25">
      <c r="A380" s="58"/>
      <c r="B380" s="59"/>
      <c r="C380" s="56"/>
      <c r="D380" s="56"/>
      <c r="E380" s="56"/>
      <c r="F380" s="56"/>
      <c r="G380" s="237"/>
      <c r="H380" s="238" t="s">
        <v>604</v>
      </c>
      <c r="I380" s="226"/>
      <c r="J380" s="226"/>
      <c r="K380" s="241">
        <f>SUM(K378:K379)</f>
        <v>4382305</v>
      </c>
    </row>
    <row r="381" spans="1:11" ht="12.9" customHeight="1" thickBot="1" x14ac:dyDescent="0.3">
      <c r="A381" s="242"/>
      <c r="B381" s="243"/>
      <c r="C381" s="244"/>
      <c r="D381" s="244"/>
      <c r="E381" s="244"/>
      <c r="F381" s="244"/>
      <c r="G381" s="245"/>
      <c r="H381" s="246" t="s">
        <v>605</v>
      </c>
      <c r="I381" s="247"/>
      <c r="J381" s="247"/>
      <c r="K381" s="248">
        <f>ROUND(K380,-1)</f>
        <v>4382310</v>
      </c>
    </row>
    <row r="382" spans="1:11" ht="14.1" customHeight="1" x14ac:dyDescent="0.25">
      <c r="A382" s="215">
        <v>34</v>
      </c>
      <c r="B382" s="651" t="s">
        <v>713</v>
      </c>
      <c r="C382" s="652"/>
      <c r="D382" s="216" t="s">
        <v>1109</v>
      </c>
      <c r="E382" s="217"/>
      <c r="F382" s="218"/>
      <c r="G382" s="218"/>
      <c r="H382" s="219"/>
      <c r="I382" s="220"/>
      <c r="J382" s="221"/>
      <c r="K382" s="222"/>
    </row>
    <row r="383" spans="1:11" ht="13.2" customHeight="1" x14ac:dyDescent="0.25">
      <c r="A383" s="223"/>
      <c r="B383" s="224" t="s">
        <v>4</v>
      </c>
      <c r="C383" s="225" t="s">
        <v>889</v>
      </c>
      <c r="D383" s="226"/>
      <c r="E383" s="44"/>
      <c r="F383" s="227"/>
      <c r="G383" s="227"/>
      <c r="H383" s="228" t="s">
        <v>235</v>
      </c>
      <c r="I383" s="283">
        <v>2</v>
      </c>
      <c r="J383" s="60">
        <f>J370</f>
        <v>600000</v>
      </c>
      <c r="K383" s="230">
        <f>I383*J383</f>
        <v>1200000</v>
      </c>
    </row>
    <row r="384" spans="1:11" ht="13.2" customHeight="1" x14ac:dyDescent="0.25">
      <c r="A384" s="223"/>
      <c r="B384" s="224" t="s">
        <v>30</v>
      </c>
      <c r="C384" s="225" t="s">
        <v>1090</v>
      </c>
      <c r="D384" s="226"/>
      <c r="E384" s="44"/>
      <c r="F384" s="227"/>
      <c r="G384" s="227"/>
      <c r="H384" s="228" t="s">
        <v>235</v>
      </c>
      <c r="I384" s="229">
        <v>2</v>
      </c>
      <c r="J384" s="60">
        <f t="shared" ref="J384:J390" si="58">J371</f>
        <v>263600</v>
      </c>
      <c r="K384" s="230">
        <f t="shared" ref="K384:K386" si="59">I384*J384</f>
        <v>527200</v>
      </c>
    </row>
    <row r="385" spans="1:11" ht="13.2" customHeight="1" x14ac:dyDescent="0.25">
      <c r="A385" s="223"/>
      <c r="B385" s="224" t="s">
        <v>57</v>
      </c>
      <c r="C385" s="225" t="s">
        <v>1098</v>
      </c>
      <c r="D385" s="226"/>
      <c r="E385" s="44"/>
      <c r="F385" s="227"/>
      <c r="G385" s="227"/>
      <c r="H385" s="228" t="s">
        <v>203</v>
      </c>
      <c r="I385" s="284">
        <v>1</v>
      </c>
      <c r="J385" s="60">
        <f>'Harga Satuan Dasar mat'!G50</f>
        <v>143000</v>
      </c>
      <c r="K385" s="230">
        <f t="shared" si="59"/>
        <v>143000</v>
      </c>
    </row>
    <row r="386" spans="1:11" ht="13.2" customHeight="1" x14ac:dyDescent="0.25">
      <c r="A386" s="223"/>
      <c r="B386" s="224" t="s">
        <v>83</v>
      </c>
      <c r="C386" s="225" t="s">
        <v>1112</v>
      </c>
      <c r="D386" s="226"/>
      <c r="E386" s="44"/>
      <c r="F386" s="227"/>
      <c r="G386" s="227"/>
      <c r="H386" s="228" t="s">
        <v>203</v>
      </c>
      <c r="I386" s="284">
        <v>1</v>
      </c>
      <c r="J386" s="60">
        <f>'Harga Satuan Dasar mat'!G102</f>
        <v>203000</v>
      </c>
      <c r="K386" s="230">
        <f t="shared" si="59"/>
        <v>203000</v>
      </c>
    </row>
    <row r="387" spans="1:11" ht="13.2" customHeight="1" x14ac:dyDescent="0.25">
      <c r="A387" s="223"/>
      <c r="B387" s="224" t="s">
        <v>110</v>
      </c>
      <c r="C387" s="225" t="s">
        <v>1112</v>
      </c>
      <c r="D387" s="226"/>
      <c r="E387" s="44"/>
      <c r="F387" s="227"/>
      <c r="G387" s="227"/>
      <c r="H387" s="228" t="s">
        <v>203</v>
      </c>
      <c r="I387" s="284">
        <v>1</v>
      </c>
      <c r="J387" s="60">
        <f>J386</f>
        <v>203000</v>
      </c>
      <c r="K387" s="230">
        <f>I387*J387</f>
        <v>203000</v>
      </c>
    </row>
    <row r="388" spans="1:11" ht="13.2" customHeight="1" x14ac:dyDescent="0.25">
      <c r="A388" s="223"/>
      <c r="B388" s="224" t="s">
        <v>137</v>
      </c>
      <c r="C388" s="225" t="s">
        <v>1091</v>
      </c>
      <c r="D388" s="226"/>
      <c r="E388" s="44"/>
      <c r="F388" s="227"/>
      <c r="G388" s="227"/>
      <c r="H388" s="228" t="s">
        <v>235</v>
      </c>
      <c r="I388" s="229">
        <v>4</v>
      </c>
      <c r="J388" s="60">
        <f t="shared" si="58"/>
        <v>279750</v>
      </c>
      <c r="K388" s="230">
        <f t="shared" ref="K388:K389" si="60">I388*J388</f>
        <v>1119000</v>
      </c>
    </row>
    <row r="389" spans="1:11" ht="13.2" customHeight="1" x14ac:dyDescent="0.25">
      <c r="A389" s="223"/>
      <c r="B389" s="224" t="s">
        <v>156</v>
      </c>
      <c r="C389" s="225" t="s">
        <v>1004</v>
      </c>
      <c r="D389" s="226"/>
      <c r="E389" s="44"/>
      <c r="F389" s="227"/>
      <c r="G389" s="227"/>
      <c r="H389" s="228" t="s">
        <v>203</v>
      </c>
      <c r="I389" s="284">
        <v>2</v>
      </c>
      <c r="J389" s="60">
        <f t="shared" si="58"/>
        <v>70000</v>
      </c>
      <c r="K389" s="230">
        <f t="shared" si="60"/>
        <v>140000</v>
      </c>
    </row>
    <row r="390" spans="1:11" ht="13.2" customHeight="1" x14ac:dyDescent="0.25">
      <c r="A390" s="223"/>
      <c r="B390" s="224" t="s">
        <v>175</v>
      </c>
      <c r="C390" s="225" t="s">
        <v>979</v>
      </c>
      <c r="D390" s="226"/>
      <c r="E390" s="44"/>
      <c r="F390" s="227"/>
      <c r="G390" s="227"/>
      <c r="H390" s="228" t="s">
        <v>203</v>
      </c>
      <c r="I390" s="229">
        <v>16</v>
      </c>
      <c r="J390" s="60">
        <f t="shared" si="58"/>
        <v>14000</v>
      </c>
      <c r="K390" s="230">
        <f>I390*J390</f>
        <v>224000</v>
      </c>
    </row>
    <row r="391" spans="1:11" ht="12.9" customHeight="1" x14ac:dyDescent="0.25">
      <c r="A391" s="58"/>
      <c r="B391" s="231"/>
      <c r="C391" s="232"/>
      <c r="D391" s="232"/>
      <c r="E391" s="232"/>
      <c r="F391" s="232"/>
      <c r="G391" s="233"/>
      <c r="H391" s="234" t="s">
        <v>715</v>
      </c>
      <c r="I391" s="235"/>
      <c r="J391" s="235"/>
      <c r="K391" s="236">
        <f>SUM(K383:K390)</f>
        <v>3759200</v>
      </c>
    </row>
    <row r="392" spans="1:11" ht="12.9" customHeight="1" x14ac:dyDescent="0.25">
      <c r="A392" s="58"/>
      <c r="B392" s="59"/>
      <c r="C392" s="56"/>
      <c r="D392" s="56"/>
      <c r="E392" s="56"/>
      <c r="F392" s="56"/>
      <c r="G392" s="237"/>
      <c r="H392" s="238" t="s">
        <v>603</v>
      </c>
      <c r="I392" s="239">
        <f>$K$3</f>
        <v>0.15</v>
      </c>
      <c r="J392" s="240"/>
      <c r="K392" s="241">
        <f>I392*K391</f>
        <v>563880</v>
      </c>
    </row>
    <row r="393" spans="1:11" ht="12.9" customHeight="1" x14ac:dyDescent="0.25">
      <c r="A393" s="58"/>
      <c r="B393" s="59"/>
      <c r="C393" s="56"/>
      <c r="D393" s="56"/>
      <c r="E393" s="56"/>
      <c r="F393" s="56"/>
      <c r="G393" s="237"/>
      <c r="H393" s="238" t="s">
        <v>604</v>
      </c>
      <c r="I393" s="226"/>
      <c r="J393" s="226"/>
      <c r="K393" s="241">
        <f>SUM(K391:K392)</f>
        <v>4323080</v>
      </c>
    </row>
    <row r="394" spans="1:11" ht="12.9" customHeight="1" thickBot="1" x14ac:dyDescent="0.3">
      <c r="A394" s="242"/>
      <c r="B394" s="243"/>
      <c r="C394" s="244"/>
      <c r="D394" s="244"/>
      <c r="E394" s="244"/>
      <c r="F394" s="244"/>
      <c r="G394" s="245"/>
      <c r="H394" s="246" t="s">
        <v>605</v>
      </c>
      <c r="I394" s="247"/>
      <c r="J394" s="247"/>
      <c r="K394" s="248">
        <f>ROUND(K393,-1)</f>
        <v>4323080</v>
      </c>
    </row>
    <row r="395" spans="1:11" ht="14.1" customHeight="1" x14ac:dyDescent="0.25">
      <c r="A395" s="215">
        <v>35</v>
      </c>
      <c r="B395" s="651" t="s">
        <v>713</v>
      </c>
      <c r="C395" s="652"/>
      <c r="D395" s="216" t="s">
        <v>941</v>
      </c>
      <c r="E395" s="217"/>
      <c r="F395" s="218"/>
      <c r="G395" s="218"/>
      <c r="H395" s="219"/>
      <c r="I395" s="220"/>
      <c r="J395" s="221"/>
      <c r="K395" s="222"/>
    </row>
    <row r="396" spans="1:11" ht="13.2" customHeight="1" x14ac:dyDescent="0.25">
      <c r="A396" s="223"/>
      <c r="B396" s="224" t="s">
        <v>4</v>
      </c>
      <c r="C396" s="225" t="s">
        <v>837</v>
      </c>
      <c r="D396" s="226"/>
      <c r="E396" s="44"/>
      <c r="F396" s="227"/>
      <c r="G396" s="227"/>
      <c r="H396" s="228" t="s">
        <v>235</v>
      </c>
      <c r="I396" s="263">
        <v>2</v>
      </c>
      <c r="J396" s="60">
        <f>'Harga Satuan Dasar mat'!G145</f>
        <v>1000000</v>
      </c>
      <c r="K396" s="230">
        <f>I396*J396</f>
        <v>2000000</v>
      </c>
    </row>
    <row r="397" spans="1:11" ht="13.2" customHeight="1" x14ac:dyDescent="0.25">
      <c r="A397" s="223"/>
      <c r="B397" s="224" t="s">
        <v>30</v>
      </c>
      <c r="C397" s="225" t="s">
        <v>889</v>
      </c>
      <c r="D397" s="226"/>
      <c r="E397" s="44"/>
      <c r="F397" s="227"/>
      <c r="G397" s="227"/>
      <c r="H397" s="228" t="s">
        <v>235</v>
      </c>
      <c r="I397" s="253">
        <v>2</v>
      </c>
      <c r="J397" s="60">
        <f>'Harga Satuan Dasar mat'!G149</f>
        <v>600000</v>
      </c>
      <c r="K397" s="230">
        <f t="shared" ref="K397:K408" si="61">I397*J397</f>
        <v>1200000</v>
      </c>
    </row>
    <row r="398" spans="1:11" ht="13.2" customHeight="1" x14ac:dyDescent="0.25">
      <c r="A398" s="223"/>
      <c r="B398" s="224" t="s">
        <v>57</v>
      </c>
      <c r="C398" s="225" t="s">
        <v>891</v>
      </c>
      <c r="D398" s="226"/>
      <c r="E398" s="44"/>
      <c r="F398" s="227"/>
      <c r="G398" s="227"/>
      <c r="H398" s="228" t="s">
        <v>235</v>
      </c>
      <c r="I398" s="253">
        <v>4</v>
      </c>
      <c r="J398" s="60">
        <f>'Harga Satuan Dasar mat'!G153</f>
        <v>356250</v>
      </c>
      <c r="K398" s="230">
        <f t="shared" si="61"/>
        <v>1425000</v>
      </c>
    </row>
    <row r="399" spans="1:11" ht="13.2" customHeight="1" x14ac:dyDescent="0.25">
      <c r="A399" s="223"/>
      <c r="B399" s="224" t="s">
        <v>83</v>
      </c>
      <c r="C399" s="225" t="s">
        <v>946</v>
      </c>
      <c r="D399" s="226"/>
      <c r="E399" s="44"/>
      <c r="F399" s="227"/>
      <c r="G399" s="227"/>
      <c r="H399" s="228" t="s">
        <v>203</v>
      </c>
      <c r="I399" s="285">
        <v>4</v>
      </c>
      <c r="J399" s="60">
        <f>'Harga Satuan Dasar mat'!G57</f>
        <v>194500</v>
      </c>
      <c r="K399" s="230">
        <f t="shared" si="61"/>
        <v>778000</v>
      </c>
    </row>
    <row r="400" spans="1:11" ht="13.2" customHeight="1" x14ac:dyDescent="0.25">
      <c r="A400" s="223"/>
      <c r="B400" s="224" t="s">
        <v>110</v>
      </c>
      <c r="C400" s="225" t="s">
        <v>894</v>
      </c>
      <c r="D400" s="226"/>
      <c r="E400" s="44"/>
      <c r="F400" s="227"/>
      <c r="G400" s="227"/>
      <c r="H400" s="228" t="s">
        <v>203</v>
      </c>
      <c r="I400" s="253">
        <v>2</v>
      </c>
      <c r="J400" s="60">
        <f>'Harga Satuan Dasar mat'!G108</f>
        <v>257000</v>
      </c>
      <c r="K400" s="230">
        <f t="shared" si="61"/>
        <v>514000</v>
      </c>
    </row>
    <row r="401" spans="1:11" ht="13.2" customHeight="1" x14ac:dyDescent="0.25">
      <c r="A401" s="223"/>
      <c r="B401" s="224" t="s">
        <v>137</v>
      </c>
      <c r="C401" s="225" t="s">
        <v>899</v>
      </c>
      <c r="D401" s="226"/>
      <c r="E401" s="44"/>
      <c r="F401" s="227"/>
      <c r="G401" s="227"/>
      <c r="H401" s="228" t="s">
        <v>235</v>
      </c>
      <c r="I401" s="253">
        <v>2</v>
      </c>
      <c r="J401" s="60">
        <f>'Harga Satuan Dasar mat'!G200</f>
        <v>447500</v>
      </c>
      <c r="K401" s="230">
        <f t="shared" si="61"/>
        <v>895000</v>
      </c>
    </row>
    <row r="402" spans="1:11" ht="13.2" customHeight="1" x14ac:dyDescent="0.25">
      <c r="A402" s="223"/>
      <c r="B402" s="224" t="s">
        <v>156</v>
      </c>
      <c r="C402" s="225" t="s">
        <v>900</v>
      </c>
      <c r="D402" s="226"/>
      <c r="E402" s="44"/>
      <c r="F402" s="227"/>
      <c r="G402" s="227"/>
      <c r="H402" s="228" t="s">
        <v>235</v>
      </c>
      <c r="I402" s="253">
        <v>2</v>
      </c>
      <c r="J402" s="60">
        <f>'Harga Satuan Dasar mat'!G201</f>
        <v>393250</v>
      </c>
      <c r="K402" s="230">
        <f t="shared" si="61"/>
        <v>786500</v>
      </c>
    </row>
    <row r="403" spans="1:11" ht="13.2" customHeight="1" x14ac:dyDescent="0.25">
      <c r="A403" s="223"/>
      <c r="B403" s="224" t="s">
        <v>175</v>
      </c>
      <c r="C403" s="225" t="s">
        <v>901</v>
      </c>
      <c r="D403" s="226"/>
      <c r="E403" s="44"/>
      <c r="F403" s="227"/>
      <c r="G403" s="227"/>
      <c r="H403" s="228" t="s">
        <v>235</v>
      </c>
      <c r="I403" s="285">
        <v>2</v>
      </c>
      <c r="J403" s="60">
        <f>'Harga Satuan Dasar mat'!G205</f>
        <v>267500</v>
      </c>
      <c r="K403" s="230">
        <f t="shared" si="61"/>
        <v>535000</v>
      </c>
    </row>
    <row r="404" spans="1:11" ht="13.2" customHeight="1" x14ac:dyDescent="0.25">
      <c r="A404" s="223"/>
      <c r="B404" s="224" t="s">
        <v>177</v>
      </c>
      <c r="C404" s="225" t="s">
        <v>902</v>
      </c>
      <c r="D404" s="226"/>
      <c r="E404" s="44"/>
      <c r="F404" s="227"/>
      <c r="G404" s="227"/>
      <c r="H404" s="228" t="s">
        <v>235</v>
      </c>
      <c r="I404" s="285">
        <v>4</v>
      </c>
      <c r="J404" s="60">
        <f>'Harga Satuan Dasar mat'!G210</f>
        <v>110000</v>
      </c>
      <c r="K404" s="230">
        <f t="shared" si="61"/>
        <v>440000</v>
      </c>
    </row>
    <row r="405" spans="1:11" ht="13.2" customHeight="1" x14ac:dyDescent="0.25">
      <c r="A405" s="223"/>
      <c r="B405" s="224" t="s">
        <v>197</v>
      </c>
      <c r="C405" s="225" t="s">
        <v>903</v>
      </c>
      <c r="D405" s="226"/>
      <c r="E405" s="44"/>
      <c r="F405" s="227"/>
      <c r="G405" s="227"/>
      <c r="H405" s="228" t="s">
        <v>235</v>
      </c>
      <c r="I405" s="285">
        <v>2</v>
      </c>
      <c r="J405" s="60">
        <f>'Harga Satuan Dasar mat'!G211</f>
        <v>88500</v>
      </c>
      <c r="K405" s="230">
        <f t="shared" si="61"/>
        <v>177000</v>
      </c>
    </row>
    <row r="406" spans="1:11" ht="13.2" customHeight="1" x14ac:dyDescent="0.25">
      <c r="A406" s="223"/>
      <c r="B406" s="224" t="s">
        <v>198</v>
      </c>
      <c r="C406" s="225" t="s">
        <v>787</v>
      </c>
      <c r="D406" s="226"/>
      <c r="E406" s="44"/>
      <c r="F406" s="227"/>
      <c r="G406" s="227"/>
      <c r="H406" s="228" t="s">
        <v>203</v>
      </c>
      <c r="I406" s="253">
        <v>12</v>
      </c>
      <c r="J406" s="60">
        <f>'Harga Satuan Dasar mat'!G248</f>
        <v>27000</v>
      </c>
      <c r="K406" s="230">
        <f t="shared" si="61"/>
        <v>324000</v>
      </c>
    </row>
    <row r="407" spans="1:11" ht="13.2" customHeight="1" x14ac:dyDescent="0.25">
      <c r="A407" s="223"/>
      <c r="B407" s="224" t="s">
        <v>200</v>
      </c>
      <c r="C407" s="225" t="s">
        <v>979</v>
      </c>
      <c r="D407" s="226"/>
      <c r="E407" s="44"/>
      <c r="F407" s="227"/>
      <c r="G407" s="227"/>
      <c r="H407" s="228" t="s">
        <v>203</v>
      </c>
      <c r="I407" s="253">
        <v>34</v>
      </c>
      <c r="J407" s="60">
        <f>'Harga Satuan Dasar mat'!G252</f>
        <v>14000</v>
      </c>
      <c r="K407" s="230">
        <f t="shared" si="61"/>
        <v>476000</v>
      </c>
    </row>
    <row r="408" spans="1:11" ht="13.2" customHeight="1" x14ac:dyDescent="0.25">
      <c r="A408" s="223"/>
      <c r="B408" s="256" t="s">
        <v>213</v>
      </c>
      <c r="C408" s="257" t="s">
        <v>965</v>
      </c>
      <c r="D408" s="57"/>
      <c r="E408" s="258"/>
      <c r="F408" s="259"/>
      <c r="G408" s="259"/>
      <c r="H408" s="286" t="s">
        <v>203</v>
      </c>
      <c r="I408" s="261">
        <v>1</v>
      </c>
      <c r="J408" s="262">
        <f>'Harga Satuan Dasar mat'!G753</f>
        <v>2186800</v>
      </c>
      <c r="K408" s="230">
        <f t="shared" si="61"/>
        <v>2186800</v>
      </c>
    </row>
    <row r="409" spans="1:11" ht="12.9" customHeight="1" x14ac:dyDescent="0.25">
      <c r="A409" s="58"/>
      <c r="B409" s="231"/>
      <c r="C409" s="232"/>
      <c r="D409" s="232"/>
      <c r="E409" s="232"/>
      <c r="F409" s="232"/>
      <c r="G409" s="233"/>
      <c r="H409" s="234" t="s">
        <v>715</v>
      </c>
      <c r="I409" s="235"/>
      <c r="J409" s="235"/>
      <c r="K409" s="236">
        <f>SUM(K396:K408)</f>
        <v>11737300</v>
      </c>
    </row>
    <row r="410" spans="1:11" ht="12.9" customHeight="1" x14ac:dyDescent="0.25">
      <c r="A410" s="58"/>
      <c r="B410" s="59"/>
      <c r="C410" s="56"/>
      <c r="D410" s="56"/>
      <c r="E410" s="56"/>
      <c r="F410" s="56"/>
      <c r="G410" s="237"/>
      <c r="H410" s="238" t="s">
        <v>603</v>
      </c>
      <c r="I410" s="239">
        <f>$K$3</f>
        <v>0.15</v>
      </c>
      <c r="J410" s="240"/>
      <c r="K410" s="241">
        <f>I410*K409</f>
        <v>1760595</v>
      </c>
    </row>
    <row r="411" spans="1:11" ht="12.9" customHeight="1" x14ac:dyDescent="0.25">
      <c r="A411" s="58"/>
      <c r="B411" s="59"/>
      <c r="C411" s="56"/>
      <c r="D411" s="56"/>
      <c r="E411" s="56"/>
      <c r="F411" s="56"/>
      <c r="G411" s="237"/>
      <c r="H411" s="238" t="s">
        <v>604</v>
      </c>
      <c r="I411" s="226"/>
      <c r="J411" s="226"/>
      <c r="K411" s="241">
        <f>SUM(K409:K410)</f>
        <v>13497895</v>
      </c>
    </row>
    <row r="412" spans="1:11" ht="12.9" customHeight="1" thickBot="1" x14ac:dyDescent="0.3">
      <c r="A412" s="242"/>
      <c r="B412" s="243"/>
      <c r="C412" s="244"/>
      <c r="D412" s="244"/>
      <c r="E412" s="244"/>
      <c r="F412" s="244"/>
      <c r="G412" s="245"/>
      <c r="H412" s="246" t="s">
        <v>605</v>
      </c>
      <c r="I412" s="247"/>
      <c r="J412" s="247"/>
      <c r="K412" s="248">
        <f>ROUND(K411,-1)</f>
        <v>13497900</v>
      </c>
    </row>
    <row r="413" spans="1:11" ht="14.1" customHeight="1" x14ac:dyDescent="0.25">
      <c r="A413" s="215">
        <v>36</v>
      </c>
      <c r="B413" s="651" t="s">
        <v>713</v>
      </c>
      <c r="C413" s="652"/>
      <c r="D413" s="216" t="s">
        <v>942</v>
      </c>
      <c r="E413" s="217"/>
      <c r="F413" s="218"/>
      <c r="G413" s="218"/>
      <c r="H413" s="219"/>
      <c r="I413" s="220"/>
      <c r="J413" s="221"/>
      <c r="K413" s="222"/>
    </row>
    <row r="414" spans="1:11" ht="13.2" customHeight="1" x14ac:dyDescent="0.25">
      <c r="A414" s="223"/>
      <c r="B414" s="224" t="s">
        <v>4</v>
      </c>
      <c r="C414" s="225" t="s">
        <v>837</v>
      </c>
      <c r="D414" s="226"/>
      <c r="E414" s="44"/>
      <c r="F414" s="227"/>
      <c r="G414" s="227"/>
      <c r="H414" s="228" t="s">
        <v>235</v>
      </c>
      <c r="I414" s="263">
        <v>2</v>
      </c>
      <c r="J414" s="60">
        <f>J396</f>
        <v>1000000</v>
      </c>
      <c r="K414" s="230">
        <f>I414*J414</f>
        <v>2000000</v>
      </c>
    </row>
    <row r="415" spans="1:11" ht="13.2" customHeight="1" x14ac:dyDescent="0.25">
      <c r="A415" s="223"/>
      <c r="B415" s="224" t="s">
        <v>30</v>
      </c>
      <c r="C415" s="225" t="s">
        <v>889</v>
      </c>
      <c r="D415" s="226"/>
      <c r="E415" s="44"/>
      <c r="F415" s="227"/>
      <c r="G415" s="227"/>
      <c r="H415" s="228" t="s">
        <v>235</v>
      </c>
      <c r="I415" s="253">
        <v>2</v>
      </c>
      <c r="J415" s="60">
        <f>J397</f>
        <v>600000</v>
      </c>
      <c r="K415" s="230">
        <f t="shared" ref="K415:K426" si="62">I415*J415</f>
        <v>1200000</v>
      </c>
    </row>
    <row r="416" spans="1:11" ht="13.2" customHeight="1" x14ac:dyDescent="0.25">
      <c r="A416" s="223"/>
      <c r="B416" s="224" t="s">
        <v>57</v>
      </c>
      <c r="C416" s="225" t="s">
        <v>891</v>
      </c>
      <c r="D416" s="226"/>
      <c r="E416" s="44"/>
      <c r="F416" s="227"/>
      <c r="G416" s="227"/>
      <c r="H416" s="228" t="s">
        <v>235</v>
      </c>
      <c r="I416" s="253">
        <v>4</v>
      </c>
      <c r="J416" s="60">
        <f>J398</f>
        <v>356250</v>
      </c>
      <c r="K416" s="230">
        <f t="shared" si="62"/>
        <v>1425000</v>
      </c>
    </row>
    <row r="417" spans="1:11" ht="13.2" customHeight="1" x14ac:dyDescent="0.25">
      <c r="A417" s="223"/>
      <c r="B417" s="224" t="s">
        <v>83</v>
      </c>
      <c r="C417" s="225" t="s">
        <v>898</v>
      </c>
      <c r="D417" s="226"/>
      <c r="E417" s="44"/>
      <c r="F417" s="227"/>
      <c r="G417" s="227"/>
      <c r="H417" s="228" t="s">
        <v>203</v>
      </c>
      <c r="I417" s="285">
        <v>4</v>
      </c>
      <c r="J417" s="60">
        <f>'Harga Satuan Dasar mat'!G56</f>
        <v>185000</v>
      </c>
      <c r="K417" s="230">
        <f t="shared" si="62"/>
        <v>740000</v>
      </c>
    </row>
    <row r="418" spans="1:11" ht="13.2" customHeight="1" x14ac:dyDescent="0.25">
      <c r="A418" s="223"/>
      <c r="B418" s="224" t="s">
        <v>110</v>
      </c>
      <c r="C418" s="225" t="s">
        <v>895</v>
      </c>
      <c r="D418" s="226"/>
      <c r="E418" s="44"/>
      <c r="F418" s="227"/>
      <c r="G418" s="227"/>
      <c r="H418" s="228" t="s">
        <v>203</v>
      </c>
      <c r="I418" s="253">
        <v>2</v>
      </c>
      <c r="J418" s="60">
        <f>'Harga Satuan Dasar mat'!G107</f>
        <v>247000</v>
      </c>
      <c r="K418" s="230">
        <f t="shared" si="62"/>
        <v>494000</v>
      </c>
    </row>
    <row r="419" spans="1:11" ht="13.2" customHeight="1" x14ac:dyDescent="0.25">
      <c r="A419" s="223"/>
      <c r="B419" s="224" t="s">
        <v>137</v>
      </c>
      <c r="C419" s="225" t="s">
        <v>899</v>
      </c>
      <c r="D419" s="226"/>
      <c r="E419" s="44"/>
      <c r="F419" s="227"/>
      <c r="G419" s="227"/>
      <c r="H419" s="228" t="s">
        <v>235</v>
      </c>
      <c r="I419" s="253">
        <v>2</v>
      </c>
      <c r="J419" s="60">
        <f t="shared" ref="J419:J425" si="63">J401</f>
        <v>447500</v>
      </c>
      <c r="K419" s="230">
        <f t="shared" si="62"/>
        <v>895000</v>
      </c>
    </row>
    <row r="420" spans="1:11" ht="13.2" customHeight="1" x14ac:dyDescent="0.25">
      <c r="A420" s="223"/>
      <c r="B420" s="224" t="s">
        <v>156</v>
      </c>
      <c r="C420" s="225" t="s">
        <v>900</v>
      </c>
      <c r="D420" s="226"/>
      <c r="E420" s="44"/>
      <c r="F420" s="227"/>
      <c r="G420" s="227"/>
      <c r="H420" s="228" t="s">
        <v>235</v>
      </c>
      <c r="I420" s="253">
        <v>2</v>
      </c>
      <c r="J420" s="60">
        <f t="shared" si="63"/>
        <v>393250</v>
      </c>
      <c r="K420" s="230">
        <f t="shared" si="62"/>
        <v>786500</v>
      </c>
    </row>
    <row r="421" spans="1:11" ht="13.2" customHeight="1" x14ac:dyDescent="0.25">
      <c r="A421" s="223"/>
      <c r="B421" s="224" t="s">
        <v>175</v>
      </c>
      <c r="C421" s="225" t="s">
        <v>901</v>
      </c>
      <c r="D421" s="226"/>
      <c r="E421" s="44"/>
      <c r="F421" s="227"/>
      <c r="G421" s="227"/>
      <c r="H421" s="228" t="s">
        <v>235</v>
      </c>
      <c r="I421" s="285">
        <v>2</v>
      </c>
      <c r="J421" s="60">
        <f t="shared" si="63"/>
        <v>267500</v>
      </c>
      <c r="K421" s="230">
        <f t="shared" si="62"/>
        <v>535000</v>
      </c>
    </row>
    <row r="422" spans="1:11" ht="13.2" customHeight="1" x14ac:dyDescent="0.25">
      <c r="A422" s="223"/>
      <c r="B422" s="224" t="s">
        <v>177</v>
      </c>
      <c r="C422" s="225" t="s">
        <v>902</v>
      </c>
      <c r="D422" s="226"/>
      <c r="E422" s="44"/>
      <c r="F422" s="227"/>
      <c r="G422" s="227"/>
      <c r="H422" s="228" t="s">
        <v>235</v>
      </c>
      <c r="I422" s="285">
        <v>4</v>
      </c>
      <c r="J422" s="60">
        <f t="shared" si="63"/>
        <v>110000</v>
      </c>
      <c r="K422" s="230">
        <f t="shared" si="62"/>
        <v>440000</v>
      </c>
    </row>
    <row r="423" spans="1:11" ht="13.2" customHeight="1" x14ac:dyDescent="0.25">
      <c r="A423" s="223"/>
      <c r="B423" s="224" t="s">
        <v>197</v>
      </c>
      <c r="C423" s="225" t="s">
        <v>903</v>
      </c>
      <c r="D423" s="226"/>
      <c r="E423" s="44"/>
      <c r="F423" s="227"/>
      <c r="G423" s="227"/>
      <c r="H423" s="228" t="s">
        <v>235</v>
      </c>
      <c r="I423" s="285">
        <v>2</v>
      </c>
      <c r="J423" s="60">
        <f t="shared" si="63"/>
        <v>88500</v>
      </c>
      <c r="K423" s="230">
        <f t="shared" si="62"/>
        <v>177000</v>
      </c>
    </row>
    <row r="424" spans="1:11" ht="13.2" customHeight="1" x14ac:dyDescent="0.25">
      <c r="A424" s="223"/>
      <c r="B424" s="224" t="s">
        <v>198</v>
      </c>
      <c r="C424" s="225" t="s">
        <v>787</v>
      </c>
      <c r="D424" s="226"/>
      <c r="E424" s="44"/>
      <c r="F424" s="227"/>
      <c r="G424" s="227"/>
      <c r="H424" s="228" t="s">
        <v>203</v>
      </c>
      <c r="I424" s="253">
        <v>12</v>
      </c>
      <c r="J424" s="60">
        <f t="shared" si="63"/>
        <v>27000</v>
      </c>
      <c r="K424" s="230">
        <f t="shared" si="62"/>
        <v>324000</v>
      </c>
    </row>
    <row r="425" spans="1:11" ht="13.2" customHeight="1" x14ac:dyDescent="0.25">
      <c r="A425" s="223"/>
      <c r="B425" s="224" t="s">
        <v>200</v>
      </c>
      <c r="C425" s="225" t="s">
        <v>979</v>
      </c>
      <c r="D425" s="226"/>
      <c r="E425" s="44"/>
      <c r="F425" s="227"/>
      <c r="G425" s="227"/>
      <c r="H425" s="228" t="s">
        <v>203</v>
      </c>
      <c r="I425" s="253">
        <v>34</v>
      </c>
      <c r="J425" s="60">
        <f t="shared" si="63"/>
        <v>14000</v>
      </c>
      <c r="K425" s="230">
        <f t="shared" si="62"/>
        <v>476000</v>
      </c>
    </row>
    <row r="426" spans="1:11" ht="13.2" customHeight="1" x14ac:dyDescent="0.25">
      <c r="A426" s="223"/>
      <c r="B426" s="256" t="s">
        <v>213</v>
      </c>
      <c r="C426" s="257" t="s">
        <v>965</v>
      </c>
      <c r="D426" s="57"/>
      <c r="E426" s="258"/>
      <c r="F426" s="259"/>
      <c r="G426" s="259"/>
      <c r="H426" s="286" t="s">
        <v>399</v>
      </c>
      <c r="I426" s="261">
        <v>1</v>
      </c>
      <c r="J426" s="262">
        <f>J408</f>
        <v>2186800</v>
      </c>
      <c r="K426" s="230">
        <f t="shared" si="62"/>
        <v>2186800</v>
      </c>
    </row>
    <row r="427" spans="1:11" ht="12.9" customHeight="1" x14ac:dyDescent="0.25">
      <c r="A427" s="58"/>
      <c r="B427" s="231"/>
      <c r="C427" s="232"/>
      <c r="D427" s="232"/>
      <c r="E427" s="232"/>
      <c r="F427" s="232"/>
      <c r="G427" s="233"/>
      <c r="H427" s="234" t="s">
        <v>715</v>
      </c>
      <c r="I427" s="235"/>
      <c r="J427" s="235"/>
      <c r="K427" s="236">
        <f>SUM(K414:K426)</f>
        <v>11679300</v>
      </c>
    </row>
    <row r="428" spans="1:11" ht="12.9" customHeight="1" x14ac:dyDescent="0.25">
      <c r="A428" s="58"/>
      <c r="B428" s="59"/>
      <c r="C428" s="56"/>
      <c r="D428" s="56"/>
      <c r="E428" s="56"/>
      <c r="F428" s="56"/>
      <c r="G428" s="237"/>
      <c r="H428" s="238" t="s">
        <v>603</v>
      </c>
      <c r="I428" s="239">
        <f>$K$3</f>
        <v>0.15</v>
      </c>
      <c r="J428" s="240"/>
      <c r="K428" s="241">
        <f>I428*K427</f>
        <v>1751895</v>
      </c>
    </row>
    <row r="429" spans="1:11" ht="12.9" customHeight="1" x14ac:dyDescent="0.25">
      <c r="A429" s="58"/>
      <c r="B429" s="59"/>
      <c r="C429" s="56"/>
      <c r="D429" s="56"/>
      <c r="E429" s="56"/>
      <c r="F429" s="56"/>
      <c r="G429" s="237"/>
      <c r="H429" s="238" t="s">
        <v>604</v>
      </c>
      <c r="I429" s="226"/>
      <c r="J429" s="226"/>
      <c r="K429" s="241">
        <f>SUM(K427:K428)</f>
        <v>13431195</v>
      </c>
    </row>
    <row r="430" spans="1:11" ht="12.9" customHeight="1" thickBot="1" x14ac:dyDescent="0.3">
      <c r="A430" s="242"/>
      <c r="B430" s="243"/>
      <c r="C430" s="244"/>
      <c r="D430" s="244"/>
      <c r="E430" s="244"/>
      <c r="F430" s="244"/>
      <c r="G430" s="245"/>
      <c r="H430" s="246" t="s">
        <v>605</v>
      </c>
      <c r="I430" s="247"/>
      <c r="J430" s="247"/>
      <c r="K430" s="248">
        <f>ROUND(K429,-1)</f>
        <v>13431200</v>
      </c>
    </row>
    <row r="431" spans="1:11" ht="14.1" customHeight="1" x14ac:dyDescent="0.25">
      <c r="A431" s="215">
        <v>37</v>
      </c>
      <c r="B431" s="651" t="s">
        <v>713</v>
      </c>
      <c r="C431" s="652"/>
      <c r="D431" s="216" t="s">
        <v>904</v>
      </c>
      <c r="E431" s="217"/>
      <c r="F431" s="218"/>
      <c r="G431" s="218"/>
      <c r="H431" s="219"/>
      <c r="I431" s="220"/>
      <c r="J431" s="221"/>
      <c r="K431" s="222"/>
    </row>
    <row r="432" spans="1:11" ht="13.2" customHeight="1" x14ac:dyDescent="0.25">
      <c r="A432" s="223"/>
      <c r="B432" s="224" t="s">
        <v>4</v>
      </c>
      <c r="C432" s="225" t="s">
        <v>837</v>
      </c>
      <c r="D432" s="226"/>
      <c r="E432" s="44"/>
      <c r="F432" s="227"/>
      <c r="G432" s="227"/>
      <c r="H432" s="228" t="s">
        <v>235</v>
      </c>
      <c r="I432" s="263">
        <v>2</v>
      </c>
      <c r="J432" s="60">
        <f>J396</f>
        <v>1000000</v>
      </c>
      <c r="K432" s="230">
        <f>I432*J432</f>
        <v>2000000</v>
      </c>
    </row>
    <row r="433" spans="1:11" ht="13.2" customHeight="1" x14ac:dyDescent="0.25">
      <c r="A433" s="223"/>
      <c r="B433" s="224" t="s">
        <v>30</v>
      </c>
      <c r="C433" s="225" t="s">
        <v>889</v>
      </c>
      <c r="D433" s="226"/>
      <c r="E433" s="44"/>
      <c r="F433" s="227"/>
      <c r="G433" s="227"/>
      <c r="H433" s="228" t="s">
        <v>235</v>
      </c>
      <c r="I433" s="253">
        <v>2</v>
      </c>
      <c r="J433" s="60">
        <f>J397</f>
        <v>600000</v>
      </c>
      <c r="K433" s="230">
        <f t="shared" ref="K433:K444" si="64">I433*J433</f>
        <v>1200000</v>
      </c>
    </row>
    <row r="434" spans="1:11" ht="13.2" customHeight="1" x14ac:dyDescent="0.25">
      <c r="A434" s="223"/>
      <c r="B434" s="224" t="s">
        <v>57</v>
      </c>
      <c r="C434" s="225" t="s">
        <v>891</v>
      </c>
      <c r="D434" s="226"/>
      <c r="E434" s="44"/>
      <c r="F434" s="227"/>
      <c r="G434" s="227"/>
      <c r="H434" s="228" t="s">
        <v>235</v>
      </c>
      <c r="I434" s="253">
        <v>4</v>
      </c>
      <c r="J434" s="60">
        <f>J398</f>
        <v>356250</v>
      </c>
      <c r="K434" s="230">
        <f t="shared" si="64"/>
        <v>1425000</v>
      </c>
    </row>
    <row r="435" spans="1:11" ht="13.2" customHeight="1" x14ac:dyDescent="0.25">
      <c r="A435" s="223"/>
      <c r="B435" s="224" t="s">
        <v>83</v>
      </c>
      <c r="C435" s="225" t="s">
        <v>905</v>
      </c>
      <c r="D435" s="226"/>
      <c r="E435" s="44"/>
      <c r="F435" s="227"/>
      <c r="G435" s="227"/>
      <c r="H435" s="228" t="s">
        <v>203</v>
      </c>
      <c r="I435" s="285">
        <v>4</v>
      </c>
      <c r="J435" s="60">
        <f>'Harga Satuan Dasar mat'!G55</f>
        <v>177000</v>
      </c>
      <c r="K435" s="230">
        <f t="shared" si="64"/>
        <v>708000</v>
      </c>
    </row>
    <row r="436" spans="1:11" ht="13.2" customHeight="1" x14ac:dyDescent="0.25">
      <c r="A436" s="223"/>
      <c r="B436" s="224" t="s">
        <v>110</v>
      </c>
      <c r="C436" s="225" t="s">
        <v>931</v>
      </c>
      <c r="D436" s="226"/>
      <c r="E436" s="44"/>
      <c r="F436" s="227"/>
      <c r="G436" s="227"/>
      <c r="H436" s="228" t="s">
        <v>203</v>
      </c>
      <c r="I436" s="253">
        <v>2</v>
      </c>
      <c r="J436" s="60">
        <f>'Harga Satuan Dasar mat'!G106</f>
        <v>238000</v>
      </c>
      <c r="K436" s="230">
        <f t="shared" si="64"/>
        <v>476000</v>
      </c>
    </row>
    <row r="437" spans="1:11" ht="13.2" customHeight="1" x14ac:dyDescent="0.25">
      <c r="A437" s="223"/>
      <c r="B437" s="224" t="s">
        <v>137</v>
      </c>
      <c r="C437" s="225" t="s">
        <v>899</v>
      </c>
      <c r="D437" s="226"/>
      <c r="E437" s="44"/>
      <c r="F437" s="227"/>
      <c r="G437" s="227"/>
      <c r="H437" s="228" t="s">
        <v>235</v>
      </c>
      <c r="I437" s="253">
        <v>2</v>
      </c>
      <c r="J437" s="60">
        <f t="shared" ref="J437:J442" si="65">J401</f>
        <v>447500</v>
      </c>
      <c r="K437" s="230">
        <f t="shared" si="64"/>
        <v>895000</v>
      </c>
    </row>
    <row r="438" spans="1:11" ht="13.2" customHeight="1" x14ac:dyDescent="0.25">
      <c r="A438" s="223"/>
      <c r="B438" s="224" t="s">
        <v>156</v>
      </c>
      <c r="C438" s="225" t="s">
        <v>900</v>
      </c>
      <c r="D438" s="226"/>
      <c r="E438" s="44"/>
      <c r="F438" s="227"/>
      <c r="G438" s="227"/>
      <c r="H438" s="228" t="s">
        <v>235</v>
      </c>
      <c r="I438" s="253">
        <v>2</v>
      </c>
      <c r="J438" s="60">
        <f t="shared" si="65"/>
        <v>393250</v>
      </c>
      <c r="K438" s="230">
        <f t="shared" si="64"/>
        <v>786500</v>
      </c>
    </row>
    <row r="439" spans="1:11" ht="13.2" customHeight="1" x14ac:dyDescent="0.25">
      <c r="A439" s="223"/>
      <c r="B439" s="224" t="s">
        <v>175</v>
      </c>
      <c r="C439" s="225" t="s">
        <v>901</v>
      </c>
      <c r="D439" s="226"/>
      <c r="E439" s="44"/>
      <c r="F439" s="227"/>
      <c r="G439" s="227"/>
      <c r="H439" s="228" t="s">
        <v>235</v>
      </c>
      <c r="I439" s="285">
        <v>2</v>
      </c>
      <c r="J439" s="60">
        <f t="shared" si="65"/>
        <v>267500</v>
      </c>
      <c r="K439" s="230">
        <f t="shared" si="64"/>
        <v>535000</v>
      </c>
    </row>
    <row r="440" spans="1:11" ht="13.2" customHeight="1" x14ac:dyDescent="0.25">
      <c r="A440" s="223"/>
      <c r="B440" s="224" t="s">
        <v>177</v>
      </c>
      <c r="C440" s="225" t="s">
        <v>902</v>
      </c>
      <c r="D440" s="226"/>
      <c r="E440" s="44"/>
      <c r="F440" s="227"/>
      <c r="G440" s="227"/>
      <c r="H440" s="228" t="s">
        <v>235</v>
      </c>
      <c r="I440" s="285">
        <v>4</v>
      </c>
      <c r="J440" s="60">
        <f t="shared" si="65"/>
        <v>110000</v>
      </c>
      <c r="K440" s="230">
        <f t="shared" si="64"/>
        <v>440000</v>
      </c>
    </row>
    <row r="441" spans="1:11" ht="13.2" customHeight="1" x14ac:dyDescent="0.25">
      <c r="A441" s="223"/>
      <c r="B441" s="224" t="s">
        <v>197</v>
      </c>
      <c r="C441" s="225" t="s">
        <v>903</v>
      </c>
      <c r="D441" s="226"/>
      <c r="E441" s="44"/>
      <c r="F441" s="227"/>
      <c r="G441" s="227"/>
      <c r="H441" s="228" t="s">
        <v>235</v>
      </c>
      <c r="I441" s="285">
        <v>2</v>
      </c>
      <c r="J441" s="60">
        <f t="shared" si="65"/>
        <v>88500</v>
      </c>
      <c r="K441" s="230">
        <f t="shared" si="64"/>
        <v>177000</v>
      </c>
    </row>
    <row r="442" spans="1:11" ht="13.2" customHeight="1" x14ac:dyDescent="0.25">
      <c r="A442" s="223"/>
      <c r="B442" s="224" t="s">
        <v>198</v>
      </c>
      <c r="C442" s="225" t="s">
        <v>787</v>
      </c>
      <c r="D442" s="226"/>
      <c r="E442" s="44"/>
      <c r="F442" s="227"/>
      <c r="G442" s="227"/>
      <c r="H442" s="228" t="s">
        <v>203</v>
      </c>
      <c r="I442" s="253">
        <v>12</v>
      </c>
      <c r="J442" s="60">
        <f t="shared" si="65"/>
        <v>27000</v>
      </c>
      <c r="K442" s="230">
        <f t="shared" si="64"/>
        <v>324000</v>
      </c>
    </row>
    <row r="443" spans="1:11" ht="13.2" customHeight="1" x14ac:dyDescent="0.25">
      <c r="A443" s="223"/>
      <c r="B443" s="224" t="s">
        <v>200</v>
      </c>
      <c r="C443" s="225" t="s">
        <v>979</v>
      </c>
      <c r="D443" s="226"/>
      <c r="E443" s="44"/>
      <c r="F443" s="227"/>
      <c r="G443" s="227"/>
      <c r="H443" s="228" t="s">
        <v>203</v>
      </c>
      <c r="I443" s="253">
        <v>34</v>
      </c>
      <c r="J443" s="60">
        <f>J425</f>
        <v>14000</v>
      </c>
      <c r="K443" s="230">
        <f t="shared" si="64"/>
        <v>476000</v>
      </c>
    </row>
    <row r="444" spans="1:11" ht="13.2" customHeight="1" x14ac:dyDescent="0.25">
      <c r="A444" s="223"/>
      <c r="B444" s="256" t="s">
        <v>213</v>
      </c>
      <c r="C444" s="257" t="s">
        <v>965</v>
      </c>
      <c r="D444" s="57"/>
      <c r="E444" s="258"/>
      <c r="F444" s="259"/>
      <c r="G444" s="259"/>
      <c r="H444" s="286" t="s">
        <v>399</v>
      </c>
      <c r="I444" s="261">
        <v>1</v>
      </c>
      <c r="J444" s="262">
        <f>J426</f>
        <v>2186800</v>
      </c>
      <c r="K444" s="230">
        <f t="shared" si="64"/>
        <v>2186800</v>
      </c>
    </row>
    <row r="445" spans="1:11" ht="12.9" customHeight="1" x14ac:dyDescent="0.25">
      <c r="A445" s="58"/>
      <c r="B445" s="231"/>
      <c r="C445" s="232"/>
      <c r="D445" s="232"/>
      <c r="E445" s="232"/>
      <c r="F445" s="232"/>
      <c r="G445" s="233"/>
      <c r="H445" s="234" t="s">
        <v>715</v>
      </c>
      <c r="I445" s="235"/>
      <c r="J445" s="235"/>
      <c r="K445" s="236">
        <f>SUM(K432:K444)</f>
        <v>11629300</v>
      </c>
    </row>
    <row r="446" spans="1:11" ht="12.9" customHeight="1" x14ac:dyDescent="0.25">
      <c r="A446" s="58"/>
      <c r="B446" s="59"/>
      <c r="C446" s="56"/>
      <c r="D446" s="56"/>
      <c r="E446" s="56"/>
      <c r="F446" s="56"/>
      <c r="G446" s="237"/>
      <c r="H446" s="238" t="s">
        <v>603</v>
      </c>
      <c r="I446" s="239">
        <f>$K$3</f>
        <v>0.15</v>
      </c>
      <c r="J446" s="240"/>
      <c r="K446" s="241">
        <f>I446*K445</f>
        <v>1744395</v>
      </c>
    </row>
    <row r="447" spans="1:11" ht="12.9" customHeight="1" x14ac:dyDescent="0.25">
      <c r="A447" s="58"/>
      <c r="B447" s="59"/>
      <c r="C447" s="56"/>
      <c r="D447" s="56"/>
      <c r="E447" s="56"/>
      <c r="F447" s="56"/>
      <c r="G447" s="237"/>
      <c r="H447" s="238" t="s">
        <v>604</v>
      </c>
      <c r="I447" s="226"/>
      <c r="J447" s="226"/>
      <c r="K447" s="241">
        <f>SUM(K445:K446)</f>
        <v>13373695</v>
      </c>
    </row>
    <row r="448" spans="1:11" ht="12.6" customHeight="1" thickBot="1" x14ac:dyDescent="0.3">
      <c r="A448" s="242"/>
      <c r="B448" s="243"/>
      <c r="C448" s="244"/>
      <c r="D448" s="244"/>
      <c r="E448" s="244"/>
      <c r="F448" s="244"/>
      <c r="G448" s="245"/>
      <c r="H448" s="246" t="s">
        <v>605</v>
      </c>
      <c r="I448" s="247"/>
      <c r="J448" s="247"/>
      <c r="K448" s="248">
        <f>ROUND(K447,-1)</f>
        <v>13373700</v>
      </c>
    </row>
    <row r="449" spans="1:11" ht="14.1" customHeight="1" x14ac:dyDescent="0.25">
      <c r="A449" s="215">
        <v>38</v>
      </c>
      <c r="B449" s="651" t="s">
        <v>713</v>
      </c>
      <c r="C449" s="652"/>
      <c r="D449" s="216" t="s">
        <v>907</v>
      </c>
      <c r="E449" s="217"/>
      <c r="F449" s="218"/>
      <c r="G449" s="218"/>
      <c r="H449" s="219"/>
      <c r="I449" s="220"/>
      <c r="J449" s="221"/>
      <c r="K449" s="222"/>
    </row>
    <row r="450" spans="1:11" ht="13.2" customHeight="1" x14ac:dyDescent="0.25">
      <c r="A450" s="223"/>
      <c r="B450" s="224" t="s">
        <v>4</v>
      </c>
      <c r="C450" s="225" t="s">
        <v>837</v>
      </c>
      <c r="D450" s="226"/>
      <c r="E450" s="44"/>
      <c r="F450" s="227"/>
      <c r="G450" s="227"/>
      <c r="H450" s="228" t="s">
        <v>235</v>
      </c>
      <c r="I450" s="263">
        <v>2</v>
      </c>
      <c r="J450" s="60">
        <f>J432</f>
        <v>1000000</v>
      </c>
      <c r="K450" s="230">
        <f>I450*J450</f>
        <v>2000000</v>
      </c>
    </row>
    <row r="451" spans="1:11" ht="13.2" customHeight="1" x14ac:dyDescent="0.25">
      <c r="A451" s="223"/>
      <c r="B451" s="224" t="s">
        <v>30</v>
      </c>
      <c r="C451" s="225" t="s">
        <v>889</v>
      </c>
      <c r="D451" s="226"/>
      <c r="E451" s="44"/>
      <c r="F451" s="227"/>
      <c r="G451" s="227"/>
      <c r="H451" s="228" t="s">
        <v>235</v>
      </c>
      <c r="I451" s="253">
        <v>2</v>
      </c>
      <c r="J451" s="60">
        <f>J433</f>
        <v>600000</v>
      </c>
      <c r="K451" s="230">
        <f t="shared" ref="K451:K462" si="66">I451*J451</f>
        <v>1200000</v>
      </c>
    </row>
    <row r="452" spans="1:11" ht="13.2" customHeight="1" x14ac:dyDescent="0.25">
      <c r="A452" s="223"/>
      <c r="B452" s="224" t="s">
        <v>57</v>
      </c>
      <c r="C452" s="225" t="s">
        <v>891</v>
      </c>
      <c r="D452" s="226"/>
      <c r="E452" s="44"/>
      <c r="F452" s="227"/>
      <c r="G452" s="227"/>
      <c r="H452" s="228" t="s">
        <v>235</v>
      </c>
      <c r="I452" s="253">
        <v>4</v>
      </c>
      <c r="J452" s="60">
        <f>J434</f>
        <v>356250</v>
      </c>
      <c r="K452" s="230">
        <f t="shared" si="66"/>
        <v>1425000</v>
      </c>
    </row>
    <row r="453" spans="1:11" ht="13.2" customHeight="1" x14ac:dyDescent="0.25">
      <c r="A453" s="223"/>
      <c r="B453" s="224" t="s">
        <v>83</v>
      </c>
      <c r="C453" s="225" t="s">
        <v>898</v>
      </c>
      <c r="D453" s="226"/>
      <c r="E453" s="44"/>
      <c r="F453" s="227"/>
      <c r="G453" s="227"/>
      <c r="H453" s="228" t="s">
        <v>203</v>
      </c>
      <c r="I453" s="285">
        <v>4</v>
      </c>
      <c r="J453" s="60">
        <f>'Harga Satuan Dasar mat'!G56</f>
        <v>185000</v>
      </c>
      <c r="K453" s="230">
        <f t="shared" si="66"/>
        <v>740000</v>
      </c>
    </row>
    <row r="454" spans="1:11" ht="13.2" customHeight="1" x14ac:dyDescent="0.25">
      <c r="A454" s="223"/>
      <c r="B454" s="224" t="s">
        <v>110</v>
      </c>
      <c r="C454" s="225" t="s">
        <v>894</v>
      </c>
      <c r="D454" s="226"/>
      <c r="E454" s="44"/>
      <c r="F454" s="227"/>
      <c r="G454" s="227"/>
      <c r="H454" s="228" t="s">
        <v>203</v>
      </c>
      <c r="I454" s="253">
        <v>2</v>
      </c>
      <c r="J454" s="60">
        <f>J400</f>
        <v>257000</v>
      </c>
      <c r="K454" s="230">
        <f t="shared" si="66"/>
        <v>514000</v>
      </c>
    </row>
    <row r="455" spans="1:11" ht="13.2" customHeight="1" x14ac:dyDescent="0.25">
      <c r="A455" s="223"/>
      <c r="B455" s="224" t="s">
        <v>137</v>
      </c>
      <c r="C455" s="225" t="s">
        <v>899</v>
      </c>
      <c r="D455" s="226"/>
      <c r="E455" s="44"/>
      <c r="F455" s="227"/>
      <c r="G455" s="227"/>
      <c r="H455" s="228" t="s">
        <v>235</v>
      </c>
      <c r="I455" s="253">
        <v>2</v>
      </c>
      <c r="J455" s="60">
        <f t="shared" ref="J455:J460" si="67">J437</f>
        <v>447500</v>
      </c>
      <c r="K455" s="230">
        <f t="shared" si="66"/>
        <v>895000</v>
      </c>
    </row>
    <row r="456" spans="1:11" ht="13.2" customHeight="1" x14ac:dyDescent="0.25">
      <c r="A456" s="223"/>
      <c r="B456" s="224" t="s">
        <v>156</v>
      </c>
      <c r="C456" s="225" t="s">
        <v>900</v>
      </c>
      <c r="D456" s="226"/>
      <c r="E456" s="44"/>
      <c r="F456" s="227"/>
      <c r="G456" s="227"/>
      <c r="H456" s="228" t="s">
        <v>235</v>
      </c>
      <c r="I456" s="253">
        <v>2</v>
      </c>
      <c r="J456" s="60">
        <f t="shared" si="67"/>
        <v>393250</v>
      </c>
      <c r="K456" s="230">
        <f t="shared" si="66"/>
        <v>786500</v>
      </c>
    </row>
    <row r="457" spans="1:11" ht="13.2" customHeight="1" x14ac:dyDescent="0.25">
      <c r="A457" s="223"/>
      <c r="B457" s="224" t="s">
        <v>175</v>
      </c>
      <c r="C457" s="225" t="s">
        <v>901</v>
      </c>
      <c r="D457" s="226"/>
      <c r="E457" s="44"/>
      <c r="F457" s="227"/>
      <c r="G457" s="227"/>
      <c r="H457" s="228" t="s">
        <v>235</v>
      </c>
      <c r="I457" s="285">
        <v>2</v>
      </c>
      <c r="J457" s="60">
        <f t="shared" si="67"/>
        <v>267500</v>
      </c>
      <c r="K457" s="230">
        <f t="shared" si="66"/>
        <v>535000</v>
      </c>
    </row>
    <row r="458" spans="1:11" ht="13.2" customHeight="1" x14ac:dyDescent="0.25">
      <c r="A458" s="223"/>
      <c r="B458" s="224" t="s">
        <v>177</v>
      </c>
      <c r="C458" s="225" t="s">
        <v>902</v>
      </c>
      <c r="D458" s="226"/>
      <c r="E458" s="44"/>
      <c r="F458" s="227"/>
      <c r="G458" s="227"/>
      <c r="H458" s="228" t="s">
        <v>235</v>
      </c>
      <c r="I458" s="285">
        <v>4</v>
      </c>
      <c r="J458" s="60">
        <f t="shared" si="67"/>
        <v>110000</v>
      </c>
      <c r="K458" s="230">
        <f t="shared" si="66"/>
        <v>440000</v>
      </c>
    </row>
    <row r="459" spans="1:11" ht="13.2" customHeight="1" x14ac:dyDescent="0.25">
      <c r="A459" s="223"/>
      <c r="B459" s="224" t="s">
        <v>197</v>
      </c>
      <c r="C459" s="225" t="s">
        <v>903</v>
      </c>
      <c r="D459" s="226"/>
      <c r="E459" s="44"/>
      <c r="F459" s="227"/>
      <c r="G459" s="227"/>
      <c r="H459" s="228" t="s">
        <v>235</v>
      </c>
      <c r="I459" s="285">
        <v>2</v>
      </c>
      <c r="J459" s="60">
        <f t="shared" si="67"/>
        <v>88500</v>
      </c>
      <c r="K459" s="230">
        <f t="shared" si="66"/>
        <v>177000</v>
      </c>
    </row>
    <row r="460" spans="1:11" ht="13.2" customHeight="1" x14ac:dyDescent="0.25">
      <c r="A460" s="223"/>
      <c r="B460" s="224" t="s">
        <v>198</v>
      </c>
      <c r="C460" s="225" t="s">
        <v>787</v>
      </c>
      <c r="D460" s="226"/>
      <c r="E460" s="44"/>
      <c r="F460" s="227"/>
      <c r="G460" s="227"/>
      <c r="H460" s="228" t="s">
        <v>203</v>
      </c>
      <c r="I460" s="253">
        <v>12</v>
      </c>
      <c r="J460" s="60">
        <f t="shared" si="67"/>
        <v>27000</v>
      </c>
      <c r="K460" s="230">
        <f t="shared" si="66"/>
        <v>324000</v>
      </c>
    </row>
    <row r="461" spans="1:11" ht="13.2" customHeight="1" x14ac:dyDescent="0.25">
      <c r="A461" s="223"/>
      <c r="B461" s="224" t="s">
        <v>200</v>
      </c>
      <c r="C461" s="225" t="s">
        <v>979</v>
      </c>
      <c r="D461" s="226"/>
      <c r="E461" s="44"/>
      <c r="F461" s="227"/>
      <c r="G461" s="227"/>
      <c r="H461" s="228" t="s">
        <v>203</v>
      </c>
      <c r="I461" s="253">
        <v>34</v>
      </c>
      <c r="J461" s="60">
        <f>J407</f>
        <v>14000</v>
      </c>
      <c r="K461" s="230">
        <f t="shared" si="66"/>
        <v>476000</v>
      </c>
    </row>
    <row r="462" spans="1:11" ht="13.2" customHeight="1" x14ac:dyDescent="0.25">
      <c r="A462" s="223"/>
      <c r="B462" s="256" t="s">
        <v>213</v>
      </c>
      <c r="C462" s="257" t="s">
        <v>965</v>
      </c>
      <c r="D462" s="57"/>
      <c r="E462" s="258"/>
      <c r="F462" s="259"/>
      <c r="G462" s="259"/>
      <c r="H462" s="286" t="s">
        <v>399</v>
      </c>
      <c r="I462" s="261">
        <v>1</v>
      </c>
      <c r="J462" s="262">
        <f>J444</f>
        <v>2186800</v>
      </c>
      <c r="K462" s="230">
        <f t="shared" si="66"/>
        <v>2186800</v>
      </c>
    </row>
    <row r="463" spans="1:11" ht="12.9" customHeight="1" x14ac:dyDescent="0.25">
      <c r="A463" s="58"/>
      <c r="B463" s="231"/>
      <c r="C463" s="232"/>
      <c r="D463" s="232"/>
      <c r="E463" s="232"/>
      <c r="F463" s="232"/>
      <c r="G463" s="233"/>
      <c r="H463" s="234" t="s">
        <v>715</v>
      </c>
      <c r="I463" s="235"/>
      <c r="J463" s="235"/>
      <c r="K463" s="236">
        <f>SUM(K450:K462)</f>
        <v>11699300</v>
      </c>
    </row>
    <row r="464" spans="1:11" ht="12.9" customHeight="1" x14ac:dyDescent="0.25">
      <c r="A464" s="58"/>
      <c r="B464" s="59"/>
      <c r="C464" s="56"/>
      <c r="D464" s="56"/>
      <c r="E464" s="56"/>
      <c r="F464" s="56"/>
      <c r="G464" s="237"/>
      <c r="H464" s="238" t="s">
        <v>603</v>
      </c>
      <c r="I464" s="239">
        <f>$K$3</f>
        <v>0.15</v>
      </c>
      <c r="J464" s="240"/>
      <c r="K464" s="241">
        <f>I464*K463</f>
        <v>1754895</v>
      </c>
    </row>
    <row r="465" spans="1:11" ht="12.9" customHeight="1" x14ac:dyDescent="0.25">
      <c r="A465" s="58"/>
      <c r="B465" s="59"/>
      <c r="C465" s="56"/>
      <c r="D465" s="56"/>
      <c r="E465" s="56"/>
      <c r="F465" s="56"/>
      <c r="G465" s="237"/>
      <c r="H465" s="238" t="s">
        <v>604</v>
      </c>
      <c r="I465" s="226"/>
      <c r="J465" s="226"/>
      <c r="K465" s="241">
        <f>SUM(K463:K464)</f>
        <v>13454195</v>
      </c>
    </row>
    <row r="466" spans="1:11" ht="12.9" customHeight="1" thickBot="1" x14ac:dyDescent="0.3">
      <c r="A466" s="242"/>
      <c r="B466" s="243"/>
      <c r="C466" s="244"/>
      <c r="D466" s="244"/>
      <c r="E466" s="244"/>
      <c r="F466" s="244"/>
      <c r="G466" s="245"/>
      <c r="H466" s="246" t="s">
        <v>605</v>
      </c>
      <c r="I466" s="247"/>
      <c r="J466" s="247"/>
      <c r="K466" s="248">
        <f>ROUND(K465,-1)</f>
        <v>13454200</v>
      </c>
    </row>
    <row r="467" spans="1:11" ht="14.1" customHeight="1" x14ac:dyDescent="0.25">
      <c r="A467" s="215">
        <v>39</v>
      </c>
      <c r="B467" s="651" t="s">
        <v>713</v>
      </c>
      <c r="C467" s="652"/>
      <c r="D467" s="216" t="s">
        <v>906</v>
      </c>
      <c r="E467" s="217"/>
      <c r="F467" s="218"/>
      <c r="G467" s="218"/>
      <c r="H467" s="219"/>
      <c r="I467" s="220"/>
      <c r="J467" s="221"/>
      <c r="K467" s="222"/>
    </row>
    <row r="468" spans="1:11" ht="13.2" customHeight="1" x14ac:dyDescent="0.25">
      <c r="A468" s="223"/>
      <c r="B468" s="224" t="s">
        <v>4</v>
      </c>
      <c r="C468" s="225" t="s">
        <v>837</v>
      </c>
      <c r="D468" s="226"/>
      <c r="E468" s="44"/>
      <c r="F468" s="227"/>
      <c r="G468" s="227"/>
      <c r="H468" s="228" t="s">
        <v>235</v>
      </c>
      <c r="I468" s="263">
        <v>2</v>
      </c>
      <c r="J468" s="60">
        <f>J450</f>
        <v>1000000</v>
      </c>
      <c r="K468" s="230">
        <f>I468*J468</f>
        <v>2000000</v>
      </c>
    </row>
    <row r="469" spans="1:11" ht="13.2" customHeight="1" x14ac:dyDescent="0.25">
      <c r="A469" s="223"/>
      <c r="B469" s="224" t="s">
        <v>30</v>
      </c>
      <c r="C469" s="225" t="s">
        <v>889</v>
      </c>
      <c r="D469" s="226"/>
      <c r="E469" s="44"/>
      <c r="F469" s="227"/>
      <c r="G469" s="227"/>
      <c r="H469" s="228" t="s">
        <v>235</v>
      </c>
      <c r="I469" s="253">
        <v>2</v>
      </c>
      <c r="J469" s="60">
        <f>J451</f>
        <v>600000</v>
      </c>
      <c r="K469" s="230">
        <f t="shared" ref="K469:K480" si="68">I469*J469</f>
        <v>1200000</v>
      </c>
    </row>
    <row r="470" spans="1:11" ht="13.2" customHeight="1" x14ac:dyDescent="0.25">
      <c r="A470" s="223"/>
      <c r="B470" s="224" t="s">
        <v>57</v>
      </c>
      <c r="C470" s="225" t="s">
        <v>891</v>
      </c>
      <c r="D470" s="226"/>
      <c r="E470" s="44"/>
      <c r="F470" s="227"/>
      <c r="G470" s="227"/>
      <c r="H470" s="228" t="s">
        <v>235</v>
      </c>
      <c r="I470" s="253">
        <v>4</v>
      </c>
      <c r="J470" s="60">
        <f>J452</f>
        <v>356250</v>
      </c>
      <c r="K470" s="230">
        <f t="shared" si="68"/>
        <v>1425000</v>
      </c>
    </row>
    <row r="471" spans="1:11" ht="13.2" customHeight="1" x14ac:dyDescent="0.25">
      <c r="A471" s="223"/>
      <c r="B471" s="224" t="s">
        <v>83</v>
      </c>
      <c r="C471" s="225" t="s">
        <v>908</v>
      </c>
      <c r="D471" s="226"/>
      <c r="E471" s="44"/>
      <c r="F471" s="227"/>
      <c r="G471" s="227"/>
      <c r="H471" s="228" t="s">
        <v>203</v>
      </c>
      <c r="I471" s="285">
        <v>4</v>
      </c>
      <c r="J471" s="60">
        <f>'Harga Satuan Dasar mat'!G52</f>
        <v>157500</v>
      </c>
      <c r="K471" s="230">
        <f t="shared" si="68"/>
        <v>630000</v>
      </c>
    </row>
    <row r="472" spans="1:11" ht="13.2" customHeight="1" x14ac:dyDescent="0.25">
      <c r="A472" s="223"/>
      <c r="B472" s="224" t="s">
        <v>110</v>
      </c>
      <c r="C472" s="225" t="s">
        <v>896</v>
      </c>
      <c r="D472" s="226"/>
      <c r="E472" s="44"/>
      <c r="F472" s="227"/>
      <c r="G472" s="227"/>
      <c r="H472" s="228" t="s">
        <v>203</v>
      </c>
      <c r="I472" s="253">
        <v>2</v>
      </c>
      <c r="J472" s="60">
        <f>'Harga Satuan Dasar mat'!G104</f>
        <v>221500</v>
      </c>
      <c r="K472" s="230">
        <f t="shared" si="68"/>
        <v>443000</v>
      </c>
    </row>
    <row r="473" spans="1:11" ht="13.2" customHeight="1" x14ac:dyDescent="0.25">
      <c r="A473" s="223"/>
      <c r="B473" s="224" t="s">
        <v>137</v>
      </c>
      <c r="C473" s="225" t="s">
        <v>899</v>
      </c>
      <c r="D473" s="226"/>
      <c r="E473" s="44"/>
      <c r="F473" s="227"/>
      <c r="G473" s="227"/>
      <c r="H473" s="228" t="s">
        <v>235</v>
      </c>
      <c r="I473" s="253">
        <v>2</v>
      </c>
      <c r="J473" s="60">
        <f t="shared" ref="J473:J479" si="69">J455</f>
        <v>447500</v>
      </c>
      <c r="K473" s="230">
        <f t="shared" si="68"/>
        <v>895000</v>
      </c>
    </row>
    <row r="474" spans="1:11" ht="13.2" customHeight="1" x14ac:dyDescent="0.25">
      <c r="A474" s="223"/>
      <c r="B474" s="224" t="s">
        <v>156</v>
      </c>
      <c r="C474" s="225" t="s">
        <v>900</v>
      </c>
      <c r="D474" s="226"/>
      <c r="E474" s="44"/>
      <c r="F474" s="227"/>
      <c r="G474" s="227"/>
      <c r="H474" s="228" t="s">
        <v>235</v>
      </c>
      <c r="I474" s="253">
        <v>2</v>
      </c>
      <c r="J474" s="60">
        <f t="shared" si="69"/>
        <v>393250</v>
      </c>
      <c r="K474" s="230">
        <f t="shared" si="68"/>
        <v>786500</v>
      </c>
    </row>
    <row r="475" spans="1:11" ht="13.2" customHeight="1" x14ac:dyDescent="0.25">
      <c r="A475" s="223"/>
      <c r="B475" s="224" t="s">
        <v>175</v>
      </c>
      <c r="C475" s="225" t="s">
        <v>901</v>
      </c>
      <c r="D475" s="226"/>
      <c r="E475" s="44"/>
      <c r="F475" s="227"/>
      <c r="G475" s="227"/>
      <c r="H475" s="228" t="s">
        <v>235</v>
      </c>
      <c r="I475" s="285">
        <v>2</v>
      </c>
      <c r="J475" s="60">
        <f t="shared" si="69"/>
        <v>267500</v>
      </c>
      <c r="K475" s="230">
        <f t="shared" si="68"/>
        <v>535000</v>
      </c>
    </row>
    <row r="476" spans="1:11" ht="13.2" customHeight="1" x14ac:dyDescent="0.25">
      <c r="A476" s="223"/>
      <c r="B476" s="224" t="s">
        <v>177</v>
      </c>
      <c r="C476" s="225" t="s">
        <v>902</v>
      </c>
      <c r="D476" s="226"/>
      <c r="E476" s="44"/>
      <c r="F476" s="227"/>
      <c r="G476" s="227"/>
      <c r="H476" s="228" t="s">
        <v>235</v>
      </c>
      <c r="I476" s="285">
        <v>4</v>
      </c>
      <c r="J476" s="60">
        <f t="shared" si="69"/>
        <v>110000</v>
      </c>
      <c r="K476" s="230">
        <f t="shared" si="68"/>
        <v>440000</v>
      </c>
    </row>
    <row r="477" spans="1:11" ht="13.2" customHeight="1" x14ac:dyDescent="0.25">
      <c r="A477" s="223"/>
      <c r="B477" s="224" t="s">
        <v>197</v>
      </c>
      <c r="C477" s="225" t="s">
        <v>903</v>
      </c>
      <c r="D477" s="226"/>
      <c r="E477" s="44"/>
      <c r="F477" s="227"/>
      <c r="G477" s="227"/>
      <c r="H477" s="228" t="s">
        <v>235</v>
      </c>
      <c r="I477" s="285">
        <v>2</v>
      </c>
      <c r="J477" s="60">
        <f t="shared" si="69"/>
        <v>88500</v>
      </c>
      <c r="K477" s="230">
        <f t="shared" si="68"/>
        <v>177000</v>
      </c>
    </row>
    <row r="478" spans="1:11" ht="13.2" customHeight="1" x14ac:dyDescent="0.25">
      <c r="A478" s="223"/>
      <c r="B478" s="224" t="s">
        <v>198</v>
      </c>
      <c r="C478" s="225" t="s">
        <v>787</v>
      </c>
      <c r="D478" s="226"/>
      <c r="E478" s="44"/>
      <c r="F478" s="227"/>
      <c r="G478" s="227"/>
      <c r="H478" s="228" t="s">
        <v>203</v>
      </c>
      <c r="I478" s="253">
        <v>12</v>
      </c>
      <c r="J478" s="60">
        <f t="shared" si="69"/>
        <v>27000</v>
      </c>
      <c r="K478" s="230">
        <f t="shared" si="68"/>
        <v>324000</v>
      </c>
    </row>
    <row r="479" spans="1:11" ht="13.2" customHeight="1" x14ac:dyDescent="0.25">
      <c r="A479" s="223"/>
      <c r="B479" s="224" t="s">
        <v>200</v>
      </c>
      <c r="C479" s="225" t="s">
        <v>979</v>
      </c>
      <c r="D479" s="226"/>
      <c r="E479" s="44"/>
      <c r="F479" s="227"/>
      <c r="G479" s="227"/>
      <c r="H479" s="228" t="s">
        <v>203</v>
      </c>
      <c r="I479" s="253">
        <v>34</v>
      </c>
      <c r="J479" s="60">
        <f t="shared" si="69"/>
        <v>14000</v>
      </c>
      <c r="K479" s="230">
        <f t="shared" si="68"/>
        <v>476000</v>
      </c>
    </row>
    <row r="480" spans="1:11" ht="13.2" customHeight="1" x14ac:dyDescent="0.25">
      <c r="A480" s="223"/>
      <c r="B480" s="256" t="s">
        <v>213</v>
      </c>
      <c r="C480" s="257" t="s">
        <v>965</v>
      </c>
      <c r="D480" s="57"/>
      <c r="E480" s="258"/>
      <c r="F480" s="259"/>
      <c r="G480" s="259"/>
      <c r="H480" s="286" t="s">
        <v>399</v>
      </c>
      <c r="I480" s="261">
        <v>1</v>
      </c>
      <c r="J480" s="262">
        <f>J462</f>
        <v>2186800</v>
      </c>
      <c r="K480" s="230">
        <f t="shared" si="68"/>
        <v>2186800</v>
      </c>
    </row>
    <row r="481" spans="1:11" ht="12.9" customHeight="1" x14ac:dyDescent="0.25">
      <c r="A481" s="58"/>
      <c r="B481" s="231"/>
      <c r="C481" s="232"/>
      <c r="D481" s="232"/>
      <c r="E481" s="232"/>
      <c r="F481" s="232"/>
      <c r="G481" s="233"/>
      <c r="H481" s="234" t="s">
        <v>715</v>
      </c>
      <c r="I481" s="235"/>
      <c r="J481" s="235"/>
      <c r="K481" s="236">
        <f>SUM(K468:K480)</f>
        <v>11518300</v>
      </c>
    </row>
    <row r="482" spans="1:11" ht="12.9" customHeight="1" x14ac:dyDescent="0.25">
      <c r="A482" s="58"/>
      <c r="B482" s="59"/>
      <c r="C482" s="56"/>
      <c r="D482" s="56"/>
      <c r="E482" s="56"/>
      <c r="F482" s="56"/>
      <c r="G482" s="237"/>
      <c r="H482" s="238" t="s">
        <v>603</v>
      </c>
      <c r="I482" s="239">
        <f>$K$3</f>
        <v>0.15</v>
      </c>
      <c r="J482" s="240"/>
      <c r="K482" s="241">
        <f>I482*K481</f>
        <v>1727745</v>
      </c>
    </row>
    <row r="483" spans="1:11" ht="12.9" customHeight="1" x14ac:dyDescent="0.25">
      <c r="A483" s="58"/>
      <c r="B483" s="59"/>
      <c r="C483" s="56"/>
      <c r="D483" s="56"/>
      <c r="E483" s="56"/>
      <c r="F483" s="56"/>
      <c r="G483" s="237"/>
      <c r="H483" s="238" t="s">
        <v>604</v>
      </c>
      <c r="I483" s="226"/>
      <c r="J483" s="226"/>
      <c r="K483" s="241">
        <f>SUM(K481:K482)</f>
        <v>13246045</v>
      </c>
    </row>
    <row r="484" spans="1:11" ht="12.6" customHeight="1" thickBot="1" x14ac:dyDescent="0.3">
      <c r="A484" s="242"/>
      <c r="B484" s="243"/>
      <c r="C484" s="244"/>
      <c r="D484" s="244"/>
      <c r="E484" s="244"/>
      <c r="F484" s="244"/>
      <c r="G484" s="245"/>
      <c r="H484" s="246" t="s">
        <v>605</v>
      </c>
      <c r="I484" s="247"/>
      <c r="J484" s="247"/>
      <c r="K484" s="248">
        <f>ROUND(K483,-1)</f>
        <v>13246050</v>
      </c>
    </row>
    <row r="485" spans="1:11" ht="14.1" customHeight="1" x14ac:dyDescent="0.25">
      <c r="A485" s="215">
        <v>40</v>
      </c>
      <c r="B485" s="651" t="s">
        <v>713</v>
      </c>
      <c r="C485" s="652"/>
      <c r="D485" s="216" t="s">
        <v>909</v>
      </c>
      <c r="E485" s="217"/>
      <c r="F485" s="218"/>
      <c r="G485" s="218"/>
      <c r="H485" s="219"/>
      <c r="I485" s="220"/>
      <c r="J485" s="221"/>
      <c r="K485" s="222"/>
    </row>
    <row r="486" spans="1:11" ht="13.2" customHeight="1" x14ac:dyDescent="0.25">
      <c r="A486" s="223"/>
      <c r="B486" s="224" t="s">
        <v>4</v>
      </c>
      <c r="C486" s="225" t="s">
        <v>837</v>
      </c>
      <c r="D486" s="226"/>
      <c r="E486" s="44"/>
      <c r="F486" s="227"/>
      <c r="G486" s="227"/>
      <c r="H486" s="228" t="s">
        <v>235</v>
      </c>
      <c r="I486" s="263">
        <v>2</v>
      </c>
      <c r="J486" s="60">
        <f>J468</f>
        <v>1000000</v>
      </c>
      <c r="K486" s="230">
        <f>I486*J486</f>
        <v>2000000</v>
      </c>
    </row>
    <row r="487" spans="1:11" ht="13.2" customHeight="1" x14ac:dyDescent="0.25">
      <c r="A487" s="223"/>
      <c r="B487" s="224" t="s">
        <v>30</v>
      </c>
      <c r="C487" s="225" t="s">
        <v>889</v>
      </c>
      <c r="D487" s="226"/>
      <c r="E487" s="44"/>
      <c r="F487" s="227"/>
      <c r="G487" s="227"/>
      <c r="H487" s="228" t="s">
        <v>235</v>
      </c>
      <c r="I487" s="253">
        <v>2</v>
      </c>
      <c r="J487" s="60">
        <f>J469</f>
        <v>600000</v>
      </c>
      <c r="K487" s="230">
        <f t="shared" ref="K487:K498" si="70">I487*J487</f>
        <v>1200000</v>
      </c>
    </row>
    <row r="488" spans="1:11" ht="13.2" customHeight="1" x14ac:dyDescent="0.25">
      <c r="A488" s="223"/>
      <c r="B488" s="224" t="s">
        <v>57</v>
      </c>
      <c r="C488" s="225" t="s">
        <v>891</v>
      </c>
      <c r="D488" s="226"/>
      <c r="E488" s="44"/>
      <c r="F488" s="227"/>
      <c r="G488" s="227"/>
      <c r="H488" s="228" t="s">
        <v>235</v>
      </c>
      <c r="I488" s="253">
        <v>4</v>
      </c>
      <c r="J488" s="60">
        <f>J470</f>
        <v>356250</v>
      </c>
      <c r="K488" s="230">
        <f t="shared" si="70"/>
        <v>1425000</v>
      </c>
    </row>
    <row r="489" spans="1:11" ht="13.2" customHeight="1" x14ac:dyDescent="0.25">
      <c r="A489" s="223"/>
      <c r="B489" s="224" t="s">
        <v>83</v>
      </c>
      <c r="C489" s="225" t="s">
        <v>910</v>
      </c>
      <c r="D489" s="226"/>
      <c r="E489" s="44"/>
      <c r="F489" s="227"/>
      <c r="G489" s="227"/>
      <c r="H489" s="228" t="s">
        <v>203</v>
      </c>
      <c r="I489" s="285">
        <v>4</v>
      </c>
      <c r="J489" s="60">
        <f>'Harga Satuan Dasar mat'!G50</f>
        <v>143000</v>
      </c>
      <c r="K489" s="230">
        <f t="shared" si="70"/>
        <v>572000</v>
      </c>
    </row>
    <row r="490" spans="1:11" ht="13.2" customHeight="1" x14ac:dyDescent="0.25">
      <c r="A490" s="223"/>
      <c r="B490" s="224" t="s">
        <v>110</v>
      </c>
      <c r="C490" s="225" t="s">
        <v>897</v>
      </c>
      <c r="D490" s="226"/>
      <c r="E490" s="44"/>
      <c r="F490" s="227"/>
      <c r="G490" s="227"/>
      <c r="H490" s="228" t="s">
        <v>203</v>
      </c>
      <c r="I490" s="253">
        <v>2</v>
      </c>
      <c r="J490" s="60">
        <f>'Harga Satuan Dasar mat'!G102</f>
        <v>203000</v>
      </c>
      <c r="K490" s="230">
        <f t="shared" si="70"/>
        <v>406000</v>
      </c>
    </row>
    <row r="491" spans="1:11" ht="13.2" customHeight="1" x14ac:dyDescent="0.25">
      <c r="A491" s="223"/>
      <c r="B491" s="224" t="s">
        <v>137</v>
      </c>
      <c r="C491" s="225" t="s">
        <v>899</v>
      </c>
      <c r="D491" s="226"/>
      <c r="E491" s="44"/>
      <c r="F491" s="227"/>
      <c r="G491" s="227"/>
      <c r="H491" s="228" t="s">
        <v>235</v>
      </c>
      <c r="I491" s="253">
        <v>2</v>
      </c>
      <c r="J491" s="60">
        <f t="shared" ref="J491:J497" si="71">J473</f>
        <v>447500</v>
      </c>
      <c r="K491" s="230">
        <f t="shared" si="70"/>
        <v>895000</v>
      </c>
    </row>
    <row r="492" spans="1:11" ht="13.2" customHeight="1" x14ac:dyDescent="0.25">
      <c r="A492" s="223"/>
      <c r="B492" s="224" t="s">
        <v>156</v>
      </c>
      <c r="C492" s="225" t="s">
        <v>900</v>
      </c>
      <c r="D492" s="226"/>
      <c r="E492" s="44"/>
      <c r="F492" s="227"/>
      <c r="G492" s="227"/>
      <c r="H492" s="228" t="s">
        <v>235</v>
      </c>
      <c r="I492" s="253">
        <v>2</v>
      </c>
      <c r="J492" s="60">
        <f t="shared" si="71"/>
        <v>393250</v>
      </c>
      <c r="K492" s="230">
        <f t="shared" si="70"/>
        <v>786500</v>
      </c>
    </row>
    <row r="493" spans="1:11" ht="13.2" customHeight="1" x14ac:dyDescent="0.25">
      <c r="A493" s="223"/>
      <c r="B493" s="224" t="s">
        <v>175</v>
      </c>
      <c r="C493" s="225" t="s">
        <v>901</v>
      </c>
      <c r="D493" s="226"/>
      <c r="E493" s="44"/>
      <c r="F493" s="227"/>
      <c r="G493" s="227"/>
      <c r="H493" s="228" t="s">
        <v>235</v>
      </c>
      <c r="I493" s="285">
        <v>2</v>
      </c>
      <c r="J493" s="60">
        <f t="shared" si="71"/>
        <v>267500</v>
      </c>
      <c r="K493" s="230">
        <f t="shared" si="70"/>
        <v>535000</v>
      </c>
    </row>
    <row r="494" spans="1:11" ht="13.2" customHeight="1" x14ac:dyDescent="0.25">
      <c r="A494" s="223"/>
      <c r="B494" s="224" t="s">
        <v>177</v>
      </c>
      <c r="C494" s="225" t="s">
        <v>902</v>
      </c>
      <c r="D494" s="226"/>
      <c r="E494" s="44"/>
      <c r="F494" s="227"/>
      <c r="G494" s="227"/>
      <c r="H494" s="228" t="s">
        <v>235</v>
      </c>
      <c r="I494" s="285">
        <v>4</v>
      </c>
      <c r="J494" s="60">
        <f t="shared" si="71"/>
        <v>110000</v>
      </c>
      <c r="K494" s="230">
        <f t="shared" si="70"/>
        <v>440000</v>
      </c>
    </row>
    <row r="495" spans="1:11" ht="13.2" customHeight="1" x14ac:dyDescent="0.25">
      <c r="A495" s="223"/>
      <c r="B495" s="224" t="s">
        <v>197</v>
      </c>
      <c r="C495" s="225" t="s">
        <v>903</v>
      </c>
      <c r="D495" s="226"/>
      <c r="E495" s="44"/>
      <c r="F495" s="227"/>
      <c r="G495" s="227"/>
      <c r="H495" s="228" t="s">
        <v>235</v>
      </c>
      <c r="I495" s="285">
        <v>2</v>
      </c>
      <c r="J495" s="60">
        <f t="shared" si="71"/>
        <v>88500</v>
      </c>
      <c r="K495" s="230">
        <f t="shared" si="70"/>
        <v>177000</v>
      </c>
    </row>
    <row r="496" spans="1:11" ht="13.2" customHeight="1" x14ac:dyDescent="0.25">
      <c r="A496" s="223"/>
      <c r="B496" s="224" t="s">
        <v>198</v>
      </c>
      <c r="C496" s="225" t="s">
        <v>787</v>
      </c>
      <c r="D496" s="226"/>
      <c r="E496" s="44"/>
      <c r="F496" s="227"/>
      <c r="G496" s="227"/>
      <c r="H496" s="228" t="s">
        <v>203</v>
      </c>
      <c r="I496" s="253">
        <v>12</v>
      </c>
      <c r="J496" s="60">
        <f t="shared" si="71"/>
        <v>27000</v>
      </c>
      <c r="K496" s="230">
        <f t="shared" si="70"/>
        <v>324000</v>
      </c>
    </row>
    <row r="497" spans="1:11" ht="13.2" customHeight="1" x14ac:dyDescent="0.25">
      <c r="A497" s="223"/>
      <c r="B497" s="224" t="s">
        <v>200</v>
      </c>
      <c r="C497" s="225" t="s">
        <v>979</v>
      </c>
      <c r="D497" s="226"/>
      <c r="E497" s="44"/>
      <c r="F497" s="227"/>
      <c r="G497" s="227"/>
      <c r="H497" s="228" t="s">
        <v>203</v>
      </c>
      <c r="I497" s="253">
        <v>34</v>
      </c>
      <c r="J497" s="60">
        <f t="shared" si="71"/>
        <v>14000</v>
      </c>
      <c r="K497" s="230">
        <f t="shared" si="70"/>
        <v>476000</v>
      </c>
    </row>
    <row r="498" spans="1:11" ht="13.2" customHeight="1" x14ac:dyDescent="0.25">
      <c r="A498" s="223"/>
      <c r="B498" s="256" t="s">
        <v>213</v>
      </c>
      <c r="C498" s="257" t="s">
        <v>965</v>
      </c>
      <c r="D498" s="57"/>
      <c r="E498" s="258"/>
      <c r="F498" s="259"/>
      <c r="G498" s="259"/>
      <c r="H498" s="286" t="s">
        <v>399</v>
      </c>
      <c r="I498" s="261">
        <v>1</v>
      </c>
      <c r="J498" s="262">
        <f>J480</f>
        <v>2186800</v>
      </c>
      <c r="K498" s="230">
        <f t="shared" si="70"/>
        <v>2186800</v>
      </c>
    </row>
    <row r="499" spans="1:11" ht="12.9" customHeight="1" x14ac:dyDescent="0.25">
      <c r="A499" s="58"/>
      <c r="B499" s="231"/>
      <c r="C499" s="232"/>
      <c r="D499" s="232"/>
      <c r="E499" s="232"/>
      <c r="F499" s="232"/>
      <c r="G499" s="233"/>
      <c r="H499" s="234" t="s">
        <v>715</v>
      </c>
      <c r="I499" s="235"/>
      <c r="J499" s="235"/>
      <c r="K499" s="236">
        <f>SUM(K486:K498)</f>
        <v>11423300</v>
      </c>
    </row>
    <row r="500" spans="1:11" ht="12.9" customHeight="1" x14ac:dyDescent="0.25">
      <c r="A500" s="58"/>
      <c r="B500" s="59"/>
      <c r="C500" s="56"/>
      <c r="D500" s="56"/>
      <c r="E500" s="56"/>
      <c r="F500" s="56"/>
      <c r="G500" s="237"/>
      <c r="H500" s="238" t="s">
        <v>603</v>
      </c>
      <c r="I500" s="239">
        <f>$K$3</f>
        <v>0.15</v>
      </c>
      <c r="J500" s="240"/>
      <c r="K500" s="241">
        <f>I500*K499</f>
        <v>1713495</v>
      </c>
    </row>
    <row r="501" spans="1:11" ht="12.9" customHeight="1" x14ac:dyDescent="0.25">
      <c r="A501" s="58"/>
      <c r="B501" s="59"/>
      <c r="C501" s="56"/>
      <c r="D501" s="56"/>
      <c r="E501" s="56"/>
      <c r="F501" s="56"/>
      <c r="G501" s="237"/>
      <c r="H501" s="238" t="s">
        <v>604</v>
      </c>
      <c r="I501" s="226"/>
      <c r="J501" s="226"/>
      <c r="K501" s="241">
        <f>SUM(K499:K500)</f>
        <v>13136795</v>
      </c>
    </row>
    <row r="502" spans="1:11" ht="12.9" customHeight="1" thickBot="1" x14ac:dyDescent="0.3">
      <c r="A502" s="242"/>
      <c r="B502" s="243"/>
      <c r="C502" s="244"/>
      <c r="D502" s="244"/>
      <c r="E502" s="244"/>
      <c r="F502" s="244"/>
      <c r="G502" s="245"/>
      <c r="H502" s="246" t="s">
        <v>605</v>
      </c>
      <c r="I502" s="247"/>
      <c r="J502" s="247"/>
      <c r="K502" s="248">
        <f>ROUND(K501,-1)</f>
        <v>13136800</v>
      </c>
    </row>
    <row r="503" spans="1:11" ht="14.1" customHeight="1" x14ac:dyDescent="0.25">
      <c r="A503" s="215">
        <v>41</v>
      </c>
      <c r="B503" s="651" t="s">
        <v>713</v>
      </c>
      <c r="C503" s="652"/>
      <c r="D503" s="216" t="s">
        <v>943</v>
      </c>
      <c r="E503" s="217"/>
      <c r="F503" s="218"/>
      <c r="G503" s="218"/>
      <c r="H503" s="219"/>
      <c r="I503" s="220"/>
      <c r="J503" s="221"/>
      <c r="K503" s="222"/>
    </row>
    <row r="504" spans="1:11" ht="13.2" customHeight="1" x14ac:dyDescent="0.25">
      <c r="A504" s="223"/>
      <c r="B504" s="224" t="s">
        <v>4</v>
      </c>
      <c r="C504" s="225" t="s">
        <v>890</v>
      </c>
      <c r="D504" s="226"/>
      <c r="E504" s="44"/>
      <c r="F504" s="227"/>
      <c r="G504" s="227"/>
      <c r="H504" s="228" t="s">
        <v>235</v>
      </c>
      <c r="I504" s="263">
        <v>2</v>
      </c>
      <c r="J504" s="60">
        <f>'Harga Satuan Dasar mat'!G152</f>
        <v>320000</v>
      </c>
      <c r="K504" s="230">
        <f>I504*J504</f>
        <v>640000</v>
      </c>
    </row>
    <row r="505" spans="1:11" ht="13.2" customHeight="1" x14ac:dyDescent="0.25">
      <c r="A505" s="223"/>
      <c r="B505" s="224" t="s">
        <v>30</v>
      </c>
      <c r="C505" s="225" t="s">
        <v>947</v>
      </c>
      <c r="D505" s="226"/>
      <c r="E505" s="44"/>
      <c r="F505" s="227"/>
      <c r="G505" s="227"/>
      <c r="H505" s="228" t="s">
        <v>203</v>
      </c>
      <c r="I505" s="253">
        <v>1</v>
      </c>
      <c r="J505" s="60">
        <f>'Harga Satuan Dasar mat'!G35</f>
        <v>157500</v>
      </c>
      <c r="K505" s="230">
        <f t="shared" ref="K505:K508" si="72">I505*J505</f>
        <v>157500</v>
      </c>
    </row>
    <row r="506" spans="1:11" ht="13.2" customHeight="1" x14ac:dyDescent="0.25">
      <c r="A506" s="223"/>
      <c r="B506" s="224" t="s">
        <v>57</v>
      </c>
      <c r="C506" s="225" t="s">
        <v>948</v>
      </c>
      <c r="D506" s="226"/>
      <c r="E506" s="44"/>
      <c r="F506" s="227"/>
      <c r="G506" s="227"/>
      <c r="H506" s="228" t="s">
        <v>203</v>
      </c>
      <c r="I506" s="253">
        <v>1</v>
      </c>
      <c r="J506" s="60">
        <f>'Harga Satuan Dasar mat'!G34</f>
        <v>152000</v>
      </c>
      <c r="K506" s="230">
        <f t="shared" si="72"/>
        <v>152000</v>
      </c>
    </row>
    <row r="507" spans="1:11" ht="13.2" customHeight="1" x14ac:dyDescent="0.25">
      <c r="A507" s="223"/>
      <c r="B507" s="224" t="s">
        <v>83</v>
      </c>
      <c r="C507" s="225" t="s">
        <v>787</v>
      </c>
      <c r="D507" s="226"/>
      <c r="E507" s="44"/>
      <c r="F507" s="227"/>
      <c r="G507" s="227"/>
      <c r="H507" s="228" t="s">
        <v>203</v>
      </c>
      <c r="I507" s="253">
        <v>4</v>
      </c>
      <c r="J507" s="60">
        <f>'Harga Satuan Dasar mat'!G248</f>
        <v>27000</v>
      </c>
      <c r="K507" s="230">
        <f t="shared" si="72"/>
        <v>108000</v>
      </c>
    </row>
    <row r="508" spans="1:11" ht="13.2" customHeight="1" x14ac:dyDescent="0.25">
      <c r="A508" s="223"/>
      <c r="B508" s="224" t="s">
        <v>110</v>
      </c>
      <c r="C508" s="225" t="s">
        <v>979</v>
      </c>
      <c r="D508" s="226"/>
      <c r="E508" s="44"/>
      <c r="F508" s="227"/>
      <c r="G508" s="227"/>
      <c r="H508" s="228" t="s">
        <v>203</v>
      </c>
      <c r="I508" s="285">
        <v>4</v>
      </c>
      <c r="J508" s="60">
        <f>'Harga Satuan Dasar mat'!G252</f>
        <v>14000</v>
      </c>
      <c r="K508" s="230">
        <f t="shared" si="72"/>
        <v>56000</v>
      </c>
    </row>
    <row r="509" spans="1:11" ht="12.9" customHeight="1" x14ac:dyDescent="0.25">
      <c r="A509" s="58"/>
      <c r="B509" s="231"/>
      <c r="C509" s="232"/>
      <c r="D509" s="232"/>
      <c r="E509" s="232"/>
      <c r="F509" s="232"/>
      <c r="G509" s="233"/>
      <c r="H509" s="234" t="s">
        <v>715</v>
      </c>
      <c r="I509" s="235"/>
      <c r="J509" s="235"/>
      <c r="K509" s="236">
        <f>SUM(K504:K508)</f>
        <v>1113500</v>
      </c>
    </row>
    <row r="510" spans="1:11" ht="12.9" customHeight="1" x14ac:dyDescent="0.25">
      <c r="A510" s="58"/>
      <c r="B510" s="59"/>
      <c r="C510" s="56"/>
      <c r="D510" s="56"/>
      <c r="E510" s="56"/>
      <c r="F510" s="56"/>
      <c r="G510" s="237"/>
      <c r="H510" s="238" t="s">
        <v>603</v>
      </c>
      <c r="I510" s="239">
        <f>$K$3</f>
        <v>0.15</v>
      </c>
      <c r="J510" s="240"/>
      <c r="K510" s="241">
        <f>I510*K509</f>
        <v>167025</v>
      </c>
    </row>
    <row r="511" spans="1:11" ht="12.9" customHeight="1" x14ac:dyDescent="0.25">
      <c r="A511" s="58"/>
      <c r="B511" s="59"/>
      <c r="C511" s="56"/>
      <c r="D511" s="56"/>
      <c r="E511" s="56"/>
      <c r="F511" s="56"/>
      <c r="G511" s="237"/>
      <c r="H511" s="238" t="s">
        <v>604</v>
      </c>
      <c r="I511" s="226"/>
      <c r="J511" s="226"/>
      <c r="K511" s="241">
        <f>SUM(K509:K510)</f>
        <v>1280525</v>
      </c>
    </row>
    <row r="512" spans="1:11" ht="12.9" customHeight="1" thickBot="1" x14ac:dyDescent="0.3">
      <c r="A512" s="242"/>
      <c r="B512" s="243"/>
      <c r="C512" s="244"/>
      <c r="D512" s="244"/>
      <c r="E512" s="244"/>
      <c r="F512" s="244"/>
      <c r="G512" s="245"/>
      <c r="H512" s="246" t="s">
        <v>605</v>
      </c>
      <c r="I512" s="247"/>
      <c r="J512" s="247"/>
      <c r="K512" s="248">
        <f>ROUND(K511,-1)</f>
        <v>1280530</v>
      </c>
    </row>
    <row r="513" spans="1:11" ht="14.1" customHeight="1" x14ac:dyDescent="0.25">
      <c r="A513" s="215">
        <v>42</v>
      </c>
      <c r="B513" s="651" t="s">
        <v>713</v>
      </c>
      <c r="C513" s="652"/>
      <c r="D513" s="216" t="s">
        <v>944</v>
      </c>
      <c r="E513" s="217"/>
      <c r="F513" s="218"/>
      <c r="G513" s="218"/>
      <c r="H513" s="219"/>
      <c r="I513" s="220"/>
      <c r="J513" s="221"/>
      <c r="K513" s="222"/>
    </row>
    <row r="514" spans="1:11" ht="13.2" customHeight="1" x14ac:dyDescent="0.25">
      <c r="A514" s="223"/>
      <c r="B514" s="224" t="s">
        <v>4</v>
      </c>
      <c r="C514" s="225" t="s">
        <v>890</v>
      </c>
      <c r="D514" s="226"/>
      <c r="E514" s="44"/>
      <c r="F514" s="227"/>
      <c r="G514" s="227"/>
      <c r="H514" s="228" t="s">
        <v>235</v>
      </c>
      <c r="I514" s="263">
        <v>2</v>
      </c>
      <c r="J514" s="60">
        <f>J504</f>
        <v>320000</v>
      </c>
      <c r="K514" s="230">
        <f>I514*J514</f>
        <v>640000</v>
      </c>
    </row>
    <row r="515" spans="1:11" ht="13.2" customHeight="1" x14ac:dyDescent="0.25">
      <c r="A515" s="223"/>
      <c r="B515" s="224" t="s">
        <v>30</v>
      </c>
      <c r="C515" s="225" t="s">
        <v>948</v>
      </c>
      <c r="D515" s="226"/>
      <c r="E515" s="44"/>
      <c r="F515" s="227"/>
      <c r="G515" s="227"/>
      <c r="H515" s="228" t="s">
        <v>203</v>
      </c>
      <c r="I515" s="253">
        <v>1</v>
      </c>
      <c r="J515" s="60">
        <f>'Harga Satuan Dasar mat'!G34</f>
        <v>152000</v>
      </c>
      <c r="K515" s="230">
        <f t="shared" ref="K515:K518" si="73">I515*J515</f>
        <v>152000</v>
      </c>
    </row>
    <row r="516" spans="1:11" ht="13.2" customHeight="1" x14ac:dyDescent="0.25">
      <c r="A516" s="223"/>
      <c r="B516" s="224" t="s">
        <v>57</v>
      </c>
      <c r="C516" s="225" t="s">
        <v>949</v>
      </c>
      <c r="D516" s="226"/>
      <c r="E516" s="44"/>
      <c r="F516" s="227"/>
      <c r="G516" s="227"/>
      <c r="H516" s="228" t="s">
        <v>203</v>
      </c>
      <c r="I516" s="253">
        <v>1</v>
      </c>
      <c r="J516" s="60">
        <f>'Harga Satuan Dasar mat'!G33</f>
        <v>147500</v>
      </c>
      <c r="K516" s="230">
        <f t="shared" si="73"/>
        <v>147500</v>
      </c>
    </row>
    <row r="517" spans="1:11" ht="13.2" customHeight="1" x14ac:dyDescent="0.25">
      <c r="A517" s="223"/>
      <c r="B517" s="224" t="s">
        <v>83</v>
      </c>
      <c r="C517" s="225" t="s">
        <v>787</v>
      </c>
      <c r="D517" s="226"/>
      <c r="E517" s="44"/>
      <c r="F517" s="227"/>
      <c r="G517" s="227"/>
      <c r="H517" s="228" t="s">
        <v>203</v>
      </c>
      <c r="I517" s="253">
        <v>4</v>
      </c>
      <c r="J517" s="60">
        <f>J507</f>
        <v>27000</v>
      </c>
      <c r="K517" s="230">
        <f t="shared" si="73"/>
        <v>108000</v>
      </c>
    </row>
    <row r="518" spans="1:11" ht="13.2" customHeight="1" x14ac:dyDescent="0.25">
      <c r="A518" s="223"/>
      <c r="B518" s="224" t="s">
        <v>110</v>
      </c>
      <c r="C518" s="225" t="s">
        <v>979</v>
      </c>
      <c r="D518" s="226"/>
      <c r="E518" s="44"/>
      <c r="F518" s="227"/>
      <c r="G518" s="227"/>
      <c r="H518" s="228" t="s">
        <v>203</v>
      </c>
      <c r="I518" s="285">
        <v>4</v>
      </c>
      <c r="J518" s="60">
        <f>J508</f>
        <v>14000</v>
      </c>
      <c r="K518" s="230">
        <f t="shared" si="73"/>
        <v>56000</v>
      </c>
    </row>
    <row r="519" spans="1:11" ht="12.9" customHeight="1" x14ac:dyDescent="0.25">
      <c r="A519" s="58"/>
      <c r="B519" s="231"/>
      <c r="C519" s="232"/>
      <c r="D519" s="232"/>
      <c r="E519" s="232"/>
      <c r="F519" s="232"/>
      <c r="G519" s="233"/>
      <c r="H519" s="234" t="s">
        <v>715</v>
      </c>
      <c r="I519" s="235"/>
      <c r="J519" s="235"/>
      <c r="K519" s="236">
        <f>SUM(K514:K518)</f>
        <v>1103500</v>
      </c>
    </row>
    <row r="520" spans="1:11" ht="12.9" customHeight="1" x14ac:dyDescent="0.25">
      <c r="A520" s="58"/>
      <c r="B520" s="59"/>
      <c r="C520" s="56"/>
      <c r="D520" s="56"/>
      <c r="E520" s="56"/>
      <c r="F520" s="56"/>
      <c r="G520" s="237"/>
      <c r="H520" s="238" t="s">
        <v>603</v>
      </c>
      <c r="I520" s="239">
        <f>$K$3</f>
        <v>0.15</v>
      </c>
      <c r="J520" s="240"/>
      <c r="K520" s="241">
        <f>I520*K519</f>
        <v>165525</v>
      </c>
    </row>
    <row r="521" spans="1:11" ht="12.9" customHeight="1" x14ac:dyDescent="0.25">
      <c r="A521" s="58"/>
      <c r="B521" s="59"/>
      <c r="C521" s="56"/>
      <c r="D521" s="56"/>
      <c r="E521" s="56"/>
      <c r="F521" s="56"/>
      <c r="G521" s="237"/>
      <c r="H521" s="238" t="s">
        <v>604</v>
      </c>
      <c r="I521" s="226"/>
      <c r="J521" s="226"/>
      <c r="K521" s="241">
        <f>SUM(K519:K520)</f>
        <v>1269025</v>
      </c>
    </row>
    <row r="522" spans="1:11" ht="12.9" customHeight="1" thickBot="1" x14ac:dyDescent="0.3">
      <c r="A522" s="242"/>
      <c r="B522" s="243"/>
      <c r="C522" s="244"/>
      <c r="D522" s="244"/>
      <c r="E522" s="244"/>
      <c r="F522" s="244"/>
      <c r="G522" s="245"/>
      <c r="H522" s="246" t="s">
        <v>605</v>
      </c>
      <c r="I522" s="247"/>
      <c r="J522" s="247"/>
      <c r="K522" s="248">
        <f>ROUND(K521,-1)</f>
        <v>1269030</v>
      </c>
    </row>
    <row r="523" spans="1:11" ht="14.1" customHeight="1" x14ac:dyDescent="0.25">
      <c r="A523" s="215">
        <v>43</v>
      </c>
      <c r="B523" s="651" t="s">
        <v>713</v>
      </c>
      <c r="C523" s="652"/>
      <c r="D523" s="216" t="s">
        <v>916</v>
      </c>
      <c r="E523" s="217"/>
      <c r="F523" s="218"/>
      <c r="G523" s="218"/>
      <c r="H523" s="219"/>
      <c r="I523" s="220"/>
      <c r="J523" s="221"/>
      <c r="K523" s="222"/>
    </row>
    <row r="524" spans="1:11" ht="13.2" customHeight="1" x14ac:dyDescent="0.25">
      <c r="A524" s="223"/>
      <c r="B524" s="224" t="s">
        <v>4</v>
      </c>
      <c r="C524" s="225" t="s">
        <v>890</v>
      </c>
      <c r="D524" s="226"/>
      <c r="E524" s="44"/>
      <c r="F524" s="227"/>
      <c r="G524" s="227"/>
      <c r="H524" s="228" t="s">
        <v>235</v>
      </c>
      <c r="I524" s="263">
        <v>2</v>
      </c>
      <c r="J524" s="60">
        <f>J514</f>
        <v>320000</v>
      </c>
      <c r="K524" s="230">
        <f>I524*J524</f>
        <v>640000</v>
      </c>
    </row>
    <row r="525" spans="1:11" ht="13.2" customHeight="1" x14ac:dyDescent="0.25">
      <c r="A525" s="223"/>
      <c r="B525" s="224" t="s">
        <v>30</v>
      </c>
      <c r="C525" s="225" t="s">
        <v>948</v>
      </c>
      <c r="D525" s="226"/>
      <c r="E525" s="44"/>
      <c r="F525" s="227"/>
      <c r="G525" s="227"/>
      <c r="H525" s="228" t="s">
        <v>203</v>
      </c>
      <c r="I525" s="253">
        <v>1</v>
      </c>
      <c r="J525" s="60">
        <f>J515</f>
        <v>152000</v>
      </c>
      <c r="K525" s="230">
        <f t="shared" ref="K525:K527" si="74">I525*J525</f>
        <v>152000</v>
      </c>
    </row>
    <row r="526" spans="1:11" ht="13.2" customHeight="1" x14ac:dyDescent="0.25">
      <c r="A526" s="223"/>
      <c r="B526" s="224" t="s">
        <v>57</v>
      </c>
      <c r="C526" s="225" t="s">
        <v>948</v>
      </c>
      <c r="D526" s="226"/>
      <c r="E526" s="44"/>
      <c r="F526" s="227"/>
      <c r="G526" s="227"/>
      <c r="H526" s="228" t="s">
        <v>203</v>
      </c>
      <c r="I526" s="253">
        <v>1</v>
      </c>
      <c r="J526" s="60">
        <f>J525</f>
        <v>152000</v>
      </c>
      <c r="K526" s="230">
        <f t="shared" si="74"/>
        <v>152000</v>
      </c>
    </row>
    <row r="527" spans="1:11" ht="13.2" customHeight="1" x14ac:dyDescent="0.25">
      <c r="A527" s="223"/>
      <c r="B527" s="224" t="s">
        <v>83</v>
      </c>
      <c r="C527" s="225" t="s">
        <v>787</v>
      </c>
      <c r="D527" s="226"/>
      <c r="E527" s="44"/>
      <c r="F527" s="227"/>
      <c r="G527" s="227"/>
      <c r="H527" s="228" t="s">
        <v>203</v>
      </c>
      <c r="I527" s="253">
        <v>4</v>
      </c>
      <c r="J527" s="60">
        <f>J517</f>
        <v>27000</v>
      </c>
      <c r="K527" s="230">
        <f t="shared" si="74"/>
        <v>108000</v>
      </c>
    </row>
    <row r="528" spans="1:11" ht="13.2" customHeight="1" x14ac:dyDescent="0.25">
      <c r="A528" s="223"/>
      <c r="B528" s="224" t="s">
        <v>110</v>
      </c>
      <c r="C528" s="225" t="s">
        <v>979</v>
      </c>
      <c r="D528" s="226"/>
      <c r="E528" s="44"/>
      <c r="F528" s="227"/>
      <c r="G528" s="227"/>
      <c r="H528" s="228" t="s">
        <v>203</v>
      </c>
      <c r="I528" s="285">
        <v>4</v>
      </c>
      <c r="J528" s="60">
        <f>J518</f>
        <v>14000</v>
      </c>
      <c r="K528" s="230">
        <f>I528*J528</f>
        <v>56000</v>
      </c>
    </row>
    <row r="529" spans="1:11" ht="12.9" customHeight="1" x14ac:dyDescent="0.25">
      <c r="A529" s="58"/>
      <c r="B529" s="231"/>
      <c r="C529" s="232"/>
      <c r="D529" s="232"/>
      <c r="E529" s="232"/>
      <c r="F529" s="232"/>
      <c r="G529" s="233"/>
      <c r="H529" s="234" t="s">
        <v>715</v>
      </c>
      <c r="I529" s="235"/>
      <c r="J529" s="235"/>
      <c r="K529" s="236">
        <f>SUM(K524:K528)</f>
        <v>1108000</v>
      </c>
    </row>
    <row r="530" spans="1:11" ht="12.9" customHeight="1" x14ac:dyDescent="0.25">
      <c r="A530" s="58"/>
      <c r="B530" s="59"/>
      <c r="C530" s="56"/>
      <c r="D530" s="56"/>
      <c r="E530" s="56"/>
      <c r="F530" s="56"/>
      <c r="G530" s="237"/>
      <c r="H530" s="238" t="s">
        <v>603</v>
      </c>
      <c r="I530" s="239">
        <f>$K$3</f>
        <v>0.15</v>
      </c>
      <c r="J530" s="240"/>
      <c r="K530" s="241">
        <f>I530*K529</f>
        <v>166200</v>
      </c>
    </row>
    <row r="531" spans="1:11" ht="12.9" customHeight="1" x14ac:dyDescent="0.25">
      <c r="A531" s="58"/>
      <c r="B531" s="59"/>
      <c r="C531" s="56"/>
      <c r="D531" s="56"/>
      <c r="E531" s="56"/>
      <c r="F531" s="56"/>
      <c r="G531" s="237"/>
      <c r="H531" s="238" t="s">
        <v>604</v>
      </c>
      <c r="I531" s="226"/>
      <c r="J531" s="226"/>
      <c r="K531" s="241">
        <f>SUM(K529:K530)</f>
        <v>1274200</v>
      </c>
    </row>
    <row r="532" spans="1:11" ht="12.9" customHeight="1" thickBot="1" x14ac:dyDescent="0.3">
      <c r="A532" s="242"/>
      <c r="B532" s="243"/>
      <c r="C532" s="244"/>
      <c r="D532" s="244"/>
      <c r="E532" s="244"/>
      <c r="F532" s="244"/>
      <c r="G532" s="245"/>
      <c r="H532" s="246" t="s">
        <v>605</v>
      </c>
      <c r="I532" s="247"/>
      <c r="J532" s="247"/>
      <c r="K532" s="248">
        <f>ROUND(K531,-1)</f>
        <v>1274200</v>
      </c>
    </row>
    <row r="533" spans="1:11" ht="14.1" customHeight="1" x14ac:dyDescent="0.25">
      <c r="A533" s="215">
        <v>44</v>
      </c>
      <c r="B533" s="651" t="s">
        <v>713</v>
      </c>
      <c r="C533" s="652"/>
      <c r="D533" s="216" t="s">
        <v>917</v>
      </c>
      <c r="E533" s="217"/>
      <c r="F533" s="218"/>
      <c r="G533" s="218"/>
      <c r="H533" s="219"/>
      <c r="I533" s="220"/>
      <c r="J533" s="221"/>
      <c r="K533" s="222"/>
    </row>
    <row r="534" spans="1:11" ht="13.2" customHeight="1" x14ac:dyDescent="0.25">
      <c r="A534" s="223"/>
      <c r="B534" s="224" t="s">
        <v>4</v>
      </c>
      <c r="C534" s="225" t="s">
        <v>890</v>
      </c>
      <c r="D534" s="226"/>
      <c r="E534" s="44"/>
      <c r="F534" s="227"/>
      <c r="G534" s="227"/>
      <c r="H534" s="228" t="s">
        <v>235</v>
      </c>
      <c r="I534" s="263">
        <v>2</v>
      </c>
      <c r="J534" s="60">
        <f>J524</f>
        <v>320000</v>
      </c>
      <c r="K534" s="230">
        <f>I534*J534</f>
        <v>640000</v>
      </c>
    </row>
    <row r="535" spans="1:11" ht="13.2" customHeight="1" x14ac:dyDescent="0.25">
      <c r="A535" s="223"/>
      <c r="B535" s="224" t="s">
        <v>30</v>
      </c>
      <c r="C535" s="225" t="s">
        <v>950</v>
      </c>
      <c r="D535" s="226"/>
      <c r="E535" s="44"/>
      <c r="F535" s="227"/>
      <c r="G535" s="227"/>
      <c r="H535" s="228" t="s">
        <v>203</v>
      </c>
      <c r="I535" s="253">
        <v>1</v>
      </c>
      <c r="J535" s="60">
        <f>'Harga Satuan Dasar mat'!G26</f>
        <v>115000</v>
      </c>
      <c r="K535" s="230">
        <f t="shared" ref="K535:K538" si="75">I535*J535</f>
        <v>115000</v>
      </c>
    </row>
    <row r="536" spans="1:11" ht="13.2" customHeight="1" x14ac:dyDescent="0.25">
      <c r="A536" s="223"/>
      <c r="B536" s="224" t="s">
        <v>57</v>
      </c>
      <c r="C536" s="225" t="s">
        <v>950</v>
      </c>
      <c r="D536" s="226"/>
      <c r="E536" s="44"/>
      <c r="F536" s="227"/>
      <c r="G536" s="227"/>
      <c r="H536" s="228" t="s">
        <v>203</v>
      </c>
      <c r="I536" s="253">
        <v>1</v>
      </c>
      <c r="J536" s="60">
        <f>J535</f>
        <v>115000</v>
      </c>
      <c r="K536" s="230">
        <f t="shared" si="75"/>
        <v>115000</v>
      </c>
    </row>
    <row r="537" spans="1:11" ht="13.2" customHeight="1" x14ac:dyDescent="0.25">
      <c r="A537" s="223"/>
      <c r="B537" s="224" t="s">
        <v>83</v>
      </c>
      <c r="C537" s="225" t="s">
        <v>787</v>
      </c>
      <c r="D537" s="226"/>
      <c r="E537" s="44"/>
      <c r="F537" s="227"/>
      <c r="G537" s="227"/>
      <c r="H537" s="228" t="s">
        <v>203</v>
      </c>
      <c r="I537" s="253">
        <v>4</v>
      </c>
      <c r="J537" s="60">
        <f>J527</f>
        <v>27000</v>
      </c>
      <c r="K537" s="230">
        <f t="shared" si="75"/>
        <v>108000</v>
      </c>
    </row>
    <row r="538" spans="1:11" ht="13.2" customHeight="1" x14ac:dyDescent="0.25">
      <c r="A538" s="223"/>
      <c r="B538" s="224" t="s">
        <v>110</v>
      </c>
      <c r="C538" s="225" t="s">
        <v>979</v>
      </c>
      <c r="D538" s="226"/>
      <c r="E538" s="44"/>
      <c r="F538" s="227"/>
      <c r="G538" s="227"/>
      <c r="H538" s="228" t="s">
        <v>203</v>
      </c>
      <c r="I538" s="285">
        <v>4</v>
      </c>
      <c r="J538" s="60">
        <f>J528</f>
        <v>14000</v>
      </c>
      <c r="K538" s="230">
        <f t="shared" si="75"/>
        <v>56000</v>
      </c>
    </row>
    <row r="539" spans="1:11" ht="12.9" customHeight="1" x14ac:dyDescent="0.25">
      <c r="A539" s="58"/>
      <c r="B539" s="231"/>
      <c r="C539" s="232"/>
      <c r="D539" s="232"/>
      <c r="E539" s="232"/>
      <c r="F539" s="232"/>
      <c r="G539" s="233"/>
      <c r="H539" s="234" t="s">
        <v>715</v>
      </c>
      <c r="I539" s="235"/>
      <c r="J539" s="235"/>
      <c r="K539" s="236">
        <f>SUM(K534:K538)</f>
        <v>1034000</v>
      </c>
    </row>
    <row r="540" spans="1:11" ht="12.9" customHeight="1" x14ac:dyDescent="0.25">
      <c r="A540" s="58"/>
      <c r="B540" s="59"/>
      <c r="C540" s="56"/>
      <c r="D540" s="56"/>
      <c r="E540" s="56"/>
      <c r="F540" s="56"/>
      <c r="G540" s="237"/>
      <c r="H540" s="238" t="s">
        <v>603</v>
      </c>
      <c r="I540" s="239">
        <f>$K$3</f>
        <v>0.15</v>
      </c>
      <c r="J540" s="240"/>
      <c r="K540" s="241">
        <f>I540*K539</f>
        <v>155100</v>
      </c>
    </row>
    <row r="541" spans="1:11" ht="12.9" customHeight="1" x14ac:dyDescent="0.25">
      <c r="A541" s="58"/>
      <c r="B541" s="59"/>
      <c r="C541" s="56"/>
      <c r="D541" s="56"/>
      <c r="E541" s="56"/>
      <c r="F541" s="56"/>
      <c r="G541" s="237"/>
      <c r="H541" s="238" t="s">
        <v>604</v>
      </c>
      <c r="I541" s="226"/>
      <c r="J541" s="226"/>
      <c r="K541" s="241">
        <f>SUM(K539:K540)</f>
        <v>1189100</v>
      </c>
    </row>
    <row r="542" spans="1:11" ht="12.9" customHeight="1" thickBot="1" x14ac:dyDescent="0.3">
      <c r="A542" s="242"/>
      <c r="B542" s="243"/>
      <c r="C542" s="244"/>
      <c r="D542" s="244"/>
      <c r="E542" s="244"/>
      <c r="F542" s="244"/>
      <c r="G542" s="245"/>
      <c r="H542" s="246" t="s">
        <v>605</v>
      </c>
      <c r="I542" s="247"/>
      <c r="J542" s="247"/>
      <c r="K542" s="248">
        <f>ROUND(K541,-1)</f>
        <v>1189100</v>
      </c>
    </row>
    <row r="543" spans="1:11" ht="14.1" customHeight="1" x14ac:dyDescent="0.25">
      <c r="A543" s="215">
        <v>45</v>
      </c>
      <c r="B543" s="651" t="s">
        <v>713</v>
      </c>
      <c r="C543" s="652"/>
      <c r="D543" s="216" t="s">
        <v>1120</v>
      </c>
      <c r="E543" s="217"/>
      <c r="F543" s="218"/>
      <c r="G543" s="218"/>
      <c r="H543" s="219"/>
      <c r="I543" s="220"/>
      <c r="J543" s="221"/>
      <c r="K543" s="222"/>
    </row>
    <row r="544" spans="1:11" ht="13.2" customHeight="1" x14ac:dyDescent="0.25">
      <c r="A544" s="223"/>
      <c r="B544" s="224" t="s">
        <v>4</v>
      </c>
      <c r="C544" s="225" t="s">
        <v>890</v>
      </c>
      <c r="D544" s="226"/>
      <c r="E544" s="44"/>
      <c r="F544" s="227"/>
      <c r="G544" s="227"/>
      <c r="H544" s="228" t="s">
        <v>235</v>
      </c>
      <c r="I544" s="263">
        <v>2</v>
      </c>
      <c r="J544" s="60">
        <f>J534</f>
        <v>320000</v>
      </c>
      <c r="K544" s="230">
        <f>I544*J544</f>
        <v>640000</v>
      </c>
    </row>
    <row r="545" spans="1:11" ht="13.2" customHeight="1" x14ac:dyDescent="0.25">
      <c r="A545" s="223"/>
      <c r="B545" s="224" t="s">
        <v>30</v>
      </c>
      <c r="C545" s="225" t="s">
        <v>951</v>
      </c>
      <c r="D545" s="226"/>
      <c r="E545" s="44"/>
      <c r="F545" s="227"/>
      <c r="G545" s="227"/>
      <c r="H545" s="228" t="s">
        <v>203</v>
      </c>
      <c r="I545" s="253">
        <v>1</v>
      </c>
      <c r="J545" s="60">
        <f>'Harga Satuan Dasar mat'!G24</f>
        <v>105500</v>
      </c>
      <c r="K545" s="230">
        <f t="shared" ref="K545:K548" si="76">I545*J545</f>
        <v>105500</v>
      </c>
    </row>
    <row r="546" spans="1:11" ht="13.2" customHeight="1" x14ac:dyDescent="0.25">
      <c r="A546" s="223"/>
      <c r="B546" s="224" t="s">
        <v>57</v>
      </c>
      <c r="C546" s="225" t="s">
        <v>964</v>
      </c>
      <c r="D546" s="226"/>
      <c r="E546" s="44"/>
      <c r="F546" s="227"/>
      <c r="G546" s="227"/>
      <c r="H546" s="228" t="s">
        <v>203</v>
      </c>
      <c r="I546" s="253">
        <v>1</v>
      </c>
      <c r="J546" s="60">
        <f>J545</f>
        <v>105500</v>
      </c>
      <c r="K546" s="230">
        <f t="shared" si="76"/>
        <v>105500</v>
      </c>
    </row>
    <row r="547" spans="1:11" ht="13.2" customHeight="1" x14ac:dyDescent="0.25">
      <c r="A547" s="223"/>
      <c r="B547" s="224" t="s">
        <v>83</v>
      </c>
      <c r="C547" s="225" t="s">
        <v>787</v>
      </c>
      <c r="D547" s="226"/>
      <c r="E547" s="44"/>
      <c r="F547" s="227"/>
      <c r="G547" s="227"/>
      <c r="H547" s="228" t="s">
        <v>203</v>
      </c>
      <c r="I547" s="253">
        <v>4</v>
      </c>
      <c r="J547" s="60">
        <f>J537</f>
        <v>27000</v>
      </c>
      <c r="K547" s="230">
        <f t="shared" si="76"/>
        <v>108000</v>
      </c>
    </row>
    <row r="548" spans="1:11" ht="13.2" customHeight="1" x14ac:dyDescent="0.25">
      <c r="A548" s="223"/>
      <c r="B548" s="224" t="s">
        <v>110</v>
      </c>
      <c r="C548" s="225" t="s">
        <v>979</v>
      </c>
      <c r="D548" s="226"/>
      <c r="E548" s="44"/>
      <c r="F548" s="227"/>
      <c r="G548" s="227"/>
      <c r="H548" s="228" t="s">
        <v>203</v>
      </c>
      <c r="I548" s="285">
        <v>4</v>
      </c>
      <c r="J548" s="60">
        <f>J538</f>
        <v>14000</v>
      </c>
      <c r="K548" s="230">
        <f t="shared" si="76"/>
        <v>56000</v>
      </c>
    </row>
    <row r="549" spans="1:11" ht="12.9" customHeight="1" x14ac:dyDescent="0.25">
      <c r="A549" s="58"/>
      <c r="B549" s="231"/>
      <c r="C549" s="232"/>
      <c r="D549" s="232"/>
      <c r="E549" s="232"/>
      <c r="F549" s="232"/>
      <c r="G549" s="233"/>
      <c r="H549" s="234" t="s">
        <v>715</v>
      </c>
      <c r="I549" s="235"/>
      <c r="J549" s="235"/>
      <c r="K549" s="236">
        <f>SUM(K544:K548)</f>
        <v>1015000</v>
      </c>
    </row>
    <row r="550" spans="1:11" ht="12.9" customHeight="1" x14ac:dyDescent="0.25">
      <c r="A550" s="58"/>
      <c r="B550" s="59"/>
      <c r="C550" s="56"/>
      <c r="D550" s="56"/>
      <c r="E550" s="56"/>
      <c r="F550" s="56"/>
      <c r="G550" s="237"/>
      <c r="H550" s="238" t="s">
        <v>603</v>
      </c>
      <c r="I550" s="239">
        <f>$K$3</f>
        <v>0.15</v>
      </c>
      <c r="J550" s="240"/>
      <c r="K550" s="241">
        <f>I550*K549</f>
        <v>152250</v>
      </c>
    </row>
    <row r="551" spans="1:11" ht="12.9" customHeight="1" x14ac:dyDescent="0.25">
      <c r="A551" s="58"/>
      <c r="B551" s="59"/>
      <c r="C551" s="56"/>
      <c r="D551" s="56"/>
      <c r="E551" s="56"/>
      <c r="F551" s="56"/>
      <c r="G551" s="237"/>
      <c r="H551" s="238" t="s">
        <v>604</v>
      </c>
      <c r="I551" s="226"/>
      <c r="J551" s="226"/>
      <c r="K551" s="241">
        <f>SUM(K549:K550)</f>
        <v>1167250</v>
      </c>
    </row>
    <row r="552" spans="1:11" ht="12.9" customHeight="1" thickBot="1" x14ac:dyDescent="0.3">
      <c r="A552" s="242"/>
      <c r="B552" s="243"/>
      <c r="C552" s="244"/>
      <c r="D552" s="244"/>
      <c r="E552" s="244"/>
      <c r="F552" s="244"/>
      <c r="G552" s="245"/>
      <c r="H552" s="246" t="s">
        <v>605</v>
      </c>
      <c r="I552" s="247"/>
      <c r="J552" s="247"/>
      <c r="K552" s="248">
        <f>ROUND(K551,-1)</f>
        <v>1167250</v>
      </c>
    </row>
    <row r="553" spans="1:11" ht="14.1" customHeight="1" x14ac:dyDescent="0.25">
      <c r="A553" s="215">
        <v>46</v>
      </c>
      <c r="B553" s="651" t="s">
        <v>713</v>
      </c>
      <c r="C553" s="652"/>
      <c r="D553" s="216" t="s">
        <v>945</v>
      </c>
      <c r="E553" s="217"/>
      <c r="F553" s="218"/>
      <c r="G553" s="218"/>
      <c r="H553" s="219"/>
      <c r="I553" s="220"/>
      <c r="J553" s="221"/>
      <c r="K553" s="222"/>
    </row>
    <row r="554" spans="1:11" ht="13.2" customHeight="1" x14ac:dyDescent="0.25">
      <c r="A554" s="223"/>
      <c r="B554" s="224" t="s">
        <v>4</v>
      </c>
      <c r="C554" s="225" t="s">
        <v>837</v>
      </c>
      <c r="D554" s="226"/>
      <c r="E554" s="44"/>
      <c r="F554" s="227"/>
      <c r="G554" s="227"/>
      <c r="H554" s="228" t="s">
        <v>235</v>
      </c>
      <c r="I554" s="263">
        <v>2</v>
      </c>
      <c r="J554" s="60">
        <f>'Harga Satuan Dasar mat'!G145</f>
        <v>1000000</v>
      </c>
      <c r="K554" s="230">
        <f>I554*J554</f>
        <v>2000000</v>
      </c>
    </row>
    <row r="555" spans="1:11" ht="13.2" customHeight="1" x14ac:dyDescent="0.25">
      <c r="A555" s="223"/>
      <c r="B555" s="224" t="s">
        <v>30</v>
      </c>
      <c r="C555" s="225" t="s">
        <v>952</v>
      </c>
      <c r="D555" s="226"/>
      <c r="E555" s="44"/>
      <c r="F555" s="227"/>
      <c r="G555" s="227"/>
      <c r="H555" s="228" t="s">
        <v>203</v>
      </c>
      <c r="I555" s="253">
        <v>2</v>
      </c>
      <c r="J555" s="60">
        <f>'Harga Satuan Dasar mat'!G35</f>
        <v>157500</v>
      </c>
      <c r="K555" s="230">
        <f t="shared" ref="K555:K558" si="77">I555*J555</f>
        <v>315000</v>
      </c>
    </row>
    <row r="556" spans="1:11" ht="13.2" customHeight="1" x14ac:dyDescent="0.25">
      <c r="A556" s="223"/>
      <c r="B556" s="224" t="s">
        <v>57</v>
      </c>
      <c r="C556" s="225" t="s">
        <v>953</v>
      </c>
      <c r="D556" s="226"/>
      <c r="E556" s="44"/>
      <c r="F556" s="227"/>
      <c r="G556" s="227"/>
      <c r="H556" s="228" t="s">
        <v>203</v>
      </c>
      <c r="I556" s="253">
        <v>2</v>
      </c>
      <c r="J556" s="60">
        <f>'Harga Satuan Dasar mat'!G34</f>
        <v>152000</v>
      </c>
      <c r="K556" s="230">
        <f t="shared" si="77"/>
        <v>304000</v>
      </c>
    </row>
    <row r="557" spans="1:11" ht="13.2" customHeight="1" x14ac:dyDescent="0.25">
      <c r="A557" s="223"/>
      <c r="B557" s="224" t="s">
        <v>83</v>
      </c>
      <c r="C557" s="225" t="s">
        <v>787</v>
      </c>
      <c r="D557" s="226"/>
      <c r="E557" s="44"/>
      <c r="F557" s="227"/>
      <c r="G557" s="227"/>
      <c r="H557" s="228" t="s">
        <v>203</v>
      </c>
      <c r="I557" s="253">
        <v>8</v>
      </c>
      <c r="J557" s="60">
        <f>J547</f>
        <v>27000</v>
      </c>
      <c r="K557" s="230">
        <f t="shared" si="77"/>
        <v>216000</v>
      </c>
    </row>
    <row r="558" spans="1:11" ht="13.2" customHeight="1" x14ac:dyDescent="0.25">
      <c r="A558" s="223"/>
      <c r="B558" s="224" t="s">
        <v>110</v>
      </c>
      <c r="C558" s="225" t="s">
        <v>979</v>
      </c>
      <c r="D558" s="226"/>
      <c r="E558" s="44"/>
      <c r="F558" s="227"/>
      <c r="G558" s="227"/>
      <c r="H558" s="228" t="s">
        <v>203</v>
      </c>
      <c r="I558" s="253">
        <v>4</v>
      </c>
      <c r="J558" s="60">
        <f>J548</f>
        <v>14000</v>
      </c>
      <c r="K558" s="230">
        <f t="shared" si="77"/>
        <v>56000</v>
      </c>
    </row>
    <row r="559" spans="1:11" ht="12.9" customHeight="1" x14ac:dyDescent="0.25">
      <c r="A559" s="58"/>
      <c r="B559" s="231"/>
      <c r="C559" s="232"/>
      <c r="D559" s="232"/>
      <c r="E559" s="232"/>
      <c r="F559" s="232"/>
      <c r="G559" s="233"/>
      <c r="H559" s="234" t="s">
        <v>715</v>
      </c>
      <c r="I559" s="235"/>
      <c r="J559" s="235"/>
      <c r="K559" s="236">
        <f>SUM(K554:K558)</f>
        <v>2891000</v>
      </c>
    </row>
    <row r="560" spans="1:11" ht="12.9" customHeight="1" x14ac:dyDescent="0.25">
      <c r="A560" s="58"/>
      <c r="B560" s="59"/>
      <c r="C560" s="56"/>
      <c r="D560" s="56"/>
      <c r="E560" s="56"/>
      <c r="F560" s="56"/>
      <c r="G560" s="237"/>
      <c r="H560" s="238" t="s">
        <v>603</v>
      </c>
      <c r="I560" s="239">
        <f>$K$3</f>
        <v>0.15</v>
      </c>
      <c r="J560" s="240"/>
      <c r="K560" s="241">
        <f>I560*K559</f>
        <v>433650</v>
      </c>
    </row>
    <row r="561" spans="1:11" ht="12.9" customHeight="1" x14ac:dyDescent="0.25">
      <c r="A561" s="58"/>
      <c r="B561" s="59"/>
      <c r="C561" s="56"/>
      <c r="D561" s="56"/>
      <c r="E561" s="56"/>
      <c r="F561" s="56"/>
      <c r="G561" s="237"/>
      <c r="H561" s="238" t="s">
        <v>604</v>
      </c>
      <c r="I561" s="226"/>
      <c r="J561" s="226"/>
      <c r="K561" s="241">
        <f>SUM(K559:K560)</f>
        <v>3324650</v>
      </c>
    </row>
    <row r="562" spans="1:11" ht="12.9" customHeight="1" thickBot="1" x14ac:dyDescent="0.3">
      <c r="A562" s="242"/>
      <c r="B562" s="243"/>
      <c r="C562" s="244"/>
      <c r="D562" s="244"/>
      <c r="E562" s="244"/>
      <c r="F562" s="244"/>
      <c r="G562" s="245"/>
      <c r="H562" s="246" t="s">
        <v>605</v>
      </c>
      <c r="I562" s="247"/>
      <c r="J562" s="247"/>
      <c r="K562" s="248">
        <f>ROUND(K561,-1)</f>
        <v>3324650</v>
      </c>
    </row>
    <row r="563" spans="1:11" ht="14.1" customHeight="1" x14ac:dyDescent="0.25">
      <c r="A563" s="215">
        <v>47</v>
      </c>
      <c r="B563" s="651" t="s">
        <v>713</v>
      </c>
      <c r="C563" s="652"/>
      <c r="D563" s="216" t="s">
        <v>1121</v>
      </c>
      <c r="E563" s="217"/>
      <c r="F563" s="218"/>
      <c r="G563" s="218"/>
      <c r="H563" s="219"/>
      <c r="I563" s="220"/>
      <c r="J563" s="221"/>
      <c r="K563" s="222"/>
    </row>
    <row r="564" spans="1:11" ht="13.2" customHeight="1" x14ac:dyDescent="0.25">
      <c r="A564" s="223"/>
      <c r="B564" s="224" t="s">
        <v>4</v>
      </c>
      <c r="C564" s="225" t="s">
        <v>837</v>
      </c>
      <c r="D564" s="226"/>
      <c r="E564" s="44"/>
      <c r="F564" s="227"/>
      <c r="G564" s="227"/>
      <c r="H564" s="228" t="s">
        <v>235</v>
      </c>
      <c r="I564" s="263">
        <v>2</v>
      </c>
      <c r="J564" s="60">
        <f>J554</f>
        <v>1000000</v>
      </c>
      <c r="K564" s="230">
        <f>I564*J564</f>
        <v>2000000</v>
      </c>
    </row>
    <row r="565" spans="1:11" ht="13.2" customHeight="1" x14ac:dyDescent="0.25">
      <c r="A565" s="223"/>
      <c r="B565" s="224" t="s">
        <v>30</v>
      </c>
      <c r="C565" s="225" t="s">
        <v>954</v>
      </c>
      <c r="D565" s="226"/>
      <c r="E565" s="44"/>
      <c r="F565" s="227"/>
      <c r="G565" s="227"/>
      <c r="H565" s="228" t="s">
        <v>203</v>
      </c>
      <c r="I565" s="253">
        <v>2</v>
      </c>
      <c r="J565" s="60">
        <f>J556</f>
        <v>152000</v>
      </c>
      <c r="K565" s="230">
        <f t="shared" ref="K565:K568" si="78">I565*J565</f>
        <v>304000</v>
      </c>
    </row>
    <row r="566" spans="1:11" ht="13.2" customHeight="1" x14ac:dyDescent="0.25">
      <c r="A566" s="223"/>
      <c r="B566" s="224" t="s">
        <v>57</v>
      </c>
      <c r="C566" s="225" t="s">
        <v>955</v>
      </c>
      <c r="D566" s="226"/>
      <c r="E566" s="44"/>
      <c r="F566" s="227"/>
      <c r="G566" s="227"/>
      <c r="H566" s="228" t="s">
        <v>203</v>
      </c>
      <c r="I566" s="253">
        <v>2</v>
      </c>
      <c r="J566" s="60">
        <f>J516</f>
        <v>147500</v>
      </c>
      <c r="K566" s="230">
        <f t="shared" si="78"/>
        <v>295000</v>
      </c>
    </row>
    <row r="567" spans="1:11" ht="13.2" customHeight="1" x14ac:dyDescent="0.25">
      <c r="A567" s="223"/>
      <c r="B567" s="224" t="s">
        <v>83</v>
      </c>
      <c r="C567" s="225" t="s">
        <v>787</v>
      </c>
      <c r="D567" s="226"/>
      <c r="E567" s="44"/>
      <c r="F567" s="227"/>
      <c r="G567" s="227"/>
      <c r="H567" s="228" t="s">
        <v>203</v>
      </c>
      <c r="I567" s="253">
        <v>8</v>
      </c>
      <c r="J567" s="60">
        <f t="shared" ref="J567:J568" si="79">J557</f>
        <v>27000</v>
      </c>
      <c r="K567" s="230">
        <f t="shared" si="78"/>
        <v>216000</v>
      </c>
    </row>
    <row r="568" spans="1:11" ht="13.2" customHeight="1" x14ac:dyDescent="0.25">
      <c r="A568" s="223"/>
      <c r="B568" s="224" t="s">
        <v>110</v>
      </c>
      <c r="C568" s="225" t="s">
        <v>979</v>
      </c>
      <c r="D568" s="226"/>
      <c r="E568" s="44"/>
      <c r="F568" s="227"/>
      <c r="G568" s="227"/>
      <c r="H568" s="228" t="s">
        <v>203</v>
      </c>
      <c r="I568" s="253">
        <v>4</v>
      </c>
      <c r="J568" s="60">
        <f t="shared" si="79"/>
        <v>14000</v>
      </c>
      <c r="K568" s="230">
        <f t="shared" si="78"/>
        <v>56000</v>
      </c>
    </row>
    <row r="569" spans="1:11" ht="12.9" customHeight="1" x14ac:dyDescent="0.25">
      <c r="A569" s="58"/>
      <c r="B569" s="231"/>
      <c r="C569" s="232"/>
      <c r="D569" s="232"/>
      <c r="E569" s="232"/>
      <c r="F569" s="232"/>
      <c r="G569" s="233"/>
      <c r="H569" s="234" t="s">
        <v>715</v>
      </c>
      <c r="I569" s="235"/>
      <c r="J569" s="235"/>
      <c r="K569" s="236">
        <f>SUM(K564:K568)</f>
        <v>2871000</v>
      </c>
    </row>
    <row r="570" spans="1:11" ht="12.9" customHeight="1" x14ac:dyDescent="0.25">
      <c r="A570" s="58"/>
      <c r="B570" s="59"/>
      <c r="C570" s="56"/>
      <c r="D570" s="56"/>
      <c r="E570" s="56"/>
      <c r="F570" s="56"/>
      <c r="G570" s="237"/>
      <c r="H570" s="238" t="s">
        <v>603</v>
      </c>
      <c r="I570" s="239">
        <f>$K$3</f>
        <v>0.15</v>
      </c>
      <c r="J570" s="240"/>
      <c r="K570" s="241">
        <f>I570*K569</f>
        <v>430650</v>
      </c>
    </row>
    <row r="571" spans="1:11" ht="12.9" customHeight="1" x14ac:dyDescent="0.25">
      <c r="A571" s="58"/>
      <c r="B571" s="59"/>
      <c r="C571" s="56"/>
      <c r="D571" s="56"/>
      <c r="E571" s="56"/>
      <c r="F571" s="56"/>
      <c r="G571" s="237"/>
      <c r="H571" s="238" t="s">
        <v>604</v>
      </c>
      <c r="I571" s="226"/>
      <c r="J571" s="226"/>
      <c r="K571" s="241">
        <f>SUM(K569:K570)</f>
        <v>3301650</v>
      </c>
    </row>
    <row r="572" spans="1:11" ht="12.9" customHeight="1" thickBot="1" x14ac:dyDescent="0.3">
      <c r="A572" s="242"/>
      <c r="B572" s="243"/>
      <c r="C572" s="244"/>
      <c r="D572" s="244"/>
      <c r="E572" s="244"/>
      <c r="F572" s="244"/>
      <c r="G572" s="245"/>
      <c r="H572" s="246" t="s">
        <v>605</v>
      </c>
      <c r="I572" s="247"/>
      <c r="J572" s="247"/>
      <c r="K572" s="248">
        <f>ROUND(K571,-1)</f>
        <v>3301650</v>
      </c>
    </row>
    <row r="573" spans="1:11" ht="14.1" customHeight="1" x14ac:dyDescent="0.25">
      <c r="A573" s="215">
        <v>48</v>
      </c>
      <c r="B573" s="651" t="s">
        <v>713</v>
      </c>
      <c r="C573" s="652"/>
      <c r="D573" s="216" t="s">
        <v>1122</v>
      </c>
      <c r="E573" s="217"/>
      <c r="F573" s="218"/>
      <c r="G573" s="218"/>
      <c r="H573" s="219"/>
      <c r="I573" s="220"/>
      <c r="J573" s="221"/>
      <c r="K573" s="222"/>
    </row>
    <row r="574" spans="1:11" ht="13.2" customHeight="1" x14ac:dyDescent="0.25">
      <c r="A574" s="223"/>
      <c r="B574" s="224" t="s">
        <v>4</v>
      </c>
      <c r="C574" s="225" t="s">
        <v>837</v>
      </c>
      <c r="D574" s="226"/>
      <c r="E574" s="44"/>
      <c r="F574" s="227"/>
      <c r="G574" s="227"/>
      <c r="H574" s="228" t="s">
        <v>235</v>
      </c>
      <c r="I574" s="263">
        <v>2</v>
      </c>
      <c r="J574" s="60">
        <f>J564</f>
        <v>1000000</v>
      </c>
      <c r="K574" s="230">
        <f>I574*J574</f>
        <v>2000000</v>
      </c>
    </row>
    <row r="575" spans="1:11" ht="13.2" customHeight="1" x14ac:dyDescent="0.25">
      <c r="A575" s="223"/>
      <c r="B575" s="224" t="s">
        <v>30</v>
      </c>
      <c r="C575" s="225" t="s">
        <v>1123</v>
      </c>
      <c r="D575" s="226"/>
      <c r="E575" s="44"/>
      <c r="F575" s="227"/>
      <c r="G575" s="227"/>
      <c r="H575" s="228" t="s">
        <v>203</v>
      </c>
      <c r="I575" s="253">
        <v>2</v>
      </c>
      <c r="J575" s="60">
        <f>J566</f>
        <v>147500</v>
      </c>
      <c r="K575" s="230">
        <f t="shared" ref="K575:K578" si="80">I575*J575</f>
        <v>295000</v>
      </c>
    </row>
    <row r="576" spans="1:11" ht="13.2" customHeight="1" x14ac:dyDescent="0.25">
      <c r="A576" s="223"/>
      <c r="B576" s="224" t="s">
        <v>57</v>
      </c>
      <c r="C576" s="225" t="s">
        <v>1124</v>
      </c>
      <c r="D576" s="226"/>
      <c r="E576" s="44"/>
      <c r="F576" s="227"/>
      <c r="G576" s="227"/>
      <c r="H576" s="228" t="s">
        <v>203</v>
      </c>
      <c r="I576" s="253">
        <v>2</v>
      </c>
      <c r="J576" s="60">
        <f>'Harga Satuan Dasar mat'!G32</f>
        <v>143500</v>
      </c>
      <c r="K576" s="230">
        <f t="shared" si="80"/>
        <v>287000</v>
      </c>
    </row>
    <row r="577" spans="1:11" ht="13.2" customHeight="1" x14ac:dyDescent="0.25">
      <c r="A577" s="223"/>
      <c r="B577" s="224" t="s">
        <v>83</v>
      </c>
      <c r="C577" s="225" t="s">
        <v>787</v>
      </c>
      <c r="D577" s="226"/>
      <c r="E577" s="44"/>
      <c r="F577" s="227"/>
      <c r="G577" s="227"/>
      <c r="H577" s="228" t="s">
        <v>203</v>
      </c>
      <c r="I577" s="253">
        <v>8</v>
      </c>
      <c r="J577" s="60">
        <f t="shared" ref="J577:J578" si="81">J567</f>
        <v>27000</v>
      </c>
      <c r="K577" s="230">
        <f t="shared" si="80"/>
        <v>216000</v>
      </c>
    </row>
    <row r="578" spans="1:11" ht="13.2" customHeight="1" x14ac:dyDescent="0.25">
      <c r="A578" s="223"/>
      <c r="B578" s="224" t="s">
        <v>110</v>
      </c>
      <c r="C578" s="225" t="s">
        <v>979</v>
      </c>
      <c r="D578" s="226"/>
      <c r="E578" s="44"/>
      <c r="F578" s="227"/>
      <c r="G578" s="227"/>
      <c r="H578" s="228" t="s">
        <v>203</v>
      </c>
      <c r="I578" s="253">
        <v>4</v>
      </c>
      <c r="J578" s="60">
        <f t="shared" si="81"/>
        <v>14000</v>
      </c>
      <c r="K578" s="230">
        <f t="shared" si="80"/>
        <v>56000</v>
      </c>
    </row>
    <row r="579" spans="1:11" ht="12.9" customHeight="1" x14ac:dyDescent="0.25">
      <c r="A579" s="58"/>
      <c r="B579" s="231"/>
      <c r="C579" s="232"/>
      <c r="D579" s="232"/>
      <c r="E579" s="232"/>
      <c r="F579" s="232"/>
      <c r="G579" s="233"/>
      <c r="H579" s="234" t="s">
        <v>715</v>
      </c>
      <c r="I579" s="235"/>
      <c r="J579" s="235"/>
      <c r="K579" s="236">
        <f>SUM(K574:K578)</f>
        <v>2854000</v>
      </c>
    </row>
    <row r="580" spans="1:11" ht="12.9" customHeight="1" x14ac:dyDescent="0.25">
      <c r="A580" s="58"/>
      <c r="B580" s="59"/>
      <c r="C580" s="56"/>
      <c r="D580" s="56"/>
      <c r="E580" s="56"/>
      <c r="F580" s="56"/>
      <c r="G580" s="237"/>
      <c r="H580" s="238" t="s">
        <v>603</v>
      </c>
      <c r="I580" s="239">
        <f>$K$3</f>
        <v>0.15</v>
      </c>
      <c r="J580" s="240"/>
      <c r="K580" s="241">
        <f>I580*K579</f>
        <v>428100</v>
      </c>
    </row>
    <row r="581" spans="1:11" ht="12.9" customHeight="1" x14ac:dyDescent="0.25">
      <c r="A581" s="58"/>
      <c r="B581" s="59"/>
      <c r="C581" s="56"/>
      <c r="D581" s="56"/>
      <c r="E581" s="56"/>
      <c r="F581" s="56"/>
      <c r="G581" s="237"/>
      <c r="H581" s="238" t="s">
        <v>604</v>
      </c>
      <c r="I581" s="226"/>
      <c r="J581" s="226"/>
      <c r="K581" s="241">
        <f>SUM(K579:K580)</f>
        <v>3282100</v>
      </c>
    </row>
    <row r="582" spans="1:11" ht="12.9" customHeight="1" thickBot="1" x14ac:dyDescent="0.3">
      <c r="A582" s="242"/>
      <c r="B582" s="243"/>
      <c r="C582" s="244"/>
      <c r="D582" s="244"/>
      <c r="E582" s="244"/>
      <c r="F582" s="244"/>
      <c r="G582" s="245"/>
      <c r="H582" s="246" t="s">
        <v>605</v>
      </c>
      <c r="I582" s="247"/>
      <c r="J582" s="247"/>
      <c r="K582" s="248">
        <f>ROUND(K581,-1)</f>
        <v>3282100</v>
      </c>
    </row>
    <row r="583" spans="1:11" ht="14.1" customHeight="1" x14ac:dyDescent="0.25">
      <c r="A583" s="215">
        <v>49</v>
      </c>
      <c r="B583" s="651" t="s">
        <v>713</v>
      </c>
      <c r="C583" s="652"/>
      <c r="D583" s="216" t="s">
        <v>929</v>
      </c>
      <c r="E583" s="217"/>
      <c r="F583" s="218"/>
      <c r="G583" s="218"/>
      <c r="H583" s="219"/>
      <c r="I583" s="220"/>
      <c r="J583" s="221"/>
      <c r="K583" s="222"/>
    </row>
    <row r="584" spans="1:11" ht="13.2" customHeight="1" x14ac:dyDescent="0.25">
      <c r="A584" s="223"/>
      <c r="B584" s="224" t="s">
        <v>4</v>
      </c>
      <c r="C584" s="225" t="s">
        <v>837</v>
      </c>
      <c r="D584" s="226"/>
      <c r="E584" s="44"/>
      <c r="F584" s="227"/>
      <c r="G584" s="227"/>
      <c r="H584" s="228" t="s">
        <v>235</v>
      </c>
      <c r="I584" s="263">
        <v>2</v>
      </c>
      <c r="J584" s="60">
        <f>J574</f>
        <v>1000000</v>
      </c>
      <c r="K584" s="230">
        <f>I584*J584</f>
        <v>2000000</v>
      </c>
    </row>
    <row r="585" spans="1:11" ht="13.2" customHeight="1" x14ac:dyDescent="0.25">
      <c r="A585" s="223"/>
      <c r="B585" s="224" t="s">
        <v>30</v>
      </c>
      <c r="C585" s="225" t="s">
        <v>956</v>
      </c>
      <c r="D585" s="226"/>
      <c r="E585" s="44"/>
      <c r="F585" s="227"/>
      <c r="G585" s="227"/>
      <c r="H585" s="228" t="s">
        <v>203</v>
      </c>
      <c r="I585" s="253">
        <v>2</v>
      </c>
      <c r="J585" s="60">
        <f>J565</f>
        <v>152000</v>
      </c>
      <c r="K585" s="230">
        <f t="shared" ref="K585:K588" si="82">I585*J585</f>
        <v>304000</v>
      </c>
    </row>
    <row r="586" spans="1:11" ht="13.2" customHeight="1" x14ac:dyDescent="0.25">
      <c r="A586" s="223"/>
      <c r="B586" s="224" t="s">
        <v>57</v>
      </c>
      <c r="C586" s="225" t="s">
        <v>948</v>
      </c>
      <c r="D586" s="226"/>
      <c r="E586" s="44"/>
      <c r="F586" s="227"/>
      <c r="G586" s="227"/>
      <c r="H586" s="228" t="s">
        <v>203</v>
      </c>
      <c r="I586" s="253">
        <v>2</v>
      </c>
      <c r="J586" s="60">
        <f>J585</f>
        <v>152000</v>
      </c>
      <c r="K586" s="230">
        <f t="shared" si="82"/>
        <v>304000</v>
      </c>
    </row>
    <row r="587" spans="1:11" ht="13.2" customHeight="1" x14ac:dyDescent="0.25">
      <c r="A587" s="223"/>
      <c r="B587" s="224" t="s">
        <v>83</v>
      </c>
      <c r="C587" s="225" t="s">
        <v>787</v>
      </c>
      <c r="D587" s="226"/>
      <c r="E587" s="44"/>
      <c r="F587" s="227"/>
      <c r="G587" s="227"/>
      <c r="H587" s="228" t="s">
        <v>203</v>
      </c>
      <c r="I587" s="253">
        <v>8</v>
      </c>
      <c r="J587" s="60">
        <f>J577</f>
        <v>27000</v>
      </c>
      <c r="K587" s="230">
        <f t="shared" si="82"/>
        <v>216000</v>
      </c>
    </row>
    <row r="588" spans="1:11" ht="13.2" customHeight="1" x14ac:dyDescent="0.25">
      <c r="A588" s="223"/>
      <c r="B588" s="224" t="s">
        <v>110</v>
      </c>
      <c r="C588" s="225" t="s">
        <v>979</v>
      </c>
      <c r="D588" s="226"/>
      <c r="E588" s="44"/>
      <c r="F588" s="227"/>
      <c r="G588" s="227"/>
      <c r="H588" s="228" t="s">
        <v>203</v>
      </c>
      <c r="I588" s="253">
        <v>4</v>
      </c>
      <c r="J588" s="60">
        <f>J578</f>
        <v>14000</v>
      </c>
      <c r="K588" s="230">
        <f t="shared" si="82"/>
        <v>56000</v>
      </c>
    </row>
    <row r="589" spans="1:11" ht="12.9" customHeight="1" x14ac:dyDescent="0.25">
      <c r="A589" s="58"/>
      <c r="B589" s="231"/>
      <c r="C589" s="232"/>
      <c r="D589" s="232"/>
      <c r="E589" s="232"/>
      <c r="F589" s="232"/>
      <c r="G589" s="233"/>
      <c r="H589" s="234" t="s">
        <v>715</v>
      </c>
      <c r="I589" s="235"/>
      <c r="J589" s="235"/>
      <c r="K589" s="236">
        <f>SUM(K584:K588)</f>
        <v>2880000</v>
      </c>
    </row>
    <row r="590" spans="1:11" ht="12.9" customHeight="1" x14ac:dyDescent="0.25">
      <c r="A590" s="58"/>
      <c r="B590" s="59"/>
      <c r="C590" s="56"/>
      <c r="D590" s="56"/>
      <c r="E590" s="56"/>
      <c r="F590" s="56"/>
      <c r="G590" s="237"/>
      <c r="H590" s="238" t="s">
        <v>603</v>
      </c>
      <c r="I590" s="239">
        <f>$K$3</f>
        <v>0.15</v>
      </c>
      <c r="J590" s="240"/>
      <c r="K590" s="241">
        <f>I590*K589</f>
        <v>432000</v>
      </c>
    </row>
    <row r="591" spans="1:11" ht="12.9" customHeight="1" x14ac:dyDescent="0.25">
      <c r="A591" s="58"/>
      <c r="B591" s="59"/>
      <c r="C591" s="56"/>
      <c r="D591" s="56"/>
      <c r="E591" s="56"/>
      <c r="F591" s="56"/>
      <c r="G591" s="237"/>
      <c r="H591" s="238" t="s">
        <v>604</v>
      </c>
      <c r="I591" s="226"/>
      <c r="J591" s="226"/>
      <c r="K591" s="241">
        <f>SUM(K589:K590)</f>
        <v>3312000</v>
      </c>
    </row>
    <row r="592" spans="1:11" ht="12.9" customHeight="1" thickBot="1" x14ac:dyDescent="0.3">
      <c r="A592" s="242"/>
      <c r="B592" s="243"/>
      <c r="C592" s="244"/>
      <c r="D592" s="244"/>
      <c r="E592" s="244"/>
      <c r="F592" s="244"/>
      <c r="G592" s="245"/>
      <c r="H592" s="246" t="s">
        <v>605</v>
      </c>
      <c r="I592" s="247"/>
      <c r="J592" s="247"/>
      <c r="K592" s="248">
        <f>ROUND(K591,-1)</f>
        <v>3312000</v>
      </c>
    </row>
    <row r="593" spans="1:11" ht="14.1" customHeight="1" x14ac:dyDescent="0.25">
      <c r="A593" s="215">
        <v>50</v>
      </c>
      <c r="B593" s="651" t="s">
        <v>713</v>
      </c>
      <c r="C593" s="652"/>
      <c r="D593" s="216" t="s">
        <v>930</v>
      </c>
      <c r="E593" s="217"/>
      <c r="F593" s="218"/>
      <c r="G593" s="218"/>
      <c r="H593" s="219"/>
      <c r="I593" s="220"/>
      <c r="J593" s="221"/>
      <c r="K593" s="222"/>
    </row>
    <row r="594" spans="1:11" ht="13.2" customHeight="1" x14ac:dyDescent="0.25">
      <c r="A594" s="223"/>
      <c r="B594" s="224" t="s">
        <v>4</v>
      </c>
      <c r="C594" s="225" t="s">
        <v>837</v>
      </c>
      <c r="D594" s="226"/>
      <c r="E594" s="44"/>
      <c r="F594" s="227"/>
      <c r="G594" s="227"/>
      <c r="H594" s="228" t="s">
        <v>235</v>
      </c>
      <c r="I594" s="263">
        <v>2</v>
      </c>
      <c r="J594" s="60">
        <f>J584</f>
        <v>1000000</v>
      </c>
      <c r="K594" s="230">
        <f>I594*J594</f>
        <v>2000000</v>
      </c>
    </row>
    <row r="595" spans="1:11" ht="13.2" customHeight="1" x14ac:dyDescent="0.25">
      <c r="A595" s="223"/>
      <c r="B595" s="224" t="s">
        <v>30</v>
      </c>
      <c r="C595" s="225" t="s">
        <v>1125</v>
      </c>
      <c r="D595" s="226"/>
      <c r="E595" s="44"/>
      <c r="F595" s="227"/>
      <c r="G595" s="227"/>
      <c r="H595" s="228" t="s">
        <v>203</v>
      </c>
      <c r="I595" s="253">
        <v>2</v>
      </c>
      <c r="J595" s="60">
        <f>'Harga Satuan Dasar mat'!G30</f>
        <v>132500</v>
      </c>
      <c r="K595" s="230">
        <f t="shared" ref="K595:K598" si="83">I595*J595</f>
        <v>265000</v>
      </c>
    </row>
    <row r="596" spans="1:11" ht="13.2" customHeight="1" x14ac:dyDescent="0.25">
      <c r="A596" s="223"/>
      <c r="B596" s="224" t="s">
        <v>57</v>
      </c>
      <c r="C596" s="225" t="s">
        <v>1126</v>
      </c>
      <c r="D596" s="226"/>
      <c r="E596" s="44"/>
      <c r="F596" s="227"/>
      <c r="G596" s="227"/>
      <c r="H596" s="228" t="s">
        <v>203</v>
      </c>
      <c r="I596" s="253">
        <v>2</v>
      </c>
      <c r="J596" s="60">
        <f>J595</f>
        <v>132500</v>
      </c>
      <c r="K596" s="230">
        <f t="shared" si="83"/>
        <v>265000</v>
      </c>
    </row>
    <row r="597" spans="1:11" ht="13.2" customHeight="1" x14ac:dyDescent="0.25">
      <c r="A597" s="223"/>
      <c r="B597" s="224" t="s">
        <v>83</v>
      </c>
      <c r="C597" s="225" t="s">
        <v>787</v>
      </c>
      <c r="D597" s="226"/>
      <c r="E597" s="44"/>
      <c r="F597" s="227"/>
      <c r="G597" s="227"/>
      <c r="H597" s="228" t="s">
        <v>203</v>
      </c>
      <c r="I597" s="253">
        <v>8</v>
      </c>
      <c r="J597" s="60">
        <f t="shared" ref="J597:J598" si="84">J587</f>
        <v>27000</v>
      </c>
      <c r="K597" s="230">
        <f t="shared" si="83"/>
        <v>216000</v>
      </c>
    </row>
    <row r="598" spans="1:11" ht="13.2" customHeight="1" x14ac:dyDescent="0.25">
      <c r="A598" s="223"/>
      <c r="B598" s="224" t="s">
        <v>110</v>
      </c>
      <c r="C598" s="225" t="s">
        <v>979</v>
      </c>
      <c r="D598" s="226"/>
      <c r="E598" s="44"/>
      <c r="F598" s="227"/>
      <c r="G598" s="227"/>
      <c r="H598" s="228" t="s">
        <v>203</v>
      </c>
      <c r="I598" s="253">
        <v>4</v>
      </c>
      <c r="J598" s="60">
        <f t="shared" si="84"/>
        <v>14000</v>
      </c>
      <c r="K598" s="230">
        <f t="shared" si="83"/>
        <v>56000</v>
      </c>
    </row>
    <row r="599" spans="1:11" ht="12.9" customHeight="1" x14ac:dyDescent="0.25">
      <c r="A599" s="58"/>
      <c r="B599" s="231"/>
      <c r="C599" s="232"/>
      <c r="D599" s="232"/>
      <c r="E599" s="232"/>
      <c r="F599" s="232"/>
      <c r="G599" s="233"/>
      <c r="H599" s="234" t="s">
        <v>715</v>
      </c>
      <c r="I599" s="235"/>
      <c r="J599" s="235"/>
      <c r="K599" s="236">
        <f>SUM(K594:K598)</f>
        <v>2802000</v>
      </c>
    </row>
    <row r="600" spans="1:11" ht="12.9" customHeight="1" x14ac:dyDescent="0.25">
      <c r="A600" s="58"/>
      <c r="B600" s="59"/>
      <c r="C600" s="56"/>
      <c r="D600" s="56"/>
      <c r="E600" s="56"/>
      <c r="F600" s="56"/>
      <c r="G600" s="237"/>
      <c r="H600" s="238" t="s">
        <v>603</v>
      </c>
      <c r="I600" s="239">
        <f>$K$3</f>
        <v>0.15</v>
      </c>
      <c r="J600" s="240"/>
      <c r="K600" s="241">
        <f>I600*K599</f>
        <v>420300</v>
      </c>
    </row>
    <row r="601" spans="1:11" ht="12.9" customHeight="1" x14ac:dyDescent="0.25">
      <c r="A601" s="58"/>
      <c r="B601" s="59"/>
      <c r="C601" s="56"/>
      <c r="D601" s="56"/>
      <c r="E601" s="56"/>
      <c r="F601" s="56"/>
      <c r="G601" s="237"/>
      <c r="H601" s="238" t="s">
        <v>604</v>
      </c>
      <c r="I601" s="226"/>
      <c r="J601" s="226"/>
      <c r="K601" s="241">
        <f>SUM(K599:K600)</f>
        <v>3222300</v>
      </c>
    </row>
    <row r="602" spans="1:11" ht="12.6" customHeight="1" thickBot="1" x14ac:dyDescent="0.3">
      <c r="A602" s="242"/>
      <c r="B602" s="243"/>
      <c r="C602" s="244"/>
      <c r="D602" s="244"/>
      <c r="E602" s="244"/>
      <c r="F602" s="244"/>
      <c r="G602" s="245"/>
      <c r="H602" s="246" t="s">
        <v>605</v>
      </c>
      <c r="I602" s="247"/>
      <c r="J602" s="247"/>
      <c r="K602" s="248">
        <f>ROUND(K601,-1)</f>
        <v>3222300</v>
      </c>
    </row>
    <row r="603" spans="1:11" ht="14.1" customHeight="1" x14ac:dyDescent="0.25">
      <c r="A603" s="215">
        <v>51</v>
      </c>
      <c r="B603" s="651" t="s">
        <v>713</v>
      </c>
      <c r="C603" s="652"/>
      <c r="D603" s="216" t="s">
        <v>970</v>
      </c>
      <c r="E603" s="217"/>
      <c r="F603" s="218"/>
      <c r="G603" s="218"/>
      <c r="H603" s="219"/>
      <c r="I603" s="220"/>
      <c r="J603" s="221"/>
      <c r="K603" s="222"/>
    </row>
    <row r="604" spans="1:11" ht="13.2" customHeight="1" x14ac:dyDescent="0.25">
      <c r="A604" s="223"/>
      <c r="B604" s="224" t="s">
        <v>4</v>
      </c>
      <c r="C604" s="225" t="s">
        <v>837</v>
      </c>
      <c r="D604" s="226"/>
      <c r="E604" s="44"/>
      <c r="F604" s="227"/>
      <c r="G604" s="227"/>
      <c r="H604" s="228" t="s">
        <v>235</v>
      </c>
      <c r="I604" s="263">
        <v>2</v>
      </c>
      <c r="J604" s="60">
        <f>J594</f>
        <v>1000000</v>
      </c>
      <c r="K604" s="230">
        <f>I604*J604</f>
        <v>2000000</v>
      </c>
    </row>
    <row r="605" spans="1:11" ht="13.2" customHeight="1" x14ac:dyDescent="0.25">
      <c r="A605" s="223"/>
      <c r="B605" s="224" t="s">
        <v>30</v>
      </c>
      <c r="C605" s="225" t="s">
        <v>957</v>
      </c>
      <c r="D605" s="226"/>
      <c r="E605" s="44"/>
      <c r="F605" s="227"/>
      <c r="G605" s="227"/>
      <c r="H605" s="228" t="s">
        <v>203</v>
      </c>
      <c r="I605" s="253">
        <v>2</v>
      </c>
      <c r="J605" s="60">
        <f>J535</f>
        <v>115000</v>
      </c>
      <c r="K605" s="230">
        <f t="shared" ref="K605:K608" si="85">I605*J605</f>
        <v>230000</v>
      </c>
    </row>
    <row r="606" spans="1:11" ht="13.2" customHeight="1" x14ac:dyDescent="0.25">
      <c r="A606" s="223"/>
      <c r="B606" s="224" t="s">
        <v>57</v>
      </c>
      <c r="C606" s="225" t="s">
        <v>950</v>
      </c>
      <c r="D606" s="226"/>
      <c r="E606" s="44"/>
      <c r="F606" s="227"/>
      <c r="G606" s="227"/>
      <c r="H606" s="228" t="s">
        <v>203</v>
      </c>
      <c r="I606" s="253">
        <v>2</v>
      </c>
      <c r="J606" s="60">
        <f>J605</f>
        <v>115000</v>
      </c>
      <c r="K606" s="230">
        <f t="shared" si="85"/>
        <v>230000</v>
      </c>
    </row>
    <row r="607" spans="1:11" ht="13.2" customHeight="1" x14ac:dyDescent="0.25">
      <c r="A607" s="223"/>
      <c r="B607" s="224" t="s">
        <v>83</v>
      </c>
      <c r="C607" s="225" t="s">
        <v>787</v>
      </c>
      <c r="D607" s="226"/>
      <c r="E607" s="44"/>
      <c r="F607" s="227"/>
      <c r="G607" s="227"/>
      <c r="H607" s="228" t="s">
        <v>203</v>
      </c>
      <c r="I607" s="253">
        <v>8</v>
      </c>
      <c r="J607" s="60">
        <f t="shared" ref="J607:J608" si="86">J597</f>
        <v>27000</v>
      </c>
      <c r="K607" s="230">
        <f t="shared" si="85"/>
        <v>216000</v>
      </c>
    </row>
    <row r="608" spans="1:11" ht="13.2" customHeight="1" x14ac:dyDescent="0.25">
      <c r="A608" s="223"/>
      <c r="B608" s="224" t="s">
        <v>110</v>
      </c>
      <c r="C608" s="225" t="s">
        <v>979</v>
      </c>
      <c r="D608" s="226"/>
      <c r="E608" s="44"/>
      <c r="F608" s="227"/>
      <c r="G608" s="227"/>
      <c r="H608" s="228" t="s">
        <v>203</v>
      </c>
      <c r="I608" s="253">
        <v>4</v>
      </c>
      <c r="J608" s="60">
        <f t="shared" si="86"/>
        <v>14000</v>
      </c>
      <c r="K608" s="230">
        <f t="shared" si="85"/>
        <v>56000</v>
      </c>
    </row>
    <row r="609" spans="1:11" ht="12.9" customHeight="1" x14ac:dyDescent="0.25">
      <c r="A609" s="58"/>
      <c r="B609" s="231"/>
      <c r="C609" s="232"/>
      <c r="D609" s="232"/>
      <c r="E609" s="232"/>
      <c r="F609" s="232"/>
      <c r="G609" s="233"/>
      <c r="H609" s="234" t="s">
        <v>715</v>
      </c>
      <c r="I609" s="235"/>
      <c r="J609" s="235"/>
      <c r="K609" s="236">
        <f>SUM(K604:K608)</f>
        <v>2732000</v>
      </c>
    </row>
    <row r="610" spans="1:11" ht="12.9" customHeight="1" x14ac:dyDescent="0.25">
      <c r="A610" s="58"/>
      <c r="B610" s="59"/>
      <c r="C610" s="56"/>
      <c r="D610" s="56"/>
      <c r="E610" s="56"/>
      <c r="F610" s="56"/>
      <c r="G610" s="237"/>
      <c r="H610" s="238" t="s">
        <v>603</v>
      </c>
      <c r="I610" s="239">
        <f>$K$3</f>
        <v>0.15</v>
      </c>
      <c r="J610" s="240"/>
      <c r="K610" s="241">
        <f>I610*K609</f>
        <v>409800</v>
      </c>
    </row>
    <row r="611" spans="1:11" ht="12.9" customHeight="1" x14ac:dyDescent="0.25">
      <c r="A611" s="58"/>
      <c r="B611" s="59"/>
      <c r="C611" s="56"/>
      <c r="D611" s="56"/>
      <c r="E611" s="56"/>
      <c r="F611" s="56"/>
      <c r="G611" s="237"/>
      <c r="H611" s="238" t="s">
        <v>604</v>
      </c>
      <c r="I611" s="226"/>
      <c r="J611" s="226"/>
      <c r="K611" s="241">
        <f>SUM(K609:K610)</f>
        <v>3141800</v>
      </c>
    </row>
    <row r="612" spans="1:11" ht="12.9" customHeight="1" thickBot="1" x14ac:dyDescent="0.3">
      <c r="A612" s="242"/>
      <c r="B612" s="243"/>
      <c r="C612" s="244"/>
      <c r="D612" s="244"/>
      <c r="E612" s="244"/>
      <c r="F612" s="244"/>
      <c r="G612" s="245"/>
      <c r="H612" s="246" t="s">
        <v>605</v>
      </c>
      <c r="I612" s="247"/>
      <c r="J612" s="247"/>
      <c r="K612" s="248">
        <f>ROUND(K611,-1)</f>
        <v>3141800</v>
      </c>
    </row>
    <row r="613" spans="1:11" ht="14.1" customHeight="1" x14ac:dyDescent="0.25">
      <c r="A613" s="215">
        <v>52</v>
      </c>
      <c r="B613" s="651" t="s">
        <v>713</v>
      </c>
      <c r="C613" s="652"/>
      <c r="D613" s="216" t="s">
        <v>938</v>
      </c>
      <c r="E613" s="217"/>
      <c r="F613" s="218"/>
      <c r="G613" s="218"/>
      <c r="H613" s="219"/>
      <c r="I613" s="220"/>
      <c r="J613" s="221"/>
      <c r="K613" s="222"/>
    </row>
    <row r="614" spans="1:11" ht="13.2" customHeight="1" x14ac:dyDescent="0.25">
      <c r="A614" s="223"/>
      <c r="B614" s="224" t="s">
        <v>4</v>
      </c>
      <c r="C614" s="225" t="s">
        <v>1138</v>
      </c>
      <c r="D614" s="226"/>
      <c r="E614" s="44"/>
      <c r="F614" s="227"/>
      <c r="G614" s="227"/>
      <c r="H614" s="228" t="s">
        <v>235</v>
      </c>
      <c r="I614" s="263">
        <v>1</v>
      </c>
      <c r="J614" s="60">
        <f>'Harga Satuan Dasar mat'!G315</f>
        <v>946000</v>
      </c>
      <c r="K614" s="230">
        <f>I614*J614</f>
        <v>946000</v>
      </c>
    </row>
    <row r="615" spans="1:11" ht="13.2" customHeight="1" x14ac:dyDescent="0.25">
      <c r="A615" s="223"/>
      <c r="B615" s="224" t="s">
        <v>30</v>
      </c>
      <c r="C615" s="225" t="s">
        <v>1139</v>
      </c>
      <c r="D615" s="226"/>
      <c r="E615" s="44"/>
      <c r="F615" s="227"/>
      <c r="G615" s="227"/>
      <c r="H615" s="228" t="s">
        <v>235</v>
      </c>
      <c r="I615" s="253">
        <v>2</v>
      </c>
      <c r="J615" s="60">
        <f>J614</f>
        <v>946000</v>
      </c>
      <c r="K615" s="230">
        <f t="shared" ref="K615:K625" si="87">I615*J615</f>
        <v>1892000</v>
      </c>
    </row>
    <row r="616" spans="1:11" ht="13.2" customHeight="1" x14ac:dyDescent="0.25">
      <c r="A616" s="223"/>
      <c r="B616" s="224" t="s">
        <v>57</v>
      </c>
      <c r="C616" s="225" t="s">
        <v>932</v>
      </c>
      <c r="D616" s="226"/>
      <c r="E616" s="44"/>
      <c r="F616" s="227"/>
      <c r="G616" s="227"/>
      <c r="H616" s="228" t="s">
        <v>235</v>
      </c>
      <c r="I616" s="253">
        <v>6</v>
      </c>
      <c r="J616" s="60">
        <f>'Harga Satuan Dasar mat'!G359</f>
        <v>24350</v>
      </c>
      <c r="K616" s="230">
        <f t="shared" si="87"/>
        <v>146100</v>
      </c>
    </row>
    <row r="617" spans="1:11" ht="13.2" customHeight="1" x14ac:dyDescent="0.25">
      <c r="A617" s="223"/>
      <c r="B617" s="224" t="s">
        <v>83</v>
      </c>
      <c r="C617" s="225" t="s">
        <v>933</v>
      </c>
      <c r="D617" s="226"/>
      <c r="E617" s="44"/>
      <c r="F617" s="227"/>
      <c r="G617" s="227"/>
      <c r="H617" s="228" t="s">
        <v>203</v>
      </c>
      <c r="I617" s="285">
        <v>6</v>
      </c>
      <c r="J617" s="60">
        <f>'Harga Satuan Dasar mat'!G356</f>
        <v>107700</v>
      </c>
      <c r="K617" s="230">
        <f t="shared" si="87"/>
        <v>646200</v>
      </c>
    </row>
    <row r="618" spans="1:11" ht="13.2" customHeight="1" x14ac:dyDescent="0.25">
      <c r="A618" s="223"/>
      <c r="B618" s="224" t="s">
        <v>110</v>
      </c>
      <c r="C618" s="225" t="s">
        <v>934</v>
      </c>
      <c r="D618" s="226"/>
      <c r="E618" s="44"/>
      <c r="F618" s="227"/>
      <c r="G618" s="227"/>
      <c r="H618" s="228" t="s">
        <v>203</v>
      </c>
      <c r="I618" s="253">
        <v>3</v>
      </c>
      <c r="J618" s="60">
        <f>'Harga Satuan Dasar mat'!G363</f>
        <v>75000</v>
      </c>
      <c r="K618" s="230">
        <f t="shared" si="87"/>
        <v>225000</v>
      </c>
    </row>
    <row r="619" spans="1:11" ht="13.2" customHeight="1" x14ac:dyDescent="0.25">
      <c r="A619" s="223"/>
      <c r="B619" s="224" t="s">
        <v>137</v>
      </c>
      <c r="C619" s="225" t="s">
        <v>890</v>
      </c>
      <c r="D619" s="226"/>
      <c r="E619" s="44"/>
      <c r="F619" s="227"/>
      <c r="G619" s="227"/>
      <c r="H619" s="228" t="s">
        <v>235</v>
      </c>
      <c r="I619" s="253">
        <v>3</v>
      </c>
      <c r="J619" s="60">
        <f>'Harga Satuan Dasar mat'!G152</f>
        <v>320000</v>
      </c>
      <c r="K619" s="230">
        <f t="shared" si="87"/>
        <v>960000</v>
      </c>
    </row>
    <row r="620" spans="1:11" ht="13.2" customHeight="1" x14ac:dyDescent="0.25">
      <c r="A620" s="223"/>
      <c r="B620" s="224" t="s">
        <v>156</v>
      </c>
      <c r="C620" s="225" t="s">
        <v>1135</v>
      </c>
      <c r="D620" s="226"/>
      <c r="E620" s="44"/>
      <c r="F620" s="287" t="s">
        <v>961</v>
      </c>
      <c r="G620" s="227"/>
      <c r="H620" s="228" t="s">
        <v>235</v>
      </c>
      <c r="I620" s="288">
        <v>1</v>
      </c>
      <c r="J620" s="60">
        <f>'Harga Satuan Dasar mat'!G35</f>
        <v>157500</v>
      </c>
      <c r="K620" s="230">
        <f t="shared" si="87"/>
        <v>157500</v>
      </c>
    </row>
    <row r="621" spans="1:11" ht="13.2" customHeight="1" x14ac:dyDescent="0.25">
      <c r="A621" s="223"/>
      <c r="B621" s="224" t="s">
        <v>175</v>
      </c>
      <c r="C621" s="225" t="s">
        <v>1137</v>
      </c>
      <c r="D621" s="226"/>
      <c r="E621" s="44"/>
      <c r="F621" s="287" t="s">
        <v>962</v>
      </c>
      <c r="G621" s="227"/>
      <c r="H621" s="228" t="s">
        <v>235</v>
      </c>
      <c r="I621" s="289">
        <v>1</v>
      </c>
      <c r="J621" s="60">
        <f>'Harga Satuan Dasar mat'!G33</f>
        <v>147500</v>
      </c>
      <c r="K621" s="230">
        <f t="shared" si="87"/>
        <v>147500</v>
      </c>
    </row>
    <row r="622" spans="1:11" ht="13.2" customHeight="1" x14ac:dyDescent="0.25">
      <c r="A622" s="223"/>
      <c r="B622" s="224" t="s">
        <v>177</v>
      </c>
      <c r="C622" s="225" t="s">
        <v>1136</v>
      </c>
      <c r="D622" s="226"/>
      <c r="E622" s="44"/>
      <c r="F622" s="287" t="s">
        <v>960</v>
      </c>
      <c r="G622" s="227"/>
      <c r="H622" s="228" t="s">
        <v>235</v>
      </c>
      <c r="I622" s="289">
        <v>1</v>
      </c>
      <c r="J622" s="60">
        <f>'Harga Satuan Dasar mat'!G32</f>
        <v>143500</v>
      </c>
      <c r="K622" s="230">
        <f t="shared" si="87"/>
        <v>143500</v>
      </c>
    </row>
    <row r="623" spans="1:11" ht="13.2" customHeight="1" x14ac:dyDescent="0.25">
      <c r="A623" s="223"/>
      <c r="B623" s="224" t="s">
        <v>197</v>
      </c>
      <c r="C623" s="225" t="s">
        <v>959</v>
      </c>
      <c r="D623" s="226"/>
      <c r="E623" s="44"/>
      <c r="F623" s="287" t="s">
        <v>963</v>
      </c>
      <c r="G623" s="227"/>
      <c r="H623" s="228" t="s">
        <v>235</v>
      </c>
      <c r="I623" s="285">
        <v>9</v>
      </c>
      <c r="J623" s="60">
        <f>'Harga Satuan Dasar mat'!G14</f>
        <v>55500</v>
      </c>
      <c r="K623" s="230">
        <f t="shared" si="87"/>
        <v>499500</v>
      </c>
    </row>
    <row r="624" spans="1:11" ht="13.2" customHeight="1" x14ac:dyDescent="0.25">
      <c r="A624" s="223"/>
      <c r="B624" s="224" t="s">
        <v>198</v>
      </c>
      <c r="C624" s="225" t="s">
        <v>787</v>
      </c>
      <c r="D624" s="226"/>
      <c r="E624" s="44"/>
      <c r="F624" s="227"/>
      <c r="G624" s="227"/>
      <c r="H624" s="228" t="s">
        <v>203</v>
      </c>
      <c r="I624" s="253">
        <v>6</v>
      </c>
      <c r="J624" s="60">
        <f>'Harga Satuan Dasar mat'!G248</f>
        <v>27000</v>
      </c>
      <c r="K624" s="230">
        <f t="shared" si="87"/>
        <v>162000</v>
      </c>
    </row>
    <row r="625" spans="1:11" ht="13.2" customHeight="1" x14ac:dyDescent="0.25">
      <c r="A625" s="223"/>
      <c r="B625" s="224" t="s">
        <v>200</v>
      </c>
      <c r="C625" s="225" t="s">
        <v>979</v>
      </c>
      <c r="D625" s="226"/>
      <c r="E625" s="44"/>
      <c r="F625" s="227"/>
      <c r="G625" s="227"/>
      <c r="H625" s="228" t="s">
        <v>203</v>
      </c>
      <c r="I625" s="253">
        <v>18</v>
      </c>
      <c r="J625" s="60">
        <f>'Harga Satuan Dasar mat'!G252</f>
        <v>14000</v>
      </c>
      <c r="K625" s="230">
        <f t="shared" si="87"/>
        <v>252000</v>
      </c>
    </row>
    <row r="626" spans="1:11" ht="12.9" customHeight="1" x14ac:dyDescent="0.25">
      <c r="A626" s="58"/>
      <c r="B626" s="231"/>
      <c r="C626" s="232"/>
      <c r="D626" s="232"/>
      <c r="E626" s="232"/>
      <c r="F626" s="232"/>
      <c r="G626" s="233"/>
      <c r="H626" s="234" t="s">
        <v>715</v>
      </c>
      <c r="I626" s="235"/>
      <c r="J626" s="235"/>
      <c r="K626" s="236">
        <f>SUM(K614:K625)</f>
        <v>6177300</v>
      </c>
    </row>
    <row r="627" spans="1:11" ht="12.9" customHeight="1" x14ac:dyDescent="0.25">
      <c r="A627" s="58"/>
      <c r="B627" s="59"/>
      <c r="C627" s="56"/>
      <c r="D627" s="56"/>
      <c r="E627" s="56"/>
      <c r="F627" s="56"/>
      <c r="G627" s="237"/>
      <c r="H627" s="238" t="s">
        <v>603</v>
      </c>
      <c r="I627" s="239">
        <f>$K$3</f>
        <v>0.15</v>
      </c>
      <c r="J627" s="240"/>
      <c r="K627" s="241">
        <f>I627*K626</f>
        <v>926595</v>
      </c>
    </row>
    <row r="628" spans="1:11" ht="12.9" customHeight="1" x14ac:dyDescent="0.25">
      <c r="A628" s="58"/>
      <c r="B628" s="59"/>
      <c r="C628" s="56"/>
      <c r="D628" s="56"/>
      <c r="E628" s="56"/>
      <c r="F628" s="56"/>
      <c r="G628" s="237"/>
      <c r="H628" s="238" t="s">
        <v>604</v>
      </c>
      <c r="I628" s="226"/>
      <c r="J628" s="226"/>
      <c r="K628" s="241">
        <f>SUM(K626:K627)</f>
        <v>7103895</v>
      </c>
    </row>
    <row r="629" spans="1:11" ht="12.9" customHeight="1" thickBot="1" x14ac:dyDescent="0.3">
      <c r="A629" s="242"/>
      <c r="B629" s="243"/>
      <c r="C629" s="244"/>
      <c r="D629" s="244"/>
      <c r="E629" s="244"/>
      <c r="F629" s="244"/>
      <c r="G629" s="245"/>
      <c r="H629" s="246" t="s">
        <v>605</v>
      </c>
      <c r="I629" s="247"/>
      <c r="J629" s="247"/>
      <c r="K629" s="248">
        <f>ROUND(K628,-1)</f>
        <v>7103900</v>
      </c>
    </row>
    <row r="630" spans="1:11" ht="14.1" customHeight="1" x14ac:dyDescent="0.25">
      <c r="A630" s="215">
        <v>53</v>
      </c>
      <c r="B630" s="651" t="s">
        <v>713</v>
      </c>
      <c r="C630" s="652"/>
      <c r="D630" s="216" t="s">
        <v>939</v>
      </c>
      <c r="E630" s="217"/>
      <c r="F630" s="218"/>
      <c r="G630" s="218"/>
      <c r="H630" s="219"/>
      <c r="I630" s="220"/>
      <c r="J630" s="221"/>
      <c r="K630" s="222"/>
    </row>
    <row r="631" spans="1:11" ht="13.2" customHeight="1" x14ac:dyDescent="0.25">
      <c r="A631" s="223"/>
      <c r="B631" s="224" t="s">
        <v>4</v>
      </c>
      <c r="C631" s="225" t="s">
        <v>1146</v>
      </c>
      <c r="D631" s="226"/>
      <c r="E631" s="44"/>
      <c r="F631" s="227"/>
      <c r="G631" s="227"/>
      <c r="H631" s="228" t="s">
        <v>235</v>
      </c>
      <c r="I631" s="263">
        <v>1</v>
      </c>
      <c r="J631" s="60">
        <f>J614</f>
        <v>946000</v>
      </c>
      <c r="K631" s="230">
        <f>I631*J631</f>
        <v>946000</v>
      </c>
    </row>
    <row r="632" spans="1:11" ht="13.2" customHeight="1" x14ac:dyDescent="0.25">
      <c r="A632" s="223"/>
      <c r="B632" s="224" t="s">
        <v>30</v>
      </c>
      <c r="C632" s="225" t="s">
        <v>1145</v>
      </c>
      <c r="D632" s="226"/>
      <c r="E632" s="44"/>
      <c r="F632" s="227"/>
      <c r="G632" s="227"/>
      <c r="H632" s="228" t="s">
        <v>235</v>
      </c>
      <c r="I632" s="253">
        <v>2</v>
      </c>
      <c r="J632" s="60">
        <f t="shared" ref="J632:J642" si="88">J615</f>
        <v>946000</v>
      </c>
      <c r="K632" s="230">
        <f t="shared" ref="K632:K642" si="89">I632*J632</f>
        <v>1892000</v>
      </c>
    </row>
    <row r="633" spans="1:11" ht="13.2" customHeight="1" x14ac:dyDescent="0.25">
      <c r="A633" s="223"/>
      <c r="B633" s="224" t="s">
        <v>57</v>
      </c>
      <c r="C633" s="225" t="s">
        <v>932</v>
      </c>
      <c r="D633" s="226"/>
      <c r="E633" s="44"/>
      <c r="F633" s="227"/>
      <c r="G633" s="227"/>
      <c r="H633" s="228" t="s">
        <v>235</v>
      </c>
      <c r="I633" s="253">
        <v>6</v>
      </c>
      <c r="J633" s="60">
        <f t="shared" si="88"/>
        <v>24350</v>
      </c>
      <c r="K633" s="230">
        <f t="shared" si="89"/>
        <v>146100</v>
      </c>
    </row>
    <row r="634" spans="1:11" ht="13.2" customHeight="1" x14ac:dyDescent="0.25">
      <c r="A634" s="223"/>
      <c r="B634" s="224" t="s">
        <v>83</v>
      </c>
      <c r="C634" s="225" t="s">
        <v>933</v>
      </c>
      <c r="D634" s="226"/>
      <c r="E634" s="44"/>
      <c r="F634" s="227"/>
      <c r="G634" s="227"/>
      <c r="H634" s="228" t="s">
        <v>203</v>
      </c>
      <c r="I634" s="285">
        <v>6</v>
      </c>
      <c r="J634" s="60">
        <f t="shared" si="88"/>
        <v>107700</v>
      </c>
      <c r="K634" s="230">
        <f t="shared" si="89"/>
        <v>646200</v>
      </c>
    </row>
    <row r="635" spans="1:11" ht="13.2" customHeight="1" x14ac:dyDescent="0.25">
      <c r="A635" s="223"/>
      <c r="B635" s="224" t="s">
        <v>110</v>
      </c>
      <c r="C635" s="225" t="s">
        <v>934</v>
      </c>
      <c r="D635" s="226"/>
      <c r="E635" s="44"/>
      <c r="F635" s="227"/>
      <c r="G635" s="227"/>
      <c r="H635" s="228" t="s">
        <v>203</v>
      </c>
      <c r="I635" s="253">
        <v>3</v>
      </c>
      <c r="J635" s="60">
        <f t="shared" si="88"/>
        <v>75000</v>
      </c>
      <c r="K635" s="230">
        <f t="shared" si="89"/>
        <v>225000</v>
      </c>
    </row>
    <row r="636" spans="1:11" ht="13.2" customHeight="1" x14ac:dyDescent="0.25">
      <c r="A636" s="223"/>
      <c r="B636" s="224" t="s">
        <v>137</v>
      </c>
      <c r="C636" s="225" t="s">
        <v>890</v>
      </c>
      <c r="D636" s="226"/>
      <c r="E636" s="44"/>
      <c r="F636" s="227"/>
      <c r="G636" s="227"/>
      <c r="H636" s="228" t="s">
        <v>235</v>
      </c>
      <c r="I636" s="253">
        <v>2</v>
      </c>
      <c r="J636" s="60">
        <f t="shared" si="88"/>
        <v>320000</v>
      </c>
      <c r="K636" s="230">
        <f t="shared" si="89"/>
        <v>640000</v>
      </c>
    </row>
    <row r="637" spans="1:11" ht="13.2" customHeight="1" x14ac:dyDescent="0.25">
      <c r="A637" s="223"/>
      <c r="B637" s="224" t="s">
        <v>156</v>
      </c>
      <c r="C637" s="225" t="s">
        <v>1140</v>
      </c>
      <c r="D637" s="226"/>
      <c r="E637" s="44"/>
      <c r="G637" s="227"/>
      <c r="H637" s="228" t="s">
        <v>235</v>
      </c>
      <c r="I637" s="288">
        <v>1</v>
      </c>
      <c r="J637" s="60">
        <f>'Harga Satuan Dasar mat'!G34</f>
        <v>152000</v>
      </c>
      <c r="K637" s="230">
        <f t="shared" si="89"/>
        <v>152000</v>
      </c>
    </row>
    <row r="638" spans="1:11" ht="13.2" customHeight="1" x14ac:dyDescent="0.25">
      <c r="A638" s="223"/>
      <c r="B638" s="224" t="s">
        <v>175</v>
      </c>
      <c r="C638" s="225" t="s">
        <v>1142</v>
      </c>
      <c r="D638" s="226"/>
      <c r="E638" s="44"/>
      <c r="G638" s="227"/>
      <c r="H638" s="228" t="s">
        <v>235</v>
      </c>
      <c r="I638" s="289">
        <v>1</v>
      </c>
      <c r="J638" s="60">
        <f>'Harga Satuan Dasar mat'!G31</f>
        <v>139500</v>
      </c>
      <c r="K638" s="230">
        <f t="shared" si="89"/>
        <v>139500</v>
      </c>
    </row>
    <row r="639" spans="1:11" ht="13.2" customHeight="1" x14ac:dyDescent="0.25">
      <c r="A639" s="223"/>
      <c r="B639" s="224" t="s">
        <v>177</v>
      </c>
      <c r="C639" s="225" t="s">
        <v>1141</v>
      </c>
      <c r="D639" s="226"/>
      <c r="E639" s="44"/>
      <c r="G639" s="227"/>
      <c r="H639" s="228" t="s">
        <v>235</v>
      </c>
      <c r="I639" s="289">
        <v>1</v>
      </c>
      <c r="J639" s="60">
        <f>'Harga Satuan Dasar mat'!G29</f>
        <v>127000</v>
      </c>
      <c r="K639" s="230">
        <f t="shared" si="89"/>
        <v>127000</v>
      </c>
    </row>
    <row r="640" spans="1:11" ht="13.2" customHeight="1" x14ac:dyDescent="0.25">
      <c r="A640" s="223"/>
      <c r="B640" s="224" t="s">
        <v>197</v>
      </c>
      <c r="C640" s="225" t="s">
        <v>959</v>
      </c>
      <c r="D640" s="226"/>
      <c r="E640" s="44"/>
      <c r="G640" s="227"/>
      <c r="H640" s="228" t="s">
        <v>235</v>
      </c>
      <c r="I640" s="285">
        <v>9</v>
      </c>
      <c r="J640" s="60">
        <f t="shared" si="88"/>
        <v>55500</v>
      </c>
      <c r="K640" s="230">
        <f t="shared" si="89"/>
        <v>499500</v>
      </c>
    </row>
    <row r="641" spans="1:11" ht="13.2" customHeight="1" x14ac:dyDescent="0.25">
      <c r="A641" s="223"/>
      <c r="B641" s="224" t="s">
        <v>198</v>
      </c>
      <c r="C641" s="225" t="s">
        <v>787</v>
      </c>
      <c r="D641" s="226"/>
      <c r="E641" s="44"/>
      <c r="F641" s="227"/>
      <c r="G641" s="227"/>
      <c r="H641" s="228" t="s">
        <v>203</v>
      </c>
      <c r="I641" s="253">
        <v>6</v>
      </c>
      <c r="J641" s="60">
        <f t="shared" si="88"/>
        <v>27000</v>
      </c>
      <c r="K641" s="230">
        <f t="shared" si="89"/>
        <v>162000</v>
      </c>
    </row>
    <row r="642" spans="1:11" ht="13.2" customHeight="1" x14ac:dyDescent="0.25">
      <c r="A642" s="223"/>
      <c r="B642" s="224" t="s">
        <v>200</v>
      </c>
      <c r="C642" s="225" t="s">
        <v>979</v>
      </c>
      <c r="D642" s="226"/>
      <c r="E642" s="44"/>
      <c r="F642" s="227"/>
      <c r="G642" s="227"/>
      <c r="H642" s="228" t="s">
        <v>203</v>
      </c>
      <c r="I642" s="253">
        <v>18</v>
      </c>
      <c r="J642" s="60">
        <f t="shared" si="88"/>
        <v>14000</v>
      </c>
      <c r="K642" s="230">
        <f t="shared" si="89"/>
        <v>252000</v>
      </c>
    </row>
    <row r="643" spans="1:11" ht="12.9" customHeight="1" x14ac:dyDescent="0.25">
      <c r="A643" s="58"/>
      <c r="B643" s="231"/>
      <c r="C643" s="232"/>
      <c r="D643" s="232"/>
      <c r="E643" s="232"/>
      <c r="F643" s="232"/>
      <c r="G643" s="233"/>
      <c r="H643" s="234" t="s">
        <v>715</v>
      </c>
      <c r="I643" s="235"/>
      <c r="J643" s="235"/>
      <c r="K643" s="236">
        <f>SUM(K631:K642)</f>
        <v>5827300</v>
      </c>
    </row>
    <row r="644" spans="1:11" ht="12.9" customHeight="1" x14ac:dyDescent="0.25">
      <c r="A644" s="58"/>
      <c r="B644" s="59"/>
      <c r="C644" s="56"/>
      <c r="D644" s="56"/>
      <c r="E644" s="56"/>
      <c r="F644" s="56"/>
      <c r="G644" s="237"/>
      <c r="H644" s="238" t="s">
        <v>603</v>
      </c>
      <c r="I644" s="239">
        <f>$K$3</f>
        <v>0.15</v>
      </c>
      <c r="J644" s="240"/>
      <c r="K644" s="241">
        <f>I644*K643</f>
        <v>874095</v>
      </c>
    </row>
    <row r="645" spans="1:11" ht="12.9" customHeight="1" x14ac:dyDescent="0.25">
      <c r="A645" s="58"/>
      <c r="B645" s="59"/>
      <c r="C645" s="56"/>
      <c r="D645" s="56"/>
      <c r="E645" s="56"/>
      <c r="F645" s="56"/>
      <c r="G645" s="237"/>
      <c r="H645" s="238" t="s">
        <v>604</v>
      </c>
      <c r="I645" s="226"/>
      <c r="J645" s="226"/>
      <c r="K645" s="241">
        <f>SUM(K643:K644)</f>
        <v>6701395</v>
      </c>
    </row>
    <row r="646" spans="1:11" ht="12.9" customHeight="1" thickBot="1" x14ac:dyDescent="0.3">
      <c r="A646" s="242"/>
      <c r="B646" s="243"/>
      <c r="C646" s="244"/>
      <c r="D646" s="244"/>
      <c r="E646" s="244"/>
      <c r="F646" s="244"/>
      <c r="G646" s="245"/>
      <c r="H646" s="246" t="s">
        <v>605</v>
      </c>
      <c r="I646" s="247"/>
      <c r="J646" s="247"/>
      <c r="K646" s="248">
        <f>ROUND(K645,-1)</f>
        <v>6701400</v>
      </c>
    </row>
    <row r="647" spans="1:11" ht="14.1" customHeight="1" x14ac:dyDescent="0.25">
      <c r="A647" s="215">
        <v>54</v>
      </c>
      <c r="B647" s="651" t="s">
        <v>713</v>
      </c>
      <c r="C647" s="652"/>
      <c r="D647" s="216" t="s">
        <v>2217</v>
      </c>
      <c r="E647" s="217"/>
      <c r="F647" s="218"/>
      <c r="G647" s="218"/>
      <c r="H647" s="219"/>
      <c r="I647" s="220"/>
      <c r="J647" s="221"/>
      <c r="K647" s="222"/>
    </row>
    <row r="648" spans="1:11" ht="13.2" customHeight="1" x14ac:dyDescent="0.25">
      <c r="A648" s="223"/>
      <c r="B648" s="224" t="s">
        <v>4</v>
      </c>
      <c r="C648" s="225" t="s">
        <v>1146</v>
      </c>
      <c r="D648" s="226"/>
      <c r="E648" s="44"/>
      <c r="F648" s="227"/>
      <c r="G648" s="227"/>
      <c r="H648" s="228" t="s">
        <v>235</v>
      </c>
      <c r="I648" s="263">
        <v>1</v>
      </c>
      <c r="J648" s="60">
        <f t="shared" ref="J648:J654" si="90">J631</f>
        <v>946000</v>
      </c>
      <c r="K648" s="230">
        <f>I648*J648</f>
        <v>946000</v>
      </c>
    </row>
    <row r="649" spans="1:11" ht="13.2" customHeight="1" x14ac:dyDescent="0.25">
      <c r="A649" s="223"/>
      <c r="B649" s="224" t="s">
        <v>30</v>
      </c>
      <c r="C649" s="225" t="s">
        <v>1145</v>
      </c>
      <c r="D649" s="226"/>
      <c r="E649" s="44"/>
      <c r="F649" s="227"/>
      <c r="G649" s="227"/>
      <c r="H649" s="228" t="s">
        <v>235</v>
      </c>
      <c r="I649" s="253">
        <v>2</v>
      </c>
      <c r="J649" s="60">
        <f t="shared" si="90"/>
        <v>946000</v>
      </c>
      <c r="K649" s="230">
        <f t="shared" ref="K649:K659" si="91">I649*J649</f>
        <v>1892000</v>
      </c>
    </row>
    <row r="650" spans="1:11" ht="13.2" customHeight="1" x14ac:dyDescent="0.25">
      <c r="A650" s="223"/>
      <c r="B650" s="224" t="s">
        <v>57</v>
      </c>
      <c r="C650" s="225" t="s">
        <v>932</v>
      </c>
      <c r="D650" s="226"/>
      <c r="E650" s="44"/>
      <c r="F650" s="227"/>
      <c r="G650" s="227"/>
      <c r="H650" s="228" t="s">
        <v>235</v>
      </c>
      <c r="I650" s="253">
        <v>6</v>
      </c>
      <c r="J650" s="60">
        <f t="shared" si="90"/>
        <v>24350</v>
      </c>
      <c r="K650" s="230">
        <f t="shared" si="91"/>
        <v>146100</v>
      </c>
    </row>
    <row r="651" spans="1:11" ht="13.2" customHeight="1" x14ac:dyDescent="0.25">
      <c r="A651" s="223"/>
      <c r="B651" s="224" t="s">
        <v>83</v>
      </c>
      <c r="C651" s="225" t="s">
        <v>933</v>
      </c>
      <c r="D651" s="226"/>
      <c r="E651" s="44"/>
      <c r="F651" s="227"/>
      <c r="G651" s="227"/>
      <c r="H651" s="228" t="s">
        <v>203</v>
      </c>
      <c r="I651" s="285">
        <v>6</v>
      </c>
      <c r="J651" s="60">
        <f t="shared" si="90"/>
        <v>107700</v>
      </c>
      <c r="K651" s="230">
        <f t="shared" si="91"/>
        <v>646200</v>
      </c>
    </row>
    <row r="652" spans="1:11" ht="13.2" customHeight="1" x14ac:dyDescent="0.25">
      <c r="A652" s="223"/>
      <c r="B652" s="224" t="s">
        <v>110</v>
      </c>
      <c r="C652" s="225" t="s">
        <v>934</v>
      </c>
      <c r="D652" s="226"/>
      <c r="E652" s="44"/>
      <c r="F652" s="227"/>
      <c r="G652" s="227"/>
      <c r="H652" s="228" t="s">
        <v>203</v>
      </c>
      <c r="I652" s="253">
        <v>3</v>
      </c>
      <c r="J652" s="60">
        <f t="shared" si="90"/>
        <v>75000</v>
      </c>
      <c r="K652" s="230">
        <f t="shared" si="91"/>
        <v>225000</v>
      </c>
    </row>
    <row r="653" spans="1:11" ht="13.2" customHeight="1" x14ac:dyDescent="0.25">
      <c r="A653" s="223"/>
      <c r="B653" s="224" t="s">
        <v>137</v>
      </c>
      <c r="C653" s="225" t="s">
        <v>890</v>
      </c>
      <c r="D653" s="226"/>
      <c r="E653" s="44"/>
      <c r="F653" s="227"/>
      <c r="G653" s="227"/>
      <c r="H653" s="228" t="s">
        <v>235</v>
      </c>
      <c r="I653" s="253">
        <v>3</v>
      </c>
      <c r="J653" s="60">
        <f t="shared" si="90"/>
        <v>320000</v>
      </c>
      <c r="K653" s="230">
        <f t="shared" si="91"/>
        <v>960000</v>
      </c>
    </row>
    <row r="654" spans="1:11" ht="13.2" customHeight="1" x14ac:dyDescent="0.25">
      <c r="A654" s="223"/>
      <c r="B654" s="224" t="s">
        <v>156</v>
      </c>
      <c r="C654" s="225" t="s">
        <v>1140</v>
      </c>
      <c r="D654" s="226"/>
      <c r="E654" s="44"/>
      <c r="F654" s="287"/>
      <c r="G654" s="227"/>
      <c r="H654" s="228" t="s">
        <v>235</v>
      </c>
      <c r="I654" s="253">
        <v>1</v>
      </c>
      <c r="J654" s="60">
        <f t="shared" si="90"/>
        <v>152000</v>
      </c>
      <c r="K654" s="230">
        <f t="shared" si="91"/>
        <v>152000</v>
      </c>
    </row>
    <row r="655" spans="1:11" ht="13.2" customHeight="1" x14ac:dyDescent="0.25">
      <c r="A655" s="223"/>
      <c r="B655" s="224" t="s">
        <v>175</v>
      </c>
      <c r="C655" s="225" t="s">
        <v>958</v>
      </c>
      <c r="D655" s="226"/>
      <c r="E655" s="44"/>
      <c r="F655" s="287"/>
      <c r="G655" s="227"/>
      <c r="H655" s="228" t="s">
        <v>235</v>
      </c>
      <c r="I655" s="253">
        <v>1</v>
      </c>
      <c r="J655" s="60">
        <f>'Harga Satuan Dasar mat'!G30</f>
        <v>132500</v>
      </c>
      <c r="K655" s="230">
        <f t="shared" si="91"/>
        <v>132500</v>
      </c>
    </row>
    <row r="656" spans="1:11" ht="13.2" customHeight="1" x14ac:dyDescent="0.25">
      <c r="A656" s="223"/>
      <c r="B656" s="224" t="s">
        <v>177</v>
      </c>
      <c r="C656" s="225" t="s">
        <v>958</v>
      </c>
      <c r="D656" s="226"/>
      <c r="E656" s="44"/>
      <c r="F656" s="287"/>
      <c r="G656" s="227"/>
      <c r="H656" s="228" t="s">
        <v>235</v>
      </c>
      <c r="I656" s="285">
        <v>1</v>
      </c>
      <c r="J656" s="60">
        <f>J655</f>
        <v>132500</v>
      </c>
      <c r="K656" s="230">
        <f t="shared" si="91"/>
        <v>132500</v>
      </c>
    </row>
    <row r="657" spans="1:11" ht="13.2" customHeight="1" x14ac:dyDescent="0.25">
      <c r="A657" s="223"/>
      <c r="B657" s="224" t="s">
        <v>197</v>
      </c>
      <c r="C657" s="225" t="s">
        <v>959</v>
      </c>
      <c r="D657" s="226"/>
      <c r="E657" s="44"/>
      <c r="F657" s="287"/>
      <c r="G657" s="227"/>
      <c r="H657" s="228" t="s">
        <v>235</v>
      </c>
      <c r="I657" s="285">
        <v>12</v>
      </c>
      <c r="J657" s="60">
        <f>J640</f>
        <v>55500</v>
      </c>
      <c r="K657" s="230">
        <f t="shared" si="91"/>
        <v>666000</v>
      </c>
    </row>
    <row r="658" spans="1:11" ht="13.2" customHeight="1" x14ac:dyDescent="0.25">
      <c r="A658" s="223"/>
      <c r="B658" s="224" t="s">
        <v>198</v>
      </c>
      <c r="C658" s="225" t="s">
        <v>787</v>
      </c>
      <c r="D658" s="226"/>
      <c r="E658" s="44"/>
      <c r="F658" s="227"/>
      <c r="G658" s="227"/>
      <c r="H658" s="228" t="s">
        <v>203</v>
      </c>
      <c r="I658" s="253">
        <v>4</v>
      </c>
      <c r="J658" s="60">
        <f>J641</f>
        <v>27000</v>
      </c>
      <c r="K658" s="230">
        <f t="shared" si="91"/>
        <v>108000</v>
      </c>
    </row>
    <row r="659" spans="1:11" ht="13.2" customHeight="1" x14ac:dyDescent="0.25">
      <c r="A659" s="223"/>
      <c r="B659" s="224" t="s">
        <v>200</v>
      </c>
      <c r="C659" s="225" t="s">
        <v>979</v>
      </c>
      <c r="D659" s="226"/>
      <c r="E659" s="44"/>
      <c r="F659" s="227"/>
      <c r="G659" s="227"/>
      <c r="H659" s="228" t="s">
        <v>203</v>
      </c>
      <c r="I659" s="253">
        <v>12</v>
      </c>
      <c r="J659" s="60">
        <f>J642</f>
        <v>14000</v>
      </c>
      <c r="K659" s="230">
        <f t="shared" si="91"/>
        <v>168000</v>
      </c>
    </row>
    <row r="660" spans="1:11" ht="12.9" customHeight="1" x14ac:dyDescent="0.25">
      <c r="A660" s="58"/>
      <c r="B660" s="231"/>
      <c r="C660" s="232"/>
      <c r="D660" s="232"/>
      <c r="E660" s="232"/>
      <c r="F660" s="232"/>
      <c r="G660" s="233"/>
      <c r="H660" s="234" t="s">
        <v>715</v>
      </c>
      <c r="I660" s="235"/>
      <c r="J660" s="235"/>
      <c r="K660" s="236">
        <f>SUM(K648:K659)</f>
        <v>6174300</v>
      </c>
    </row>
    <row r="661" spans="1:11" ht="12.9" customHeight="1" x14ac:dyDescent="0.25">
      <c r="A661" s="58"/>
      <c r="B661" s="59"/>
      <c r="C661" s="56"/>
      <c r="D661" s="56"/>
      <c r="E661" s="56"/>
      <c r="F661" s="56"/>
      <c r="G661" s="237"/>
      <c r="H661" s="238" t="s">
        <v>603</v>
      </c>
      <c r="I661" s="239">
        <f>$K$3</f>
        <v>0.15</v>
      </c>
      <c r="J661" s="240"/>
      <c r="K661" s="241">
        <f>I661*K660</f>
        <v>926145</v>
      </c>
    </row>
    <row r="662" spans="1:11" ht="12.9" customHeight="1" x14ac:dyDescent="0.25">
      <c r="A662" s="58"/>
      <c r="B662" s="59"/>
      <c r="C662" s="56"/>
      <c r="D662" s="56"/>
      <c r="E662" s="56"/>
      <c r="F662" s="56"/>
      <c r="G662" s="237"/>
      <c r="H662" s="238" t="s">
        <v>604</v>
      </c>
      <c r="I662" s="226"/>
      <c r="J662" s="226"/>
      <c r="K662" s="241">
        <f>SUM(K660:K661)</f>
        <v>7100445</v>
      </c>
    </row>
    <row r="663" spans="1:11" ht="12.9" customHeight="1" thickBot="1" x14ac:dyDescent="0.3">
      <c r="A663" s="242"/>
      <c r="B663" s="243"/>
      <c r="C663" s="244"/>
      <c r="D663" s="244"/>
      <c r="E663" s="244"/>
      <c r="F663" s="244"/>
      <c r="G663" s="245"/>
      <c r="H663" s="246" t="s">
        <v>605</v>
      </c>
      <c r="I663" s="247"/>
      <c r="J663" s="247"/>
      <c r="K663" s="248">
        <f>ROUND(K662,-1)</f>
        <v>7100450</v>
      </c>
    </row>
    <row r="664" spans="1:11" ht="14.1" customHeight="1" x14ac:dyDescent="0.25">
      <c r="A664" s="215">
        <v>55</v>
      </c>
      <c r="B664" s="651" t="s">
        <v>713</v>
      </c>
      <c r="C664" s="652"/>
      <c r="D664" s="216" t="s">
        <v>2218</v>
      </c>
      <c r="E664" s="217"/>
      <c r="F664" s="218"/>
      <c r="G664" s="218"/>
      <c r="H664" s="219"/>
      <c r="I664" s="220"/>
      <c r="J664" s="221"/>
      <c r="K664" s="222"/>
    </row>
    <row r="665" spans="1:11" ht="13.2" customHeight="1" x14ac:dyDescent="0.25">
      <c r="A665" s="223"/>
      <c r="B665" s="224" t="s">
        <v>4</v>
      </c>
      <c r="C665" s="225" t="s">
        <v>1146</v>
      </c>
      <c r="D665" s="226"/>
      <c r="E665" s="44"/>
      <c r="F665" s="227"/>
      <c r="G665" s="227"/>
      <c r="H665" s="228" t="s">
        <v>235</v>
      </c>
      <c r="I665" s="263">
        <v>1</v>
      </c>
      <c r="J665" s="60">
        <f>J648</f>
        <v>946000</v>
      </c>
      <c r="K665" s="230">
        <f>I665*J665</f>
        <v>946000</v>
      </c>
    </row>
    <row r="666" spans="1:11" ht="13.2" customHeight="1" x14ac:dyDescent="0.25">
      <c r="A666" s="223"/>
      <c r="B666" s="224" t="s">
        <v>30</v>
      </c>
      <c r="C666" s="225" t="s">
        <v>1145</v>
      </c>
      <c r="D666" s="226"/>
      <c r="E666" s="44"/>
      <c r="F666" s="227"/>
      <c r="G666" s="227"/>
      <c r="H666" s="228" t="s">
        <v>235</v>
      </c>
      <c r="I666" s="253">
        <v>2</v>
      </c>
      <c r="J666" s="60">
        <f t="shared" ref="J666:J676" si="92">J649</f>
        <v>946000</v>
      </c>
      <c r="K666" s="230">
        <f t="shared" ref="K666:K671" si="93">I666*J666</f>
        <v>1892000</v>
      </c>
    </row>
    <row r="667" spans="1:11" ht="13.2" customHeight="1" x14ac:dyDescent="0.25">
      <c r="A667" s="223"/>
      <c r="B667" s="224" t="s">
        <v>57</v>
      </c>
      <c r="C667" s="225" t="s">
        <v>932</v>
      </c>
      <c r="D667" s="226"/>
      <c r="E667" s="44"/>
      <c r="F667" s="227"/>
      <c r="G667" s="227"/>
      <c r="H667" s="228" t="s">
        <v>235</v>
      </c>
      <c r="I667" s="253">
        <v>6</v>
      </c>
      <c r="J667" s="60">
        <f t="shared" si="92"/>
        <v>24350</v>
      </c>
      <c r="K667" s="230">
        <f t="shared" si="93"/>
        <v>146100</v>
      </c>
    </row>
    <row r="668" spans="1:11" ht="13.2" customHeight="1" x14ac:dyDescent="0.25">
      <c r="A668" s="223"/>
      <c r="B668" s="224" t="s">
        <v>83</v>
      </c>
      <c r="C668" s="225" t="s">
        <v>933</v>
      </c>
      <c r="D668" s="226"/>
      <c r="E668" s="44"/>
      <c r="F668" s="227"/>
      <c r="G668" s="227"/>
      <c r="H668" s="228" t="s">
        <v>203</v>
      </c>
      <c r="I668" s="285">
        <v>6</v>
      </c>
      <c r="J668" s="60">
        <f t="shared" si="92"/>
        <v>107700</v>
      </c>
      <c r="K668" s="230">
        <f t="shared" si="93"/>
        <v>646200</v>
      </c>
    </row>
    <row r="669" spans="1:11" ht="13.2" customHeight="1" x14ac:dyDescent="0.25">
      <c r="A669" s="223"/>
      <c r="B669" s="224" t="s">
        <v>110</v>
      </c>
      <c r="C669" s="225" t="s">
        <v>934</v>
      </c>
      <c r="D669" s="226"/>
      <c r="E669" s="44"/>
      <c r="F669" s="227"/>
      <c r="G669" s="227"/>
      <c r="H669" s="228" t="s">
        <v>203</v>
      </c>
      <c r="I669" s="253">
        <v>3</v>
      </c>
      <c r="J669" s="60">
        <f t="shared" si="92"/>
        <v>75000</v>
      </c>
      <c r="K669" s="230">
        <f t="shared" si="93"/>
        <v>225000</v>
      </c>
    </row>
    <row r="670" spans="1:11" ht="13.2" customHeight="1" x14ac:dyDescent="0.25">
      <c r="A670" s="223"/>
      <c r="B670" s="224" t="s">
        <v>137</v>
      </c>
      <c r="C670" s="225" t="s">
        <v>890</v>
      </c>
      <c r="D670" s="226"/>
      <c r="E670" s="44"/>
      <c r="F670" s="227"/>
      <c r="G670" s="227"/>
      <c r="H670" s="228" t="s">
        <v>235</v>
      </c>
      <c r="I670" s="253">
        <v>3</v>
      </c>
      <c r="J670" s="60">
        <f t="shared" si="92"/>
        <v>320000</v>
      </c>
      <c r="K670" s="230">
        <f t="shared" si="93"/>
        <v>960000</v>
      </c>
    </row>
    <row r="671" spans="1:11" ht="13.2" customHeight="1" x14ac:dyDescent="0.25">
      <c r="A671" s="223"/>
      <c r="B671" s="224" t="s">
        <v>156</v>
      </c>
      <c r="C671" s="225" t="s">
        <v>958</v>
      </c>
      <c r="D671" s="226"/>
      <c r="E671" s="44"/>
      <c r="F671" s="287"/>
      <c r="G671" s="227"/>
      <c r="H671" s="228" t="s">
        <v>235</v>
      </c>
      <c r="I671" s="253">
        <v>1</v>
      </c>
      <c r="J671" s="60">
        <f>J655</f>
        <v>132500</v>
      </c>
      <c r="K671" s="230">
        <f t="shared" si="93"/>
        <v>132500</v>
      </c>
    </row>
    <row r="672" spans="1:11" ht="13.2" customHeight="1" x14ac:dyDescent="0.25">
      <c r="A672" s="223"/>
      <c r="B672" s="224" t="s">
        <v>175</v>
      </c>
      <c r="C672" s="225" t="s">
        <v>838</v>
      </c>
      <c r="D672" s="226"/>
      <c r="E672" s="44"/>
      <c r="F672" s="287"/>
      <c r="G672" s="227"/>
      <c r="H672" s="228" t="s">
        <v>235</v>
      </c>
      <c r="I672" s="253">
        <v>1</v>
      </c>
      <c r="J672" s="60">
        <f>'Harga Satuan Dasar mat'!G26</f>
        <v>115000</v>
      </c>
      <c r="K672" s="230">
        <f t="shared" ref="K672:K676" si="94">I672*J672</f>
        <v>115000</v>
      </c>
    </row>
    <row r="673" spans="1:11" ht="13.2" customHeight="1" x14ac:dyDescent="0.25">
      <c r="A673" s="223"/>
      <c r="B673" s="224" t="s">
        <v>177</v>
      </c>
      <c r="C673" s="225" t="s">
        <v>838</v>
      </c>
      <c r="D673" s="226"/>
      <c r="E673" s="44"/>
      <c r="F673" s="287"/>
      <c r="G673" s="227"/>
      <c r="H673" s="228" t="s">
        <v>235</v>
      </c>
      <c r="I673" s="285">
        <v>1</v>
      </c>
      <c r="J673" s="60">
        <f>J672</f>
        <v>115000</v>
      </c>
      <c r="K673" s="230">
        <f t="shared" si="94"/>
        <v>115000</v>
      </c>
    </row>
    <row r="674" spans="1:11" ht="13.2" customHeight="1" x14ac:dyDescent="0.25">
      <c r="A674" s="223"/>
      <c r="B674" s="224" t="s">
        <v>197</v>
      </c>
      <c r="C674" s="225" t="s">
        <v>959</v>
      </c>
      <c r="D674" s="226"/>
      <c r="E674" s="44"/>
      <c r="F674" s="287"/>
      <c r="G674" s="227"/>
      <c r="H674" s="228" t="s">
        <v>235</v>
      </c>
      <c r="I674" s="285">
        <v>12</v>
      </c>
      <c r="J674" s="60">
        <f t="shared" si="92"/>
        <v>55500</v>
      </c>
      <c r="K674" s="230">
        <f t="shared" si="94"/>
        <v>666000</v>
      </c>
    </row>
    <row r="675" spans="1:11" ht="13.2" customHeight="1" x14ac:dyDescent="0.25">
      <c r="A675" s="223"/>
      <c r="B675" s="224" t="s">
        <v>198</v>
      </c>
      <c r="C675" s="225" t="s">
        <v>787</v>
      </c>
      <c r="D675" s="226"/>
      <c r="E675" s="44"/>
      <c r="F675" s="227"/>
      <c r="G675" s="227"/>
      <c r="H675" s="228" t="s">
        <v>203</v>
      </c>
      <c r="I675" s="253">
        <v>4</v>
      </c>
      <c r="J675" s="60">
        <f t="shared" si="92"/>
        <v>27000</v>
      </c>
      <c r="K675" s="230">
        <f t="shared" si="94"/>
        <v>108000</v>
      </c>
    </row>
    <row r="676" spans="1:11" ht="13.2" customHeight="1" x14ac:dyDescent="0.25">
      <c r="A676" s="223"/>
      <c r="B676" s="224" t="s">
        <v>200</v>
      </c>
      <c r="C676" s="225" t="s">
        <v>979</v>
      </c>
      <c r="D676" s="226"/>
      <c r="E676" s="44"/>
      <c r="F676" s="227"/>
      <c r="G676" s="227"/>
      <c r="H676" s="228" t="s">
        <v>203</v>
      </c>
      <c r="I676" s="253">
        <v>12</v>
      </c>
      <c r="J676" s="60">
        <f t="shared" si="92"/>
        <v>14000</v>
      </c>
      <c r="K676" s="230">
        <f t="shared" si="94"/>
        <v>168000</v>
      </c>
    </row>
    <row r="677" spans="1:11" ht="12.9" customHeight="1" x14ac:dyDescent="0.25">
      <c r="A677" s="58"/>
      <c r="B677" s="231"/>
      <c r="C677" s="232"/>
      <c r="D677" s="232"/>
      <c r="E677" s="232"/>
      <c r="F677" s="232"/>
      <c r="G677" s="233"/>
      <c r="H677" s="234" t="s">
        <v>715</v>
      </c>
      <c r="I677" s="235"/>
      <c r="J677" s="235"/>
      <c r="K677" s="236">
        <f>SUM(K665:K676)</f>
        <v>6119800</v>
      </c>
    </row>
    <row r="678" spans="1:11" ht="12.9" customHeight="1" x14ac:dyDescent="0.25">
      <c r="A678" s="58"/>
      <c r="B678" s="59"/>
      <c r="C678" s="56"/>
      <c r="D678" s="56"/>
      <c r="E678" s="56"/>
      <c r="F678" s="56"/>
      <c r="G678" s="237"/>
      <c r="H678" s="238" t="s">
        <v>603</v>
      </c>
      <c r="I678" s="239">
        <f>$K$3</f>
        <v>0.15</v>
      </c>
      <c r="J678" s="240"/>
      <c r="K678" s="241">
        <f>I678*K677</f>
        <v>917970</v>
      </c>
    </row>
    <row r="679" spans="1:11" ht="12.9" customHeight="1" x14ac:dyDescent="0.25">
      <c r="A679" s="58"/>
      <c r="B679" s="59"/>
      <c r="C679" s="56"/>
      <c r="D679" s="56"/>
      <c r="E679" s="56"/>
      <c r="F679" s="56"/>
      <c r="G679" s="237"/>
      <c r="H679" s="238" t="s">
        <v>604</v>
      </c>
      <c r="I679" s="226"/>
      <c r="J679" s="226"/>
      <c r="K679" s="241">
        <f>SUM(K677:K678)</f>
        <v>7037770</v>
      </c>
    </row>
    <row r="680" spans="1:11" ht="12.9" customHeight="1" thickBot="1" x14ac:dyDescent="0.3">
      <c r="A680" s="242"/>
      <c r="B680" s="243"/>
      <c r="C680" s="244"/>
      <c r="D680" s="244"/>
      <c r="E680" s="244"/>
      <c r="F680" s="244"/>
      <c r="G680" s="245"/>
      <c r="H680" s="246" t="s">
        <v>605</v>
      </c>
      <c r="I680" s="247"/>
      <c r="J680" s="247"/>
      <c r="K680" s="248">
        <f>ROUND(K679,-1)</f>
        <v>7037770</v>
      </c>
    </row>
    <row r="681" spans="1:11" ht="14.1" customHeight="1" x14ac:dyDescent="0.25">
      <c r="A681" s="215">
        <v>56</v>
      </c>
      <c r="B681" s="651" t="s">
        <v>713</v>
      </c>
      <c r="C681" s="652"/>
      <c r="D681" s="216" t="s">
        <v>1143</v>
      </c>
      <c r="E681" s="217"/>
      <c r="F681" s="218"/>
      <c r="G681" s="218"/>
      <c r="H681" s="219"/>
      <c r="I681" s="220"/>
      <c r="J681" s="221"/>
      <c r="K681" s="222"/>
    </row>
    <row r="682" spans="1:11" ht="13.2" customHeight="1" x14ac:dyDescent="0.25">
      <c r="A682" s="223"/>
      <c r="B682" s="224" t="s">
        <v>4</v>
      </c>
      <c r="C682" s="225" t="s">
        <v>1146</v>
      </c>
      <c r="D682" s="226"/>
      <c r="E682" s="44"/>
      <c r="F682" s="227"/>
      <c r="G682" s="227"/>
      <c r="H682" s="228" t="s">
        <v>235</v>
      </c>
      <c r="I682" s="263">
        <v>1</v>
      </c>
      <c r="J682" s="60">
        <f>J665</f>
        <v>946000</v>
      </c>
      <c r="K682" s="230">
        <f>I682*J682</f>
        <v>946000</v>
      </c>
    </row>
    <row r="683" spans="1:11" ht="13.2" customHeight="1" x14ac:dyDescent="0.25">
      <c r="A683" s="223"/>
      <c r="B683" s="224" t="s">
        <v>30</v>
      </c>
      <c r="C683" s="225" t="s">
        <v>1145</v>
      </c>
      <c r="D683" s="226"/>
      <c r="E683" s="44"/>
      <c r="F683" s="227"/>
      <c r="G683" s="227"/>
      <c r="H683" s="228" t="s">
        <v>235</v>
      </c>
      <c r="I683" s="253">
        <v>2</v>
      </c>
      <c r="J683" s="60">
        <f t="shared" ref="J683:J693" si="95">J666</f>
        <v>946000</v>
      </c>
      <c r="K683" s="230">
        <f t="shared" ref="K683:K688" si="96">I683*J683</f>
        <v>1892000</v>
      </c>
    </row>
    <row r="684" spans="1:11" ht="13.2" customHeight="1" x14ac:dyDescent="0.25">
      <c r="A684" s="223"/>
      <c r="B684" s="224" t="s">
        <v>57</v>
      </c>
      <c r="C684" s="225" t="s">
        <v>932</v>
      </c>
      <c r="D684" s="226"/>
      <c r="E684" s="44"/>
      <c r="F684" s="227"/>
      <c r="G684" s="227"/>
      <c r="H684" s="228" t="s">
        <v>235</v>
      </c>
      <c r="I684" s="253">
        <v>6</v>
      </c>
      <c r="J684" s="60">
        <f t="shared" si="95"/>
        <v>24350</v>
      </c>
      <c r="K684" s="230">
        <f t="shared" si="96"/>
        <v>146100</v>
      </c>
    </row>
    <row r="685" spans="1:11" ht="13.2" customHeight="1" x14ac:dyDescent="0.25">
      <c r="A685" s="223"/>
      <c r="B685" s="224" t="s">
        <v>83</v>
      </c>
      <c r="C685" s="225" t="s">
        <v>933</v>
      </c>
      <c r="D685" s="226"/>
      <c r="E685" s="44"/>
      <c r="F685" s="227"/>
      <c r="G685" s="227"/>
      <c r="H685" s="228" t="s">
        <v>203</v>
      </c>
      <c r="I685" s="285">
        <v>6</v>
      </c>
      <c r="J685" s="60">
        <f t="shared" si="95"/>
        <v>107700</v>
      </c>
      <c r="K685" s="230">
        <f t="shared" si="96"/>
        <v>646200</v>
      </c>
    </row>
    <row r="686" spans="1:11" ht="13.2" customHeight="1" x14ac:dyDescent="0.25">
      <c r="A686" s="223"/>
      <c r="B686" s="224" t="s">
        <v>110</v>
      </c>
      <c r="C686" s="225" t="s">
        <v>934</v>
      </c>
      <c r="D686" s="226"/>
      <c r="E686" s="44"/>
      <c r="F686" s="227"/>
      <c r="G686" s="227"/>
      <c r="H686" s="228" t="s">
        <v>203</v>
      </c>
      <c r="I686" s="253">
        <v>3</v>
      </c>
      <c r="J686" s="60">
        <f t="shared" si="95"/>
        <v>75000</v>
      </c>
      <c r="K686" s="230">
        <f t="shared" si="96"/>
        <v>225000</v>
      </c>
    </row>
    <row r="687" spans="1:11" ht="13.2" customHeight="1" x14ac:dyDescent="0.25">
      <c r="A687" s="223"/>
      <c r="B687" s="224" t="s">
        <v>137</v>
      </c>
      <c r="C687" s="225" t="s">
        <v>890</v>
      </c>
      <c r="D687" s="226"/>
      <c r="E687" s="44"/>
      <c r="F687" s="227"/>
      <c r="G687" s="227"/>
      <c r="H687" s="228" t="s">
        <v>235</v>
      </c>
      <c r="I687" s="253">
        <v>3</v>
      </c>
      <c r="J687" s="60">
        <f t="shared" si="95"/>
        <v>320000</v>
      </c>
      <c r="K687" s="230">
        <f t="shared" si="96"/>
        <v>960000</v>
      </c>
    </row>
    <row r="688" spans="1:11" ht="13.2" customHeight="1" x14ac:dyDescent="0.25">
      <c r="A688" s="223"/>
      <c r="B688" s="224" t="s">
        <v>156</v>
      </c>
      <c r="C688" s="225" t="s">
        <v>838</v>
      </c>
      <c r="D688" s="226"/>
      <c r="E688" s="44"/>
      <c r="F688" s="287"/>
      <c r="G688" s="227"/>
      <c r="H688" s="228" t="s">
        <v>235</v>
      </c>
      <c r="I688" s="253">
        <v>1</v>
      </c>
      <c r="J688" s="60">
        <f>J672</f>
        <v>115000</v>
      </c>
      <c r="K688" s="230">
        <f t="shared" si="96"/>
        <v>115000</v>
      </c>
    </row>
    <row r="689" spans="1:11" ht="13.2" customHeight="1" x14ac:dyDescent="0.25">
      <c r="A689" s="223"/>
      <c r="B689" s="224" t="s">
        <v>175</v>
      </c>
      <c r="C689" s="225" t="s">
        <v>1144</v>
      </c>
      <c r="D689" s="226"/>
      <c r="E689" s="44"/>
      <c r="F689" s="287"/>
      <c r="G689" s="227"/>
      <c r="H689" s="228" t="s">
        <v>235</v>
      </c>
      <c r="I689" s="253">
        <v>1</v>
      </c>
      <c r="J689" s="60">
        <f>'Harga Satuan Dasar mat'!G24</f>
        <v>105500</v>
      </c>
      <c r="K689" s="230">
        <f t="shared" ref="K689:K693" si="97">I689*J689</f>
        <v>105500</v>
      </c>
    </row>
    <row r="690" spans="1:11" ht="13.2" customHeight="1" x14ac:dyDescent="0.25">
      <c r="A690" s="223"/>
      <c r="B690" s="224" t="s">
        <v>177</v>
      </c>
      <c r="C690" s="225" t="s">
        <v>1144</v>
      </c>
      <c r="D690" s="226"/>
      <c r="E690" s="44"/>
      <c r="F690" s="287"/>
      <c r="G690" s="227"/>
      <c r="H690" s="228" t="s">
        <v>235</v>
      </c>
      <c r="I690" s="285">
        <v>1</v>
      </c>
      <c r="J690" s="60">
        <f>J689</f>
        <v>105500</v>
      </c>
      <c r="K690" s="230">
        <f t="shared" si="97"/>
        <v>105500</v>
      </c>
    </row>
    <row r="691" spans="1:11" ht="13.2" customHeight="1" x14ac:dyDescent="0.25">
      <c r="A691" s="223"/>
      <c r="B691" s="224" t="s">
        <v>197</v>
      </c>
      <c r="C691" s="225" t="s">
        <v>959</v>
      </c>
      <c r="D691" s="226"/>
      <c r="E691" s="44"/>
      <c r="F691" s="287"/>
      <c r="G691" s="227"/>
      <c r="H691" s="228" t="s">
        <v>235</v>
      </c>
      <c r="I691" s="285">
        <v>12</v>
      </c>
      <c r="J691" s="60">
        <f t="shared" si="95"/>
        <v>55500</v>
      </c>
      <c r="K691" s="230">
        <f t="shared" si="97"/>
        <v>666000</v>
      </c>
    </row>
    <row r="692" spans="1:11" ht="13.2" customHeight="1" x14ac:dyDescent="0.25">
      <c r="A692" s="223"/>
      <c r="B692" s="224" t="s">
        <v>198</v>
      </c>
      <c r="C692" s="225" t="s">
        <v>787</v>
      </c>
      <c r="D692" s="226"/>
      <c r="E692" s="44"/>
      <c r="F692" s="227"/>
      <c r="G692" s="227"/>
      <c r="H692" s="228" t="s">
        <v>203</v>
      </c>
      <c r="I692" s="253">
        <v>4</v>
      </c>
      <c r="J692" s="60">
        <f t="shared" si="95"/>
        <v>27000</v>
      </c>
      <c r="K692" s="230">
        <f t="shared" si="97"/>
        <v>108000</v>
      </c>
    </row>
    <row r="693" spans="1:11" ht="13.2" customHeight="1" x14ac:dyDescent="0.25">
      <c r="A693" s="223"/>
      <c r="B693" s="224" t="s">
        <v>200</v>
      </c>
      <c r="C693" s="225" t="s">
        <v>979</v>
      </c>
      <c r="D693" s="226"/>
      <c r="E693" s="44"/>
      <c r="F693" s="227"/>
      <c r="G693" s="227"/>
      <c r="H693" s="228" t="s">
        <v>203</v>
      </c>
      <c r="I693" s="253">
        <v>12</v>
      </c>
      <c r="J693" s="60">
        <f t="shared" si="95"/>
        <v>14000</v>
      </c>
      <c r="K693" s="230">
        <f t="shared" si="97"/>
        <v>168000</v>
      </c>
    </row>
    <row r="694" spans="1:11" ht="12.9" customHeight="1" x14ac:dyDescent="0.25">
      <c r="A694" s="58"/>
      <c r="B694" s="231"/>
      <c r="C694" s="232"/>
      <c r="D694" s="232"/>
      <c r="E694" s="232"/>
      <c r="F694" s="232"/>
      <c r="G694" s="233"/>
      <c r="H694" s="234" t="s">
        <v>715</v>
      </c>
      <c r="I694" s="235"/>
      <c r="J694" s="235"/>
      <c r="K694" s="236">
        <f>SUM(K682:K693)</f>
        <v>6083300</v>
      </c>
    </row>
    <row r="695" spans="1:11" ht="12.9" customHeight="1" x14ac:dyDescent="0.25">
      <c r="A695" s="58"/>
      <c r="B695" s="59"/>
      <c r="C695" s="56"/>
      <c r="D695" s="56"/>
      <c r="E695" s="56"/>
      <c r="F695" s="56"/>
      <c r="G695" s="237"/>
      <c r="H695" s="238" t="s">
        <v>603</v>
      </c>
      <c r="I695" s="239">
        <f>$K$3</f>
        <v>0.15</v>
      </c>
      <c r="J695" s="240"/>
      <c r="K695" s="241">
        <f>I695*K694</f>
        <v>912495</v>
      </c>
    </row>
    <row r="696" spans="1:11" ht="12.9" customHeight="1" x14ac:dyDescent="0.25">
      <c r="A696" s="58"/>
      <c r="B696" s="59"/>
      <c r="C696" s="56"/>
      <c r="D696" s="56"/>
      <c r="E696" s="56"/>
      <c r="F696" s="56"/>
      <c r="G696" s="237"/>
      <c r="H696" s="238" t="s">
        <v>604</v>
      </c>
      <c r="I696" s="226"/>
      <c r="J696" s="226"/>
      <c r="K696" s="241">
        <f>SUM(K694:K695)</f>
        <v>6995795</v>
      </c>
    </row>
    <row r="697" spans="1:11" ht="12.9" customHeight="1" thickBot="1" x14ac:dyDescent="0.3">
      <c r="A697" s="242"/>
      <c r="B697" s="243"/>
      <c r="C697" s="244"/>
      <c r="D697" s="244"/>
      <c r="E697" s="244"/>
      <c r="F697" s="244"/>
      <c r="G697" s="245"/>
      <c r="H697" s="246" t="s">
        <v>605</v>
      </c>
      <c r="I697" s="247"/>
      <c r="J697" s="247"/>
      <c r="K697" s="248">
        <f>ROUND(K696,-1)</f>
        <v>6995800</v>
      </c>
    </row>
    <row r="698" spans="1:11" ht="14.1" customHeight="1" x14ac:dyDescent="0.25">
      <c r="A698" s="215">
        <v>57</v>
      </c>
      <c r="B698" s="651" t="s">
        <v>713</v>
      </c>
      <c r="C698" s="652"/>
      <c r="D698" s="216" t="s">
        <v>1147</v>
      </c>
      <c r="E698" s="217"/>
      <c r="F698" s="218"/>
      <c r="G698" s="218"/>
      <c r="H698" s="219"/>
      <c r="I698" s="220"/>
      <c r="J698" s="221"/>
      <c r="K698" s="222"/>
    </row>
    <row r="699" spans="1:11" ht="13.2" customHeight="1" x14ac:dyDescent="0.25">
      <c r="A699" s="223"/>
      <c r="B699" s="224" t="s">
        <v>4</v>
      </c>
      <c r="C699" s="225" t="s">
        <v>1148</v>
      </c>
      <c r="D699" s="226"/>
      <c r="E699" s="44"/>
      <c r="F699" s="227"/>
      <c r="G699" s="227"/>
      <c r="H699" s="228" t="s">
        <v>235</v>
      </c>
      <c r="I699" s="263">
        <v>1</v>
      </c>
      <c r="J699" s="60">
        <f>'Harga Satuan Dasar mat'!G325</f>
        <v>1135000</v>
      </c>
      <c r="K699" s="230">
        <f>I699*J699</f>
        <v>1135000</v>
      </c>
    </row>
    <row r="700" spans="1:11" ht="13.2" customHeight="1" x14ac:dyDescent="0.25">
      <c r="A700" s="223"/>
      <c r="B700" s="224" t="s">
        <v>30</v>
      </c>
      <c r="C700" s="225" t="s">
        <v>1149</v>
      </c>
      <c r="D700" s="226"/>
      <c r="E700" s="44"/>
      <c r="F700" s="227"/>
      <c r="G700" s="227"/>
      <c r="H700" s="228" t="s">
        <v>235</v>
      </c>
      <c r="I700" s="253">
        <v>2</v>
      </c>
      <c r="J700" s="60">
        <f>J699</f>
        <v>1135000</v>
      </c>
      <c r="K700" s="230">
        <f t="shared" ref="K700:K710" si="98">I700*J700</f>
        <v>2270000</v>
      </c>
    </row>
    <row r="701" spans="1:11" ht="13.2" customHeight="1" x14ac:dyDescent="0.25">
      <c r="A701" s="223"/>
      <c r="B701" s="224" t="s">
        <v>57</v>
      </c>
      <c r="C701" s="225" t="s">
        <v>1150</v>
      </c>
      <c r="D701" s="226"/>
      <c r="E701" s="44"/>
      <c r="F701" s="227"/>
      <c r="G701" s="227"/>
      <c r="H701" s="228" t="s">
        <v>235</v>
      </c>
      <c r="I701" s="253">
        <v>6</v>
      </c>
      <c r="J701" s="60">
        <f>'Harga Satuan Dasar mat'!G360</f>
        <v>41000</v>
      </c>
      <c r="K701" s="230">
        <f t="shared" si="98"/>
        <v>246000</v>
      </c>
    </row>
    <row r="702" spans="1:11" ht="13.2" customHeight="1" x14ac:dyDescent="0.25">
      <c r="A702" s="223"/>
      <c r="B702" s="224" t="s">
        <v>83</v>
      </c>
      <c r="C702" s="225" t="s">
        <v>1151</v>
      </c>
      <c r="D702" s="226"/>
      <c r="E702" s="44"/>
      <c r="F702" s="227"/>
      <c r="G702" s="227"/>
      <c r="H702" s="228" t="s">
        <v>203</v>
      </c>
      <c r="I702" s="285">
        <v>6</v>
      </c>
      <c r="J702" s="60">
        <f>'Harga Satuan Dasar mat'!G357</f>
        <v>141750</v>
      </c>
      <c r="K702" s="230">
        <f t="shared" si="98"/>
        <v>850500</v>
      </c>
    </row>
    <row r="703" spans="1:11" ht="13.2" customHeight="1" x14ac:dyDescent="0.25">
      <c r="A703" s="223"/>
      <c r="B703" s="224" t="s">
        <v>110</v>
      </c>
      <c r="C703" s="225" t="s">
        <v>1152</v>
      </c>
      <c r="D703" s="226"/>
      <c r="E703" s="44"/>
      <c r="F703" s="227"/>
      <c r="G703" s="227"/>
      <c r="H703" s="228" t="s">
        <v>203</v>
      </c>
      <c r="I703" s="253">
        <v>3</v>
      </c>
      <c r="J703" s="60">
        <f>'Harga Satuan Dasar mat'!G364</f>
        <v>105000</v>
      </c>
      <c r="K703" s="230">
        <f t="shared" si="98"/>
        <v>315000</v>
      </c>
    </row>
    <row r="704" spans="1:11" ht="13.2" customHeight="1" x14ac:dyDescent="0.25">
      <c r="A704" s="223"/>
      <c r="B704" s="224" t="s">
        <v>137</v>
      </c>
      <c r="C704" s="225" t="s">
        <v>890</v>
      </c>
      <c r="D704" s="226"/>
      <c r="E704" s="44"/>
      <c r="F704" s="227"/>
      <c r="G704" s="227"/>
      <c r="H704" s="228" t="s">
        <v>235</v>
      </c>
      <c r="I704" s="253">
        <v>3</v>
      </c>
      <c r="J704" s="60">
        <f>J687</f>
        <v>320000</v>
      </c>
      <c r="K704" s="230">
        <f t="shared" si="98"/>
        <v>960000</v>
      </c>
    </row>
    <row r="705" spans="1:11" ht="13.2" customHeight="1" x14ac:dyDescent="0.25">
      <c r="A705" s="223"/>
      <c r="B705" s="224" t="s">
        <v>156</v>
      </c>
      <c r="C705" s="225" t="s">
        <v>1135</v>
      </c>
      <c r="D705" s="226"/>
      <c r="E705" s="44"/>
      <c r="F705" s="287" t="s">
        <v>961</v>
      </c>
      <c r="G705" s="227"/>
      <c r="H705" s="228" t="s">
        <v>235</v>
      </c>
      <c r="I705" s="288">
        <v>1</v>
      </c>
      <c r="J705" s="60">
        <f>J620</f>
        <v>157500</v>
      </c>
      <c r="K705" s="230">
        <f t="shared" si="98"/>
        <v>157500</v>
      </c>
    </row>
    <row r="706" spans="1:11" ht="13.2" customHeight="1" x14ac:dyDescent="0.25">
      <c r="A706" s="223"/>
      <c r="B706" s="224" t="s">
        <v>175</v>
      </c>
      <c r="C706" s="225" t="s">
        <v>1137</v>
      </c>
      <c r="D706" s="226"/>
      <c r="E706" s="44"/>
      <c r="F706" s="287" t="s">
        <v>962</v>
      </c>
      <c r="G706" s="227"/>
      <c r="H706" s="228" t="s">
        <v>235</v>
      </c>
      <c r="I706" s="289">
        <v>1</v>
      </c>
      <c r="J706" s="60">
        <f>J621</f>
        <v>147500</v>
      </c>
      <c r="K706" s="230">
        <f t="shared" si="98"/>
        <v>147500</v>
      </c>
    </row>
    <row r="707" spans="1:11" ht="13.2" customHeight="1" x14ac:dyDescent="0.25">
      <c r="A707" s="223"/>
      <c r="B707" s="224" t="s">
        <v>177</v>
      </c>
      <c r="C707" s="225" t="s">
        <v>1136</v>
      </c>
      <c r="D707" s="226"/>
      <c r="E707" s="44"/>
      <c r="F707" s="287" t="s">
        <v>960</v>
      </c>
      <c r="G707" s="227"/>
      <c r="H707" s="228" t="s">
        <v>235</v>
      </c>
      <c r="I707" s="289">
        <v>1</v>
      </c>
      <c r="J707" s="60">
        <f>J622</f>
        <v>143500</v>
      </c>
      <c r="K707" s="230">
        <f t="shared" si="98"/>
        <v>143500</v>
      </c>
    </row>
    <row r="708" spans="1:11" ht="13.2" customHeight="1" x14ac:dyDescent="0.25">
      <c r="A708" s="223"/>
      <c r="B708" s="224" t="s">
        <v>197</v>
      </c>
      <c r="C708" s="225" t="s">
        <v>1153</v>
      </c>
      <c r="D708" s="226"/>
      <c r="E708" s="44"/>
      <c r="F708" s="287" t="s">
        <v>963</v>
      </c>
      <c r="G708" s="227"/>
      <c r="H708" s="228" t="s">
        <v>235</v>
      </c>
      <c r="I708" s="285">
        <v>9</v>
      </c>
      <c r="J708" s="60">
        <f>'Harga Satuan Dasar mat'!G15</f>
        <v>60250</v>
      </c>
      <c r="K708" s="230">
        <f t="shared" si="98"/>
        <v>542250</v>
      </c>
    </row>
    <row r="709" spans="1:11" ht="13.2" customHeight="1" x14ac:dyDescent="0.25">
      <c r="A709" s="223"/>
      <c r="B709" s="224" t="s">
        <v>198</v>
      </c>
      <c r="C709" s="225" t="s">
        <v>787</v>
      </c>
      <c r="D709" s="226"/>
      <c r="E709" s="44"/>
      <c r="F709" s="227"/>
      <c r="G709" s="227"/>
      <c r="H709" s="228" t="s">
        <v>203</v>
      </c>
      <c r="I709" s="253">
        <v>6</v>
      </c>
      <c r="J709" s="60">
        <f>J692</f>
        <v>27000</v>
      </c>
      <c r="K709" s="230">
        <f t="shared" si="98"/>
        <v>162000</v>
      </c>
    </row>
    <row r="710" spans="1:11" ht="13.2" customHeight="1" x14ac:dyDescent="0.25">
      <c r="A710" s="223"/>
      <c r="B710" s="224" t="s">
        <v>200</v>
      </c>
      <c r="C710" s="225" t="s">
        <v>979</v>
      </c>
      <c r="D710" s="226"/>
      <c r="E710" s="44"/>
      <c r="F710" s="227"/>
      <c r="G710" s="227"/>
      <c r="H710" s="228" t="s">
        <v>203</v>
      </c>
      <c r="I710" s="253">
        <v>18</v>
      </c>
      <c r="J710" s="60">
        <f>J693</f>
        <v>14000</v>
      </c>
      <c r="K710" s="230">
        <f t="shared" si="98"/>
        <v>252000</v>
      </c>
    </row>
    <row r="711" spans="1:11" ht="12.9" customHeight="1" x14ac:dyDescent="0.25">
      <c r="A711" s="58"/>
      <c r="B711" s="231"/>
      <c r="C711" s="232"/>
      <c r="D711" s="232"/>
      <c r="E711" s="232"/>
      <c r="F711" s="232"/>
      <c r="G711" s="233"/>
      <c r="H711" s="234" t="s">
        <v>715</v>
      </c>
      <c r="I711" s="235"/>
      <c r="J711" s="235"/>
      <c r="K711" s="236">
        <f>SUM(K699:K710)</f>
        <v>7181250</v>
      </c>
    </row>
    <row r="712" spans="1:11" ht="12.9" customHeight="1" x14ac:dyDescent="0.25">
      <c r="A712" s="58"/>
      <c r="B712" s="59"/>
      <c r="C712" s="56"/>
      <c r="D712" s="56"/>
      <c r="E712" s="56"/>
      <c r="F712" s="56"/>
      <c r="G712" s="237"/>
      <c r="H712" s="238" t="s">
        <v>603</v>
      </c>
      <c r="I712" s="239">
        <f>$K$3</f>
        <v>0.15</v>
      </c>
      <c r="J712" s="240"/>
      <c r="K712" s="241">
        <f>I712*K711</f>
        <v>1077187.5</v>
      </c>
    </row>
    <row r="713" spans="1:11" ht="12.9" customHeight="1" x14ac:dyDescent="0.25">
      <c r="A713" s="58"/>
      <c r="B713" s="59"/>
      <c r="C713" s="56"/>
      <c r="D713" s="56"/>
      <c r="E713" s="56"/>
      <c r="F713" s="56"/>
      <c r="G713" s="237"/>
      <c r="H713" s="238" t="s">
        <v>604</v>
      </c>
      <c r="I713" s="226"/>
      <c r="J713" s="226"/>
      <c r="K713" s="241">
        <f>SUM(K711:K712)</f>
        <v>8258437.5</v>
      </c>
    </row>
    <row r="714" spans="1:11" ht="12.9" customHeight="1" thickBot="1" x14ac:dyDescent="0.3">
      <c r="A714" s="242"/>
      <c r="B714" s="243"/>
      <c r="C714" s="244"/>
      <c r="D714" s="244"/>
      <c r="E714" s="244"/>
      <c r="F714" s="244"/>
      <c r="G714" s="245"/>
      <c r="H714" s="246" t="s">
        <v>605</v>
      </c>
      <c r="I714" s="247"/>
      <c r="J714" s="247"/>
      <c r="K714" s="248">
        <f>ROUND(K713,-1)</f>
        <v>8258440</v>
      </c>
    </row>
    <row r="715" spans="1:11" ht="14.1" customHeight="1" x14ac:dyDescent="0.25">
      <c r="A715" s="215">
        <v>58</v>
      </c>
      <c r="B715" s="651" t="s">
        <v>713</v>
      </c>
      <c r="C715" s="652"/>
      <c r="D715" s="216" t="s">
        <v>1154</v>
      </c>
      <c r="E715" s="217"/>
      <c r="F715" s="218"/>
      <c r="G715" s="218"/>
      <c r="H715" s="219"/>
      <c r="I715" s="220"/>
      <c r="J715" s="221"/>
      <c r="K715" s="222"/>
    </row>
    <row r="716" spans="1:11" ht="13.2" customHeight="1" x14ac:dyDescent="0.25">
      <c r="A716" s="223"/>
      <c r="B716" s="224" t="s">
        <v>4</v>
      </c>
      <c r="C716" s="225" t="s">
        <v>1148</v>
      </c>
      <c r="D716" s="226"/>
      <c r="E716" s="44"/>
      <c r="F716" s="227"/>
      <c r="G716" s="227"/>
      <c r="H716" s="228" t="s">
        <v>235</v>
      </c>
      <c r="I716" s="263">
        <v>1</v>
      </c>
      <c r="J716" s="60">
        <f>J699</f>
        <v>1135000</v>
      </c>
      <c r="K716" s="230">
        <f>I716*J716</f>
        <v>1135000</v>
      </c>
    </row>
    <row r="717" spans="1:11" ht="13.2" customHeight="1" x14ac:dyDescent="0.25">
      <c r="A717" s="223"/>
      <c r="B717" s="224" t="s">
        <v>30</v>
      </c>
      <c r="C717" s="225" t="s">
        <v>1149</v>
      </c>
      <c r="D717" s="226"/>
      <c r="E717" s="44"/>
      <c r="F717" s="227"/>
      <c r="G717" s="227"/>
      <c r="H717" s="228" t="s">
        <v>235</v>
      </c>
      <c r="I717" s="253">
        <v>2</v>
      </c>
      <c r="J717" s="60">
        <f t="shared" ref="J717:J727" si="99">J700</f>
        <v>1135000</v>
      </c>
      <c r="K717" s="230">
        <f t="shared" ref="K717:K727" si="100">I717*J717</f>
        <v>2270000</v>
      </c>
    </row>
    <row r="718" spans="1:11" ht="13.2" customHeight="1" x14ac:dyDescent="0.25">
      <c r="A718" s="223"/>
      <c r="B718" s="224" t="s">
        <v>57</v>
      </c>
      <c r="C718" s="225" t="s">
        <v>1150</v>
      </c>
      <c r="D718" s="226"/>
      <c r="E718" s="44"/>
      <c r="F718" s="227"/>
      <c r="G718" s="227"/>
      <c r="H718" s="228" t="s">
        <v>235</v>
      </c>
      <c r="I718" s="253">
        <v>6</v>
      </c>
      <c r="J718" s="60">
        <f t="shared" si="99"/>
        <v>41000</v>
      </c>
      <c r="K718" s="230">
        <f t="shared" si="100"/>
        <v>246000</v>
      </c>
    </row>
    <row r="719" spans="1:11" ht="13.2" customHeight="1" x14ac:dyDescent="0.25">
      <c r="A719" s="223"/>
      <c r="B719" s="224" t="s">
        <v>83</v>
      </c>
      <c r="C719" s="225" t="s">
        <v>1151</v>
      </c>
      <c r="D719" s="226"/>
      <c r="E719" s="44"/>
      <c r="F719" s="227"/>
      <c r="G719" s="227"/>
      <c r="H719" s="228" t="s">
        <v>203</v>
      </c>
      <c r="I719" s="285">
        <v>6</v>
      </c>
      <c r="J719" s="60">
        <f t="shared" si="99"/>
        <v>141750</v>
      </c>
      <c r="K719" s="230">
        <f t="shared" si="100"/>
        <v>850500</v>
      </c>
    </row>
    <row r="720" spans="1:11" ht="13.2" customHeight="1" x14ac:dyDescent="0.25">
      <c r="A720" s="223"/>
      <c r="B720" s="224" t="s">
        <v>110</v>
      </c>
      <c r="C720" s="225" t="s">
        <v>1152</v>
      </c>
      <c r="D720" s="226"/>
      <c r="E720" s="44"/>
      <c r="F720" s="227"/>
      <c r="G720" s="227"/>
      <c r="H720" s="228" t="s">
        <v>203</v>
      </c>
      <c r="I720" s="253">
        <v>3</v>
      </c>
      <c r="J720" s="60">
        <f t="shared" si="99"/>
        <v>105000</v>
      </c>
      <c r="K720" s="230">
        <f t="shared" si="100"/>
        <v>315000</v>
      </c>
    </row>
    <row r="721" spans="1:11" ht="13.2" customHeight="1" x14ac:dyDescent="0.25">
      <c r="A721" s="223"/>
      <c r="B721" s="224" t="s">
        <v>137</v>
      </c>
      <c r="C721" s="225" t="s">
        <v>890</v>
      </c>
      <c r="D721" s="226"/>
      <c r="E721" s="44"/>
      <c r="F721" s="227"/>
      <c r="G721" s="227"/>
      <c r="H721" s="228" t="s">
        <v>235</v>
      </c>
      <c r="I721" s="253">
        <v>2</v>
      </c>
      <c r="J721" s="60">
        <f t="shared" si="99"/>
        <v>320000</v>
      </c>
      <c r="K721" s="230">
        <f t="shared" si="100"/>
        <v>640000</v>
      </c>
    </row>
    <row r="722" spans="1:11" ht="13.2" customHeight="1" x14ac:dyDescent="0.25">
      <c r="A722" s="223"/>
      <c r="B722" s="224" t="s">
        <v>156</v>
      </c>
      <c r="C722" s="225" t="s">
        <v>1140</v>
      </c>
      <c r="D722" s="226"/>
      <c r="E722" s="44"/>
      <c r="G722" s="227"/>
      <c r="H722" s="228" t="s">
        <v>235</v>
      </c>
      <c r="I722" s="288">
        <v>1</v>
      </c>
      <c r="J722" s="60">
        <f>J637</f>
        <v>152000</v>
      </c>
      <c r="K722" s="230">
        <f t="shared" si="100"/>
        <v>152000</v>
      </c>
    </row>
    <row r="723" spans="1:11" ht="13.2" customHeight="1" x14ac:dyDescent="0.25">
      <c r="A723" s="223"/>
      <c r="B723" s="224" t="s">
        <v>175</v>
      </c>
      <c r="C723" s="225" t="s">
        <v>1142</v>
      </c>
      <c r="D723" s="226"/>
      <c r="E723" s="44"/>
      <c r="G723" s="227"/>
      <c r="H723" s="228" t="s">
        <v>235</v>
      </c>
      <c r="I723" s="289">
        <v>1</v>
      </c>
      <c r="J723" s="60">
        <f>J638</f>
        <v>139500</v>
      </c>
      <c r="K723" s="230">
        <f t="shared" si="100"/>
        <v>139500</v>
      </c>
    </row>
    <row r="724" spans="1:11" ht="13.2" customHeight="1" x14ac:dyDescent="0.25">
      <c r="A724" s="223"/>
      <c r="B724" s="224" t="s">
        <v>177</v>
      </c>
      <c r="C724" s="225" t="s">
        <v>1141</v>
      </c>
      <c r="D724" s="226"/>
      <c r="E724" s="44"/>
      <c r="G724" s="227"/>
      <c r="H724" s="228" t="s">
        <v>235</v>
      </c>
      <c r="I724" s="289">
        <v>1</v>
      </c>
      <c r="J724" s="60">
        <f>J639</f>
        <v>127000</v>
      </c>
      <c r="K724" s="230">
        <f t="shared" si="100"/>
        <v>127000</v>
      </c>
    </row>
    <row r="725" spans="1:11" ht="13.2" customHeight="1" x14ac:dyDescent="0.25">
      <c r="A725" s="223"/>
      <c r="B725" s="224" t="s">
        <v>197</v>
      </c>
      <c r="C725" s="225" t="s">
        <v>1153</v>
      </c>
      <c r="D725" s="226"/>
      <c r="E725" s="44"/>
      <c r="G725" s="227"/>
      <c r="H725" s="228" t="s">
        <v>235</v>
      </c>
      <c r="I725" s="285">
        <v>9</v>
      </c>
      <c r="J725" s="60">
        <f t="shared" si="99"/>
        <v>60250</v>
      </c>
      <c r="K725" s="230">
        <f t="shared" si="100"/>
        <v>542250</v>
      </c>
    </row>
    <row r="726" spans="1:11" ht="13.2" customHeight="1" x14ac:dyDescent="0.25">
      <c r="A726" s="223"/>
      <c r="B726" s="224" t="s">
        <v>198</v>
      </c>
      <c r="C726" s="225" t="s">
        <v>787</v>
      </c>
      <c r="D726" s="226"/>
      <c r="E726" s="44"/>
      <c r="F726" s="227"/>
      <c r="G726" s="227"/>
      <c r="H726" s="228" t="s">
        <v>203</v>
      </c>
      <c r="I726" s="253">
        <v>6</v>
      </c>
      <c r="J726" s="60">
        <f t="shared" si="99"/>
        <v>27000</v>
      </c>
      <c r="K726" s="230">
        <f t="shared" si="100"/>
        <v>162000</v>
      </c>
    </row>
    <row r="727" spans="1:11" ht="13.2" customHeight="1" x14ac:dyDescent="0.25">
      <c r="A727" s="223"/>
      <c r="B727" s="224" t="s">
        <v>200</v>
      </c>
      <c r="C727" s="225" t="s">
        <v>979</v>
      </c>
      <c r="D727" s="226"/>
      <c r="E727" s="44"/>
      <c r="F727" s="227"/>
      <c r="G727" s="227"/>
      <c r="H727" s="228" t="s">
        <v>203</v>
      </c>
      <c r="I727" s="253">
        <v>18</v>
      </c>
      <c r="J727" s="60">
        <f t="shared" si="99"/>
        <v>14000</v>
      </c>
      <c r="K727" s="230">
        <f t="shared" si="100"/>
        <v>252000</v>
      </c>
    </row>
    <row r="728" spans="1:11" ht="12.9" customHeight="1" x14ac:dyDescent="0.25">
      <c r="A728" s="58"/>
      <c r="B728" s="231"/>
      <c r="C728" s="232"/>
      <c r="D728" s="232"/>
      <c r="E728" s="232"/>
      <c r="F728" s="232"/>
      <c r="G728" s="233"/>
      <c r="H728" s="234" t="s">
        <v>715</v>
      </c>
      <c r="I728" s="235"/>
      <c r="J728" s="235"/>
      <c r="K728" s="236">
        <f>SUM(K716:K727)</f>
        <v>6831250</v>
      </c>
    </row>
    <row r="729" spans="1:11" ht="12.9" customHeight="1" x14ac:dyDescent="0.25">
      <c r="A729" s="58"/>
      <c r="B729" s="59"/>
      <c r="C729" s="56"/>
      <c r="D729" s="56"/>
      <c r="E729" s="56"/>
      <c r="F729" s="56"/>
      <c r="G729" s="237"/>
      <c r="H729" s="238" t="s">
        <v>603</v>
      </c>
      <c r="I729" s="239">
        <f>$K$3</f>
        <v>0.15</v>
      </c>
      <c r="J729" s="240"/>
      <c r="K729" s="241">
        <f>I729*K728</f>
        <v>1024687.5</v>
      </c>
    </row>
    <row r="730" spans="1:11" ht="12.9" customHeight="1" x14ac:dyDescent="0.25">
      <c r="A730" s="58"/>
      <c r="B730" s="59"/>
      <c r="C730" s="56"/>
      <c r="D730" s="56"/>
      <c r="E730" s="56"/>
      <c r="F730" s="56"/>
      <c r="G730" s="237"/>
      <c r="H730" s="238" t="s">
        <v>604</v>
      </c>
      <c r="I730" s="226"/>
      <c r="J730" s="226"/>
      <c r="K730" s="241">
        <f>SUM(K728:K729)</f>
        <v>7855937.5</v>
      </c>
    </row>
    <row r="731" spans="1:11" ht="12.9" customHeight="1" thickBot="1" x14ac:dyDescent="0.3">
      <c r="A731" s="242"/>
      <c r="B731" s="243"/>
      <c r="C731" s="244"/>
      <c r="D731" s="244"/>
      <c r="E731" s="244"/>
      <c r="F731" s="244"/>
      <c r="G731" s="245"/>
      <c r="H731" s="246" t="s">
        <v>605</v>
      </c>
      <c r="I731" s="247"/>
      <c r="J731" s="247"/>
      <c r="K731" s="248">
        <f>ROUND(K730,-1)</f>
        <v>7855940</v>
      </c>
    </row>
    <row r="732" spans="1:11" ht="14.1" customHeight="1" x14ac:dyDescent="0.25">
      <c r="A732" s="215">
        <v>59</v>
      </c>
      <c r="B732" s="651" t="s">
        <v>713</v>
      </c>
      <c r="C732" s="652"/>
      <c r="D732" s="216" t="s">
        <v>2219</v>
      </c>
      <c r="E732" s="217"/>
      <c r="F732" s="218"/>
      <c r="G732" s="218"/>
      <c r="H732" s="219"/>
      <c r="I732" s="220"/>
      <c r="J732" s="221"/>
      <c r="K732" s="222"/>
    </row>
    <row r="733" spans="1:11" ht="13.2" customHeight="1" x14ac:dyDescent="0.25">
      <c r="A733" s="223"/>
      <c r="B733" s="224" t="s">
        <v>4</v>
      </c>
      <c r="C733" s="225" t="s">
        <v>1148</v>
      </c>
      <c r="D733" s="226"/>
      <c r="E733" s="44"/>
      <c r="F733" s="227"/>
      <c r="G733" s="227"/>
      <c r="H733" s="228" t="s">
        <v>235</v>
      </c>
      <c r="I733" s="263">
        <v>1</v>
      </c>
      <c r="J733" s="60">
        <f t="shared" ref="J733:J738" si="101">J716</f>
        <v>1135000</v>
      </c>
      <c r="K733" s="230">
        <f>I733*J733</f>
        <v>1135000</v>
      </c>
    </row>
    <row r="734" spans="1:11" ht="13.2" customHeight="1" x14ac:dyDescent="0.25">
      <c r="A734" s="223"/>
      <c r="B734" s="224" t="s">
        <v>30</v>
      </c>
      <c r="C734" s="225" t="s">
        <v>1149</v>
      </c>
      <c r="D734" s="226"/>
      <c r="E734" s="44"/>
      <c r="F734" s="227"/>
      <c r="G734" s="227"/>
      <c r="H734" s="228" t="s">
        <v>235</v>
      </c>
      <c r="I734" s="253">
        <v>2</v>
      </c>
      <c r="J734" s="60">
        <f t="shared" si="101"/>
        <v>1135000</v>
      </c>
      <c r="K734" s="230">
        <f t="shared" ref="K734:K744" si="102">I734*J734</f>
        <v>2270000</v>
      </c>
    </row>
    <row r="735" spans="1:11" ht="13.2" customHeight="1" x14ac:dyDescent="0.25">
      <c r="A735" s="223"/>
      <c r="B735" s="224" t="s">
        <v>57</v>
      </c>
      <c r="C735" s="225" t="s">
        <v>1150</v>
      </c>
      <c r="D735" s="226"/>
      <c r="E735" s="44"/>
      <c r="F735" s="227"/>
      <c r="G735" s="227"/>
      <c r="H735" s="228" t="s">
        <v>235</v>
      </c>
      <c r="I735" s="253">
        <v>6</v>
      </c>
      <c r="J735" s="60">
        <f t="shared" si="101"/>
        <v>41000</v>
      </c>
      <c r="K735" s="230">
        <f t="shared" si="102"/>
        <v>246000</v>
      </c>
    </row>
    <row r="736" spans="1:11" ht="13.2" customHeight="1" x14ac:dyDescent="0.25">
      <c r="A736" s="223"/>
      <c r="B736" s="224" t="s">
        <v>83</v>
      </c>
      <c r="C736" s="225" t="s">
        <v>1151</v>
      </c>
      <c r="D736" s="226"/>
      <c r="E736" s="44"/>
      <c r="F736" s="227"/>
      <c r="G736" s="227"/>
      <c r="H736" s="228" t="s">
        <v>203</v>
      </c>
      <c r="I736" s="285">
        <v>6</v>
      </c>
      <c r="J736" s="60">
        <f t="shared" si="101"/>
        <v>141750</v>
      </c>
      <c r="K736" s="230">
        <f t="shared" si="102"/>
        <v>850500</v>
      </c>
    </row>
    <row r="737" spans="1:11" ht="13.2" customHeight="1" x14ac:dyDescent="0.25">
      <c r="A737" s="223"/>
      <c r="B737" s="224" t="s">
        <v>110</v>
      </c>
      <c r="C737" s="225" t="s">
        <v>1152</v>
      </c>
      <c r="D737" s="226"/>
      <c r="E737" s="44"/>
      <c r="F737" s="227"/>
      <c r="G737" s="227"/>
      <c r="H737" s="228" t="s">
        <v>203</v>
      </c>
      <c r="I737" s="253">
        <v>3</v>
      </c>
      <c r="J737" s="60">
        <f t="shared" si="101"/>
        <v>105000</v>
      </c>
      <c r="K737" s="230">
        <f t="shared" si="102"/>
        <v>315000</v>
      </c>
    </row>
    <row r="738" spans="1:11" ht="13.2" customHeight="1" x14ac:dyDescent="0.25">
      <c r="A738" s="223"/>
      <c r="B738" s="224" t="s">
        <v>137</v>
      </c>
      <c r="C738" s="225" t="s">
        <v>890</v>
      </c>
      <c r="D738" s="226"/>
      <c r="E738" s="44"/>
      <c r="F738" s="227"/>
      <c r="G738" s="227"/>
      <c r="H738" s="228" t="s">
        <v>235</v>
      </c>
      <c r="I738" s="253">
        <v>3</v>
      </c>
      <c r="J738" s="60">
        <f t="shared" si="101"/>
        <v>320000</v>
      </c>
      <c r="K738" s="230">
        <f t="shared" si="102"/>
        <v>960000</v>
      </c>
    </row>
    <row r="739" spans="1:11" ht="13.2" customHeight="1" x14ac:dyDescent="0.25">
      <c r="A739" s="223"/>
      <c r="B739" s="224" t="s">
        <v>156</v>
      </c>
      <c r="C739" s="225" t="s">
        <v>1140</v>
      </c>
      <c r="D739" s="226"/>
      <c r="E739" s="44"/>
      <c r="F739" s="287"/>
      <c r="G739" s="227"/>
      <c r="H739" s="228" t="s">
        <v>235</v>
      </c>
      <c r="I739" s="253">
        <v>1</v>
      </c>
      <c r="J739" s="60">
        <f>J654</f>
        <v>152000</v>
      </c>
      <c r="K739" s="230">
        <f t="shared" si="102"/>
        <v>152000</v>
      </c>
    </row>
    <row r="740" spans="1:11" ht="13.2" customHeight="1" x14ac:dyDescent="0.25">
      <c r="A740" s="223"/>
      <c r="B740" s="224" t="s">
        <v>175</v>
      </c>
      <c r="C740" s="225" t="s">
        <v>958</v>
      </c>
      <c r="D740" s="226"/>
      <c r="E740" s="44"/>
      <c r="F740" s="287"/>
      <c r="G740" s="227"/>
      <c r="H740" s="228" t="s">
        <v>235</v>
      </c>
      <c r="I740" s="253">
        <v>1</v>
      </c>
      <c r="J740" s="60">
        <f>J655</f>
        <v>132500</v>
      </c>
      <c r="K740" s="230">
        <f t="shared" si="102"/>
        <v>132500</v>
      </c>
    </row>
    <row r="741" spans="1:11" ht="13.2" customHeight="1" x14ac:dyDescent="0.25">
      <c r="A741" s="223"/>
      <c r="B741" s="224" t="s">
        <v>177</v>
      </c>
      <c r="C741" s="225" t="s">
        <v>958</v>
      </c>
      <c r="D741" s="226"/>
      <c r="E741" s="44"/>
      <c r="F741" s="287"/>
      <c r="G741" s="227"/>
      <c r="H741" s="228" t="s">
        <v>235</v>
      </c>
      <c r="I741" s="285">
        <v>1</v>
      </c>
      <c r="J741" s="60">
        <f>J656</f>
        <v>132500</v>
      </c>
      <c r="K741" s="230">
        <f t="shared" si="102"/>
        <v>132500</v>
      </c>
    </row>
    <row r="742" spans="1:11" ht="13.2" customHeight="1" x14ac:dyDescent="0.25">
      <c r="A742" s="223"/>
      <c r="B742" s="224" t="s">
        <v>197</v>
      </c>
      <c r="C742" s="225" t="s">
        <v>1153</v>
      </c>
      <c r="D742" s="226"/>
      <c r="E742" s="44"/>
      <c r="F742" s="287"/>
      <c r="G742" s="227"/>
      <c r="H742" s="228" t="s">
        <v>235</v>
      </c>
      <c r="I742" s="285">
        <v>12</v>
      </c>
      <c r="J742" s="60">
        <f>J725</f>
        <v>60250</v>
      </c>
      <c r="K742" s="230">
        <f t="shared" si="102"/>
        <v>723000</v>
      </c>
    </row>
    <row r="743" spans="1:11" ht="13.2" customHeight="1" x14ac:dyDescent="0.25">
      <c r="A743" s="223"/>
      <c r="B743" s="224" t="s">
        <v>198</v>
      </c>
      <c r="C743" s="225" t="s">
        <v>787</v>
      </c>
      <c r="D743" s="226"/>
      <c r="E743" s="44"/>
      <c r="F743" s="227"/>
      <c r="G743" s="227"/>
      <c r="H743" s="228" t="s">
        <v>203</v>
      </c>
      <c r="I743" s="253">
        <v>4</v>
      </c>
      <c r="J743" s="60">
        <f>J726</f>
        <v>27000</v>
      </c>
      <c r="K743" s="230">
        <f t="shared" si="102"/>
        <v>108000</v>
      </c>
    </row>
    <row r="744" spans="1:11" ht="13.2" customHeight="1" x14ac:dyDescent="0.25">
      <c r="A744" s="223"/>
      <c r="B744" s="224" t="s">
        <v>200</v>
      </c>
      <c r="C744" s="225" t="s">
        <v>979</v>
      </c>
      <c r="D744" s="226"/>
      <c r="E744" s="44"/>
      <c r="F744" s="227"/>
      <c r="G744" s="227"/>
      <c r="H744" s="228" t="s">
        <v>203</v>
      </c>
      <c r="I744" s="253">
        <v>12</v>
      </c>
      <c r="J744" s="60">
        <f>J727</f>
        <v>14000</v>
      </c>
      <c r="K744" s="230">
        <f t="shared" si="102"/>
        <v>168000</v>
      </c>
    </row>
    <row r="745" spans="1:11" ht="12.9" customHeight="1" x14ac:dyDescent="0.25">
      <c r="A745" s="58"/>
      <c r="B745" s="231"/>
      <c r="C745" s="232"/>
      <c r="D745" s="232"/>
      <c r="E745" s="232"/>
      <c r="F745" s="232"/>
      <c r="G745" s="233"/>
      <c r="H745" s="234" t="s">
        <v>715</v>
      </c>
      <c r="I745" s="235"/>
      <c r="J745" s="235"/>
      <c r="K745" s="236">
        <f>SUM(K733:K744)</f>
        <v>7192500</v>
      </c>
    </row>
    <row r="746" spans="1:11" ht="12.9" customHeight="1" x14ac:dyDescent="0.25">
      <c r="A746" s="58"/>
      <c r="B746" s="59"/>
      <c r="C746" s="56"/>
      <c r="D746" s="56"/>
      <c r="E746" s="56"/>
      <c r="F746" s="56"/>
      <c r="G746" s="237"/>
      <c r="H746" s="238" t="s">
        <v>603</v>
      </c>
      <c r="I746" s="239">
        <f>$K$3</f>
        <v>0.15</v>
      </c>
      <c r="J746" s="240"/>
      <c r="K746" s="241">
        <f>I746*K745</f>
        <v>1078875</v>
      </c>
    </row>
    <row r="747" spans="1:11" ht="12.9" customHeight="1" x14ac:dyDescent="0.25">
      <c r="A747" s="58"/>
      <c r="B747" s="59"/>
      <c r="C747" s="56"/>
      <c r="D747" s="56"/>
      <c r="E747" s="56"/>
      <c r="F747" s="56"/>
      <c r="G747" s="237"/>
      <c r="H747" s="238" t="s">
        <v>604</v>
      </c>
      <c r="I747" s="226"/>
      <c r="J747" s="226"/>
      <c r="K747" s="241">
        <f>SUM(K745:K746)</f>
        <v>8271375</v>
      </c>
    </row>
    <row r="748" spans="1:11" ht="12.9" customHeight="1" thickBot="1" x14ac:dyDescent="0.3">
      <c r="A748" s="242"/>
      <c r="B748" s="243"/>
      <c r="C748" s="244"/>
      <c r="D748" s="244"/>
      <c r="E748" s="244"/>
      <c r="F748" s="244"/>
      <c r="G748" s="245"/>
      <c r="H748" s="246" t="s">
        <v>605</v>
      </c>
      <c r="I748" s="247"/>
      <c r="J748" s="247"/>
      <c r="K748" s="248">
        <f>ROUND(K747,-1)</f>
        <v>8271380</v>
      </c>
    </row>
    <row r="749" spans="1:11" ht="14.1" customHeight="1" x14ac:dyDescent="0.25">
      <c r="A749" s="215">
        <v>60</v>
      </c>
      <c r="B749" s="651" t="s">
        <v>713</v>
      </c>
      <c r="C749" s="652"/>
      <c r="D749" s="216" t="s">
        <v>2220</v>
      </c>
      <c r="E749" s="217"/>
      <c r="F749" s="218"/>
      <c r="G749" s="218"/>
      <c r="H749" s="219"/>
      <c r="I749" s="220"/>
      <c r="J749" s="221"/>
      <c r="K749" s="222"/>
    </row>
    <row r="750" spans="1:11" ht="13.2" customHeight="1" x14ac:dyDescent="0.25">
      <c r="A750" s="223"/>
      <c r="B750" s="224" t="s">
        <v>4</v>
      </c>
      <c r="C750" s="225" t="s">
        <v>1148</v>
      </c>
      <c r="D750" s="226"/>
      <c r="E750" s="44"/>
      <c r="F750" s="227"/>
      <c r="G750" s="227"/>
      <c r="H750" s="228" t="s">
        <v>235</v>
      </c>
      <c r="I750" s="263">
        <v>1</v>
      </c>
      <c r="J750" s="60">
        <f>J733</f>
        <v>1135000</v>
      </c>
      <c r="K750" s="230">
        <f>I750*J750</f>
        <v>1135000</v>
      </c>
    </row>
    <row r="751" spans="1:11" ht="13.2" customHeight="1" x14ac:dyDescent="0.25">
      <c r="A751" s="223"/>
      <c r="B751" s="224" t="s">
        <v>30</v>
      </c>
      <c r="C751" s="225" t="s">
        <v>1149</v>
      </c>
      <c r="D751" s="226"/>
      <c r="E751" s="44"/>
      <c r="F751" s="227"/>
      <c r="G751" s="227"/>
      <c r="H751" s="228" t="s">
        <v>235</v>
      </c>
      <c r="I751" s="253">
        <v>2</v>
      </c>
      <c r="J751" s="60">
        <f t="shared" ref="J751:J761" si="103">J734</f>
        <v>1135000</v>
      </c>
      <c r="K751" s="230">
        <f t="shared" ref="K751:K761" si="104">I751*J751</f>
        <v>2270000</v>
      </c>
    </row>
    <row r="752" spans="1:11" ht="13.2" customHeight="1" x14ac:dyDescent="0.25">
      <c r="A752" s="223"/>
      <c r="B752" s="224" t="s">
        <v>57</v>
      </c>
      <c r="C752" s="225" t="s">
        <v>1150</v>
      </c>
      <c r="D752" s="226"/>
      <c r="E752" s="44"/>
      <c r="F752" s="227"/>
      <c r="G752" s="227"/>
      <c r="H752" s="228" t="s">
        <v>235</v>
      </c>
      <c r="I752" s="253">
        <v>6</v>
      </c>
      <c r="J752" s="60">
        <f t="shared" si="103"/>
        <v>41000</v>
      </c>
      <c r="K752" s="230">
        <f t="shared" si="104"/>
        <v>246000</v>
      </c>
    </row>
    <row r="753" spans="1:11" ht="13.2" customHeight="1" x14ac:dyDescent="0.25">
      <c r="A753" s="223"/>
      <c r="B753" s="224" t="s">
        <v>83</v>
      </c>
      <c r="C753" s="225" t="s">
        <v>1151</v>
      </c>
      <c r="D753" s="226"/>
      <c r="E753" s="44"/>
      <c r="F753" s="227"/>
      <c r="G753" s="227"/>
      <c r="H753" s="228" t="s">
        <v>203</v>
      </c>
      <c r="I753" s="285">
        <v>6</v>
      </c>
      <c r="J753" s="60">
        <f t="shared" si="103"/>
        <v>141750</v>
      </c>
      <c r="K753" s="230">
        <f t="shared" si="104"/>
        <v>850500</v>
      </c>
    </row>
    <row r="754" spans="1:11" ht="13.2" customHeight="1" x14ac:dyDescent="0.25">
      <c r="A754" s="223"/>
      <c r="B754" s="224" t="s">
        <v>110</v>
      </c>
      <c r="C754" s="225" t="s">
        <v>1152</v>
      </c>
      <c r="D754" s="226"/>
      <c r="E754" s="44"/>
      <c r="F754" s="227"/>
      <c r="G754" s="227"/>
      <c r="H754" s="228" t="s">
        <v>203</v>
      </c>
      <c r="I754" s="253">
        <v>3</v>
      </c>
      <c r="J754" s="60">
        <f t="shared" si="103"/>
        <v>105000</v>
      </c>
      <c r="K754" s="230">
        <f t="shared" si="104"/>
        <v>315000</v>
      </c>
    </row>
    <row r="755" spans="1:11" ht="13.2" customHeight="1" x14ac:dyDescent="0.25">
      <c r="A755" s="223"/>
      <c r="B755" s="224" t="s">
        <v>137</v>
      </c>
      <c r="C755" s="225" t="s">
        <v>890</v>
      </c>
      <c r="D755" s="226"/>
      <c r="E755" s="44"/>
      <c r="F755" s="227"/>
      <c r="G755" s="227"/>
      <c r="H755" s="228" t="s">
        <v>235</v>
      </c>
      <c r="I755" s="253">
        <v>3</v>
      </c>
      <c r="J755" s="60">
        <f t="shared" si="103"/>
        <v>320000</v>
      </c>
      <c r="K755" s="230">
        <f t="shared" si="104"/>
        <v>960000</v>
      </c>
    </row>
    <row r="756" spans="1:11" ht="13.2" customHeight="1" x14ac:dyDescent="0.25">
      <c r="A756" s="223"/>
      <c r="B756" s="224" t="s">
        <v>156</v>
      </c>
      <c r="C756" s="225" t="s">
        <v>958</v>
      </c>
      <c r="D756" s="226"/>
      <c r="E756" s="44"/>
      <c r="F756" s="287"/>
      <c r="G756" s="227"/>
      <c r="H756" s="228" t="s">
        <v>235</v>
      </c>
      <c r="I756" s="253">
        <v>1</v>
      </c>
      <c r="J756" s="60">
        <f>J671</f>
        <v>132500</v>
      </c>
      <c r="K756" s="230">
        <f t="shared" si="104"/>
        <v>132500</v>
      </c>
    </row>
    <row r="757" spans="1:11" ht="13.2" customHeight="1" x14ac:dyDescent="0.25">
      <c r="A757" s="223"/>
      <c r="B757" s="224" t="s">
        <v>175</v>
      </c>
      <c r="C757" s="225" t="s">
        <v>838</v>
      </c>
      <c r="D757" s="226"/>
      <c r="E757" s="44"/>
      <c r="F757" s="287"/>
      <c r="G757" s="227"/>
      <c r="H757" s="228" t="s">
        <v>235</v>
      </c>
      <c r="I757" s="253">
        <v>1</v>
      </c>
      <c r="J757" s="60">
        <f>J672</f>
        <v>115000</v>
      </c>
      <c r="K757" s="230">
        <f t="shared" si="104"/>
        <v>115000</v>
      </c>
    </row>
    <row r="758" spans="1:11" ht="13.2" customHeight="1" x14ac:dyDescent="0.25">
      <c r="A758" s="223"/>
      <c r="B758" s="224" t="s">
        <v>177</v>
      </c>
      <c r="C758" s="225" t="s">
        <v>838</v>
      </c>
      <c r="D758" s="226"/>
      <c r="E758" s="44"/>
      <c r="F758" s="287"/>
      <c r="G758" s="227"/>
      <c r="H758" s="228" t="s">
        <v>235</v>
      </c>
      <c r="I758" s="285">
        <v>1</v>
      </c>
      <c r="J758" s="60">
        <f>J673</f>
        <v>115000</v>
      </c>
      <c r="K758" s="230">
        <f t="shared" si="104"/>
        <v>115000</v>
      </c>
    </row>
    <row r="759" spans="1:11" ht="13.2" customHeight="1" x14ac:dyDescent="0.25">
      <c r="A759" s="223"/>
      <c r="B759" s="224" t="s">
        <v>197</v>
      </c>
      <c r="C759" s="225" t="s">
        <v>1153</v>
      </c>
      <c r="D759" s="226"/>
      <c r="E759" s="44"/>
      <c r="F759" s="287"/>
      <c r="G759" s="227"/>
      <c r="H759" s="228" t="s">
        <v>235</v>
      </c>
      <c r="I759" s="285">
        <v>12</v>
      </c>
      <c r="J759" s="60">
        <f t="shared" si="103"/>
        <v>60250</v>
      </c>
      <c r="K759" s="230">
        <f t="shared" si="104"/>
        <v>723000</v>
      </c>
    </row>
    <row r="760" spans="1:11" ht="13.2" customHeight="1" x14ac:dyDescent="0.25">
      <c r="A760" s="223"/>
      <c r="B760" s="224" t="s">
        <v>198</v>
      </c>
      <c r="C760" s="225" t="s">
        <v>787</v>
      </c>
      <c r="D760" s="226"/>
      <c r="E760" s="44"/>
      <c r="F760" s="227"/>
      <c r="G760" s="227"/>
      <c r="H760" s="228" t="s">
        <v>203</v>
      </c>
      <c r="I760" s="253">
        <v>4</v>
      </c>
      <c r="J760" s="60">
        <f t="shared" si="103"/>
        <v>27000</v>
      </c>
      <c r="K760" s="230">
        <f t="shared" si="104"/>
        <v>108000</v>
      </c>
    </row>
    <row r="761" spans="1:11" ht="13.2" customHeight="1" x14ac:dyDescent="0.25">
      <c r="A761" s="223"/>
      <c r="B761" s="224" t="s">
        <v>200</v>
      </c>
      <c r="C761" s="225" t="s">
        <v>979</v>
      </c>
      <c r="D761" s="226"/>
      <c r="E761" s="44"/>
      <c r="F761" s="227"/>
      <c r="G761" s="227"/>
      <c r="H761" s="228" t="s">
        <v>203</v>
      </c>
      <c r="I761" s="253">
        <v>12</v>
      </c>
      <c r="J761" s="60">
        <f t="shared" si="103"/>
        <v>14000</v>
      </c>
      <c r="K761" s="230">
        <f t="shared" si="104"/>
        <v>168000</v>
      </c>
    </row>
    <row r="762" spans="1:11" ht="12.9" customHeight="1" x14ac:dyDescent="0.25">
      <c r="A762" s="58"/>
      <c r="B762" s="231"/>
      <c r="C762" s="232"/>
      <c r="D762" s="232"/>
      <c r="E762" s="232"/>
      <c r="F762" s="232"/>
      <c r="G762" s="233"/>
      <c r="H762" s="234" t="s">
        <v>715</v>
      </c>
      <c r="I762" s="235"/>
      <c r="J762" s="235"/>
      <c r="K762" s="236">
        <f>SUM(K750:K761)</f>
        <v>7138000</v>
      </c>
    </row>
    <row r="763" spans="1:11" ht="12.9" customHeight="1" x14ac:dyDescent="0.25">
      <c r="A763" s="58"/>
      <c r="B763" s="59"/>
      <c r="C763" s="56"/>
      <c r="D763" s="56"/>
      <c r="E763" s="56"/>
      <c r="F763" s="56"/>
      <c r="G763" s="237"/>
      <c r="H763" s="238" t="s">
        <v>603</v>
      </c>
      <c r="I763" s="239">
        <f>$K$3</f>
        <v>0.15</v>
      </c>
      <c r="J763" s="240"/>
      <c r="K763" s="241">
        <f>I763*K762</f>
        <v>1070700</v>
      </c>
    </row>
    <row r="764" spans="1:11" ht="12.9" customHeight="1" x14ac:dyDescent="0.25">
      <c r="A764" s="58"/>
      <c r="B764" s="59"/>
      <c r="C764" s="56"/>
      <c r="D764" s="56"/>
      <c r="E764" s="56"/>
      <c r="F764" s="56"/>
      <c r="G764" s="237"/>
      <c r="H764" s="238" t="s">
        <v>604</v>
      </c>
      <c r="I764" s="226"/>
      <c r="J764" s="226"/>
      <c r="K764" s="241">
        <f>SUM(K762:K763)</f>
        <v>8208700</v>
      </c>
    </row>
    <row r="765" spans="1:11" ht="12.9" customHeight="1" thickBot="1" x14ac:dyDescent="0.3">
      <c r="A765" s="242"/>
      <c r="B765" s="243"/>
      <c r="C765" s="244"/>
      <c r="D765" s="244"/>
      <c r="E765" s="244"/>
      <c r="F765" s="244"/>
      <c r="G765" s="245"/>
      <c r="H765" s="246" t="s">
        <v>605</v>
      </c>
      <c r="I765" s="247"/>
      <c r="J765" s="247"/>
      <c r="K765" s="248">
        <f>ROUND(K764,-1)</f>
        <v>8208700</v>
      </c>
    </row>
    <row r="766" spans="1:11" ht="14.1" customHeight="1" x14ac:dyDescent="0.25">
      <c r="A766" s="215">
        <v>61</v>
      </c>
      <c r="B766" s="651" t="s">
        <v>713</v>
      </c>
      <c r="C766" s="652"/>
      <c r="D766" s="216" t="s">
        <v>1155</v>
      </c>
      <c r="E766" s="217"/>
      <c r="F766" s="218"/>
      <c r="G766" s="218"/>
      <c r="H766" s="219"/>
      <c r="I766" s="220"/>
      <c r="J766" s="221"/>
      <c r="K766" s="222"/>
    </row>
    <row r="767" spans="1:11" ht="13.2" customHeight="1" x14ac:dyDescent="0.25">
      <c r="A767" s="223"/>
      <c r="B767" s="224" t="s">
        <v>4</v>
      </c>
      <c r="C767" s="225" t="s">
        <v>1148</v>
      </c>
      <c r="D767" s="226"/>
      <c r="E767" s="44"/>
      <c r="F767" s="227"/>
      <c r="G767" s="227"/>
      <c r="H767" s="228" t="s">
        <v>235</v>
      </c>
      <c r="I767" s="263">
        <v>1</v>
      </c>
      <c r="J767" s="60">
        <f>J750</f>
        <v>1135000</v>
      </c>
      <c r="K767" s="230">
        <f>I767*J767</f>
        <v>1135000</v>
      </c>
    </row>
    <row r="768" spans="1:11" ht="13.2" customHeight="1" x14ac:dyDescent="0.25">
      <c r="A768" s="223"/>
      <c r="B768" s="224" t="s">
        <v>30</v>
      </c>
      <c r="C768" s="225" t="s">
        <v>1149</v>
      </c>
      <c r="D768" s="226"/>
      <c r="E768" s="44"/>
      <c r="F768" s="227"/>
      <c r="G768" s="227"/>
      <c r="H768" s="228" t="s">
        <v>235</v>
      </c>
      <c r="I768" s="253">
        <v>2</v>
      </c>
      <c r="J768" s="60">
        <f t="shared" ref="J768:J778" si="105">J751</f>
        <v>1135000</v>
      </c>
      <c r="K768" s="230">
        <f t="shared" ref="K768:K778" si="106">I768*J768</f>
        <v>2270000</v>
      </c>
    </row>
    <row r="769" spans="1:11" ht="13.2" customHeight="1" x14ac:dyDescent="0.25">
      <c r="A769" s="223"/>
      <c r="B769" s="224" t="s">
        <v>57</v>
      </c>
      <c r="C769" s="225" t="s">
        <v>1150</v>
      </c>
      <c r="D769" s="226"/>
      <c r="E769" s="44"/>
      <c r="F769" s="227"/>
      <c r="G769" s="227"/>
      <c r="H769" s="228" t="s">
        <v>235</v>
      </c>
      <c r="I769" s="253">
        <v>6</v>
      </c>
      <c r="J769" s="60">
        <f t="shared" si="105"/>
        <v>41000</v>
      </c>
      <c r="K769" s="230">
        <f t="shared" si="106"/>
        <v>246000</v>
      </c>
    </row>
    <row r="770" spans="1:11" ht="13.2" customHeight="1" x14ac:dyDescent="0.25">
      <c r="A770" s="223"/>
      <c r="B770" s="224" t="s">
        <v>83</v>
      </c>
      <c r="C770" s="225" t="s">
        <v>1151</v>
      </c>
      <c r="D770" s="226"/>
      <c r="E770" s="44"/>
      <c r="F770" s="227"/>
      <c r="G770" s="227"/>
      <c r="H770" s="228" t="s">
        <v>203</v>
      </c>
      <c r="I770" s="285">
        <v>6</v>
      </c>
      <c r="J770" s="60">
        <f t="shared" si="105"/>
        <v>141750</v>
      </c>
      <c r="K770" s="230">
        <f t="shared" si="106"/>
        <v>850500</v>
      </c>
    </row>
    <row r="771" spans="1:11" ht="13.2" customHeight="1" x14ac:dyDescent="0.25">
      <c r="A771" s="223"/>
      <c r="B771" s="224" t="s">
        <v>110</v>
      </c>
      <c r="C771" s="225" t="s">
        <v>1152</v>
      </c>
      <c r="D771" s="226"/>
      <c r="E771" s="44"/>
      <c r="F771" s="227"/>
      <c r="G771" s="227"/>
      <c r="H771" s="228" t="s">
        <v>203</v>
      </c>
      <c r="I771" s="253">
        <v>3</v>
      </c>
      <c r="J771" s="60">
        <f t="shared" si="105"/>
        <v>105000</v>
      </c>
      <c r="K771" s="230">
        <f t="shared" si="106"/>
        <v>315000</v>
      </c>
    </row>
    <row r="772" spans="1:11" ht="13.2" customHeight="1" x14ac:dyDescent="0.25">
      <c r="A772" s="223"/>
      <c r="B772" s="224" t="s">
        <v>137</v>
      </c>
      <c r="C772" s="225" t="s">
        <v>890</v>
      </c>
      <c r="D772" s="226"/>
      <c r="E772" s="44"/>
      <c r="F772" s="227"/>
      <c r="G772" s="227"/>
      <c r="H772" s="228" t="s">
        <v>235</v>
      </c>
      <c r="I772" s="253">
        <v>3</v>
      </c>
      <c r="J772" s="60">
        <f t="shared" si="105"/>
        <v>320000</v>
      </c>
      <c r="K772" s="230">
        <f t="shared" si="106"/>
        <v>960000</v>
      </c>
    </row>
    <row r="773" spans="1:11" ht="13.2" customHeight="1" x14ac:dyDescent="0.25">
      <c r="A773" s="223"/>
      <c r="B773" s="224" t="s">
        <v>156</v>
      </c>
      <c r="C773" s="225" t="s">
        <v>838</v>
      </c>
      <c r="D773" s="226"/>
      <c r="E773" s="44"/>
      <c r="F773" s="287"/>
      <c r="G773" s="227"/>
      <c r="H773" s="228" t="s">
        <v>235</v>
      </c>
      <c r="I773" s="253">
        <v>1</v>
      </c>
      <c r="J773" s="60">
        <f>J688</f>
        <v>115000</v>
      </c>
      <c r="K773" s="230">
        <f t="shared" si="106"/>
        <v>115000</v>
      </c>
    </row>
    <row r="774" spans="1:11" ht="13.2" customHeight="1" x14ac:dyDescent="0.25">
      <c r="A774" s="223"/>
      <c r="B774" s="224" t="s">
        <v>175</v>
      </c>
      <c r="C774" s="225" t="s">
        <v>1144</v>
      </c>
      <c r="D774" s="226"/>
      <c r="E774" s="44"/>
      <c r="F774" s="287"/>
      <c r="G774" s="227"/>
      <c r="H774" s="228" t="s">
        <v>235</v>
      </c>
      <c r="I774" s="253">
        <v>1</v>
      </c>
      <c r="J774" s="60">
        <f>J689</f>
        <v>105500</v>
      </c>
      <c r="K774" s="230">
        <f t="shared" si="106"/>
        <v>105500</v>
      </c>
    </row>
    <row r="775" spans="1:11" ht="13.2" customHeight="1" x14ac:dyDescent="0.25">
      <c r="A775" s="223"/>
      <c r="B775" s="224" t="s">
        <v>177</v>
      </c>
      <c r="C775" s="225" t="s">
        <v>1144</v>
      </c>
      <c r="D775" s="226"/>
      <c r="E775" s="44"/>
      <c r="F775" s="287"/>
      <c r="G775" s="227"/>
      <c r="H775" s="228" t="s">
        <v>235</v>
      </c>
      <c r="I775" s="285">
        <v>1</v>
      </c>
      <c r="J775" s="60">
        <f>J690</f>
        <v>105500</v>
      </c>
      <c r="K775" s="230">
        <f t="shared" si="106"/>
        <v>105500</v>
      </c>
    </row>
    <row r="776" spans="1:11" ht="13.2" customHeight="1" x14ac:dyDescent="0.25">
      <c r="A776" s="223"/>
      <c r="B776" s="224" t="s">
        <v>197</v>
      </c>
      <c r="C776" s="225" t="s">
        <v>1153</v>
      </c>
      <c r="D776" s="226"/>
      <c r="E776" s="44"/>
      <c r="F776" s="287"/>
      <c r="G776" s="227"/>
      <c r="H776" s="228" t="s">
        <v>235</v>
      </c>
      <c r="I776" s="285">
        <v>12</v>
      </c>
      <c r="J776" s="60">
        <f t="shared" si="105"/>
        <v>60250</v>
      </c>
      <c r="K776" s="230">
        <f t="shared" si="106"/>
        <v>723000</v>
      </c>
    </row>
    <row r="777" spans="1:11" ht="13.2" customHeight="1" x14ac:dyDescent="0.25">
      <c r="A777" s="223"/>
      <c r="B777" s="224" t="s">
        <v>198</v>
      </c>
      <c r="C777" s="225" t="s">
        <v>787</v>
      </c>
      <c r="D777" s="226"/>
      <c r="E777" s="44"/>
      <c r="F777" s="227"/>
      <c r="G777" s="227"/>
      <c r="H777" s="228" t="s">
        <v>203</v>
      </c>
      <c r="I777" s="253">
        <v>4</v>
      </c>
      <c r="J777" s="60">
        <f t="shared" si="105"/>
        <v>27000</v>
      </c>
      <c r="K777" s="230">
        <f t="shared" si="106"/>
        <v>108000</v>
      </c>
    </row>
    <row r="778" spans="1:11" ht="13.2" customHeight="1" x14ac:dyDescent="0.25">
      <c r="A778" s="223"/>
      <c r="B778" s="224" t="s">
        <v>200</v>
      </c>
      <c r="C778" s="225" t="s">
        <v>979</v>
      </c>
      <c r="D778" s="226"/>
      <c r="E778" s="44"/>
      <c r="F778" s="227"/>
      <c r="G778" s="227"/>
      <c r="H778" s="228" t="s">
        <v>203</v>
      </c>
      <c r="I778" s="253">
        <v>12</v>
      </c>
      <c r="J778" s="60">
        <f t="shared" si="105"/>
        <v>14000</v>
      </c>
      <c r="K778" s="230">
        <f t="shared" si="106"/>
        <v>168000</v>
      </c>
    </row>
    <row r="779" spans="1:11" ht="12.9" customHeight="1" x14ac:dyDescent="0.25">
      <c r="A779" s="58"/>
      <c r="B779" s="231"/>
      <c r="C779" s="232"/>
      <c r="D779" s="232"/>
      <c r="E779" s="232"/>
      <c r="F779" s="232"/>
      <c r="G779" s="233"/>
      <c r="H779" s="234" t="s">
        <v>715</v>
      </c>
      <c r="I779" s="235"/>
      <c r="J779" s="235"/>
      <c r="K779" s="236">
        <f>SUM(K767:K778)</f>
        <v>7101500</v>
      </c>
    </row>
    <row r="780" spans="1:11" ht="12.9" customHeight="1" x14ac:dyDescent="0.25">
      <c r="A780" s="58"/>
      <c r="B780" s="59"/>
      <c r="C780" s="56"/>
      <c r="D780" s="56"/>
      <c r="E780" s="56"/>
      <c r="F780" s="56"/>
      <c r="G780" s="237"/>
      <c r="H780" s="238" t="s">
        <v>603</v>
      </c>
      <c r="I780" s="239">
        <f>$K$3</f>
        <v>0.15</v>
      </c>
      <c r="J780" s="240"/>
      <c r="K780" s="241">
        <f>I780*K779</f>
        <v>1065225</v>
      </c>
    </row>
    <row r="781" spans="1:11" ht="12.9" customHeight="1" x14ac:dyDescent="0.25">
      <c r="A781" s="58"/>
      <c r="B781" s="59"/>
      <c r="C781" s="56"/>
      <c r="D781" s="56"/>
      <c r="E781" s="56"/>
      <c r="F781" s="56"/>
      <c r="G781" s="237"/>
      <c r="H781" s="238" t="s">
        <v>604</v>
      </c>
      <c r="I781" s="226"/>
      <c r="J781" s="226"/>
      <c r="K781" s="241">
        <f>SUM(K779:K780)</f>
        <v>8166725</v>
      </c>
    </row>
    <row r="782" spans="1:11" ht="12.9" customHeight="1" thickBot="1" x14ac:dyDescent="0.3">
      <c r="A782" s="242"/>
      <c r="B782" s="243"/>
      <c r="C782" s="244"/>
      <c r="D782" s="244"/>
      <c r="E782" s="244"/>
      <c r="F782" s="244"/>
      <c r="G782" s="245"/>
      <c r="H782" s="246" t="s">
        <v>605</v>
      </c>
      <c r="I782" s="247"/>
      <c r="J782" s="247"/>
      <c r="K782" s="248">
        <f>ROUND(K781,-1)</f>
        <v>8166730</v>
      </c>
    </row>
    <row r="783" spans="1:11" ht="14.1" customHeight="1" x14ac:dyDescent="0.25">
      <c r="A783" s="215">
        <v>62</v>
      </c>
      <c r="B783" s="651" t="s">
        <v>713</v>
      </c>
      <c r="C783" s="652"/>
      <c r="D783" s="216" t="s">
        <v>1156</v>
      </c>
      <c r="E783" s="217"/>
      <c r="F783" s="218"/>
      <c r="G783" s="218"/>
      <c r="H783" s="219"/>
      <c r="I783" s="220"/>
      <c r="J783" s="221"/>
      <c r="K783" s="222"/>
    </row>
    <row r="784" spans="1:11" ht="13.2" customHeight="1" x14ac:dyDescent="0.25">
      <c r="A784" s="223"/>
      <c r="B784" s="224" t="s">
        <v>4</v>
      </c>
      <c r="C784" s="225" t="s">
        <v>1138</v>
      </c>
      <c r="D784" s="226"/>
      <c r="E784" s="44"/>
      <c r="F784" s="227"/>
      <c r="G784" s="227"/>
      <c r="H784" s="228" t="s">
        <v>235</v>
      </c>
      <c r="I784" s="263">
        <v>1</v>
      </c>
      <c r="J784" s="60">
        <f>'Harga Satuan Dasar mat'!G315</f>
        <v>946000</v>
      </c>
      <c r="K784" s="230">
        <f>I784*J784</f>
        <v>946000</v>
      </c>
    </row>
    <row r="785" spans="1:11" ht="13.2" customHeight="1" x14ac:dyDescent="0.25">
      <c r="A785" s="223"/>
      <c r="B785" s="224" t="s">
        <v>30</v>
      </c>
      <c r="C785" s="225" t="s">
        <v>1139</v>
      </c>
      <c r="D785" s="226"/>
      <c r="E785" s="44"/>
      <c r="F785" s="227"/>
      <c r="G785" s="227"/>
      <c r="H785" s="228" t="s">
        <v>235</v>
      </c>
      <c r="I785" s="253">
        <v>2</v>
      </c>
      <c r="J785" s="60">
        <f>'Harga Satuan Dasar mat'!G315</f>
        <v>946000</v>
      </c>
      <c r="K785" s="230">
        <f t="shared" ref="K785:K794" si="107">I785*J785</f>
        <v>1892000</v>
      </c>
    </row>
    <row r="786" spans="1:11" ht="13.2" customHeight="1" x14ac:dyDescent="0.25">
      <c r="A786" s="223"/>
      <c r="B786" s="224" t="s">
        <v>57</v>
      </c>
      <c r="C786" s="225" t="s">
        <v>932</v>
      </c>
      <c r="D786" s="226"/>
      <c r="E786" s="44"/>
      <c r="F786" s="227"/>
      <c r="G786" s="227"/>
      <c r="H786" s="228" t="s">
        <v>235</v>
      </c>
      <c r="I786" s="253">
        <v>6</v>
      </c>
      <c r="J786" s="60">
        <f>J616</f>
        <v>24350</v>
      </c>
      <c r="K786" s="230">
        <f t="shared" si="107"/>
        <v>146100</v>
      </c>
    </row>
    <row r="787" spans="1:11" ht="13.2" customHeight="1" x14ac:dyDescent="0.25">
      <c r="A787" s="223"/>
      <c r="B787" s="224" t="s">
        <v>83</v>
      </c>
      <c r="C787" s="225" t="s">
        <v>933</v>
      </c>
      <c r="D787" s="226"/>
      <c r="E787" s="44"/>
      <c r="F787" s="227"/>
      <c r="G787" s="227"/>
      <c r="H787" s="228" t="s">
        <v>203</v>
      </c>
      <c r="I787" s="285">
        <v>3</v>
      </c>
      <c r="J787" s="60">
        <f>J617</f>
        <v>107700</v>
      </c>
      <c r="K787" s="230">
        <f t="shared" si="107"/>
        <v>323100</v>
      </c>
    </row>
    <row r="788" spans="1:11" ht="13.2" customHeight="1" x14ac:dyDescent="0.25">
      <c r="A788" s="223"/>
      <c r="B788" s="224" t="s">
        <v>110</v>
      </c>
      <c r="C788" s="225" t="s">
        <v>890</v>
      </c>
      <c r="D788" s="226"/>
      <c r="E788" s="44"/>
      <c r="F788" s="227"/>
      <c r="G788" s="227"/>
      <c r="H788" s="228" t="s">
        <v>235</v>
      </c>
      <c r="I788" s="253">
        <v>3</v>
      </c>
      <c r="J788" s="60">
        <f t="shared" ref="J788:J794" si="108">J619</f>
        <v>320000</v>
      </c>
      <c r="K788" s="230">
        <f t="shared" si="107"/>
        <v>960000</v>
      </c>
    </row>
    <row r="789" spans="1:11" ht="13.2" customHeight="1" x14ac:dyDescent="0.25">
      <c r="A789" s="223"/>
      <c r="B789" s="224" t="s">
        <v>137</v>
      </c>
      <c r="C789" s="225" t="s">
        <v>1135</v>
      </c>
      <c r="D789" s="226"/>
      <c r="E789" s="44"/>
      <c r="F789" s="287" t="s">
        <v>961</v>
      </c>
      <c r="G789" s="227"/>
      <c r="H789" s="228" t="s">
        <v>235</v>
      </c>
      <c r="I789" s="288">
        <v>1</v>
      </c>
      <c r="J789" s="60">
        <f t="shared" si="108"/>
        <v>157500</v>
      </c>
      <c r="K789" s="230">
        <f t="shared" si="107"/>
        <v>157500</v>
      </c>
    </row>
    <row r="790" spans="1:11" ht="13.2" customHeight="1" x14ac:dyDescent="0.25">
      <c r="A790" s="223"/>
      <c r="B790" s="224" t="s">
        <v>156</v>
      </c>
      <c r="C790" s="225" t="s">
        <v>1137</v>
      </c>
      <c r="D790" s="226"/>
      <c r="E790" s="44"/>
      <c r="F790" s="287" t="s">
        <v>962</v>
      </c>
      <c r="G790" s="227"/>
      <c r="H790" s="228" t="s">
        <v>235</v>
      </c>
      <c r="I790" s="289">
        <v>1</v>
      </c>
      <c r="J790" s="60">
        <f t="shared" si="108"/>
        <v>147500</v>
      </c>
      <c r="K790" s="230">
        <f t="shared" si="107"/>
        <v>147500</v>
      </c>
    </row>
    <row r="791" spans="1:11" ht="13.2" customHeight="1" x14ac:dyDescent="0.25">
      <c r="A791" s="223"/>
      <c r="B791" s="224" t="s">
        <v>175</v>
      </c>
      <c r="C791" s="225" t="s">
        <v>1136</v>
      </c>
      <c r="D791" s="226"/>
      <c r="E791" s="44"/>
      <c r="F791" s="287" t="s">
        <v>960</v>
      </c>
      <c r="G791" s="227"/>
      <c r="H791" s="228" t="s">
        <v>235</v>
      </c>
      <c r="I791" s="289">
        <v>1</v>
      </c>
      <c r="J791" s="60">
        <f t="shared" si="108"/>
        <v>143500</v>
      </c>
      <c r="K791" s="230">
        <f t="shared" si="107"/>
        <v>143500</v>
      </c>
    </row>
    <row r="792" spans="1:11" ht="13.2" customHeight="1" x14ac:dyDescent="0.25">
      <c r="A792" s="223"/>
      <c r="B792" s="224" t="s">
        <v>177</v>
      </c>
      <c r="C792" s="225" t="s">
        <v>959</v>
      </c>
      <c r="D792" s="226"/>
      <c r="E792" s="44"/>
      <c r="F792" s="287" t="s">
        <v>963</v>
      </c>
      <c r="G792" s="227"/>
      <c r="H792" s="228" t="s">
        <v>235</v>
      </c>
      <c r="I792" s="285">
        <v>9</v>
      </c>
      <c r="J792" s="60">
        <f t="shared" si="108"/>
        <v>55500</v>
      </c>
      <c r="K792" s="230">
        <f t="shared" si="107"/>
        <v>499500</v>
      </c>
    </row>
    <row r="793" spans="1:11" ht="13.2" customHeight="1" x14ac:dyDescent="0.25">
      <c r="A793" s="223"/>
      <c r="B793" s="224" t="s">
        <v>197</v>
      </c>
      <c r="C793" s="225" t="s">
        <v>787</v>
      </c>
      <c r="D793" s="226"/>
      <c r="E793" s="44"/>
      <c r="F793" s="227"/>
      <c r="G793" s="227"/>
      <c r="H793" s="228" t="s">
        <v>203</v>
      </c>
      <c r="I793" s="253">
        <v>6</v>
      </c>
      <c r="J793" s="60">
        <f t="shared" si="108"/>
        <v>27000</v>
      </c>
      <c r="K793" s="230">
        <f t="shared" si="107"/>
        <v>162000</v>
      </c>
    </row>
    <row r="794" spans="1:11" ht="13.2" customHeight="1" x14ac:dyDescent="0.25">
      <c r="A794" s="223"/>
      <c r="B794" s="224" t="s">
        <v>198</v>
      </c>
      <c r="C794" s="225" t="s">
        <v>979</v>
      </c>
      <c r="D794" s="226"/>
      <c r="E794" s="44"/>
      <c r="F794" s="227"/>
      <c r="G794" s="227"/>
      <c r="H794" s="228" t="s">
        <v>203</v>
      </c>
      <c r="I794" s="253">
        <v>18</v>
      </c>
      <c r="J794" s="60">
        <f t="shared" si="108"/>
        <v>14000</v>
      </c>
      <c r="K794" s="230">
        <f t="shared" si="107"/>
        <v>252000</v>
      </c>
    </row>
    <row r="795" spans="1:11" ht="12.9" customHeight="1" x14ac:dyDescent="0.25">
      <c r="A795" s="58"/>
      <c r="B795" s="231"/>
      <c r="C795" s="232"/>
      <c r="D795" s="232"/>
      <c r="E795" s="232"/>
      <c r="F795" s="232"/>
      <c r="G795" s="233"/>
      <c r="H795" s="234" t="s">
        <v>715</v>
      </c>
      <c r="I795" s="235"/>
      <c r="J795" s="235"/>
      <c r="K795" s="236">
        <f>SUM(K784:K794)</f>
        <v>5629200</v>
      </c>
    </row>
    <row r="796" spans="1:11" ht="12.9" customHeight="1" x14ac:dyDescent="0.25">
      <c r="A796" s="58"/>
      <c r="B796" s="59"/>
      <c r="C796" s="56"/>
      <c r="D796" s="56"/>
      <c r="E796" s="56"/>
      <c r="F796" s="56"/>
      <c r="G796" s="237"/>
      <c r="H796" s="238" t="s">
        <v>603</v>
      </c>
      <c r="I796" s="239">
        <f>$K$3</f>
        <v>0.15</v>
      </c>
      <c r="J796" s="240"/>
      <c r="K796" s="241">
        <f>I796*K795</f>
        <v>844380</v>
      </c>
    </row>
    <row r="797" spans="1:11" ht="12.9" customHeight="1" x14ac:dyDescent="0.25">
      <c r="A797" s="58"/>
      <c r="B797" s="59"/>
      <c r="C797" s="56"/>
      <c r="D797" s="56"/>
      <c r="E797" s="56"/>
      <c r="F797" s="56"/>
      <c r="G797" s="237"/>
      <c r="H797" s="238" t="s">
        <v>604</v>
      </c>
      <c r="I797" s="226"/>
      <c r="J797" s="226"/>
      <c r="K797" s="241">
        <f>SUM(K795:K796)</f>
        <v>6473580</v>
      </c>
    </row>
    <row r="798" spans="1:11" ht="12.9" customHeight="1" thickBot="1" x14ac:dyDescent="0.3">
      <c r="A798" s="242"/>
      <c r="B798" s="243"/>
      <c r="C798" s="244"/>
      <c r="D798" s="244"/>
      <c r="E798" s="244"/>
      <c r="F798" s="244"/>
      <c r="G798" s="245"/>
      <c r="H798" s="246" t="s">
        <v>605</v>
      </c>
      <c r="I798" s="247"/>
      <c r="J798" s="247"/>
      <c r="K798" s="248">
        <f>ROUND(K797,-1)</f>
        <v>6473580</v>
      </c>
    </row>
    <row r="799" spans="1:11" ht="14.1" customHeight="1" x14ac:dyDescent="0.25">
      <c r="A799" s="215">
        <v>63</v>
      </c>
      <c r="B799" s="651" t="s">
        <v>713</v>
      </c>
      <c r="C799" s="652"/>
      <c r="D799" s="216" t="s">
        <v>1157</v>
      </c>
      <c r="E799" s="217"/>
      <c r="F799" s="218"/>
      <c r="G799" s="218"/>
      <c r="H799" s="219"/>
      <c r="I799" s="220"/>
      <c r="J799" s="221"/>
      <c r="K799" s="222"/>
    </row>
    <row r="800" spans="1:11" ht="13.2" customHeight="1" x14ac:dyDescent="0.25">
      <c r="A800" s="223"/>
      <c r="B800" s="224" t="s">
        <v>4</v>
      </c>
      <c r="C800" s="225" t="s">
        <v>1146</v>
      </c>
      <c r="D800" s="226"/>
      <c r="E800" s="44"/>
      <c r="F800" s="227"/>
      <c r="G800" s="227"/>
      <c r="H800" s="228" t="s">
        <v>235</v>
      </c>
      <c r="I800" s="263">
        <v>1</v>
      </c>
      <c r="J800" s="60">
        <f>J784</f>
        <v>946000</v>
      </c>
      <c r="K800" s="230">
        <f>I800*J800</f>
        <v>946000</v>
      </c>
    </row>
    <row r="801" spans="1:11" ht="13.2" customHeight="1" x14ac:dyDescent="0.25">
      <c r="A801" s="223"/>
      <c r="B801" s="224" t="s">
        <v>30</v>
      </c>
      <c r="C801" s="225" t="s">
        <v>1145</v>
      </c>
      <c r="D801" s="226"/>
      <c r="E801" s="44"/>
      <c r="F801" s="227"/>
      <c r="G801" s="227"/>
      <c r="H801" s="228" t="s">
        <v>235</v>
      </c>
      <c r="I801" s="253">
        <v>2</v>
      </c>
      <c r="J801" s="60">
        <f>J785</f>
        <v>946000</v>
      </c>
      <c r="K801" s="230">
        <f t="shared" ref="K801:K810" si="109">I801*J801</f>
        <v>1892000</v>
      </c>
    </row>
    <row r="802" spans="1:11" ht="13.2" customHeight="1" x14ac:dyDescent="0.25">
      <c r="A802" s="223"/>
      <c r="B802" s="224" t="s">
        <v>57</v>
      </c>
      <c r="C802" s="225" t="s">
        <v>932</v>
      </c>
      <c r="D802" s="226"/>
      <c r="E802" s="44"/>
      <c r="F802" s="227"/>
      <c r="G802" s="227"/>
      <c r="H802" s="228" t="s">
        <v>235</v>
      </c>
      <c r="I802" s="253">
        <v>6</v>
      </c>
      <c r="J802" s="60">
        <f t="shared" ref="J802:J810" si="110">J786</f>
        <v>24350</v>
      </c>
      <c r="K802" s="230">
        <f t="shared" si="109"/>
        <v>146100</v>
      </c>
    </row>
    <row r="803" spans="1:11" ht="13.2" customHeight="1" x14ac:dyDescent="0.25">
      <c r="A803" s="223"/>
      <c r="B803" s="224" t="s">
        <v>83</v>
      </c>
      <c r="C803" s="225" t="s">
        <v>933</v>
      </c>
      <c r="D803" s="226"/>
      <c r="E803" s="44"/>
      <c r="F803" s="227"/>
      <c r="G803" s="227"/>
      <c r="H803" s="228" t="s">
        <v>203</v>
      </c>
      <c r="I803" s="285">
        <v>3</v>
      </c>
      <c r="J803" s="60">
        <f t="shared" si="110"/>
        <v>107700</v>
      </c>
      <c r="K803" s="230">
        <f t="shared" si="109"/>
        <v>323100</v>
      </c>
    </row>
    <row r="804" spans="1:11" ht="13.2" customHeight="1" x14ac:dyDescent="0.25">
      <c r="A804" s="223"/>
      <c r="B804" s="224" t="s">
        <v>110</v>
      </c>
      <c r="C804" s="225" t="s">
        <v>890</v>
      </c>
      <c r="D804" s="226"/>
      <c r="E804" s="44"/>
      <c r="F804" s="227"/>
      <c r="G804" s="227"/>
      <c r="H804" s="228" t="s">
        <v>235</v>
      </c>
      <c r="I804" s="253">
        <v>2</v>
      </c>
      <c r="J804" s="60">
        <f t="shared" si="110"/>
        <v>320000</v>
      </c>
      <c r="K804" s="230">
        <f t="shared" si="109"/>
        <v>640000</v>
      </c>
    </row>
    <row r="805" spans="1:11" ht="13.2" customHeight="1" x14ac:dyDescent="0.25">
      <c r="A805" s="223"/>
      <c r="B805" s="224" t="s">
        <v>137</v>
      </c>
      <c r="C805" s="225" t="s">
        <v>1140</v>
      </c>
      <c r="D805" s="226"/>
      <c r="E805" s="44"/>
      <c r="G805" s="227"/>
      <c r="H805" s="228" t="s">
        <v>235</v>
      </c>
      <c r="I805" s="288">
        <v>1</v>
      </c>
      <c r="J805" s="60">
        <f>J637</f>
        <v>152000</v>
      </c>
      <c r="K805" s="230">
        <f t="shared" si="109"/>
        <v>152000</v>
      </c>
    </row>
    <row r="806" spans="1:11" ht="13.2" customHeight="1" x14ac:dyDescent="0.25">
      <c r="A806" s="223"/>
      <c r="B806" s="224" t="s">
        <v>156</v>
      </c>
      <c r="C806" s="225" t="s">
        <v>1142</v>
      </c>
      <c r="D806" s="226"/>
      <c r="E806" s="44"/>
      <c r="G806" s="227"/>
      <c r="H806" s="228" t="s">
        <v>235</v>
      </c>
      <c r="I806" s="289">
        <v>1</v>
      </c>
      <c r="J806" s="60">
        <f>J638</f>
        <v>139500</v>
      </c>
      <c r="K806" s="230">
        <f t="shared" si="109"/>
        <v>139500</v>
      </c>
    </row>
    <row r="807" spans="1:11" ht="13.2" customHeight="1" x14ac:dyDescent="0.25">
      <c r="A807" s="223"/>
      <c r="B807" s="224" t="s">
        <v>175</v>
      </c>
      <c r="C807" s="225" t="s">
        <v>1141</v>
      </c>
      <c r="D807" s="226"/>
      <c r="E807" s="44"/>
      <c r="G807" s="227"/>
      <c r="H807" s="228" t="s">
        <v>235</v>
      </c>
      <c r="I807" s="289">
        <v>1</v>
      </c>
      <c r="J807" s="60">
        <f>J639</f>
        <v>127000</v>
      </c>
      <c r="K807" s="230">
        <f t="shared" si="109"/>
        <v>127000</v>
      </c>
    </row>
    <row r="808" spans="1:11" ht="13.2" customHeight="1" x14ac:dyDescent="0.25">
      <c r="A808" s="223"/>
      <c r="B808" s="224" t="s">
        <v>177</v>
      </c>
      <c r="C808" s="225" t="s">
        <v>959</v>
      </c>
      <c r="D808" s="226"/>
      <c r="E808" s="44"/>
      <c r="G808" s="227"/>
      <c r="H808" s="228" t="s">
        <v>235</v>
      </c>
      <c r="I808" s="285">
        <v>9</v>
      </c>
      <c r="J808" s="60">
        <f t="shared" si="110"/>
        <v>55500</v>
      </c>
      <c r="K808" s="230">
        <f t="shared" si="109"/>
        <v>499500</v>
      </c>
    </row>
    <row r="809" spans="1:11" ht="13.2" customHeight="1" x14ac:dyDescent="0.25">
      <c r="A809" s="223"/>
      <c r="B809" s="224" t="s">
        <v>197</v>
      </c>
      <c r="C809" s="225" t="s">
        <v>787</v>
      </c>
      <c r="D809" s="226"/>
      <c r="E809" s="44"/>
      <c r="F809" s="227"/>
      <c r="G809" s="227"/>
      <c r="H809" s="228" t="s">
        <v>203</v>
      </c>
      <c r="I809" s="253">
        <v>6</v>
      </c>
      <c r="J809" s="60">
        <f t="shared" si="110"/>
        <v>27000</v>
      </c>
      <c r="K809" s="230">
        <f t="shared" si="109"/>
        <v>162000</v>
      </c>
    </row>
    <row r="810" spans="1:11" ht="13.2" customHeight="1" x14ac:dyDescent="0.25">
      <c r="A810" s="223"/>
      <c r="B810" s="224" t="s">
        <v>198</v>
      </c>
      <c r="C810" s="225" t="s">
        <v>979</v>
      </c>
      <c r="D810" s="226"/>
      <c r="E810" s="44"/>
      <c r="F810" s="227"/>
      <c r="G810" s="227"/>
      <c r="H810" s="228" t="s">
        <v>203</v>
      </c>
      <c r="I810" s="253">
        <v>18</v>
      </c>
      <c r="J810" s="60">
        <f t="shared" si="110"/>
        <v>14000</v>
      </c>
      <c r="K810" s="230">
        <f t="shared" si="109"/>
        <v>252000</v>
      </c>
    </row>
    <row r="811" spans="1:11" ht="12.9" customHeight="1" x14ac:dyDescent="0.25">
      <c r="A811" s="58"/>
      <c r="B811" s="231"/>
      <c r="C811" s="232"/>
      <c r="D811" s="232"/>
      <c r="E811" s="232"/>
      <c r="F811" s="232"/>
      <c r="G811" s="233"/>
      <c r="H811" s="234" t="s">
        <v>715</v>
      </c>
      <c r="I811" s="235"/>
      <c r="J811" s="235"/>
      <c r="K811" s="236">
        <f>SUM(K800:K810)</f>
        <v>5279200</v>
      </c>
    </row>
    <row r="812" spans="1:11" ht="12.9" customHeight="1" x14ac:dyDescent="0.25">
      <c r="A812" s="58"/>
      <c r="B812" s="59"/>
      <c r="C812" s="56"/>
      <c r="D812" s="56"/>
      <c r="E812" s="56"/>
      <c r="F812" s="56"/>
      <c r="G812" s="237"/>
      <c r="H812" s="238" t="s">
        <v>603</v>
      </c>
      <c r="I812" s="239">
        <f>$K$3</f>
        <v>0.15</v>
      </c>
      <c r="J812" s="240"/>
      <c r="K812" s="241">
        <f>I812*K811</f>
        <v>791880</v>
      </c>
    </row>
    <row r="813" spans="1:11" ht="12.9" customHeight="1" x14ac:dyDescent="0.25">
      <c r="A813" s="58"/>
      <c r="B813" s="59"/>
      <c r="C813" s="56"/>
      <c r="D813" s="56"/>
      <c r="E813" s="56"/>
      <c r="F813" s="56"/>
      <c r="G813" s="237"/>
      <c r="H813" s="238" t="s">
        <v>604</v>
      </c>
      <c r="I813" s="226"/>
      <c r="J813" s="226"/>
      <c r="K813" s="241">
        <f>SUM(K811:K812)</f>
        <v>6071080</v>
      </c>
    </row>
    <row r="814" spans="1:11" ht="12.9" customHeight="1" thickBot="1" x14ac:dyDescent="0.3">
      <c r="A814" s="242"/>
      <c r="B814" s="243"/>
      <c r="C814" s="244"/>
      <c r="D814" s="244"/>
      <c r="E814" s="244"/>
      <c r="F814" s="244"/>
      <c r="G814" s="245"/>
      <c r="H814" s="246" t="s">
        <v>605</v>
      </c>
      <c r="I814" s="247"/>
      <c r="J814" s="247"/>
      <c r="K814" s="248">
        <f>ROUND(K813,-1)</f>
        <v>6071080</v>
      </c>
    </row>
    <row r="815" spans="1:11" ht="14.1" customHeight="1" x14ac:dyDescent="0.25">
      <c r="A815" s="215">
        <v>64</v>
      </c>
      <c r="B815" s="651" t="s">
        <v>713</v>
      </c>
      <c r="C815" s="652"/>
      <c r="D815" s="216" t="s">
        <v>2221</v>
      </c>
      <c r="E815" s="217"/>
      <c r="F815" s="218"/>
      <c r="G815" s="218"/>
      <c r="H815" s="219"/>
      <c r="I815" s="220"/>
      <c r="J815" s="221"/>
      <c r="K815" s="222"/>
    </row>
    <row r="816" spans="1:11" ht="13.2" customHeight="1" x14ac:dyDescent="0.25">
      <c r="A816" s="223"/>
      <c r="B816" s="224" t="s">
        <v>4</v>
      </c>
      <c r="C816" s="225" t="s">
        <v>1146</v>
      </c>
      <c r="D816" s="226"/>
      <c r="E816" s="44"/>
      <c r="F816" s="227"/>
      <c r="G816" s="227"/>
      <c r="H816" s="228" t="s">
        <v>235</v>
      </c>
      <c r="I816" s="263">
        <v>1</v>
      </c>
      <c r="J816" s="60">
        <f>J800</f>
        <v>946000</v>
      </c>
      <c r="K816" s="230">
        <f>I816*J816</f>
        <v>946000</v>
      </c>
    </row>
    <row r="817" spans="1:11" ht="13.2" customHeight="1" x14ac:dyDescent="0.25">
      <c r="A817" s="223"/>
      <c r="B817" s="224" t="s">
        <v>30</v>
      </c>
      <c r="C817" s="225" t="s">
        <v>1145</v>
      </c>
      <c r="D817" s="226"/>
      <c r="E817" s="44"/>
      <c r="F817" s="227"/>
      <c r="G817" s="227"/>
      <c r="H817" s="228" t="s">
        <v>235</v>
      </c>
      <c r="I817" s="253">
        <v>2</v>
      </c>
      <c r="J817" s="60">
        <f>J801</f>
        <v>946000</v>
      </c>
      <c r="K817" s="230">
        <f t="shared" ref="K817:K826" si="111">I817*J817</f>
        <v>1892000</v>
      </c>
    </row>
    <row r="818" spans="1:11" ht="13.2" customHeight="1" x14ac:dyDescent="0.25">
      <c r="A818" s="223"/>
      <c r="B818" s="224" t="s">
        <v>57</v>
      </c>
      <c r="C818" s="225" t="s">
        <v>932</v>
      </c>
      <c r="D818" s="226"/>
      <c r="E818" s="44"/>
      <c r="F818" s="227"/>
      <c r="G818" s="227"/>
      <c r="H818" s="228" t="s">
        <v>235</v>
      </c>
      <c r="I818" s="253">
        <v>6</v>
      </c>
      <c r="J818" s="60">
        <f>J802</f>
        <v>24350</v>
      </c>
      <c r="K818" s="230">
        <f t="shared" si="111"/>
        <v>146100</v>
      </c>
    </row>
    <row r="819" spans="1:11" ht="13.2" customHeight="1" x14ac:dyDescent="0.25">
      <c r="A819" s="223"/>
      <c r="B819" s="224" t="s">
        <v>83</v>
      </c>
      <c r="C819" s="225" t="s">
        <v>933</v>
      </c>
      <c r="D819" s="226"/>
      <c r="E819" s="44"/>
      <c r="F819" s="227"/>
      <c r="G819" s="227"/>
      <c r="H819" s="228" t="s">
        <v>203</v>
      </c>
      <c r="I819" s="285">
        <v>3</v>
      </c>
      <c r="J819" s="60">
        <f>J803</f>
        <v>107700</v>
      </c>
      <c r="K819" s="230">
        <f t="shared" si="111"/>
        <v>323100</v>
      </c>
    </row>
    <row r="820" spans="1:11" ht="13.2" customHeight="1" x14ac:dyDescent="0.25">
      <c r="A820" s="223"/>
      <c r="B820" s="224" t="s">
        <v>110</v>
      </c>
      <c r="C820" s="225" t="s">
        <v>890</v>
      </c>
      <c r="D820" s="226"/>
      <c r="E820" s="44"/>
      <c r="F820" s="227"/>
      <c r="G820" s="227"/>
      <c r="H820" s="228" t="s">
        <v>235</v>
      </c>
      <c r="I820" s="253">
        <v>3</v>
      </c>
      <c r="J820" s="60">
        <f>J804</f>
        <v>320000</v>
      </c>
      <c r="K820" s="230">
        <f t="shared" si="111"/>
        <v>960000</v>
      </c>
    </row>
    <row r="821" spans="1:11" ht="13.2" customHeight="1" x14ac:dyDescent="0.25">
      <c r="A821" s="223"/>
      <c r="B821" s="224" t="s">
        <v>137</v>
      </c>
      <c r="C821" s="225" t="s">
        <v>1140</v>
      </c>
      <c r="D821" s="226"/>
      <c r="E821" s="44"/>
      <c r="F821" s="287"/>
      <c r="G821" s="227"/>
      <c r="H821" s="228" t="s">
        <v>235</v>
      </c>
      <c r="I821" s="253">
        <v>1</v>
      </c>
      <c r="J821" s="60">
        <f>J654</f>
        <v>152000</v>
      </c>
      <c r="K821" s="230">
        <f t="shared" si="111"/>
        <v>152000</v>
      </c>
    </row>
    <row r="822" spans="1:11" ht="13.2" customHeight="1" x14ac:dyDescent="0.25">
      <c r="A822" s="223"/>
      <c r="B822" s="224" t="s">
        <v>156</v>
      </c>
      <c r="C822" s="225" t="s">
        <v>958</v>
      </c>
      <c r="D822" s="226"/>
      <c r="E822" s="44"/>
      <c r="F822" s="287"/>
      <c r="G822" s="227"/>
      <c r="H822" s="228" t="s">
        <v>235</v>
      </c>
      <c r="I822" s="253">
        <v>1</v>
      </c>
      <c r="J822" s="60">
        <f>J655</f>
        <v>132500</v>
      </c>
      <c r="K822" s="230">
        <f t="shared" si="111"/>
        <v>132500</v>
      </c>
    </row>
    <row r="823" spans="1:11" ht="13.2" customHeight="1" x14ac:dyDescent="0.25">
      <c r="A823" s="223"/>
      <c r="B823" s="224" t="s">
        <v>175</v>
      </c>
      <c r="C823" s="225" t="s">
        <v>958</v>
      </c>
      <c r="D823" s="226"/>
      <c r="E823" s="44"/>
      <c r="F823" s="287"/>
      <c r="G823" s="227"/>
      <c r="H823" s="228" t="s">
        <v>235</v>
      </c>
      <c r="I823" s="285">
        <v>1</v>
      </c>
      <c r="J823" s="60">
        <f>J656</f>
        <v>132500</v>
      </c>
      <c r="K823" s="230">
        <f t="shared" si="111"/>
        <v>132500</v>
      </c>
    </row>
    <row r="824" spans="1:11" ht="13.2" customHeight="1" x14ac:dyDescent="0.25">
      <c r="A824" s="223"/>
      <c r="B824" s="224" t="s">
        <v>177</v>
      </c>
      <c r="C824" s="225" t="s">
        <v>959</v>
      </c>
      <c r="D824" s="226"/>
      <c r="E824" s="44"/>
      <c r="F824" s="287"/>
      <c r="G824" s="227"/>
      <c r="H824" s="228" t="s">
        <v>235</v>
      </c>
      <c r="I824" s="285">
        <v>12</v>
      </c>
      <c r="J824" s="60">
        <f>J808</f>
        <v>55500</v>
      </c>
      <c r="K824" s="230">
        <f t="shared" si="111"/>
        <v>666000</v>
      </c>
    </row>
    <row r="825" spans="1:11" ht="13.2" customHeight="1" x14ac:dyDescent="0.25">
      <c r="A825" s="223"/>
      <c r="B825" s="224" t="s">
        <v>197</v>
      </c>
      <c r="C825" s="225" t="s">
        <v>787</v>
      </c>
      <c r="D825" s="226"/>
      <c r="E825" s="44"/>
      <c r="F825" s="227"/>
      <c r="G825" s="227"/>
      <c r="H825" s="228" t="s">
        <v>203</v>
      </c>
      <c r="I825" s="253">
        <v>4</v>
      </c>
      <c r="J825" s="60">
        <f>J809</f>
        <v>27000</v>
      </c>
      <c r="K825" s="230">
        <f t="shared" si="111"/>
        <v>108000</v>
      </c>
    </row>
    <row r="826" spans="1:11" ht="13.2" customHeight="1" x14ac:dyDescent="0.25">
      <c r="A826" s="223"/>
      <c r="B826" s="224" t="s">
        <v>198</v>
      </c>
      <c r="C826" s="225" t="s">
        <v>979</v>
      </c>
      <c r="D826" s="226"/>
      <c r="E826" s="44"/>
      <c r="F826" s="227"/>
      <c r="G826" s="227"/>
      <c r="H826" s="228" t="s">
        <v>203</v>
      </c>
      <c r="I826" s="253">
        <v>12</v>
      </c>
      <c r="J826" s="60">
        <f>J810</f>
        <v>14000</v>
      </c>
      <c r="K826" s="230">
        <f t="shared" si="111"/>
        <v>168000</v>
      </c>
    </row>
    <row r="827" spans="1:11" ht="12.9" customHeight="1" x14ac:dyDescent="0.25">
      <c r="A827" s="58"/>
      <c r="B827" s="231"/>
      <c r="C827" s="232"/>
      <c r="D827" s="232"/>
      <c r="E827" s="232"/>
      <c r="F827" s="232"/>
      <c r="G827" s="233"/>
      <c r="H827" s="234" t="s">
        <v>715</v>
      </c>
      <c r="I827" s="235"/>
      <c r="J827" s="235"/>
      <c r="K827" s="236">
        <f>SUM(K816:K826)</f>
        <v>5626200</v>
      </c>
    </row>
    <row r="828" spans="1:11" ht="12.9" customHeight="1" x14ac:dyDescent="0.25">
      <c r="A828" s="58"/>
      <c r="B828" s="59"/>
      <c r="C828" s="56"/>
      <c r="D828" s="56"/>
      <c r="E828" s="56"/>
      <c r="F828" s="56"/>
      <c r="G828" s="237"/>
      <c r="H828" s="238" t="s">
        <v>603</v>
      </c>
      <c r="I828" s="239">
        <f>$K$3</f>
        <v>0.15</v>
      </c>
      <c r="J828" s="240"/>
      <c r="K828" s="241">
        <f>I828*K827</f>
        <v>843930</v>
      </c>
    </row>
    <row r="829" spans="1:11" ht="12.9" customHeight="1" x14ac:dyDescent="0.25">
      <c r="A829" s="58"/>
      <c r="B829" s="59"/>
      <c r="C829" s="56"/>
      <c r="D829" s="56"/>
      <c r="E829" s="56"/>
      <c r="F829" s="56"/>
      <c r="G829" s="237"/>
      <c r="H829" s="238" t="s">
        <v>604</v>
      </c>
      <c r="I829" s="226"/>
      <c r="J829" s="226"/>
      <c r="K829" s="241">
        <f>SUM(K827:K828)</f>
        <v>6470130</v>
      </c>
    </row>
    <row r="830" spans="1:11" ht="12.9" customHeight="1" thickBot="1" x14ac:dyDescent="0.3">
      <c r="A830" s="242"/>
      <c r="B830" s="243"/>
      <c r="C830" s="244"/>
      <c r="D830" s="244"/>
      <c r="E830" s="244"/>
      <c r="F830" s="244"/>
      <c r="G830" s="245"/>
      <c r="H830" s="246" t="s">
        <v>605</v>
      </c>
      <c r="I830" s="247"/>
      <c r="J830" s="247"/>
      <c r="K830" s="248">
        <f>ROUND(K829,-1)</f>
        <v>6470130</v>
      </c>
    </row>
    <row r="831" spans="1:11" ht="14.1" customHeight="1" x14ac:dyDescent="0.25">
      <c r="A831" s="215">
        <v>65</v>
      </c>
      <c r="B831" s="651" t="s">
        <v>713</v>
      </c>
      <c r="C831" s="652"/>
      <c r="D831" s="216" t="s">
        <v>2222</v>
      </c>
      <c r="E831" s="217"/>
      <c r="F831" s="218"/>
      <c r="G831" s="218"/>
      <c r="H831" s="219"/>
      <c r="I831" s="220"/>
      <c r="J831" s="221"/>
      <c r="K831" s="222"/>
    </row>
    <row r="832" spans="1:11" ht="13.2" customHeight="1" x14ac:dyDescent="0.25">
      <c r="A832" s="223"/>
      <c r="B832" s="224" t="s">
        <v>4</v>
      </c>
      <c r="C832" s="225" t="s">
        <v>1146</v>
      </c>
      <c r="D832" s="226"/>
      <c r="E832" s="44"/>
      <c r="F832" s="227"/>
      <c r="G832" s="227"/>
      <c r="H832" s="228" t="s">
        <v>235</v>
      </c>
      <c r="I832" s="263">
        <v>1</v>
      </c>
      <c r="J832" s="60">
        <f>J816</f>
        <v>946000</v>
      </c>
      <c r="K832" s="230">
        <f>I832*J832</f>
        <v>946000</v>
      </c>
    </row>
    <row r="833" spans="1:11" ht="13.2" customHeight="1" x14ac:dyDescent="0.25">
      <c r="A833" s="223"/>
      <c r="B833" s="224" t="s">
        <v>30</v>
      </c>
      <c r="C833" s="225" t="s">
        <v>1145</v>
      </c>
      <c r="D833" s="226"/>
      <c r="E833" s="44"/>
      <c r="F833" s="227"/>
      <c r="G833" s="227"/>
      <c r="H833" s="228" t="s">
        <v>235</v>
      </c>
      <c r="I833" s="253">
        <v>2</v>
      </c>
      <c r="J833" s="60">
        <f>J817</f>
        <v>946000</v>
      </c>
      <c r="K833" s="230">
        <f t="shared" ref="K833:K842" si="112">I833*J833</f>
        <v>1892000</v>
      </c>
    </row>
    <row r="834" spans="1:11" ht="13.2" customHeight="1" x14ac:dyDescent="0.25">
      <c r="A834" s="223"/>
      <c r="B834" s="224" t="s">
        <v>57</v>
      </c>
      <c r="C834" s="225" t="s">
        <v>932</v>
      </c>
      <c r="D834" s="226"/>
      <c r="E834" s="44"/>
      <c r="F834" s="227"/>
      <c r="G834" s="227"/>
      <c r="H834" s="228" t="s">
        <v>235</v>
      </c>
      <c r="I834" s="253">
        <v>6</v>
      </c>
      <c r="J834" s="60">
        <f t="shared" ref="J834:J842" si="113">J818</f>
        <v>24350</v>
      </c>
      <c r="K834" s="230">
        <f t="shared" si="112"/>
        <v>146100</v>
      </c>
    </row>
    <row r="835" spans="1:11" ht="13.2" customHeight="1" x14ac:dyDescent="0.25">
      <c r="A835" s="223"/>
      <c r="B835" s="224" t="s">
        <v>83</v>
      </c>
      <c r="C835" s="225" t="s">
        <v>933</v>
      </c>
      <c r="D835" s="226"/>
      <c r="E835" s="44"/>
      <c r="F835" s="227"/>
      <c r="G835" s="227"/>
      <c r="H835" s="228" t="s">
        <v>203</v>
      </c>
      <c r="I835" s="285">
        <v>3</v>
      </c>
      <c r="J835" s="60">
        <f t="shared" si="113"/>
        <v>107700</v>
      </c>
      <c r="K835" s="230">
        <f t="shared" si="112"/>
        <v>323100</v>
      </c>
    </row>
    <row r="836" spans="1:11" ht="13.2" customHeight="1" x14ac:dyDescent="0.25">
      <c r="A836" s="223"/>
      <c r="B836" s="224" t="s">
        <v>110</v>
      </c>
      <c r="C836" s="225" t="s">
        <v>890</v>
      </c>
      <c r="D836" s="226"/>
      <c r="E836" s="44"/>
      <c r="F836" s="227"/>
      <c r="G836" s="227"/>
      <c r="H836" s="228" t="s">
        <v>235</v>
      </c>
      <c r="I836" s="253">
        <v>3</v>
      </c>
      <c r="J836" s="60">
        <f t="shared" si="113"/>
        <v>320000</v>
      </c>
      <c r="K836" s="230">
        <f t="shared" si="112"/>
        <v>960000</v>
      </c>
    </row>
    <row r="837" spans="1:11" ht="13.2" customHeight="1" x14ac:dyDescent="0.25">
      <c r="A837" s="223"/>
      <c r="B837" s="224" t="s">
        <v>137</v>
      </c>
      <c r="C837" s="225" t="s">
        <v>958</v>
      </c>
      <c r="D837" s="226"/>
      <c r="E837" s="44"/>
      <c r="F837" s="287"/>
      <c r="G837" s="227"/>
      <c r="H837" s="228" t="s">
        <v>235</v>
      </c>
      <c r="I837" s="253">
        <v>1</v>
      </c>
      <c r="J837" s="60">
        <f>J671</f>
        <v>132500</v>
      </c>
      <c r="K837" s="230">
        <f t="shared" si="112"/>
        <v>132500</v>
      </c>
    </row>
    <row r="838" spans="1:11" ht="13.2" customHeight="1" x14ac:dyDescent="0.25">
      <c r="A838" s="223"/>
      <c r="B838" s="224" t="s">
        <v>156</v>
      </c>
      <c r="C838" s="225" t="s">
        <v>838</v>
      </c>
      <c r="D838" s="226"/>
      <c r="E838" s="44"/>
      <c r="F838" s="287"/>
      <c r="G838" s="227"/>
      <c r="H838" s="228" t="s">
        <v>235</v>
      </c>
      <c r="I838" s="253">
        <v>1</v>
      </c>
      <c r="J838" s="60">
        <f>J672</f>
        <v>115000</v>
      </c>
      <c r="K838" s="230">
        <f t="shared" si="112"/>
        <v>115000</v>
      </c>
    </row>
    <row r="839" spans="1:11" ht="13.2" customHeight="1" x14ac:dyDescent="0.25">
      <c r="A839" s="223"/>
      <c r="B839" s="224" t="s">
        <v>175</v>
      </c>
      <c r="C839" s="225" t="s">
        <v>838</v>
      </c>
      <c r="D839" s="226"/>
      <c r="E839" s="44"/>
      <c r="F839" s="287"/>
      <c r="G839" s="227"/>
      <c r="H839" s="228" t="s">
        <v>235</v>
      </c>
      <c r="I839" s="285">
        <v>1</v>
      </c>
      <c r="J839" s="60">
        <f>J673</f>
        <v>115000</v>
      </c>
      <c r="K839" s="230">
        <f t="shared" si="112"/>
        <v>115000</v>
      </c>
    </row>
    <row r="840" spans="1:11" ht="13.2" customHeight="1" x14ac:dyDescent="0.25">
      <c r="A840" s="223"/>
      <c r="B840" s="224" t="s">
        <v>177</v>
      </c>
      <c r="C840" s="225" t="s">
        <v>959</v>
      </c>
      <c r="D840" s="226"/>
      <c r="E840" s="44"/>
      <c r="F840" s="287"/>
      <c r="G840" s="227"/>
      <c r="H840" s="228" t="s">
        <v>235</v>
      </c>
      <c r="I840" s="285">
        <v>12</v>
      </c>
      <c r="J840" s="60">
        <f t="shared" si="113"/>
        <v>55500</v>
      </c>
      <c r="K840" s="230">
        <f t="shared" si="112"/>
        <v>666000</v>
      </c>
    </row>
    <row r="841" spans="1:11" ht="13.2" customHeight="1" x14ac:dyDescent="0.25">
      <c r="A841" s="223"/>
      <c r="B841" s="224" t="s">
        <v>197</v>
      </c>
      <c r="C841" s="225" t="s">
        <v>787</v>
      </c>
      <c r="D841" s="226"/>
      <c r="E841" s="44"/>
      <c r="F841" s="227"/>
      <c r="G841" s="227"/>
      <c r="H841" s="228" t="s">
        <v>203</v>
      </c>
      <c r="I841" s="253">
        <v>4</v>
      </c>
      <c r="J841" s="60">
        <f t="shared" si="113"/>
        <v>27000</v>
      </c>
      <c r="K841" s="230">
        <f t="shared" si="112"/>
        <v>108000</v>
      </c>
    </row>
    <row r="842" spans="1:11" ht="13.2" customHeight="1" x14ac:dyDescent="0.25">
      <c r="A842" s="223"/>
      <c r="B842" s="224" t="s">
        <v>198</v>
      </c>
      <c r="C842" s="225" t="s">
        <v>979</v>
      </c>
      <c r="D842" s="226"/>
      <c r="E842" s="44"/>
      <c r="F842" s="227"/>
      <c r="G842" s="227"/>
      <c r="H842" s="228" t="s">
        <v>203</v>
      </c>
      <c r="I842" s="253">
        <v>12</v>
      </c>
      <c r="J842" s="60">
        <f t="shared" si="113"/>
        <v>14000</v>
      </c>
      <c r="K842" s="230">
        <f t="shared" si="112"/>
        <v>168000</v>
      </c>
    </row>
    <row r="843" spans="1:11" ht="12.9" customHeight="1" x14ac:dyDescent="0.25">
      <c r="A843" s="58"/>
      <c r="B843" s="231"/>
      <c r="C843" s="232"/>
      <c r="D843" s="232"/>
      <c r="E843" s="232"/>
      <c r="F843" s="232"/>
      <c r="G843" s="233"/>
      <c r="H843" s="234" t="s">
        <v>715</v>
      </c>
      <c r="I843" s="235"/>
      <c r="J843" s="235"/>
      <c r="K843" s="236">
        <f>SUM(K832:K842)</f>
        <v>5571700</v>
      </c>
    </row>
    <row r="844" spans="1:11" ht="12.9" customHeight="1" x14ac:dyDescent="0.25">
      <c r="A844" s="58"/>
      <c r="B844" s="59"/>
      <c r="C844" s="56"/>
      <c r="D844" s="56"/>
      <c r="E844" s="56"/>
      <c r="F844" s="56"/>
      <c r="G844" s="237"/>
      <c r="H844" s="238" t="s">
        <v>603</v>
      </c>
      <c r="I844" s="239">
        <f>$K$3</f>
        <v>0.15</v>
      </c>
      <c r="J844" s="240"/>
      <c r="K844" s="241">
        <f>I844*K843</f>
        <v>835755</v>
      </c>
    </row>
    <row r="845" spans="1:11" ht="12.9" customHeight="1" x14ac:dyDescent="0.25">
      <c r="A845" s="58"/>
      <c r="B845" s="59"/>
      <c r="C845" s="56"/>
      <c r="D845" s="56"/>
      <c r="E845" s="56"/>
      <c r="F845" s="56"/>
      <c r="G845" s="237"/>
      <c r="H845" s="238" t="s">
        <v>604</v>
      </c>
      <c r="I845" s="226"/>
      <c r="J845" s="226"/>
      <c r="K845" s="241">
        <f>SUM(K843:K844)</f>
        <v>6407455</v>
      </c>
    </row>
    <row r="846" spans="1:11" ht="12.9" customHeight="1" thickBot="1" x14ac:dyDescent="0.3">
      <c r="A846" s="242"/>
      <c r="B846" s="243"/>
      <c r="C846" s="244"/>
      <c r="D846" s="244"/>
      <c r="E846" s="244"/>
      <c r="F846" s="244"/>
      <c r="G846" s="245"/>
      <c r="H846" s="246" t="s">
        <v>605</v>
      </c>
      <c r="I846" s="247"/>
      <c r="J846" s="247"/>
      <c r="K846" s="248">
        <f>ROUND(K845,-1)</f>
        <v>6407460</v>
      </c>
    </row>
    <row r="847" spans="1:11" ht="14.1" customHeight="1" x14ac:dyDescent="0.25">
      <c r="A847" s="215">
        <v>66</v>
      </c>
      <c r="B847" s="651" t="s">
        <v>713</v>
      </c>
      <c r="C847" s="652"/>
      <c r="D847" s="216" t="s">
        <v>1158</v>
      </c>
      <c r="E847" s="217"/>
      <c r="F847" s="218"/>
      <c r="G847" s="218"/>
      <c r="H847" s="219"/>
      <c r="I847" s="220"/>
      <c r="J847" s="221"/>
      <c r="K847" s="222"/>
    </row>
    <row r="848" spans="1:11" ht="13.2" customHeight="1" x14ac:dyDescent="0.25">
      <c r="A848" s="223"/>
      <c r="B848" s="224" t="s">
        <v>4</v>
      </c>
      <c r="C848" s="225" t="s">
        <v>1146</v>
      </c>
      <c r="D848" s="226"/>
      <c r="E848" s="44"/>
      <c r="F848" s="227"/>
      <c r="G848" s="227"/>
      <c r="H848" s="228" t="s">
        <v>235</v>
      </c>
      <c r="I848" s="263">
        <v>1</v>
      </c>
      <c r="J848" s="60">
        <f>J832</f>
        <v>946000</v>
      </c>
      <c r="K848" s="230">
        <f>I848*J848</f>
        <v>946000</v>
      </c>
    </row>
    <row r="849" spans="1:11" ht="13.2" customHeight="1" x14ac:dyDescent="0.25">
      <c r="A849" s="223"/>
      <c r="B849" s="224" t="s">
        <v>30</v>
      </c>
      <c r="C849" s="225" t="s">
        <v>1145</v>
      </c>
      <c r="D849" s="226"/>
      <c r="E849" s="44"/>
      <c r="F849" s="227"/>
      <c r="G849" s="227"/>
      <c r="H849" s="228" t="s">
        <v>235</v>
      </c>
      <c r="I849" s="253">
        <v>2</v>
      </c>
      <c r="J849" s="60">
        <f>J833</f>
        <v>946000</v>
      </c>
      <c r="K849" s="230">
        <f t="shared" ref="K849:K858" si="114">I849*J849</f>
        <v>1892000</v>
      </c>
    </row>
    <row r="850" spans="1:11" ht="13.2" customHeight="1" x14ac:dyDescent="0.25">
      <c r="A850" s="223"/>
      <c r="B850" s="224" t="s">
        <v>57</v>
      </c>
      <c r="C850" s="225" t="s">
        <v>932</v>
      </c>
      <c r="D850" s="226"/>
      <c r="E850" s="44"/>
      <c r="F850" s="227"/>
      <c r="G850" s="227"/>
      <c r="H850" s="228" t="s">
        <v>235</v>
      </c>
      <c r="I850" s="253">
        <v>6</v>
      </c>
      <c r="J850" s="60">
        <f t="shared" ref="J850:J858" si="115">J834</f>
        <v>24350</v>
      </c>
      <c r="K850" s="230">
        <f t="shared" si="114"/>
        <v>146100</v>
      </c>
    </row>
    <row r="851" spans="1:11" ht="13.2" customHeight="1" x14ac:dyDescent="0.25">
      <c r="A851" s="223"/>
      <c r="B851" s="224" t="s">
        <v>83</v>
      </c>
      <c r="C851" s="225" t="s">
        <v>933</v>
      </c>
      <c r="D851" s="226"/>
      <c r="E851" s="44"/>
      <c r="F851" s="227"/>
      <c r="G851" s="227"/>
      <c r="H851" s="228" t="s">
        <v>203</v>
      </c>
      <c r="I851" s="285">
        <v>3</v>
      </c>
      <c r="J851" s="60">
        <f t="shared" si="115"/>
        <v>107700</v>
      </c>
      <c r="K851" s="230">
        <f t="shared" si="114"/>
        <v>323100</v>
      </c>
    </row>
    <row r="852" spans="1:11" ht="13.2" customHeight="1" x14ac:dyDescent="0.25">
      <c r="A852" s="223"/>
      <c r="B852" s="224" t="s">
        <v>110</v>
      </c>
      <c r="C852" s="225" t="s">
        <v>890</v>
      </c>
      <c r="D852" s="226"/>
      <c r="E852" s="44"/>
      <c r="F852" s="227"/>
      <c r="G852" s="227"/>
      <c r="H852" s="228" t="s">
        <v>235</v>
      </c>
      <c r="I852" s="253">
        <v>3</v>
      </c>
      <c r="J852" s="60">
        <f t="shared" si="115"/>
        <v>320000</v>
      </c>
      <c r="K852" s="230">
        <f t="shared" si="114"/>
        <v>960000</v>
      </c>
    </row>
    <row r="853" spans="1:11" ht="13.2" customHeight="1" x14ac:dyDescent="0.25">
      <c r="A853" s="223"/>
      <c r="B853" s="224" t="s">
        <v>137</v>
      </c>
      <c r="C853" s="225" t="s">
        <v>838</v>
      </c>
      <c r="D853" s="226"/>
      <c r="E853" s="44"/>
      <c r="F853" s="287"/>
      <c r="G853" s="227"/>
      <c r="H853" s="228" t="s">
        <v>235</v>
      </c>
      <c r="I853" s="253">
        <v>1</v>
      </c>
      <c r="J853" s="60">
        <f>J688</f>
        <v>115000</v>
      </c>
      <c r="K853" s="230">
        <f t="shared" si="114"/>
        <v>115000</v>
      </c>
    </row>
    <row r="854" spans="1:11" ht="13.2" customHeight="1" x14ac:dyDescent="0.25">
      <c r="A854" s="223"/>
      <c r="B854" s="224" t="s">
        <v>156</v>
      </c>
      <c r="C854" s="225" t="s">
        <v>1144</v>
      </c>
      <c r="D854" s="226"/>
      <c r="E854" s="44"/>
      <c r="F854" s="287"/>
      <c r="G854" s="227"/>
      <c r="H854" s="228" t="s">
        <v>235</v>
      </c>
      <c r="I854" s="253">
        <v>1</v>
      </c>
      <c r="J854" s="60">
        <f>J689</f>
        <v>105500</v>
      </c>
      <c r="K854" s="230">
        <f t="shared" si="114"/>
        <v>105500</v>
      </c>
    </row>
    <row r="855" spans="1:11" ht="13.2" customHeight="1" x14ac:dyDescent="0.25">
      <c r="A855" s="223"/>
      <c r="B855" s="224" t="s">
        <v>175</v>
      </c>
      <c r="C855" s="225" t="s">
        <v>1144</v>
      </c>
      <c r="D855" s="226"/>
      <c r="E855" s="44"/>
      <c r="F855" s="287"/>
      <c r="G855" s="227"/>
      <c r="H855" s="228" t="s">
        <v>235</v>
      </c>
      <c r="I855" s="285">
        <v>1</v>
      </c>
      <c r="J855" s="60">
        <f>J690</f>
        <v>105500</v>
      </c>
      <c r="K855" s="230">
        <f t="shared" si="114"/>
        <v>105500</v>
      </c>
    </row>
    <row r="856" spans="1:11" ht="13.2" customHeight="1" x14ac:dyDescent="0.25">
      <c r="A856" s="223"/>
      <c r="B856" s="224" t="s">
        <v>177</v>
      </c>
      <c r="C856" s="225" t="s">
        <v>959</v>
      </c>
      <c r="D856" s="226"/>
      <c r="E856" s="44"/>
      <c r="F856" s="287"/>
      <c r="G856" s="227"/>
      <c r="H856" s="228" t="s">
        <v>235</v>
      </c>
      <c r="I856" s="285">
        <v>12</v>
      </c>
      <c r="J856" s="60">
        <f t="shared" si="115"/>
        <v>55500</v>
      </c>
      <c r="K856" s="230">
        <f t="shared" si="114"/>
        <v>666000</v>
      </c>
    </row>
    <row r="857" spans="1:11" ht="13.2" customHeight="1" x14ac:dyDescent="0.25">
      <c r="A857" s="223"/>
      <c r="B857" s="224" t="s">
        <v>197</v>
      </c>
      <c r="C857" s="225" t="s">
        <v>787</v>
      </c>
      <c r="D857" s="226"/>
      <c r="E857" s="44"/>
      <c r="F857" s="227"/>
      <c r="G857" s="227"/>
      <c r="H857" s="228" t="s">
        <v>203</v>
      </c>
      <c r="I857" s="253">
        <v>4</v>
      </c>
      <c r="J857" s="60">
        <f t="shared" si="115"/>
        <v>27000</v>
      </c>
      <c r="K857" s="230">
        <f t="shared" si="114"/>
        <v>108000</v>
      </c>
    </row>
    <row r="858" spans="1:11" ht="13.2" customHeight="1" x14ac:dyDescent="0.25">
      <c r="A858" s="223"/>
      <c r="B858" s="224" t="s">
        <v>198</v>
      </c>
      <c r="C858" s="225" t="s">
        <v>979</v>
      </c>
      <c r="D858" s="226"/>
      <c r="E858" s="44"/>
      <c r="F858" s="227"/>
      <c r="G858" s="227"/>
      <c r="H858" s="228" t="s">
        <v>203</v>
      </c>
      <c r="I858" s="253">
        <v>12</v>
      </c>
      <c r="J858" s="60">
        <f t="shared" si="115"/>
        <v>14000</v>
      </c>
      <c r="K858" s="230">
        <f t="shared" si="114"/>
        <v>168000</v>
      </c>
    </row>
    <row r="859" spans="1:11" ht="12.9" customHeight="1" x14ac:dyDescent="0.25">
      <c r="A859" s="58"/>
      <c r="B859" s="231"/>
      <c r="C859" s="232"/>
      <c r="D859" s="232"/>
      <c r="E859" s="232"/>
      <c r="F859" s="232"/>
      <c r="G859" s="233"/>
      <c r="H859" s="234" t="s">
        <v>715</v>
      </c>
      <c r="I859" s="235"/>
      <c r="J859" s="235"/>
      <c r="K859" s="236">
        <f>SUM(K848:K858)</f>
        <v>5535200</v>
      </c>
    </row>
    <row r="860" spans="1:11" ht="12.9" customHeight="1" x14ac:dyDescent="0.25">
      <c r="A860" s="58"/>
      <c r="B860" s="59"/>
      <c r="C860" s="56"/>
      <c r="D860" s="56"/>
      <c r="E860" s="56"/>
      <c r="F860" s="56"/>
      <c r="G860" s="237"/>
      <c r="H860" s="238" t="s">
        <v>603</v>
      </c>
      <c r="I860" s="239">
        <f>$K$3</f>
        <v>0.15</v>
      </c>
      <c r="J860" s="240"/>
      <c r="K860" s="241">
        <f>I860*K859</f>
        <v>830280</v>
      </c>
    </row>
    <row r="861" spans="1:11" ht="12.9" customHeight="1" x14ac:dyDescent="0.25">
      <c r="A861" s="58"/>
      <c r="B861" s="59"/>
      <c r="C861" s="56"/>
      <c r="D861" s="56"/>
      <c r="E861" s="56"/>
      <c r="F861" s="56"/>
      <c r="G861" s="237"/>
      <c r="H861" s="238" t="s">
        <v>604</v>
      </c>
      <c r="I861" s="226"/>
      <c r="J861" s="226"/>
      <c r="K861" s="241">
        <f>SUM(K859:K860)</f>
        <v>6365480</v>
      </c>
    </row>
    <row r="862" spans="1:11" ht="12.9" customHeight="1" thickBot="1" x14ac:dyDescent="0.3">
      <c r="A862" s="242"/>
      <c r="B862" s="243"/>
      <c r="C862" s="244"/>
      <c r="D862" s="244"/>
      <c r="E862" s="244"/>
      <c r="F862" s="244"/>
      <c r="G862" s="245"/>
      <c r="H862" s="246" t="s">
        <v>605</v>
      </c>
      <c r="I862" s="247"/>
      <c r="J862" s="247"/>
      <c r="K862" s="248">
        <f>ROUND(K861,-1)</f>
        <v>6365480</v>
      </c>
    </row>
    <row r="863" spans="1:11" ht="14.1" customHeight="1" x14ac:dyDescent="0.25">
      <c r="A863" s="215">
        <v>67</v>
      </c>
      <c r="B863" s="651" t="s">
        <v>713</v>
      </c>
      <c r="C863" s="652"/>
      <c r="D863" s="216" t="s">
        <v>1159</v>
      </c>
      <c r="E863" s="217"/>
      <c r="F863" s="218"/>
      <c r="G863" s="218"/>
      <c r="H863" s="219"/>
      <c r="I863" s="220"/>
      <c r="J863" s="221"/>
      <c r="K863" s="222"/>
    </row>
    <row r="864" spans="1:11" ht="13.2" customHeight="1" x14ac:dyDescent="0.25">
      <c r="A864" s="223"/>
      <c r="B864" s="224" t="s">
        <v>4</v>
      </c>
      <c r="C864" s="225" t="s">
        <v>1148</v>
      </c>
      <c r="D864" s="226"/>
      <c r="E864" s="44"/>
      <c r="F864" s="227"/>
      <c r="G864" s="227"/>
      <c r="H864" s="228" t="s">
        <v>235</v>
      </c>
      <c r="I864" s="263">
        <v>1</v>
      </c>
      <c r="J864" s="60">
        <f>'Harga Satuan Dasar mat'!G325</f>
        <v>1135000</v>
      </c>
      <c r="K864" s="230">
        <f>I864*J864</f>
        <v>1135000</v>
      </c>
    </row>
    <row r="865" spans="1:11" ht="13.2" customHeight="1" x14ac:dyDescent="0.25">
      <c r="A865" s="223"/>
      <c r="B865" s="224" t="s">
        <v>30</v>
      </c>
      <c r="C865" s="225" t="s">
        <v>1149</v>
      </c>
      <c r="D865" s="226"/>
      <c r="E865" s="44"/>
      <c r="F865" s="227"/>
      <c r="G865" s="227"/>
      <c r="H865" s="228" t="s">
        <v>235</v>
      </c>
      <c r="I865" s="253">
        <v>2</v>
      </c>
      <c r="J865" s="60">
        <f>'Harga Satuan Dasar mat'!G325</f>
        <v>1135000</v>
      </c>
      <c r="K865" s="230">
        <f t="shared" ref="K865:K874" si="116">I865*J865</f>
        <v>2270000</v>
      </c>
    </row>
    <row r="866" spans="1:11" ht="13.2" customHeight="1" x14ac:dyDescent="0.25">
      <c r="A866" s="223"/>
      <c r="B866" s="224" t="s">
        <v>57</v>
      </c>
      <c r="C866" s="225" t="s">
        <v>1150</v>
      </c>
      <c r="D866" s="226"/>
      <c r="E866" s="44"/>
      <c r="F866" s="227"/>
      <c r="G866" s="227"/>
      <c r="H866" s="228" t="s">
        <v>235</v>
      </c>
      <c r="I866" s="253">
        <v>6</v>
      </c>
      <c r="J866" s="60">
        <f>J752</f>
        <v>41000</v>
      </c>
      <c r="K866" s="230">
        <f t="shared" si="116"/>
        <v>246000</v>
      </c>
    </row>
    <row r="867" spans="1:11" ht="13.2" customHeight="1" x14ac:dyDescent="0.25">
      <c r="A867" s="223"/>
      <c r="B867" s="224" t="s">
        <v>83</v>
      </c>
      <c r="C867" s="225" t="s">
        <v>1151</v>
      </c>
      <c r="D867" s="226"/>
      <c r="E867" s="44"/>
      <c r="F867" s="227"/>
      <c r="G867" s="227"/>
      <c r="H867" s="228" t="s">
        <v>203</v>
      </c>
      <c r="I867" s="285">
        <v>3</v>
      </c>
      <c r="J867" s="60">
        <f>J753</f>
        <v>141750</v>
      </c>
      <c r="K867" s="230">
        <f t="shared" si="116"/>
        <v>425250</v>
      </c>
    </row>
    <row r="868" spans="1:11" ht="13.2" customHeight="1" x14ac:dyDescent="0.25">
      <c r="A868" s="223"/>
      <c r="B868" s="224" t="s">
        <v>110</v>
      </c>
      <c r="C868" s="225" t="s">
        <v>890</v>
      </c>
      <c r="D868" s="226"/>
      <c r="E868" s="44"/>
      <c r="F868" s="227"/>
      <c r="G868" s="227"/>
      <c r="H868" s="228" t="s">
        <v>235</v>
      </c>
      <c r="I868" s="253">
        <v>3</v>
      </c>
      <c r="J868" s="60">
        <f>J788</f>
        <v>320000</v>
      </c>
      <c r="K868" s="230">
        <f t="shared" si="116"/>
        <v>960000</v>
      </c>
    </row>
    <row r="869" spans="1:11" ht="13.2" customHeight="1" x14ac:dyDescent="0.25">
      <c r="A869" s="223"/>
      <c r="B869" s="224" t="s">
        <v>137</v>
      </c>
      <c r="C869" s="225" t="s">
        <v>1135</v>
      </c>
      <c r="D869" s="226"/>
      <c r="E869" s="44"/>
      <c r="F869" s="287" t="s">
        <v>961</v>
      </c>
      <c r="G869" s="227"/>
      <c r="H869" s="228" t="s">
        <v>235</v>
      </c>
      <c r="I869" s="288">
        <v>1</v>
      </c>
      <c r="J869" s="60">
        <f>J789</f>
        <v>157500</v>
      </c>
      <c r="K869" s="230">
        <f t="shared" si="116"/>
        <v>157500</v>
      </c>
    </row>
    <row r="870" spans="1:11" ht="13.2" customHeight="1" x14ac:dyDescent="0.25">
      <c r="A870" s="223"/>
      <c r="B870" s="224" t="s">
        <v>156</v>
      </c>
      <c r="C870" s="225" t="s">
        <v>1137</v>
      </c>
      <c r="D870" s="226"/>
      <c r="E870" s="44"/>
      <c r="F870" s="287" t="s">
        <v>962</v>
      </c>
      <c r="G870" s="227"/>
      <c r="H870" s="228" t="s">
        <v>235</v>
      </c>
      <c r="I870" s="289">
        <v>1</v>
      </c>
      <c r="J870" s="60">
        <f>J790</f>
        <v>147500</v>
      </c>
      <c r="K870" s="230">
        <f t="shared" si="116"/>
        <v>147500</v>
      </c>
    </row>
    <row r="871" spans="1:11" ht="13.2" customHeight="1" x14ac:dyDescent="0.25">
      <c r="A871" s="223"/>
      <c r="B871" s="224" t="s">
        <v>175</v>
      </c>
      <c r="C871" s="225" t="s">
        <v>1136</v>
      </c>
      <c r="D871" s="226"/>
      <c r="E871" s="44"/>
      <c r="F871" s="287" t="s">
        <v>960</v>
      </c>
      <c r="G871" s="227"/>
      <c r="H871" s="228" t="s">
        <v>235</v>
      </c>
      <c r="I871" s="289">
        <v>1</v>
      </c>
      <c r="J871" s="60">
        <f>J791</f>
        <v>143500</v>
      </c>
      <c r="K871" s="230">
        <f t="shared" si="116"/>
        <v>143500</v>
      </c>
    </row>
    <row r="872" spans="1:11" ht="13.2" customHeight="1" x14ac:dyDescent="0.25">
      <c r="A872" s="223"/>
      <c r="B872" s="224" t="s">
        <v>177</v>
      </c>
      <c r="C872" s="225" t="s">
        <v>1153</v>
      </c>
      <c r="D872" s="226"/>
      <c r="E872" s="44"/>
      <c r="F872" s="287" t="s">
        <v>963</v>
      </c>
      <c r="G872" s="227"/>
      <c r="H872" s="228" t="s">
        <v>235</v>
      </c>
      <c r="I872" s="285">
        <v>9</v>
      </c>
      <c r="J872" s="60">
        <f>J776</f>
        <v>60250</v>
      </c>
      <c r="K872" s="230">
        <f t="shared" si="116"/>
        <v>542250</v>
      </c>
    </row>
    <row r="873" spans="1:11" ht="13.2" customHeight="1" x14ac:dyDescent="0.25">
      <c r="A873" s="223"/>
      <c r="B873" s="224" t="s">
        <v>197</v>
      </c>
      <c r="C873" s="225" t="s">
        <v>787</v>
      </c>
      <c r="D873" s="226"/>
      <c r="E873" s="44"/>
      <c r="F873" s="227"/>
      <c r="G873" s="227"/>
      <c r="H873" s="228" t="s">
        <v>203</v>
      </c>
      <c r="I873" s="253">
        <v>6</v>
      </c>
      <c r="J873" s="60">
        <f>J793</f>
        <v>27000</v>
      </c>
      <c r="K873" s="230">
        <f t="shared" si="116"/>
        <v>162000</v>
      </c>
    </row>
    <row r="874" spans="1:11" ht="13.2" customHeight="1" x14ac:dyDescent="0.25">
      <c r="A874" s="223"/>
      <c r="B874" s="224" t="s">
        <v>198</v>
      </c>
      <c r="C874" s="225" t="s">
        <v>979</v>
      </c>
      <c r="D874" s="226"/>
      <c r="E874" s="44"/>
      <c r="F874" s="227"/>
      <c r="G874" s="227"/>
      <c r="H874" s="228" t="s">
        <v>203</v>
      </c>
      <c r="I874" s="253">
        <v>18</v>
      </c>
      <c r="J874" s="60">
        <f>J794</f>
        <v>14000</v>
      </c>
      <c r="K874" s="230">
        <f t="shared" si="116"/>
        <v>252000</v>
      </c>
    </row>
    <row r="875" spans="1:11" ht="12.9" customHeight="1" x14ac:dyDescent="0.25">
      <c r="A875" s="58"/>
      <c r="B875" s="231"/>
      <c r="C875" s="232"/>
      <c r="D875" s="232"/>
      <c r="E875" s="232"/>
      <c r="F875" s="232"/>
      <c r="G875" s="233"/>
      <c r="H875" s="234" t="s">
        <v>715</v>
      </c>
      <c r="I875" s="235"/>
      <c r="J875" s="235"/>
      <c r="K875" s="236">
        <f>SUM(K864:K874)</f>
        <v>6441000</v>
      </c>
    </row>
    <row r="876" spans="1:11" ht="12.9" customHeight="1" x14ac:dyDescent="0.25">
      <c r="A876" s="58"/>
      <c r="B876" s="59"/>
      <c r="C876" s="56"/>
      <c r="D876" s="56"/>
      <c r="E876" s="56"/>
      <c r="F876" s="56"/>
      <c r="G876" s="237"/>
      <c r="H876" s="238" t="s">
        <v>603</v>
      </c>
      <c r="I876" s="239">
        <f>$K$3</f>
        <v>0.15</v>
      </c>
      <c r="J876" s="240"/>
      <c r="K876" s="241">
        <f>I876*K875</f>
        <v>966150</v>
      </c>
    </row>
    <row r="877" spans="1:11" ht="12.9" customHeight="1" x14ac:dyDescent="0.25">
      <c r="A877" s="58"/>
      <c r="B877" s="59"/>
      <c r="C877" s="56"/>
      <c r="D877" s="56"/>
      <c r="E877" s="56"/>
      <c r="F877" s="56"/>
      <c r="G877" s="237"/>
      <c r="H877" s="238" t="s">
        <v>604</v>
      </c>
      <c r="I877" s="226"/>
      <c r="J877" s="226"/>
      <c r="K877" s="241">
        <f>SUM(K875:K876)</f>
        <v>7407150</v>
      </c>
    </row>
    <row r="878" spans="1:11" ht="12.9" customHeight="1" thickBot="1" x14ac:dyDescent="0.3">
      <c r="A878" s="242"/>
      <c r="B878" s="243"/>
      <c r="C878" s="244"/>
      <c r="D878" s="244"/>
      <c r="E878" s="244"/>
      <c r="F878" s="244"/>
      <c r="G878" s="245"/>
      <c r="H878" s="246" t="s">
        <v>605</v>
      </c>
      <c r="I878" s="247"/>
      <c r="J878" s="247"/>
      <c r="K878" s="248">
        <f>ROUND(K877,-1)</f>
        <v>7407150</v>
      </c>
    </row>
    <row r="879" spans="1:11" ht="14.1" customHeight="1" x14ac:dyDescent="0.25">
      <c r="A879" s="215">
        <v>68</v>
      </c>
      <c r="B879" s="651" t="s">
        <v>713</v>
      </c>
      <c r="C879" s="652"/>
      <c r="D879" s="216" t="s">
        <v>1160</v>
      </c>
      <c r="E879" s="217"/>
      <c r="F879" s="218"/>
      <c r="G879" s="218"/>
      <c r="H879" s="219"/>
      <c r="I879" s="220"/>
      <c r="J879" s="221"/>
      <c r="K879" s="222"/>
    </row>
    <row r="880" spans="1:11" ht="13.2" customHeight="1" x14ac:dyDescent="0.25">
      <c r="A880" s="223"/>
      <c r="B880" s="224" t="s">
        <v>4</v>
      </c>
      <c r="C880" s="225" t="s">
        <v>1148</v>
      </c>
      <c r="D880" s="226"/>
      <c r="E880" s="44"/>
      <c r="F880" s="227"/>
      <c r="G880" s="227"/>
      <c r="H880" s="228" t="s">
        <v>235</v>
      </c>
      <c r="I880" s="263">
        <v>1</v>
      </c>
      <c r="J880" s="60">
        <f>'Harga Satuan Dasar mat'!G325</f>
        <v>1135000</v>
      </c>
      <c r="K880" s="230">
        <f>I880*J880</f>
        <v>1135000</v>
      </c>
    </row>
    <row r="881" spans="1:11" ht="13.2" customHeight="1" x14ac:dyDescent="0.25">
      <c r="A881" s="223"/>
      <c r="B881" s="224" t="s">
        <v>30</v>
      </c>
      <c r="C881" s="225" t="s">
        <v>1149</v>
      </c>
      <c r="D881" s="226"/>
      <c r="E881" s="44"/>
      <c r="F881" s="227"/>
      <c r="G881" s="227"/>
      <c r="H881" s="228" t="s">
        <v>235</v>
      </c>
      <c r="I881" s="253">
        <v>2</v>
      </c>
      <c r="J881" s="60">
        <f>'Harga Satuan Dasar mat'!G325</f>
        <v>1135000</v>
      </c>
      <c r="K881" s="230">
        <f t="shared" ref="K881:K890" si="117">I881*J881</f>
        <v>2270000</v>
      </c>
    </row>
    <row r="882" spans="1:11" ht="13.2" customHeight="1" x14ac:dyDescent="0.25">
      <c r="A882" s="223"/>
      <c r="B882" s="224" t="s">
        <v>57</v>
      </c>
      <c r="C882" s="225" t="s">
        <v>1150</v>
      </c>
      <c r="D882" s="226"/>
      <c r="E882" s="44"/>
      <c r="F882" s="227"/>
      <c r="G882" s="227"/>
      <c r="H882" s="228" t="s">
        <v>235</v>
      </c>
      <c r="I882" s="253">
        <v>6</v>
      </c>
      <c r="J882" s="60">
        <f>J866</f>
        <v>41000</v>
      </c>
      <c r="K882" s="230">
        <f t="shared" si="117"/>
        <v>246000</v>
      </c>
    </row>
    <row r="883" spans="1:11" ht="13.2" customHeight="1" x14ac:dyDescent="0.25">
      <c r="A883" s="223"/>
      <c r="B883" s="224" t="s">
        <v>83</v>
      </c>
      <c r="C883" s="225" t="s">
        <v>1151</v>
      </c>
      <c r="D883" s="226"/>
      <c r="E883" s="44"/>
      <c r="F883" s="227"/>
      <c r="G883" s="227"/>
      <c r="H883" s="228" t="s">
        <v>203</v>
      </c>
      <c r="I883" s="285">
        <v>6</v>
      </c>
      <c r="J883" s="60">
        <f>J867</f>
        <v>141750</v>
      </c>
      <c r="K883" s="230">
        <f t="shared" si="117"/>
        <v>850500</v>
      </c>
    </row>
    <row r="884" spans="1:11" ht="13.2" customHeight="1" x14ac:dyDescent="0.25">
      <c r="A884" s="223"/>
      <c r="B884" s="224" t="s">
        <v>110</v>
      </c>
      <c r="C884" s="225" t="s">
        <v>890</v>
      </c>
      <c r="D884" s="226"/>
      <c r="E884" s="44"/>
      <c r="F884" s="227"/>
      <c r="G884" s="227"/>
      <c r="H884" s="228" t="s">
        <v>235</v>
      </c>
      <c r="I884" s="253">
        <v>2</v>
      </c>
      <c r="J884" s="60">
        <f>J868</f>
        <v>320000</v>
      </c>
      <c r="K884" s="230">
        <f t="shared" si="117"/>
        <v>640000</v>
      </c>
    </row>
    <row r="885" spans="1:11" ht="13.2" customHeight="1" x14ac:dyDescent="0.25">
      <c r="A885" s="223"/>
      <c r="B885" s="224" t="s">
        <v>137</v>
      </c>
      <c r="C885" s="225" t="s">
        <v>1140</v>
      </c>
      <c r="D885" s="226"/>
      <c r="E885" s="44"/>
      <c r="G885" s="227"/>
      <c r="H885" s="228" t="s">
        <v>235</v>
      </c>
      <c r="I885" s="288">
        <v>1</v>
      </c>
      <c r="J885" s="60">
        <f>J805</f>
        <v>152000</v>
      </c>
      <c r="K885" s="230">
        <f t="shared" si="117"/>
        <v>152000</v>
      </c>
    </row>
    <row r="886" spans="1:11" ht="13.2" customHeight="1" x14ac:dyDescent="0.25">
      <c r="A886" s="223"/>
      <c r="B886" s="224" t="s">
        <v>156</v>
      </c>
      <c r="C886" s="225" t="s">
        <v>1142</v>
      </c>
      <c r="D886" s="226"/>
      <c r="E886" s="44"/>
      <c r="G886" s="227"/>
      <c r="H886" s="228" t="s">
        <v>235</v>
      </c>
      <c r="I886" s="289">
        <v>1</v>
      </c>
      <c r="J886" s="60">
        <f>J806</f>
        <v>139500</v>
      </c>
      <c r="K886" s="230">
        <f t="shared" si="117"/>
        <v>139500</v>
      </c>
    </row>
    <row r="887" spans="1:11" ht="13.2" customHeight="1" x14ac:dyDescent="0.25">
      <c r="A887" s="223"/>
      <c r="B887" s="224" t="s">
        <v>175</v>
      </c>
      <c r="C887" s="225" t="s">
        <v>1141</v>
      </c>
      <c r="D887" s="226"/>
      <c r="E887" s="44"/>
      <c r="G887" s="227"/>
      <c r="H887" s="228" t="s">
        <v>235</v>
      </c>
      <c r="I887" s="289">
        <v>1</v>
      </c>
      <c r="J887" s="60">
        <f>J807</f>
        <v>127000</v>
      </c>
      <c r="K887" s="230">
        <f t="shared" si="117"/>
        <v>127000</v>
      </c>
    </row>
    <row r="888" spans="1:11" ht="13.2" customHeight="1" x14ac:dyDescent="0.25">
      <c r="A888" s="223"/>
      <c r="B888" s="224" t="s">
        <v>177</v>
      </c>
      <c r="C888" s="225" t="s">
        <v>1153</v>
      </c>
      <c r="D888" s="226"/>
      <c r="E888" s="44"/>
      <c r="G888" s="227"/>
      <c r="H888" s="228" t="s">
        <v>235</v>
      </c>
      <c r="I888" s="285">
        <v>9</v>
      </c>
      <c r="J888" s="60">
        <f>J872</f>
        <v>60250</v>
      </c>
      <c r="K888" s="230">
        <f t="shared" si="117"/>
        <v>542250</v>
      </c>
    </row>
    <row r="889" spans="1:11" ht="13.2" customHeight="1" x14ac:dyDescent="0.25">
      <c r="A889" s="223"/>
      <c r="B889" s="224" t="s">
        <v>197</v>
      </c>
      <c r="C889" s="225" t="s">
        <v>787</v>
      </c>
      <c r="D889" s="226"/>
      <c r="E889" s="44"/>
      <c r="F889" s="227"/>
      <c r="G889" s="227"/>
      <c r="H889" s="228" t="s">
        <v>203</v>
      </c>
      <c r="I889" s="253">
        <v>6</v>
      </c>
      <c r="J889" s="60">
        <f>J873</f>
        <v>27000</v>
      </c>
      <c r="K889" s="230">
        <f t="shared" si="117"/>
        <v>162000</v>
      </c>
    </row>
    <row r="890" spans="1:11" ht="13.2" customHeight="1" x14ac:dyDescent="0.25">
      <c r="A890" s="223"/>
      <c r="B890" s="224" t="s">
        <v>198</v>
      </c>
      <c r="C890" s="225" t="s">
        <v>979</v>
      </c>
      <c r="D890" s="226"/>
      <c r="E890" s="44"/>
      <c r="F890" s="227"/>
      <c r="G890" s="227"/>
      <c r="H890" s="228" t="s">
        <v>203</v>
      </c>
      <c r="I890" s="253">
        <v>18</v>
      </c>
      <c r="J890" s="60">
        <f>J874</f>
        <v>14000</v>
      </c>
      <c r="K890" s="230">
        <f t="shared" si="117"/>
        <v>252000</v>
      </c>
    </row>
    <row r="891" spans="1:11" ht="12.9" customHeight="1" x14ac:dyDescent="0.25">
      <c r="A891" s="58"/>
      <c r="B891" s="231"/>
      <c r="C891" s="232"/>
      <c r="D891" s="232"/>
      <c r="E891" s="232"/>
      <c r="F891" s="232"/>
      <c r="G891" s="233"/>
      <c r="H891" s="234" t="s">
        <v>715</v>
      </c>
      <c r="I891" s="235"/>
      <c r="J891" s="235"/>
      <c r="K891" s="236">
        <f>SUM(K880:K890)</f>
        <v>6516250</v>
      </c>
    </row>
    <row r="892" spans="1:11" ht="12.9" customHeight="1" x14ac:dyDescent="0.25">
      <c r="A892" s="58"/>
      <c r="B892" s="59"/>
      <c r="C892" s="56"/>
      <c r="D892" s="56"/>
      <c r="E892" s="56"/>
      <c r="F892" s="56"/>
      <c r="G892" s="237"/>
      <c r="H892" s="238" t="s">
        <v>603</v>
      </c>
      <c r="I892" s="239">
        <f>$K$3</f>
        <v>0.15</v>
      </c>
      <c r="J892" s="240"/>
      <c r="K892" s="241">
        <f>I892*K891</f>
        <v>977437.5</v>
      </c>
    </row>
    <row r="893" spans="1:11" ht="12.9" customHeight="1" x14ac:dyDescent="0.25">
      <c r="A893" s="58"/>
      <c r="B893" s="59"/>
      <c r="C893" s="56"/>
      <c r="D893" s="56"/>
      <c r="E893" s="56"/>
      <c r="F893" s="56"/>
      <c r="G893" s="237"/>
      <c r="H893" s="238" t="s">
        <v>604</v>
      </c>
      <c r="I893" s="226"/>
      <c r="J893" s="226"/>
      <c r="K893" s="241">
        <f>SUM(K891:K892)</f>
        <v>7493687.5</v>
      </c>
    </row>
    <row r="894" spans="1:11" ht="12.9" customHeight="1" thickBot="1" x14ac:dyDescent="0.3">
      <c r="A894" s="242"/>
      <c r="B894" s="243"/>
      <c r="C894" s="244"/>
      <c r="D894" s="244"/>
      <c r="E894" s="244"/>
      <c r="F894" s="244"/>
      <c r="G894" s="245"/>
      <c r="H894" s="246" t="s">
        <v>605</v>
      </c>
      <c r="I894" s="247"/>
      <c r="J894" s="247"/>
      <c r="K894" s="248">
        <f>ROUND(K893,-1)</f>
        <v>7493690</v>
      </c>
    </row>
    <row r="895" spans="1:11" ht="14.1" customHeight="1" x14ac:dyDescent="0.25">
      <c r="A895" s="215">
        <v>69</v>
      </c>
      <c r="B895" s="651" t="s">
        <v>713</v>
      </c>
      <c r="C895" s="652"/>
      <c r="D895" s="216" t="s">
        <v>2223</v>
      </c>
      <c r="E895" s="217"/>
      <c r="F895" s="218"/>
      <c r="G895" s="218"/>
      <c r="H895" s="219"/>
      <c r="I895" s="220"/>
      <c r="J895" s="221"/>
      <c r="K895" s="222"/>
    </row>
    <row r="896" spans="1:11" ht="13.2" customHeight="1" x14ac:dyDescent="0.25">
      <c r="A896" s="223"/>
      <c r="B896" s="224" t="s">
        <v>4</v>
      </c>
      <c r="C896" s="225" t="s">
        <v>1148</v>
      </c>
      <c r="D896" s="226"/>
      <c r="E896" s="44"/>
      <c r="F896" s="227"/>
      <c r="G896" s="227"/>
      <c r="H896" s="228" t="s">
        <v>235</v>
      </c>
      <c r="I896" s="263">
        <v>1</v>
      </c>
      <c r="J896" s="60">
        <f>'Harga Satuan Dasar mat'!G325</f>
        <v>1135000</v>
      </c>
      <c r="K896" s="230">
        <f>I896*J896</f>
        <v>1135000</v>
      </c>
    </row>
    <row r="897" spans="1:11" ht="13.2" customHeight="1" x14ac:dyDescent="0.25">
      <c r="A897" s="223"/>
      <c r="B897" s="224" t="s">
        <v>30</v>
      </c>
      <c r="C897" s="225" t="s">
        <v>1149</v>
      </c>
      <c r="D897" s="226"/>
      <c r="E897" s="44"/>
      <c r="F897" s="227"/>
      <c r="G897" s="227"/>
      <c r="H897" s="228" t="s">
        <v>235</v>
      </c>
      <c r="I897" s="253">
        <v>2</v>
      </c>
      <c r="J897" s="60">
        <f>'Harga Satuan Dasar mat'!G325</f>
        <v>1135000</v>
      </c>
      <c r="K897" s="230">
        <f t="shared" ref="K897:K906" si="118">I897*J897</f>
        <v>2270000</v>
      </c>
    </row>
    <row r="898" spans="1:11" ht="13.2" customHeight="1" x14ac:dyDescent="0.25">
      <c r="A898" s="223"/>
      <c r="B898" s="224" t="s">
        <v>57</v>
      </c>
      <c r="C898" s="225" t="s">
        <v>1150</v>
      </c>
      <c r="D898" s="226"/>
      <c r="E898" s="44"/>
      <c r="F898" s="227"/>
      <c r="G898" s="227"/>
      <c r="H898" s="228" t="s">
        <v>235</v>
      </c>
      <c r="I898" s="253">
        <v>6</v>
      </c>
      <c r="J898" s="60">
        <f>J882</f>
        <v>41000</v>
      </c>
      <c r="K898" s="230">
        <f t="shared" si="118"/>
        <v>246000</v>
      </c>
    </row>
    <row r="899" spans="1:11" ht="13.2" customHeight="1" x14ac:dyDescent="0.25">
      <c r="A899" s="223"/>
      <c r="B899" s="224" t="s">
        <v>83</v>
      </c>
      <c r="C899" s="225" t="s">
        <v>1151</v>
      </c>
      <c r="D899" s="226"/>
      <c r="E899" s="44"/>
      <c r="F899" s="227"/>
      <c r="G899" s="227"/>
      <c r="H899" s="228" t="s">
        <v>203</v>
      </c>
      <c r="I899" s="285">
        <v>6</v>
      </c>
      <c r="J899" s="60">
        <f>J883</f>
        <v>141750</v>
      </c>
      <c r="K899" s="230">
        <f t="shared" si="118"/>
        <v>850500</v>
      </c>
    </row>
    <row r="900" spans="1:11" ht="13.2" customHeight="1" x14ac:dyDescent="0.25">
      <c r="A900" s="223"/>
      <c r="B900" s="224" t="s">
        <v>110</v>
      </c>
      <c r="C900" s="225" t="s">
        <v>890</v>
      </c>
      <c r="D900" s="226"/>
      <c r="E900" s="44"/>
      <c r="F900" s="227"/>
      <c r="G900" s="227"/>
      <c r="H900" s="228" t="s">
        <v>235</v>
      </c>
      <c r="I900" s="253">
        <v>3</v>
      </c>
      <c r="J900" s="60">
        <f>J884</f>
        <v>320000</v>
      </c>
      <c r="K900" s="230">
        <f t="shared" si="118"/>
        <v>960000</v>
      </c>
    </row>
    <row r="901" spans="1:11" ht="13.2" customHeight="1" x14ac:dyDescent="0.25">
      <c r="A901" s="223"/>
      <c r="B901" s="224" t="s">
        <v>137</v>
      </c>
      <c r="C901" s="225" t="s">
        <v>1140</v>
      </c>
      <c r="D901" s="226"/>
      <c r="E901" s="44"/>
      <c r="F901" s="287"/>
      <c r="G901" s="227"/>
      <c r="H901" s="228" t="s">
        <v>235</v>
      </c>
      <c r="I901" s="253">
        <v>1</v>
      </c>
      <c r="J901" s="60">
        <f>J821</f>
        <v>152000</v>
      </c>
      <c r="K901" s="230">
        <f t="shared" si="118"/>
        <v>152000</v>
      </c>
    </row>
    <row r="902" spans="1:11" ht="13.2" customHeight="1" x14ac:dyDescent="0.25">
      <c r="A902" s="223"/>
      <c r="B902" s="224" t="s">
        <v>156</v>
      </c>
      <c r="C902" s="225" t="s">
        <v>958</v>
      </c>
      <c r="D902" s="226"/>
      <c r="E902" s="44"/>
      <c r="F902" s="287"/>
      <c r="G902" s="227"/>
      <c r="H902" s="228" t="s">
        <v>235</v>
      </c>
      <c r="I902" s="253">
        <v>1</v>
      </c>
      <c r="J902" s="60">
        <f>J822</f>
        <v>132500</v>
      </c>
      <c r="K902" s="230">
        <f t="shared" si="118"/>
        <v>132500</v>
      </c>
    </row>
    <row r="903" spans="1:11" ht="13.2" customHeight="1" x14ac:dyDescent="0.25">
      <c r="A903" s="223"/>
      <c r="B903" s="224" t="s">
        <v>175</v>
      </c>
      <c r="C903" s="225" t="s">
        <v>958</v>
      </c>
      <c r="D903" s="226"/>
      <c r="E903" s="44"/>
      <c r="F903" s="287"/>
      <c r="G903" s="227"/>
      <c r="H903" s="228" t="s">
        <v>235</v>
      </c>
      <c r="I903" s="285">
        <v>1</v>
      </c>
      <c r="J903" s="60">
        <f>J823</f>
        <v>132500</v>
      </c>
      <c r="K903" s="230">
        <f t="shared" si="118"/>
        <v>132500</v>
      </c>
    </row>
    <row r="904" spans="1:11" ht="13.2" customHeight="1" x14ac:dyDescent="0.25">
      <c r="A904" s="223"/>
      <c r="B904" s="224" t="s">
        <v>177</v>
      </c>
      <c r="C904" s="225" t="s">
        <v>1153</v>
      </c>
      <c r="D904" s="226"/>
      <c r="E904" s="44"/>
      <c r="F904" s="287"/>
      <c r="G904" s="227"/>
      <c r="H904" s="228" t="s">
        <v>235</v>
      </c>
      <c r="I904" s="285">
        <v>12</v>
      </c>
      <c r="J904" s="60">
        <f>J888</f>
        <v>60250</v>
      </c>
      <c r="K904" s="230">
        <f t="shared" si="118"/>
        <v>723000</v>
      </c>
    </row>
    <row r="905" spans="1:11" ht="13.2" customHeight="1" x14ac:dyDescent="0.25">
      <c r="A905" s="223"/>
      <c r="B905" s="224" t="s">
        <v>197</v>
      </c>
      <c r="C905" s="225" t="s">
        <v>787</v>
      </c>
      <c r="D905" s="226"/>
      <c r="E905" s="44"/>
      <c r="F905" s="227"/>
      <c r="G905" s="227"/>
      <c r="H905" s="228" t="s">
        <v>203</v>
      </c>
      <c r="I905" s="253">
        <v>4</v>
      </c>
      <c r="J905" s="60">
        <f>J889</f>
        <v>27000</v>
      </c>
      <c r="K905" s="230">
        <f t="shared" si="118"/>
        <v>108000</v>
      </c>
    </row>
    <row r="906" spans="1:11" ht="13.2" customHeight="1" x14ac:dyDescent="0.25">
      <c r="A906" s="223"/>
      <c r="B906" s="224" t="s">
        <v>198</v>
      </c>
      <c r="C906" s="225" t="s">
        <v>979</v>
      </c>
      <c r="D906" s="226"/>
      <c r="E906" s="44"/>
      <c r="F906" s="227"/>
      <c r="G906" s="227"/>
      <c r="H906" s="228" t="s">
        <v>203</v>
      </c>
      <c r="I906" s="253">
        <v>12</v>
      </c>
      <c r="J906" s="60">
        <f>J890</f>
        <v>14000</v>
      </c>
      <c r="K906" s="230">
        <f t="shared" si="118"/>
        <v>168000</v>
      </c>
    </row>
    <row r="907" spans="1:11" ht="12.9" customHeight="1" x14ac:dyDescent="0.25">
      <c r="A907" s="58"/>
      <c r="B907" s="231"/>
      <c r="C907" s="232"/>
      <c r="D907" s="232"/>
      <c r="E907" s="232"/>
      <c r="F907" s="232"/>
      <c r="G907" s="233"/>
      <c r="H907" s="234" t="s">
        <v>715</v>
      </c>
      <c r="I907" s="235"/>
      <c r="J907" s="235"/>
      <c r="K907" s="236">
        <f>SUM(K896:K906)</f>
        <v>6877500</v>
      </c>
    </row>
    <row r="908" spans="1:11" ht="12.9" customHeight="1" x14ac:dyDescent="0.25">
      <c r="A908" s="58"/>
      <c r="B908" s="59"/>
      <c r="C908" s="56"/>
      <c r="D908" s="56"/>
      <c r="E908" s="56"/>
      <c r="F908" s="56"/>
      <c r="G908" s="237"/>
      <c r="H908" s="238" t="s">
        <v>603</v>
      </c>
      <c r="I908" s="239">
        <f>$K$3</f>
        <v>0.15</v>
      </c>
      <c r="J908" s="240"/>
      <c r="K908" s="241">
        <f>I908*K907</f>
        <v>1031625</v>
      </c>
    </row>
    <row r="909" spans="1:11" ht="12.9" customHeight="1" x14ac:dyDescent="0.25">
      <c r="A909" s="58"/>
      <c r="B909" s="59"/>
      <c r="C909" s="56"/>
      <c r="D909" s="56"/>
      <c r="E909" s="56"/>
      <c r="F909" s="56"/>
      <c r="G909" s="237"/>
      <c r="H909" s="238" t="s">
        <v>604</v>
      </c>
      <c r="I909" s="226"/>
      <c r="J909" s="226"/>
      <c r="K909" s="241">
        <f>SUM(K907:K908)</f>
        <v>7909125</v>
      </c>
    </row>
    <row r="910" spans="1:11" ht="12.9" customHeight="1" thickBot="1" x14ac:dyDescent="0.3">
      <c r="A910" s="242"/>
      <c r="B910" s="243"/>
      <c r="C910" s="244"/>
      <c r="D910" s="244"/>
      <c r="E910" s="244"/>
      <c r="F910" s="244"/>
      <c r="G910" s="245"/>
      <c r="H910" s="246" t="s">
        <v>605</v>
      </c>
      <c r="I910" s="247"/>
      <c r="J910" s="247"/>
      <c r="K910" s="248">
        <f>ROUND(K909,-1)</f>
        <v>7909130</v>
      </c>
    </row>
    <row r="911" spans="1:11" ht="14.1" customHeight="1" x14ac:dyDescent="0.25">
      <c r="A911" s="215">
        <v>70</v>
      </c>
      <c r="B911" s="651" t="s">
        <v>713</v>
      </c>
      <c r="C911" s="652"/>
      <c r="D911" s="216" t="s">
        <v>2224</v>
      </c>
      <c r="E911" s="217"/>
      <c r="F911" s="218"/>
      <c r="G911" s="218"/>
      <c r="H911" s="219"/>
      <c r="I911" s="220"/>
      <c r="J911" s="221"/>
      <c r="K911" s="222"/>
    </row>
    <row r="912" spans="1:11" ht="13.2" customHeight="1" x14ac:dyDescent="0.25">
      <c r="A912" s="223"/>
      <c r="B912" s="224" t="s">
        <v>4</v>
      </c>
      <c r="C912" s="225" t="s">
        <v>1148</v>
      </c>
      <c r="D912" s="226"/>
      <c r="E912" s="44"/>
      <c r="F912" s="227"/>
      <c r="G912" s="227"/>
      <c r="H912" s="228" t="s">
        <v>235</v>
      </c>
      <c r="I912" s="263">
        <v>1</v>
      </c>
      <c r="J912" s="60">
        <f>'Harga Satuan Dasar mat'!G325</f>
        <v>1135000</v>
      </c>
      <c r="K912" s="230">
        <f>I912*J912</f>
        <v>1135000</v>
      </c>
    </row>
    <row r="913" spans="1:11" ht="13.2" customHeight="1" x14ac:dyDescent="0.25">
      <c r="A913" s="223"/>
      <c r="B913" s="224" t="s">
        <v>30</v>
      </c>
      <c r="C913" s="225" t="s">
        <v>1149</v>
      </c>
      <c r="D913" s="226"/>
      <c r="E913" s="44"/>
      <c r="F913" s="227"/>
      <c r="G913" s="227"/>
      <c r="H913" s="228" t="s">
        <v>235</v>
      </c>
      <c r="I913" s="253">
        <v>2</v>
      </c>
      <c r="J913" s="60">
        <f>'Harga Satuan Dasar mat'!G325</f>
        <v>1135000</v>
      </c>
      <c r="K913" s="230">
        <f t="shared" ref="K913:K922" si="119">I913*J913</f>
        <v>2270000</v>
      </c>
    </row>
    <row r="914" spans="1:11" ht="13.2" customHeight="1" x14ac:dyDescent="0.25">
      <c r="A914" s="223"/>
      <c r="B914" s="224" t="s">
        <v>57</v>
      </c>
      <c r="C914" s="225" t="s">
        <v>1150</v>
      </c>
      <c r="D914" s="226"/>
      <c r="E914" s="44"/>
      <c r="F914" s="227"/>
      <c r="G914" s="227"/>
      <c r="H914" s="228" t="s">
        <v>235</v>
      </c>
      <c r="I914" s="253">
        <v>6</v>
      </c>
      <c r="J914" s="60">
        <f>J898</f>
        <v>41000</v>
      </c>
      <c r="K914" s="230">
        <f t="shared" si="119"/>
        <v>246000</v>
      </c>
    </row>
    <row r="915" spans="1:11" ht="13.2" customHeight="1" x14ac:dyDescent="0.25">
      <c r="A915" s="223"/>
      <c r="B915" s="224" t="s">
        <v>83</v>
      </c>
      <c r="C915" s="225" t="s">
        <v>1151</v>
      </c>
      <c r="D915" s="226"/>
      <c r="E915" s="44"/>
      <c r="F915" s="227"/>
      <c r="G915" s="227"/>
      <c r="H915" s="228" t="s">
        <v>203</v>
      </c>
      <c r="I915" s="285">
        <v>6</v>
      </c>
      <c r="J915" s="60">
        <f>J899</f>
        <v>141750</v>
      </c>
      <c r="K915" s="230">
        <f t="shared" si="119"/>
        <v>850500</v>
      </c>
    </row>
    <row r="916" spans="1:11" ht="13.2" customHeight="1" x14ac:dyDescent="0.25">
      <c r="A916" s="223"/>
      <c r="B916" s="224" t="s">
        <v>110</v>
      </c>
      <c r="C916" s="225" t="s">
        <v>890</v>
      </c>
      <c r="D916" s="226"/>
      <c r="E916" s="44"/>
      <c r="F916" s="227"/>
      <c r="G916" s="227"/>
      <c r="H916" s="228" t="s">
        <v>235</v>
      </c>
      <c r="I916" s="253">
        <v>3</v>
      </c>
      <c r="J916" s="60">
        <f>J900</f>
        <v>320000</v>
      </c>
      <c r="K916" s="230">
        <f t="shared" si="119"/>
        <v>960000</v>
      </c>
    </row>
    <row r="917" spans="1:11" ht="13.2" customHeight="1" x14ac:dyDescent="0.25">
      <c r="A917" s="223"/>
      <c r="B917" s="224" t="s">
        <v>137</v>
      </c>
      <c r="C917" s="225" t="s">
        <v>958</v>
      </c>
      <c r="D917" s="226"/>
      <c r="E917" s="44"/>
      <c r="F917" s="287"/>
      <c r="G917" s="227"/>
      <c r="H917" s="228" t="s">
        <v>235</v>
      </c>
      <c r="I917" s="253">
        <v>1</v>
      </c>
      <c r="J917" s="60">
        <f>J837</f>
        <v>132500</v>
      </c>
      <c r="K917" s="230">
        <f t="shared" si="119"/>
        <v>132500</v>
      </c>
    </row>
    <row r="918" spans="1:11" ht="13.2" customHeight="1" x14ac:dyDescent="0.25">
      <c r="A918" s="223"/>
      <c r="B918" s="224" t="s">
        <v>156</v>
      </c>
      <c r="C918" s="225" t="s">
        <v>838</v>
      </c>
      <c r="D918" s="226"/>
      <c r="E918" s="44"/>
      <c r="F918" s="287"/>
      <c r="G918" s="227"/>
      <c r="H918" s="228" t="s">
        <v>235</v>
      </c>
      <c r="I918" s="253">
        <v>1</v>
      </c>
      <c r="J918" s="60">
        <f>J838</f>
        <v>115000</v>
      </c>
      <c r="K918" s="230">
        <f t="shared" si="119"/>
        <v>115000</v>
      </c>
    </row>
    <row r="919" spans="1:11" ht="13.2" customHeight="1" x14ac:dyDescent="0.25">
      <c r="A919" s="223"/>
      <c r="B919" s="224" t="s">
        <v>175</v>
      </c>
      <c r="C919" s="225" t="s">
        <v>838</v>
      </c>
      <c r="D919" s="226"/>
      <c r="E919" s="44"/>
      <c r="F919" s="287"/>
      <c r="G919" s="227"/>
      <c r="H919" s="228" t="s">
        <v>235</v>
      </c>
      <c r="I919" s="285">
        <v>1</v>
      </c>
      <c r="J919" s="60">
        <f>J839</f>
        <v>115000</v>
      </c>
      <c r="K919" s="230">
        <f t="shared" si="119"/>
        <v>115000</v>
      </c>
    </row>
    <row r="920" spans="1:11" ht="13.2" customHeight="1" x14ac:dyDescent="0.25">
      <c r="A920" s="223"/>
      <c r="B920" s="224" t="s">
        <v>177</v>
      </c>
      <c r="C920" s="225" t="s">
        <v>1153</v>
      </c>
      <c r="D920" s="226"/>
      <c r="E920" s="44"/>
      <c r="F920" s="287"/>
      <c r="G920" s="227"/>
      <c r="H920" s="228" t="s">
        <v>235</v>
      </c>
      <c r="I920" s="285">
        <v>12</v>
      </c>
      <c r="J920" s="60">
        <f>J904</f>
        <v>60250</v>
      </c>
      <c r="K920" s="230">
        <f t="shared" si="119"/>
        <v>723000</v>
      </c>
    </row>
    <row r="921" spans="1:11" ht="13.2" customHeight="1" x14ac:dyDescent="0.25">
      <c r="A921" s="223"/>
      <c r="B921" s="224" t="s">
        <v>197</v>
      </c>
      <c r="C921" s="225" t="s">
        <v>787</v>
      </c>
      <c r="D921" s="226"/>
      <c r="E921" s="44"/>
      <c r="F921" s="227"/>
      <c r="G921" s="227"/>
      <c r="H921" s="228" t="s">
        <v>203</v>
      </c>
      <c r="I921" s="253">
        <v>4</v>
      </c>
      <c r="J921" s="60">
        <f>J905</f>
        <v>27000</v>
      </c>
      <c r="K921" s="230">
        <f t="shared" si="119"/>
        <v>108000</v>
      </c>
    </row>
    <row r="922" spans="1:11" ht="13.2" customHeight="1" x14ac:dyDescent="0.25">
      <c r="A922" s="223"/>
      <c r="B922" s="224" t="s">
        <v>198</v>
      </c>
      <c r="C922" s="225" t="s">
        <v>979</v>
      </c>
      <c r="D922" s="226"/>
      <c r="E922" s="44"/>
      <c r="F922" s="227"/>
      <c r="G922" s="227"/>
      <c r="H922" s="228" t="s">
        <v>203</v>
      </c>
      <c r="I922" s="253">
        <v>12</v>
      </c>
      <c r="J922" s="60">
        <f>J906</f>
        <v>14000</v>
      </c>
      <c r="K922" s="230">
        <f t="shared" si="119"/>
        <v>168000</v>
      </c>
    </row>
    <row r="923" spans="1:11" ht="12.9" customHeight="1" x14ac:dyDescent="0.25">
      <c r="A923" s="58"/>
      <c r="B923" s="231"/>
      <c r="C923" s="232"/>
      <c r="D923" s="232"/>
      <c r="E923" s="232"/>
      <c r="F923" s="232"/>
      <c r="G923" s="233"/>
      <c r="H923" s="234" t="s">
        <v>715</v>
      </c>
      <c r="I923" s="235"/>
      <c r="J923" s="235"/>
      <c r="K923" s="236">
        <f>SUM(K912:K922)</f>
        <v>6823000</v>
      </c>
    </row>
    <row r="924" spans="1:11" ht="12.9" customHeight="1" x14ac:dyDescent="0.25">
      <c r="A924" s="58"/>
      <c r="B924" s="59"/>
      <c r="C924" s="56"/>
      <c r="D924" s="56"/>
      <c r="E924" s="56"/>
      <c r="F924" s="56"/>
      <c r="G924" s="237"/>
      <c r="H924" s="238" t="s">
        <v>603</v>
      </c>
      <c r="I924" s="239">
        <f>$K$3</f>
        <v>0.15</v>
      </c>
      <c r="J924" s="240"/>
      <c r="K924" s="241">
        <f>I924*K923</f>
        <v>1023450</v>
      </c>
    </row>
    <row r="925" spans="1:11" ht="12.9" customHeight="1" x14ac:dyDescent="0.25">
      <c r="A925" s="58"/>
      <c r="B925" s="59"/>
      <c r="C925" s="56"/>
      <c r="D925" s="56"/>
      <c r="E925" s="56"/>
      <c r="F925" s="56"/>
      <c r="G925" s="237"/>
      <c r="H925" s="238" t="s">
        <v>604</v>
      </c>
      <c r="I925" s="226"/>
      <c r="J925" s="226"/>
      <c r="K925" s="241">
        <f>SUM(K923:K924)</f>
        <v>7846450</v>
      </c>
    </row>
    <row r="926" spans="1:11" ht="12.9" customHeight="1" thickBot="1" x14ac:dyDescent="0.3">
      <c r="A926" s="242"/>
      <c r="B926" s="243"/>
      <c r="C926" s="244"/>
      <c r="D926" s="244"/>
      <c r="E926" s="244"/>
      <c r="F926" s="244"/>
      <c r="G926" s="245"/>
      <c r="H926" s="246" t="s">
        <v>605</v>
      </c>
      <c r="I926" s="247"/>
      <c r="J926" s="247"/>
      <c r="K926" s="248">
        <f>ROUND(K925,-1)</f>
        <v>7846450</v>
      </c>
    </row>
    <row r="927" spans="1:11" ht="14.1" customHeight="1" x14ac:dyDescent="0.25">
      <c r="A927" s="215">
        <v>71</v>
      </c>
      <c r="B927" s="651" t="s">
        <v>713</v>
      </c>
      <c r="C927" s="652"/>
      <c r="D927" s="216" t="s">
        <v>1161</v>
      </c>
      <c r="E927" s="217"/>
      <c r="F927" s="218"/>
      <c r="G927" s="218"/>
      <c r="H927" s="219"/>
      <c r="I927" s="220"/>
      <c r="J927" s="221"/>
      <c r="K927" s="222"/>
    </row>
    <row r="928" spans="1:11" ht="13.2" customHeight="1" x14ac:dyDescent="0.25">
      <c r="A928" s="223"/>
      <c r="B928" s="224" t="s">
        <v>4</v>
      </c>
      <c r="C928" s="225" t="s">
        <v>1148</v>
      </c>
      <c r="D928" s="226"/>
      <c r="E928" s="44"/>
      <c r="F928" s="227"/>
      <c r="G928" s="227"/>
      <c r="H928" s="228" t="s">
        <v>235</v>
      </c>
      <c r="I928" s="263">
        <v>1</v>
      </c>
      <c r="J928" s="60">
        <f>J912</f>
        <v>1135000</v>
      </c>
      <c r="K928" s="230">
        <f>I928*J928</f>
        <v>1135000</v>
      </c>
    </row>
    <row r="929" spans="1:11" ht="13.2" customHeight="1" x14ac:dyDescent="0.25">
      <c r="A929" s="223"/>
      <c r="B929" s="224" t="s">
        <v>30</v>
      </c>
      <c r="C929" s="225" t="s">
        <v>1149</v>
      </c>
      <c r="D929" s="226"/>
      <c r="E929" s="44"/>
      <c r="F929" s="227"/>
      <c r="G929" s="227"/>
      <c r="H929" s="228" t="s">
        <v>235</v>
      </c>
      <c r="I929" s="253">
        <v>2</v>
      </c>
      <c r="J929" s="60">
        <f>J928</f>
        <v>1135000</v>
      </c>
      <c r="K929" s="230">
        <f t="shared" ref="K929:K938" si="120">I929*J929</f>
        <v>2270000</v>
      </c>
    </row>
    <row r="930" spans="1:11" ht="13.2" customHeight="1" x14ac:dyDescent="0.25">
      <c r="A930" s="223"/>
      <c r="B930" s="224" t="s">
        <v>57</v>
      </c>
      <c r="C930" s="225" t="s">
        <v>1150</v>
      </c>
      <c r="D930" s="226"/>
      <c r="E930" s="44"/>
      <c r="F930" s="227"/>
      <c r="G930" s="227"/>
      <c r="H930" s="228" t="s">
        <v>235</v>
      </c>
      <c r="I930" s="253">
        <v>6</v>
      </c>
      <c r="J930" s="60">
        <f>J914</f>
        <v>41000</v>
      </c>
      <c r="K930" s="230">
        <f t="shared" si="120"/>
        <v>246000</v>
      </c>
    </row>
    <row r="931" spans="1:11" ht="13.2" customHeight="1" x14ac:dyDescent="0.25">
      <c r="A931" s="223"/>
      <c r="B931" s="224" t="s">
        <v>83</v>
      </c>
      <c r="C931" s="225" t="s">
        <v>1151</v>
      </c>
      <c r="D931" s="226"/>
      <c r="E931" s="44"/>
      <c r="F931" s="227"/>
      <c r="G931" s="227"/>
      <c r="H931" s="228" t="s">
        <v>203</v>
      </c>
      <c r="I931" s="285">
        <v>6</v>
      </c>
      <c r="J931" s="60">
        <f>J915</f>
        <v>141750</v>
      </c>
      <c r="K931" s="230">
        <f t="shared" si="120"/>
        <v>850500</v>
      </c>
    </row>
    <row r="932" spans="1:11" ht="13.2" customHeight="1" x14ac:dyDescent="0.25">
      <c r="A932" s="223"/>
      <c r="B932" s="224" t="s">
        <v>110</v>
      </c>
      <c r="C932" s="225" t="s">
        <v>890</v>
      </c>
      <c r="D932" s="226"/>
      <c r="E932" s="44"/>
      <c r="F932" s="227"/>
      <c r="G932" s="227"/>
      <c r="H932" s="228" t="s">
        <v>235</v>
      </c>
      <c r="I932" s="253">
        <v>3</v>
      </c>
      <c r="J932" s="60">
        <f t="shared" ref="J932:J938" si="121">J916</f>
        <v>320000</v>
      </c>
      <c r="K932" s="230">
        <f t="shared" si="120"/>
        <v>960000</v>
      </c>
    </row>
    <row r="933" spans="1:11" ht="13.2" customHeight="1" x14ac:dyDescent="0.25">
      <c r="A933" s="223"/>
      <c r="B933" s="224" t="s">
        <v>137</v>
      </c>
      <c r="C933" s="225" t="s">
        <v>838</v>
      </c>
      <c r="D933" s="226"/>
      <c r="E933" s="44"/>
      <c r="F933" s="287"/>
      <c r="G933" s="227"/>
      <c r="H933" s="228" t="s">
        <v>235</v>
      </c>
      <c r="I933" s="253">
        <v>1</v>
      </c>
      <c r="J933" s="60">
        <f>J853</f>
        <v>115000</v>
      </c>
      <c r="K933" s="230">
        <f t="shared" si="120"/>
        <v>115000</v>
      </c>
    </row>
    <row r="934" spans="1:11" ht="13.2" customHeight="1" x14ac:dyDescent="0.25">
      <c r="A934" s="223"/>
      <c r="B934" s="224" t="s">
        <v>156</v>
      </c>
      <c r="C934" s="225" t="s">
        <v>1144</v>
      </c>
      <c r="D934" s="226"/>
      <c r="E934" s="44"/>
      <c r="F934" s="287"/>
      <c r="G934" s="227"/>
      <c r="H934" s="228" t="s">
        <v>235</v>
      </c>
      <c r="I934" s="253">
        <v>1</v>
      </c>
      <c r="J934" s="60">
        <f>J854</f>
        <v>105500</v>
      </c>
      <c r="K934" s="230">
        <f t="shared" si="120"/>
        <v>105500</v>
      </c>
    </row>
    <row r="935" spans="1:11" ht="13.2" customHeight="1" x14ac:dyDescent="0.25">
      <c r="A935" s="223"/>
      <c r="B935" s="224" t="s">
        <v>175</v>
      </c>
      <c r="C935" s="225" t="s">
        <v>1144</v>
      </c>
      <c r="D935" s="226"/>
      <c r="E935" s="44"/>
      <c r="F935" s="287"/>
      <c r="G935" s="227"/>
      <c r="H935" s="228" t="s">
        <v>235</v>
      </c>
      <c r="I935" s="285">
        <v>1</v>
      </c>
      <c r="J935" s="60">
        <f>J855</f>
        <v>105500</v>
      </c>
      <c r="K935" s="230">
        <f t="shared" si="120"/>
        <v>105500</v>
      </c>
    </row>
    <row r="936" spans="1:11" ht="13.2" customHeight="1" x14ac:dyDescent="0.25">
      <c r="A936" s="223"/>
      <c r="B936" s="224" t="s">
        <v>177</v>
      </c>
      <c r="C936" s="225" t="s">
        <v>1153</v>
      </c>
      <c r="D936" s="226"/>
      <c r="E936" s="44"/>
      <c r="F936" s="287"/>
      <c r="G936" s="227"/>
      <c r="H936" s="228" t="s">
        <v>235</v>
      </c>
      <c r="I936" s="285">
        <v>12</v>
      </c>
      <c r="J936" s="60">
        <f t="shared" si="121"/>
        <v>60250</v>
      </c>
      <c r="K936" s="230">
        <f t="shared" si="120"/>
        <v>723000</v>
      </c>
    </row>
    <row r="937" spans="1:11" ht="13.2" customHeight="1" x14ac:dyDescent="0.25">
      <c r="A937" s="223"/>
      <c r="B937" s="224" t="s">
        <v>197</v>
      </c>
      <c r="C937" s="225" t="s">
        <v>787</v>
      </c>
      <c r="D937" s="226"/>
      <c r="E937" s="44"/>
      <c r="F937" s="227"/>
      <c r="G937" s="227"/>
      <c r="H937" s="228" t="s">
        <v>203</v>
      </c>
      <c r="I937" s="253">
        <v>4</v>
      </c>
      <c r="J937" s="60">
        <f t="shared" si="121"/>
        <v>27000</v>
      </c>
      <c r="K937" s="230">
        <f t="shared" si="120"/>
        <v>108000</v>
      </c>
    </row>
    <row r="938" spans="1:11" ht="13.2" customHeight="1" x14ac:dyDescent="0.25">
      <c r="A938" s="223"/>
      <c r="B938" s="224" t="s">
        <v>198</v>
      </c>
      <c r="C938" s="225" t="s">
        <v>979</v>
      </c>
      <c r="D938" s="226"/>
      <c r="E938" s="44"/>
      <c r="F938" s="227"/>
      <c r="G938" s="227"/>
      <c r="H938" s="228" t="s">
        <v>203</v>
      </c>
      <c r="I938" s="253">
        <v>12</v>
      </c>
      <c r="J938" s="60">
        <f t="shared" si="121"/>
        <v>14000</v>
      </c>
      <c r="K938" s="230">
        <f t="shared" si="120"/>
        <v>168000</v>
      </c>
    </row>
    <row r="939" spans="1:11" ht="12.9" customHeight="1" x14ac:dyDescent="0.25">
      <c r="A939" s="58"/>
      <c r="B939" s="231"/>
      <c r="C939" s="232"/>
      <c r="D939" s="232"/>
      <c r="E939" s="232"/>
      <c r="F939" s="232"/>
      <c r="G939" s="233"/>
      <c r="H939" s="234" t="s">
        <v>715</v>
      </c>
      <c r="I939" s="235"/>
      <c r="J939" s="235"/>
      <c r="K939" s="236">
        <f>SUM(K928:K938)</f>
        <v>6786500</v>
      </c>
    </row>
    <row r="940" spans="1:11" ht="12.9" customHeight="1" x14ac:dyDescent="0.25">
      <c r="A940" s="58"/>
      <c r="B940" s="59"/>
      <c r="C940" s="56"/>
      <c r="D940" s="56"/>
      <c r="E940" s="56"/>
      <c r="F940" s="56"/>
      <c r="G940" s="237"/>
      <c r="H940" s="238" t="s">
        <v>603</v>
      </c>
      <c r="I940" s="239">
        <f>$K$3</f>
        <v>0.15</v>
      </c>
      <c r="J940" s="240"/>
      <c r="K940" s="241">
        <f>I940*K939</f>
        <v>1017975</v>
      </c>
    </row>
    <row r="941" spans="1:11" ht="12.9" customHeight="1" x14ac:dyDescent="0.25">
      <c r="A941" s="58"/>
      <c r="B941" s="59"/>
      <c r="C941" s="56"/>
      <c r="D941" s="56"/>
      <c r="E941" s="56"/>
      <c r="F941" s="56"/>
      <c r="G941" s="237"/>
      <c r="H941" s="238" t="s">
        <v>604</v>
      </c>
      <c r="I941" s="226"/>
      <c r="J941" s="226"/>
      <c r="K941" s="241">
        <f>SUM(K939:K940)</f>
        <v>7804475</v>
      </c>
    </row>
    <row r="942" spans="1:11" ht="12.9" customHeight="1" thickBot="1" x14ac:dyDescent="0.3">
      <c r="A942" s="242"/>
      <c r="B942" s="243"/>
      <c r="C942" s="244"/>
      <c r="D942" s="244"/>
      <c r="E942" s="244"/>
      <c r="F942" s="244"/>
      <c r="G942" s="245"/>
      <c r="H942" s="246" t="s">
        <v>605</v>
      </c>
      <c r="I942" s="247"/>
      <c r="J942" s="247"/>
      <c r="K942" s="248">
        <f>ROUND(K941,-1)</f>
        <v>7804480</v>
      </c>
    </row>
    <row r="943" spans="1:11" ht="14.1" customHeight="1" x14ac:dyDescent="0.25">
      <c r="A943" s="215">
        <v>72</v>
      </c>
      <c r="B943" s="651" t="s">
        <v>713</v>
      </c>
      <c r="C943" s="652"/>
      <c r="D943" s="216" t="s">
        <v>1162</v>
      </c>
      <c r="E943" s="217"/>
      <c r="F943" s="218"/>
      <c r="G943" s="218"/>
      <c r="H943" s="219"/>
      <c r="I943" s="220"/>
      <c r="J943" s="221"/>
      <c r="K943" s="222"/>
    </row>
    <row r="944" spans="1:11" ht="13.2" customHeight="1" x14ac:dyDescent="0.25">
      <c r="A944" s="223"/>
      <c r="B944" s="224" t="s">
        <v>4</v>
      </c>
      <c r="C944" s="225" t="s">
        <v>1138</v>
      </c>
      <c r="D944" s="226"/>
      <c r="E944" s="44"/>
      <c r="F944" s="227"/>
      <c r="G944" s="227"/>
      <c r="H944" s="228" t="s">
        <v>235</v>
      </c>
      <c r="I944" s="263">
        <v>1</v>
      </c>
      <c r="J944" s="60">
        <f>'Harga Satuan Dasar mat'!G315</f>
        <v>946000</v>
      </c>
      <c r="K944" s="230">
        <f>I944*J944</f>
        <v>946000</v>
      </c>
    </row>
    <row r="945" spans="1:11" ht="13.2" customHeight="1" x14ac:dyDescent="0.25">
      <c r="A945" s="223"/>
      <c r="B945" s="224" t="s">
        <v>30</v>
      </c>
      <c r="C945" s="225" t="s">
        <v>1139</v>
      </c>
      <c r="D945" s="226"/>
      <c r="E945" s="44"/>
      <c r="F945" s="227"/>
      <c r="G945" s="227"/>
      <c r="H945" s="228" t="s">
        <v>235</v>
      </c>
      <c r="I945" s="253">
        <v>4</v>
      </c>
      <c r="J945" s="60">
        <f>J944</f>
        <v>946000</v>
      </c>
      <c r="K945" s="230">
        <f t="shared" ref="K945:K954" si="122">I945*J945</f>
        <v>3784000</v>
      </c>
    </row>
    <row r="946" spans="1:11" ht="13.2" customHeight="1" x14ac:dyDescent="0.25">
      <c r="A946" s="223"/>
      <c r="B946" s="224" t="s">
        <v>57</v>
      </c>
      <c r="C946" s="225" t="s">
        <v>932</v>
      </c>
      <c r="D946" s="226"/>
      <c r="E946" s="44"/>
      <c r="F946" s="227"/>
      <c r="G946" s="227"/>
      <c r="H946" s="228" t="s">
        <v>235</v>
      </c>
      <c r="I946" s="253">
        <v>10</v>
      </c>
      <c r="J946" s="60">
        <f>J850</f>
        <v>24350</v>
      </c>
      <c r="K946" s="230">
        <f t="shared" si="122"/>
        <v>243500</v>
      </c>
    </row>
    <row r="947" spans="1:11" ht="13.2" customHeight="1" x14ac:dyDescent="0.25">
      <c r="A947" s="223"/>
      <c r="B947" s="224" t="s">
        <v>83</v>
      </c>
      <c r="C947" s="225" t="s">
        <v>933</v>
      </c>
      <c r="D947" s="226"/>
      <c r="E947" s="44"/>
      <c r="F947" s="227"/>
      <c r="G947" s="227"/>
      <c r="H947" s="228" t="s">
        <v>203</v>
      </c>
      <c r="I947" s="285">
        <v>5</v>
      </c>
      <c r="J947" s="60">
        <f>J851</f>
        <v>107700</v>
      </c>
      <c r="K947" s="230">
        <f t="shared" si="122"/>
        <v>538500</v>
      </c>
    </row>
    <row r="948" spans="1:11" ht="13.2" customHeight="1" x14ac:dyDescent="0.25">
      <c r="A948" s="223"/>
      <c r="B948" s="224" t="s">
        <v>110</v>
      </c>
      <c r="C948" s="225" t="s">
        <v>890</v>
      </c>
      <c r="D948" s="226"/>
      <c r="E948" s="44"/>
      <c r="F948" s="227"/>
      <c r="G948" s="227"/>
      <c r="H948" s="228" t="s">
        <v>235</v>
      </c>
      <c r="I948" s="253">
        <v>6</v>
      </c>
      <c r="J948" s="60">
        <f>J932</f>
        <v>320000</v>
      </c>
      <c r="K948" s="230">
        <f t="shared" si="122"/>
        <v>1920000</v>
      </c>
    </row>
    <row r="949" spans="1:11" ht="13.2" customHeight="1" x14ac:dyDescent="0.25">
      <c r="A949" s="223"/>
      <c r="B949" s="224" t="s">
        <v>137</v>
      </c>
      <c r="C949" s="225" t="s">
        <v>1135</v>
      </c>
      <c r="D949" s="226"/>
      <c r="E949" s="44"/>
      <c r="F949" s="287" t="s">
        <v>961</v>
      </c>
      <c r="G949" s="227"/>
      <c r="H949" s="228" t="s">
        <v>235</v>
      </c>
      <c r="I949" s="288">
        <v>2</v>
      </c>
      <c r="J949" s="60">
        <f>'Harga Satuan Dasar mat'!G35</f>
        <v>157500</v>
      </c>
      <c r="K949" s="230">
        <f t="shared" si="122"/>
        <v>315000</v>
      </c>
    </row>
    <row r="950" spans="1:11" ht="13.2" customHeight="1" x14ac:dyDescent="0.25">
      <c r="A950" s="223"/>
      <c r="B950" s="224" t="s">
        <v>156</v>
      </c>
      <c r="C950" s="225" t="s">
        <v>1137</v>
      </c>
      <c r="D950" s="226"/>
      <c r="E950" s="44"/>
      <c r="F950" s="287" t="s">
        <v>962</v>
      </c>
      <c r="G950" s="227"/>
      <c r="H950" s="228" t="s">
        <v>235</v>
      </c>
      <c r="I950" s="289">
        <v>2</v>
      </c>
      <c r="J950" s="60">
        <f>'Harga Satuan Dasar mat'!G33</f>
        <v>147500</v>
      </c>
      <c r="K950" s="230">
        <f t="shared" si="122"/>
        <v>295000</v>
      </c>
    </row>
    <row r="951" spans="1:11" ht="13.2" customHeight="1" x14ac:dyDescent="0.25">
      <c r="A951" s="223"/>
      <c r="B951" s="224" t="s">
        <v>175</v>
      </c>
      <c r="C951" s="225" t="s">
        <v>1136</v>
      </c>
      <c r="D951" s="226"/>
      <c r="E951" s="44"/>
      <c r="F951" s="287" t="s">
        <v>960</v>
      </c>
      <c r="G951" s="227"/>
      <c r="H951" s="228" t="s">
        <v>235</v>
      </c>
      <c r="I951" s="289">
        <v>2</v>
      </c>
      <c r="J951" s="60">
        <f>'Harga Satuan Dasar mat'!G32</f>
        <v>143500</v>
      </c>
      <c r="K951" s="230">
        <f t="shared" si="122"/>
        <v>287000</v>
      </c>
    </row>
    <row r="952" spans="1:11" ht="13.2" customHeight="1" x14ac:dyDescent="0.25">
      <c r="A952" s="223"/>
      <c r="B952" s="224" t="s">
        <v>177</v>
      </c>
      <c r="C952" s="225" t="s">
        <v>959</v>
      </c>
      <c r="D952" s="226"/>
      <c r="E952" s="44"/>
      <c r="F952" s="287" t="s">
        <v>963</v>
      </c>
      <c r="G952" s="227"/>
      <c r="H952" s="228" t="s">
        <v>235</v>
      </c>
      <c r="I952" s="285">
        <v>15</v>
      </c>
      <c r="J952" s="60">
        <f>'Harga Satuan Dasar mat'!G14</f>
        <v>55500</v>
      </c>
      <c r="K952" s="230">
        <f t="shared" si="122"/>
        <v>832500</v>
      </c>
    </row>
    <row r="953" spans="1:11" ht="13.2" customHeight="1" x14ac:dyDescent="0.25">
      <c r="A953" s="223"/>
      <c r="B953" s="224" t="s">
        <v>197</v>
      </c>
      <c r="C953" s="225" t="s">
        <v>787</v>
      </c>
      <c r="D953" s="226"/>
      <c r="E953" s="44"/>
      <c r="F953" s="227"/>
      <c r="G953" s="227"/>
      <c r="H953" s="228" t="s">
        <v>203</v>
      </c>
      <c r="I953" s="253">
        <v>12</v>
      </c>
      <c r="J953" s="60">
        <f>J937</f>
        <v>27000</v>
      </c>
      <c r="K953" s="230">
        <f t="shared" si="122"/>
        <v>324000</v>
      </c>
    </row>
    <row r="954" spans="1:11" ht="13.2" customHeight="1" x14ac:dyDescent="0.25">
      <c r="A954" s="223"/>
      <c r="B954" s="224" t="s">
        <v>198</v>
      </c>
      <c r="C954" s="225" t="s">
        <v>979</v>
      </c>
      <c r="D954" s="226"/>
      <c r="E954" s="44"/>
      <c r="F954" s="227"/>
      <c r="G954" s="227"/>
      <c r="H954" s="228" t="s">
        <v>203</v>
      </c>
      <c r="I954" s="253">
        <v>30</v>
      </c>
      <c r="J954" s="60">
        <f>J938</f>
        <v>14000</v>
      </c>
      <c r="K954" s="230">
        <f t="shared" si="122"/>
        <v>420000</v>
      </c>
    </row>
    <row r="955" spans="1:11" ht="12.9" customHeight="1" x14ac:dyDescent="0.25">
      <c r="A955" s="58"/>
      <c r="B955" s="231"/>
      <c r="C955" s="232"/>
      <c r="D955" s="232"/>
      <c r="E955" s="232"/>
      <c r="F955" s="232"/>
      <c r="G955" s="233"/>
      <c r="H955" s="234" t="s">
        <v>715</v>
      </c>
      <c r="I955" s="235"/>
      <c r="J955" s="235"/>
      <c r="K955" s="236">
        <f>SUM(K944:K954)</f>
        <v>9905500</v>
      </c>
    </row>
    <row r="956" spans="1:11" ht="12.9" customHeight="1" x14ac:dyDescent="0.25">
      <c r="A956" s="58"/>
      <c r="B956" s="59"/>
      <c r="C956" s="56"/>
      <c r="D956" s="56"/>
      <c r="E956" s="56"/>
      <c r="F956" s="56"/>
      <c r="G956" s="237"/>
      <c r="H956" s="238" t="s">
        <v>603</v>
      </c>
      <c r="I956" s="239">
        <f>$K$3</f>
        <v>0.15</v>
      </c>
      <c r="J956" s="240"/>
      <c r="K956" s="241">
        <f>I956*K955</f>
        <v>1485825</v>
      </c>
    </row>
    <row r="957" spans="1:11" ht="12.9" customHeight="1" x14ac:dyDescent="0.25">
      <c r="A957" s="58"/>
      <c r="B957" s="59"/>
      <c r="C957" s="56"/>
      <c r="D957" s="56"/>
      <c r="E957" s="56"/>
      <c r="F957" s="56"/>
      <c r="G957" s="237"/>
      <c r="H957" s="238" t="s">
        <v>604</v>
      </c>
      <c r="I957" s="226"/>
      <c r="J957" s="226"/>
      <c r="K957" s="241">
        <f>SUM(K955:K956)</f>
        <v>11391325</v>
      </c>
    </row>
    <row r="958" spans="1:11" ht="12.9" customHeight="1" thickBot="1" x14ac:dyDescent="0.3">
      <c r="A958" s="242"/>
      <c r="B958" s="243"/>
      <c r="C958" s="244"/>
      <c r="D958" s="244"/>
      <c r="E958" s="244"/>
      <c r="F958" s="244"/>
      <c r="G958" s="245"/>
      <c r="H958" s="246" t="s">
        <v>605</v>
      </c>
      <c r="I958" s="247"/>
      <c r="J958" s="247"/>
      <c r="K958" s="248">
        <f>ROUND(K957,-1)</f>
        <v>11391330</v>
      </c>
    </row>
    <row r="959" spans="1:11" ht="14.1" customHeight="1" x14ac:dyDescent="0.25">
      <c r="A959" s="215">
        <v>73</v>
      </c>
      <c r="B959" s="651" t="s">
        <v>713</v>
      </c>
      <c r="C959" s="652"/>
      <c r="D959" s="216" t="s">
        <v>1163</v>
      </c>
      <c r="E959" s="217"/>
      <c r="F959" s="218"/>
      <c r="G959" s="218"/>
      <c r="H959" s="219"/>
      <c r="I959" s="220"/>
      <c r="J959" s="221"/>
      <c r="K959" s="222"/>
    </row>
    <row r="960" spans="1:11" ht="13.2" customHeight="1" x14ac:dyDescent="0.25">
      <c r="A960" s="223"/>
      <c r="B960" s="224" t="s">
        <v>4</v>
      </c>
      <c r="C960" s="225" t="s">
        <v>1146</v>
      </c>
      <c r="D960" s="226"/>
      <c r="E960" s="44"/>
      <c r="F960" s="227"/>
      <c r="G960" s="227"/>
      <c r="H960" s="228" t="s">
        <v>235</v>
      </c>
      <c r="I960" s="263">
        <v>1</v>
      </c>
      <c r="J960" s="60">
        <f>J944</f>
        <v>946000</v>
      </c>
      <c r="K960" s="230">
        <f>I960*J960</f>
        <v>946000</v>
      </c>
    </row>
    <row r="961" spans="1:11" ht="13.2" customHeight="1" x14ac:dyDescent="0.25">
      <c r="A961" s="223"/>
      <c r="B961" s="224" t="s">
        <v>30</v>
      </c>
      <c r="C961" s="225" t="s">
        <v>1145</v>
      </c>
      <c r="D961" s="226"/>
      <c r="E961" s="44"/>
      <c r="F961" s="227"/>
      <c r="G961" s="227"/>
      <c r="H961" s="228" t="s">
        <v>235</v>
      </c>
      <c r="I961" s="253">
        <v>4</v>
      </c>
      <c r="J961" s="60">
        <f>J960</f>
        <v>946000</v>
      </c>
      <c r="K961" s="230">
        <f t="shared" ref="K961:K970" si="123">I961*J961</f>
        <v>3784000</v>
      </c>
    </row>
    <row r="962" spans="1:11" ht="13.2" customHeight="1" x14ac:dyDescent="0.25">
      <c r="A962" s="223"/>
      <c r="B962" s="224" t="s">
        <v>57</v>
      </c>
      <c r="C962" s="225" t="s">
        <v>932</v>
      </c>
      <c r="D962" s="226"/>
      <c r="E962" s="44"/>
      <c r="F962" s="227"/>
      <c r="G962" s="227"/>
      <c r="H962" s="228" t="s">
        <v>235</v>
      </c>
      <c r="I962" s="253">
        <v>10</v>
      </c>
      <c r="J962" s="60">
        <f t="shared" ref="J962:J970" si="124">J946</f>
        <v>24350</v>
      </c>
      <c r="K962" s="230">
        <f t="shared" si="123"/>
        <v>243500</v>
      </c>
    </row>
    <row r="963" spans="1:11" ht="13.2" customHeight="1" x14ac:dyDescent="0.25">
      <c r="A963" s="223"/>
      <c r="B963" s="224" t="s">
        <v>83</v>
      </c>
      <c r="C963" s="225" t="s">
        <v>933</v>
      </c>
      <c r="D963" s="226"/>
      <c r="E963" s="44"/>
      <c r="F963" s="227"/>
      <c r="G963" s="227"/>
      <c r="H963" s="228" t="s">
        <v>203</v>
      </c>
      <c r="I963" s="285">
        <v>5</v>
      </c>
      <c r="J963" s="60">
        <f t="shared" si="124"/>
        <v>107700</v>
      </c>
      <c r="K963" s="230">
        <f t="shared" si="123"/>
        <v>538500</v>
      </c>
    </row>
    <row r="964" spans="1:11" ht="13.2" customHeight="1" x14ac:dyDescent="0.25">
      <c r="A964" s="223"/>
      <c r="B964" s="224" t="s">
        <v>110</v>
      </c>
      <c r="C964" s="225" t="s">
        <v>890</v>
      </c>
      <c r="D964" s="226"/>
      <c r="E964" s="44"/>
      <c r="F964" s="227"/>
      <c r="G964" s="227"/>
      <c r="H964" s="228" t="s">
        <v>235</v>
      </c>
      <c r="I964" s="253">
        <v>6</v>
      </c>
      <c r="J964" s="60">
        <f>J948</f>
        <v>320000</v>
      </c>
      <c r="K964" s="230">
        <f t="shared" si="123"/>
        <v>1920000</v>
      </c>
    </row>
    <row r="965" spans="1:11" ht="13.2" customHeight="1" x14ac:dyDescent="0.25">
      <c r="A965" s="223"/>
      <c r="B965" s="224" t="s">
        <v>137</v>
      </c>
      <c r="C965" s="225" t="s">
        <v>1140</v>
      </c>
      <c r="D965" s="226"/>
      <c r="E965" s="44"/>
      <c r="G965" s="227"/>
      <c r="H965" s="228" t="s">
        <v>235</v>
      </c>
      <c r="I965" s="288">
        <v>2</v>
      </c>
      <c r="J965" s="60">
        <f>'Harga Satuan Dasar mat'!G34</f>
        <v>152000</v>
      </c>
      <c r="K965" s="230">
        <f t="shared" si="123"/>
        <v>304000</v>
      </c>
    </row>
    <row r="966" spans="1:11" ht="13.2" customHeight="1" x14ac:dyDescent="0.25">
      <c r="A966" s="223"/>
      <c r="B966" s="224" t="s">
        <v>156</v>
      </c>
      <c r="C966" s="225" t="s">
        <v>1142</v>
      </c>
      <c r="D966" s="226"/>
      <c r="E966" s="44"/>
      <c r="G966" s="227"/>
      <c r="H966" s="228" t="s">
        <v>235</v>
      </c>
      <c r="I966" s="289">
        <v>2</v>
      </c>
      <c r="J966" s="60">
        <f>'Harga Satuan Dasar mat'!G31</f>
        <v>139500</v>
      </c>
      <c r="K966" s="230">
        <f t="shared" si="123"/>
        <v>279000</v>
      </c>
    </row>
    <row r="967" spans="1:11" ht="13.2" customHeight="1" x14ac:dyDescent="0.25">
      <c r="A967" s="223"/>
      <c r="B967" s="224" t="s">
        <v>175</v>
      </c>
      <c r="C967" s="225" t="s">
        <v>1141</v>
      </c>
      <c r="D967" s="226"/>
      <c r="E967" s="44"/>
      <c r="G967" s="227"/>
      <c r="H967" s="228" t="s">
        <v>235</v>
      </c>
      <c r="I967" s="289">
        <v>2</v>
      </c>
      <c r="J967" s="60">
        <f>'Harga Satuan Dasar mat'!G29</f>
        <v>127000</v>
      </c>
      <c r="K967" s="230">
        <f t="shared" si="123"/>
        <v>254000</v>
      </c>
    </row>
    <row r="968" spans="1:11" ht="13.2" customHeight="1" x14ac:dyDescent="0.25">
      <c r="A968" s="223"/>
      <c r="B968" s="224" t="s">
        <v>177</v>
      </c>
      <c r="C968" s="225" t="s">
        <v>959</v>
      </c>
      <c r="D968" s="226"/>
      <c r="E968" s="44"/>
      <c r="G968" s="227"/>
      <c r="H968" s="228" t="s">
        <v>235</v>
      </c>
      <c r="I968" s="285">
        <v>15</v>
      </c>
      <c r="J968" s="60">
        <f t="shared" si="124"/>
        <v>55500</v>
      </c>
      <c r="K968" s="230">
        <f t="shared" si="123"/>
        <v>832500</v>
      </c>
    </row>
    <row r="969" spans="1:11" ht="13.2" customHeight="1" x14ac:dyDescent="0.25">
      <c r="A969" s="223"/>
      <c r="B969" s="224" t="s">
        <v>197</v>
      </c>
      <c r="C969" s="225" t="s">
        <v>787</v>
      </c>
      <c r="D969" s="226"/>
      <c r="E969" s="44"/>
      <c r="F969" s="227"/>
      <c r="G969" s="227"/>
      <c r="H969" s="228" t="s">
        <v>203</v>
      </c>
      <c r="I969" s="253">
        <v>12</v>
      </c>
      <c r="J969" s="60">
        <f t="shared" si="124"/>
        <v>27000</v>
      </c>
      <c r="K969" s="230">
        <f t="shared" si="123"/>
        <v>324000</v>
      </c>
    </row>
    <row r="970" spans="1:11" ht="13.2" customHeight="1" x14ac:dyDescent="0.25">
      <c r="A970" s="223"/>
      <c r="B970" s="224" t="s">
        <v>198</v>
      </c>
      <c r="C970" s="225" t="s">
        <v>979</v>
      </c>
      <c r="D970" s="226"/>
      <c r="E970" s="44"/>
      <c r="F970" s="227"/>
      <c r="G970" s="227"/>
      <c r="H970" s="228" t="s">
        <v>203</v>
      </c>
      <c r="I970" s="253">
        <v>30</v>
      </c>
      <c r="J970" s="60">
        <f t="shared" si="124"/>
        <v>14000</v>
      </c>
      <c r="K970" s="230">
        <f t="shared" si="123"/>
        <v>420000</v>
      </c>
    </row>
    <row r="971" spans="1:11" ht="12.9" customHeight="1" x14ac:dyDescent="0.25">
      <c r="A971" s="58"/>
      <c r="B971" s="231"/>
      <c r="C971" s="232"/>
      <c r="D971" s="232"/>
      <c r="E971" s="232"/>
      <c r="F971" s="232"/>
      <c r="G971" s="233"/>
      <c r="H971" s="234" t="s">
        <v>715</v>
      </c>
      <c r="I971" s="235"/>
      <c r="J971" s="235"/>
      <c r="K971" s="236">
        <f>SUM(K960:K970)</f>
        <v>9845500</v>
      </c>
    </row>
    <row r="972" spans="1:11" ht="12.9" customHeight="1" x14ac:dyDescent="0.25">
      <c r="A972" s="58"/>
      <c r="B972" s="59"/>
      <c r="C972" s="56"/>
      <c r="D972" s="56"/>
      <c r="E972" s="56"/>
      <c r="F972" s="56"/>
      <c r="G972" s="237"/>
      <c r="H972" s="238" t="s">
        <v>603</v>
      </c>
      <c r="I972" s="239">
        <f>$K$3</f>
        <v>0.15</v>
      </c>
      <c r="J972" s="240"/>
      <c r="K972" s="241">
        <f>I972*K971</f>
        <v>1476825</v>
      </c>
    </row>
    <row r="973" spans="1:11" ht="12.9" customHeight="1" x14ac:dyDescent="0.25">
      <c r="A973" s="58"/>
      <c r="B973" s="59"/>
      <c r="C973" s="56"/>
      <c r="D973" s="56"/>
      <c r="E973" s="56"/>
      <c r="F973" s="56"/>
      <c r="G973" s="237"/>
      <c r="H973" s="238" t="s">
        <v>604</v>
      </c>
      <c r="I973" s="226"/>
      <c r="J973" s="226"/>
      <c r="K973" s="241">
        <f>SUM(K971:K972)</f>
        <v>11322325</v>
      </c>
    </row>
    <row r="974" spans="1:11" ht="12.9" customHeight="1" thickBot="1" x14ac:dyDescent="0.3">
      <c r="A974" s="242"/>
      <c r="B974" s="243"/>
      <c r="C974" s="244"/>
      <c r="D974" s="244"/>
      <c r="E974" s="244"/>
      <c r="F974" s="244"/>
      <c r="G974" s="245"/>
      <c r="H974" s="246" t="s">
        <v>605</v>
      </c>
      <c r="I974" s="247"/>
      <c r="J974" s="247"/>
      <c r="K974" s="248">
        <f>ROUND(K973,-1)</f>
        <v>11322330</v>
      </c>
    </row>
    <row r="975" spans="1:11" ht="14.1" customHeight="1" x14ac:dyDescent="0.25">
      <c r="A975" s="215">
        <v>74</v>
      </c>
      <c r="B975" s="651" t="s">
        <v>713</v>
      </c>
      <c r="C975" s="652"/>
      <c r="D975" s="216" t="s">
        <v>2225</v>
      </c>
      <c r="E975" s="217"/>
      <c r="F975" s="218"/>
      <c r="G975" s="218"/>
      <c r="H975" s="219"/>
      <c r="I975" s="220"/>
      <c r="J975" s="221"/>
      <c r="K975" s="222"/>
    </row>
    <row r="976" spans="1:11" ht="13.2" customHeight="1" x14ac:dyDescent="0.25">
      <c r="A976" s="223"/>
      <c r="B976" s="224" t="s">
        <v>4</v>
      </c>
      <c r="C976" s="225" t="s">
        <v>1146</v>
      </c>
      <c r="D976" s="226"/>
      <c r="E976" s="44"/>
      <c r="F976" s="227"/>
      <c r="G976" s="227"/>
      <c r="H976" s="228" t="s">
        <v>235</v>
      </c>
      <c r="I976" s="263">
        <v>1</v>
      </c>
      <c r="J976" s="60">
        <f t="shared" ref="J976:J981" si="125">J960</f>
        <v>946000</v>
      </c>
      <c r="K976" s="230">
        <f>I976*J976</f>
        <v>946000</v>
      </c>
    </row>
    <row r="977" spans="1:11" ht="13.2" customHeight="1" x14ac:dyDescent="0.25">
      <c r="A977" s="223"/>
      <c r="B977" s="224" t="s">
        <v>30</v>
      </c>
      <c r="C977" s="225" t="s">
        <v>1145</v>
      </c>
      <c r="D977" s="226"/>
      <c r="E977" s="44"/>
      <c r="F977" s="227"/>
      <c r="G977" s="227"/>
      <c r="H977" s="228" t="s">
        <v>235</v>
      </c>
      <c r="I977" s="253">
        <v>4</v>
      </c>
      <c r="J977" s="60">
        <f t="shared" si="125"/>
        <v>946000</v>
      </c>
      <c r="K977" s="230">
        <f t="shared" ref="K977:K986" si="126">I977*J977</f>
        <v>3784000</v>
      </c>
    </row>
    <row r="978" spans="1:11" ht="13.2" customHeight="1" x14ac:dyDescent="0.25">
      <c r="A978" s="223"/>
      <c r="B978" s="224" t="s">
        <v>57</v>
      </c>
      <c r="C978" s="225" t="s">
        <v>932</v>
      </c>
      <c r="D978" s="226"/>
      <c r="E978" s="44"/>
      <c r="F978" s="227"/>
      <c r="G978" s="227"/>
      <c r="H978" s="228" t="s">
        <v>235</v>
      </c>
      <c r="I978" s="253">
        <v>10</v>
      </c>
      <c r="J978" s="60">
        <f t="shared" si="125"/>
        <v>24350</v>
      </c>
      <c r="K978" s="230">
        <f t="shared" si="126"/>
        <v>243500</v>
      </c>
    </row>
    <row r="979" spans="1:11" ht="13.2" customHeight="1" x14ac:dyDescent="0.25">
      <c r="A979" s="223"/>
      <c r="B979" s="224" t="s">
        <v>83</v>
      </c>
      <c r="C979" s="225" t="s">
        <v>933</v>
      </c>
      <c r="D979" s="226"/>
      <c r="E979" s="44"/>
      <c r="F979" s="227"/>
      <c r="G979" s="227"/>
      <c r="H979" s="228" t="s">
        <v>203</v>
      </c>
      <c r="I979" s="285">
        <v>5</v>
      </c>
      <c r="J979" s="60">
        <f t="shared" si="125"/>
        <v>107700</v>
      </c>
      <c r="K979" s="230">
        <f t="shared" si="126"/>
        <v>538500</v>
      </c>
    </row>
    <row r="980" spans="1:11" ht="13.2" customHeight="1" x14ac:dyDescent="0.25">
      <c r="A980" s="223"/>
      <c r="B980" s="224" t="s">
        <v>110</v>
      </c>
      <c r="C980" s="225" t="s">
        <v>890</v>
      </c>
      <c r="D980" s="226"/>
      <c r="E980" s="44"/>
      <c r="F980" s="227"/>
      <c r="G980" s="227"/>
      <c r="H980" s="228" t="s">
        <v>235</v>
      </c>
      <c r="I980" s="253">
        <v>6</v>
      </c>
      <c r="J980" s="60">
        <f t="shared" si="125"/>
        <v>320000</v>
      </c>
      <c r="K980" s="230">
        <f t="shared" si="126"/>
        <v>1920000</v>
      </c>
    </row>
    <row r="981" spans="1:11" ht="13.2" customHeight="1" x14ac:dyDescent="0.25">
      <c r="A981" s="223"/>
      <c r="B981" s="224" t="s">
        <v>137</v>
      </c>
      <c r="C981" s="225" t="s">
        <v>1140</v>
      </c>
      <c r="D981" s="226"/>
      <c r="E981" s="44"/>
      <c r="F981" s="287"/>
      <c r="G981" s="227"/>
      <c r="H981" s="228" t="s">
        <v>235</v>
      </c>
      <c r="I981" s="253">
        <v>2</v>
      </c>
      <c r="J981" s="60">
        <f t="shared" si="125"/>
        <v>152000</v>
      </c>
      <c r="K981" s="230">
        <f t="shared" si="126"/>
        <v>304000</v>
      </c>
    </row>
    <row r="982" spans="1:11" ht="13.2" customHeight="1" x14ac:dyDescent="0.25">
      <c r="A982" s="223"/>
      <c r="B982" s="224" t="s">
        <v>156</v>
      </c>
      <c r="C982" s="225" t="s">
        <v>958</v>
      </c>
      <c r="D982" s="226"/>
      <c r="E982" s="44"/>
      <c r="F982" s="287"/>
      <c r="G982" s="227"/>
      <c r="H982" s="228" t="s">
        <v>235</v>
      </c>
      <c r="I982" s="253">
        <v>2</v>
      </c>
      <c r="J982" s="60">
        <f>'Harga Satuan Dasar mat'!G30</f>
        <v>132500</v>
      </c>
      <c r="K982" s="230">
        <f t="shared" si="126"/>
        <v>265000</v>
      </c>
    </row>
    <row r="983" spans="1:11" ht="13.2" customHeight="1" x14ac:dyDescent="0.25">
      <c r="A983" s="223"/>
      <c r="B983" s="224" t="s">
        <v>175</v>
      </c>
      <c r="C983" s="225" t="s">
        <v>958</v>
      </c>
      <c r="D983" s="226"/>
      <c r="E983" s="44"/>
      <c r="F983" s="287"/>
      <c r="G983" s="227"/>
      <c r="H983" s="228" t="s">
        <v>235</v>
      </c>
      <c r="I983" s="285">
        <v>2</v>
      </c>
      <c r="J983" s="60">
        <f>'Harga Satuan Dasar mat'!G30</f>
        <v>132500</v>
      </c>
      <c r="K983" s="230">
        <f t="shared" si="126"/>
        <v>265000</v>
      </c>
    </row>
    <row r="984" spans="1:11" ht="13.2" customHeight="1" x14ac:dyDescent="0.25">
      <c r="A984" s="223"/>
      <c r="B984" s="224" t="s">
        <v>177</v>
      </c>
      <c r="C984" s="225" t="s">
        <v>959</v>
      </c>
      <c r="D984" s="226"/>
      <c r="E984" s="44"/>
      <c r="F984" s="287"/>
      <c r="G984" s="227"/>
      <c r="H984" s="228" t="s">
        <v>235</v>
      </c>
      <c r="I984" s="285">
        <v>15</v>
      </c>
      <c r="J984" s="60">
        <f>J968</f>
        <v>55500</v>
      </c>
      <c r="K984" s="230">
        <f t="shared" si="126"/>
        <v>832500</v>
      </c>
    </row>
    <row r="985" spans="1:11" ht="13.2" customHeight="1" x14ac:dyDescent="0.25">
      <c r="A985" s="223"/>
      <c r="B985" s="224" t="s">
        <v>197</v>
      </c>
      <c r="C985" s="225" t="s">
        <v>787</v>
      </c>
      <c r="D985" s="226"/>
      <c r="E985" s="44"/>
      <c r="F985" s="227"/>
      <c r="G985" s="227"/>
      <c r="H985" s="228" t="s">
        <v>203</v>
      </c>
      <c r="I985" s="253">
        <v>12</v>
      </c>
      <c r="J985" s="60">
        <f>J969</f>
        <v>27000</v>
      </c>
      <c r="K985" s="230">
        <f t="shared" si="126"/>
        <v>324000</v>
      </c>
    </row>
    <row r="986" spans="1:11" ht="13.2" customHeight="1" x14ac:dyDescent="0.25">
      <c r="A986" s="223"/>
      <c r="B986" s="224" t="s">
        <v>198</v>
      </c>
      <c r="C986" s="225" t="s">
        <v>979</v>
      </c>
      <c r="D986" s="226"/>
      <c r="E986" s="44"/>
      <c r="F986" s="227"/>
      <c r="G986" s="227"/>
      <c r="H986" s="228" t="s">
        <v>203</v>
      </c>
      <c r="I986" s="253">
        <v>30</v>
      </c>
      <c r="J986" s="60">
        <f>J970</f>
        <v>14000</v>
      </c>
      <c r="K986" s="230">
        <f t="shared" si="126"/>
        <v>420000</v>
      </c>
    </row>
    <row r="987" spans="1:11" ht="12.9" customHeight="1" x14ac:dyDescent="0.25">
      <c r="A987" s="58"/>
      <c r="B987" s="231"/>
      <c r="C987" s="232"/>
      <c r="D987" s="232"/>
      <c r="E987" s="232"/>
      <c r="F987" s="232"/>
      <c r="G987" s="233"/>
      <c r="H987" s="234" t="s">
        <v>715</v>
      </c>
      <c r="I987" s="235"/>
      <c r="J987" s="235"/>
      <c r="K987" s="236">
        <f>SUM(K976:K986)</f>
        <v>9842500</v>
      </c>
    </row>
    <row r="988" spans="1:11" ht="12.9" customHeight="1" x14ac:dyDescent="0.25">
      <c r="A988" s="58"/>
      <c r="B988" s="59"/>
      <c r="C988" s="56"/>
      <c r="D988" s="56"/>
      <c r="E988" s="56"/>
      <c r="F988" s="56"/>
      <c r="G988" s="237"/>
      <c r="H988" s="238" t="s">
        <v>603</v>
      </c>
      <c r="I988" s="239">
        <f>$K$3</f>
        <v>0.15</v>
      </c>
      <c r="J988" s="240"/>
      <c r="K988" s="241">
        <f>I988*K987</f>
        <v>1476375</v>
      </c>
    </row>
    <row r="989" spans="1:11" ht="12.9" customHeight="1" x14ac:dyDescent="0.25">
      <c r="A989" s="58"/>
      <c r="B989" s="59"/>
      <c r="C989" s="56"/>
      <c r="D989" s="56"/>
      <c r="E989" s="56"/>
      <c r="F989" s="56"/>
      <c r="G989" s="237"/>
      <c r="H989" s="238" t="s">
        <v>604</v>
      </c>
      <c r="I989" s="226"/>
      <c r="J989" s="226"/>
      <c r="K989" s="241">
        <f>SUM(K987:K988)</f>
        <v>11318875</v>
      </c>
    </row>
    <row r="990" spans="1:11" ht="12.9" customHeight="1" thickBot="1" x14ac:dyDescent="0.3">
      <c r="A990" s="242"/>
      <c r="B990" s="243"/>
      <c r="C990" s="244"/>
      <c r="D990" s="244"/>
      <c r="E990" s="244"/>
      <c r="F990" s="244"/>
      <c r="G990" s="245"/>
      <c r="H990" s="246" t="s">
        <v>605</v>
      </c>
      <c r="I990" s="247"/>
      <c r="J990" s="247"/>
      <c r="K990" s="248">
        <f>ROUND(K989,-1)</f>
        <v>11318880</v>
      </c>
    </row>
    <row r="991" spans="1:11" ht="14.1" customHeight="1" x14ac:dyDescent="0.25">
      <c r="A991" s="215">
        <v>75</v>
      </c>
      <c r="B991" s="651" t="s">
        <v>713</v>
      </c>
      <c r="C991" s="652"/>
      <c r="D991" s="216" t="s">
        <v>2226</v>
      </c>
      <c r="E991" s="217"/>
      <c r="F991" s="218"/>
      <c r="G991" s="218"/>
      <c r="H991" s="219"/>
      <c r="I991" s="220"/>
      <c r="J991" s="221"/>
      <c r="K991" s="222"/>
    </row>
    <row r="992" spans="1:11" ht="13.2" customHeight="1" x14ac:dyDescent="0.25">
      <c r="A992" s="223"/>
      <c r="B992" s="224" t="s">
        <v>4</v>
      </c>
      <c r="C992" s="225" t="s">
        <v>1146</v>
      </c>
      <c r="D992" s="226"/>
      <c r="E992" s="44"/>
      <c r="F992" s="227"/>
      <c r="G992" s="227"/>
      <c r="H992" s="228" t="s">
        <v>235</v>
      </c>
      <c r="I992" s="263">
        <v>1</v>
      </c>
      <c r="J992" s="60">
        <f>J976</f>
        <v>946000</v>
      </c>
      <c r="K992" s="230">
        <f>I992*J992</f>
        <v>946000</v>
      </c>
    </row>
    <row r="993" spans="1:11" ht="13.2" customHeight="1" x14ac:dyDescent="0.25">
      <c r="A993" s="223"/>
      <c r="B993" s="224" t="s">
        <v>30</v>
      </c>
      <c r="C993" s="225" t="s">
        <v>1168</v>
      </c>
      <c r="D993" s="226"/>
      <c r="E993" s="44"/>
      <c r="F993" s="227"/>
      <c r="G993" s="227"/>
      <c r="H993" s="228" t="s">
        <v>235</v>
      </c>
      <c r="I993" s="253">
        <v>4</v>
      </c>
      <c r="J993" s="60">
        <f>J977</f>
        <v>946000</v>
      </c>
      <c r="K993" s="230">
        <f t="shared" ref="K993:K1002" si="127">I993*J993</f>
        <v>3784000</v>
      </c>
    </row>
    <row r="994" spans="1:11" ht="13.2" customHeight="1" x14ac:dyDescent="0.25">
      <c r="A994" s="223"/>
      <c r="B994" s="224" t="s">
        <v>57</v>
      </c>
      <c r="C994" s="225" t="s">
        <v>932</v>
      </c>
      <c r="D994" s="226"/>
      <c r="E994" s="44"/>
      <c r="F994" s="227"/>
      <c r="G994" s="227"/>
      <c r="H994" s="228" t="s">
        <v>235</v>
      </c>
      <c r="I994" s="253">
        <v>10</v>
      </c>
      <c r="J994" s="60">
        <f t="shared" ref="J994:J1002" si="128">J978</f>
        <v>24350</v>
      </c>
      <c r="K994" s="230">
        <f t="shared" si="127"/>
        <v>243500</v>
      </c>
    </row>
    <row r="995" spans="1:11" ht="13.2" customHeight="1" x14ac:dyDescent="0.25">
      <c r="A995" s="223"/>
      <c r="B995" s="224" t="s">
        <v>83</v>
      </c>
      <c r="C995" s="225" t="s">
        <v>933</v>
      </c>
      <c r="D995" s="226"/>
      <c r="E995" s="44"/>
      <c r="F995" s="227"/>
      <c r="G995" s="227"/>
      <c r="H995" s="228" t="s">
        <v>203</v>
      </c>
      <c r="I995" s="285">
        <v>5</v>
      </c>
      <c r="J995" s="60">
        <f t="shared" si="128"/>
        <v>107700</v>
      </c>
      <c r="K995" s="230">
        <f t="shared" si="127"/>
        <v>538500</v>
      </c>
    </row>
    <row r="996" spans="1:11" ht="13.2" customHeight="1" x14ac:dyDescent="0.25">
      <c r="A996" s="223"/>
      <c r="B996" s="224" t="s">
        <v>110</v>
      </c>
      <c r="C996" s="225" t="s">
        <v>890</v>
      </c>
      <c r="D996" s="226"/>
      <c r="E996" s="44"/>
      <c r="F996" s="227"/>
      <c r="G996" s="227"/>
      <c r="H996" s="228" t="s">
        <v>235</v>
      </c>
      <c r="I996" s="253">
        <v>6</v>
      </c>
      <c r="J996" s="60">
        <f t="shared" si="128"/>
        <v>320000</v>
      </c>
      <c r="K996" s="230">
        <f t="shared" si="127"/>
        <v>1920000</v>
      </c>
    </row>
    <row r="997" spans="1:11" ht="13.2" customHeight="1" x14ac:dyDescent="0.25">
      <c r="A997" s="223"/>
      <c r="B997" s="224" t="s">
        <v>137</v>
      </c>
      <c r="C997" s="225" t="s">
        <v>958</v>
      </c>
      <c r="D997" s="226"/>
      <c r="E997" s="44"/>
      <c r="F997" s="287"/>
      <c r="G997" s="227"/>
      <c r="H997" s="228" t="s">
        <v>235</v>
      </c>
      <c r="I997" s="253">
        <v>2</v>
      </c>
      <c r="J997" s="60">
        <f>J982</f>
        <v>132500</v>
      </c>
      <c r="K997" s="230">
        <f t="shared" si="127"/>
        <v>265000</v>
      </c>
    </row>
    <row r="998" spans="1:11" ht="13.2" customHeight="1" x14ac:dyDescent="0.25">
      <c r="A998" s="223"/>
      <c r="B998" s="224" t="s">
        <v>156</v>
      </c>
      <c r="C998" s="225" t="s">
        <v>838</v>
      </c>
      <c r="D998" s="226"/>
      <c r="E998" s="44"/>
      <c r="F998" s="287"/>
      <c r="G998" s="227"/>
      <c r="H998" s="228" t="s">
        <v>235</v>
      </c>
      <c r="I998" s="253">
        <v>2</v>
      </c>
      <c r="J998" s="60">
        <f>'Harga Satuan Dasar mat'!G26</f>
        <v>115000</v>
      </c>
      <c r="K998" s="230">
        <f t="shared" si="127"/>
        <v>230000</v>
      </c>
    </row>
    <row r="999" spans="1:11" ht="13.2" customHeight="1" x14ac:dyDescent="0.25">
      <c r="A999" s="223"/>
      <c r="B999" s="224" t="s">
        <v>175</v>
      </c>
      <c r="C999" s="225" t="s">
        <v>838</v>
      </c>
      <c r="D999" s="226"/>
      <c r="E999" s="44"/>
      <c r="F999" s="287"/>
      <c r="G999" s="227"/>
      <c r="H999" s="228" t="s">
        <v>235</v>
      </c>
      <c r="I999" s="285">
        <v>2</v>
      </c>
      <c r="J999" s="60">
        <f>J998</f>
        <v>115000</v>
      </c>
      <c r="K999" s="230">
        <f t="shared" si="127"/>
        <v>230000</v>
      </c>
    </row>
    <row r="1000" spans="1:11" ht="13.2" customHeight="1" x14ac:dyDescent="0.25">
      <c r="A1000" s="223"/>
      <c r="B1000" s="224" t="s">
        <v>177</v>
      </c>
      <c r="C1000" s="225" t="s">
        <v>959</v>
      </c>
      <c r="D1000" s="226"/>
      <c r="E1000" s="44"/>
      <c r="F1000" s="287"/>
      <c r="G1000" s="227"/>
      <c r="H1000" s="228" t="s">
        <v>235</v>
      </c>
      <c r="I1000" s="285">
        <v>15</v>
      </c>
      <c r="J1000" s="60">
        <f t="shared" si="128"/>
        <v>55500</v>
      </c>
      <c r="K1000" s="230">
        <f t="shared" si="127"/>
        <v>832500</v>
      </c>
    </row>
    <row r="1001" spans="1:11" ht="13.2" customHeight="1" x14ac:dyDescent="0.25">
      <c r="A1001" s="223"/>
      <c r="B1001" s="224" t="s">
        <v>197</v>
      </c>
      <c r="C1001" s="225" t="s">
        <v>787</v>
      </c>
      <c r="D1001" s="226"/>
      <c r="E1001" s="44"/>
      <c r="F1001" s="227"/>
      <c r="G1001" s="227"/>
      <c r="H1001" s="228" t="s">
        <v>203</v>
      </c>
      <c r="I1001" s="253">
        <v>12</v>
      </c>
      <c r="J1001" s="60">
        <f t="shared" si="128"/>
        <v>27000</v>
      </c>
      <c r="K1001" s="230">
        <f t="shared" si="127"/>
        <v>324000</v>
      </c>
    </row>
    <row r="1002" spans="1:11" ht="13.2" customHeight="1" x14ac:dyDescent="0.25">
      <c r="A1002" s="223"/>
      <c r="B1002" s="224" t="s">
        <v>198</v>
      </c>
      <c r="C1002" s="225" t="s">
        <v>979</v>
      </c>
      <c r="D1002" s="226"/>
      <c r="E1002" s="44"/>
      <c r="F1002" s="227"/>
      <c r="G1002" s="227"/>
      <c r="H1002" s="228" t="s">
        <v>203</v>
      </c>
      <c r="I1002" s="253">
        <v>30</v>
      </c>
      <c r="J1002" s="60">
        <f t="shared" si="128"/>
        <v>14000</v>
      </c>
      <c r="K1002" s="230">
        <f t="shared" si="127"/>
        <v>420000</v>
      </c>
    </row>
    <row r="1003" spans="1:11" ht="12.9" customHeight="1" x14ac:dyDescent="0.25">
      <c r="A1003" s="58"/>
      <c r="B1003" s="231"/>
      <c r="C1003" s="232"/>
      <c r="D1003" s="232"/>
      <c r="E1003" s="232"/>
      <c r="F1003" s="232"/>
      <c r="G1003" s="233"/>
      <c r="H1003" s="234" t="s">
        <v>715</v>
      </c>
      <c r="I1003" s="235"/>
      <c r="J1003" s="235"/>
      <c r="K1003" s="236">
        <f>SUM(K992:K1002)</f>
        <v>9733500</v>
      </c>
    </row>
    <row r="1004" spans="1:11" ht="12.9" customHeight="1" x14ac:dyDescent="0.25">
      <c r="A1004" s="58"/>
      <c r="B1004" s="59"/>
      <c r="C1004" s="56"/>
      <c r="D1004" s="56"/>
      <c r="E1004" s="56"/>
      <c r="F1004" s="56"/>
      <c r="G1004" s="237"/>
      <c r="H1004" s="238" t="s">
        <v>603</v>
      </c>
      <c r="I1004" s="239">
        <f>$K$3</f>
        <v>0.15</v>
      </c>
      <c r="J1004" s="240"/>
      <c r="K1004" s="241">
        <f>I1004*K1003</f>
        <v>1460025</v>
      </c>
    </row>
    <row r="1005" spans="1:11" ht="12.9" customHeight="1" x14ac:dyDescent="0.25">
      <c r="A1005" s="58"/>
      <c r="B1005" s="59"/>
      <c r="C1005" s="56"/>
      <c r="D1005" s="56"/>
      <c r="E1005" s="56"/>
      <c r="F1005" s="56"/>
      <c r="G1005" s="237"/>
      <c r="H1005" s="238" t="s">
        <v>604</v>
      </c>
      <c r="I1005" s="226"/>
      <c r="J1005" s="226"/>
      <c r="K1005" s="241">
        <f>SUM(K1003:K1004)</f>
        <v>11193525</v>
      </c>
    </row>
    <row r="1006" spans="1:11" ht="12.9" customHeight="1" thickBot="1" x14ac:dyDescent="0.3">
      <c r="A1006" s="242"/>
      <c r="B1006" s="243"/>
      <c r="C1006" s="244"/>
      <c r="D1006" s="244"/>
      <c r="E1006" s="244"/>
      <c r="F1006" s="244"/>
      <c r="G1006" s="245"/>
      <c r="H1006" s="246" t="s">
        <v>605</v>
      </c>
      <c r="I1006" s="247"/>
      <c r="J1006" s="247"/>
      <c r="K1006" s="248">
        <f>ROUND(K1005,-1)</f>
        <v>11193530</v>
      </c>
    </row>
    <row r="1007" spans="1:11" ht="14.1" customHeight="1" x14ac:dyDescent="0.25">
      <c r="A1007" s="215">
        <v>76</v>
      </c>
      <c r="B1007" s="651" t="s">
        <v>713</v>
      </c>
      <c r="C1007" s="652"/>
      <c r="D1007" s="216" t="s">
        <v>1164</v>
      </c>
      <c r="E1007" s="217"/>
      <c r="F1007" s="218"/>
      <c r="G1007" s="218"/>
      <c r="H1007" s="219"/>
      <c r="I1007" s="220"/>
      <c r="J1007" s="221"/>
      <c r="K1007" s="222"/>
    </row>
    <row r="1008" spans="1:11" ht="13.2" customHeight="1" x14ac:dyDescent="0.25">
      <c r="A1008" s="223"/>
      <c r="B1008" s="224" t="s">
        <v>4</v>
      </c>
      <c r="C1008" s="225" t="s">
        <v>1146</v>
      </c>
      <c r="D1008" s="226"/>
      <c r="E1008" s="44"/>
      <c r="F1008" s="227"/>
      <c r="G1008" s="227"/>
      <c r="H1008" s="228" t="s">
        <v>235</v>
      </c>
      <c r="I1008" s="263">
        <v>1</v>
      </c>
      <c r="J1008" s="60">
        <f>J992</f>
        <v>946000</v>
      </c>
      <c r="K1008" s="230">
        <f>I1008*J1008</f>
        <v>946000</v>
      </c>
    </row>
    <row r="1009" spans="1:11" ht="13.2" customHeight="1" x14ac:dyDescent="0.25">
      <c r="A1009" s="223"/>
      <c r="B1009" s="224" t="s">
        <v>30</v>
      </c>
      <c r="C1009" s="225" t="s">
        <v>1145</v>
      </c>
      <c r="D1009" s="226"/>
      <c r="E1009" s="44"/>
      <c r="F1009" s="227"/>
      <c r="G1009" s="227"/>
      <c r="H1009" s="228" t="s">
        <v>235</v>
      </c>
      <c r="I1009" s="253">
        <v>4</v>
      </c>
      <c r="J1009" s="60">
        <f>J993</f>
        <v>946000</v>
      </c>
      <c r="K1009" s="230">
        <f t="shared" ref="K1009:K1018" si="129">I1009*J1009</f>
        <v>3784000</v>
      </c>
    </row>
    <row r="1010" spans="1:11" ht="13.2" customHeight="1" x14ac:dyDescent="0.25">
      <c r="A1010" s="223"/>
      <c r="B1010" s="224" t="s">
        <v>57</v>
      </c>
      <c r="C1010" s="225" t="s">
        <v>932</v>
      </c>
      <c r="D1010" s="226"/>
      <c r="E1010" s="44"/>
      <c r="F1010" s="227"/>
      <c r="G1010" s="227"/>
      <c r="H1010" s="228" t="s">
        <v>235</v>
      </c>
      <c r="I1010" s="253">
        <v>10</v>
      </c>
      <c r="J1010" s="60">
        <f t="shared" ref="J1010:J1018" si="130">J994</f>
        <v>24350</v>
      </c>
      <c r="K1010" s="230">
        <f t="shared" si="129"/>
        <v>243500</v>
      </c>
    </row>
    <row r="1011" spans="1:11" ht="13.2" customHeight="1" x14ac:dyDescent="0.25">
      <c r="A1011" s="223"/>
      <c r="B1011" s="224" t="s">
        <v>83</v>
      </c>
      <c r="C1011" s="225" t="s">
        <v>933</v>
      </c>
      <c r="D1011" s="226"/>
      <c r="E1011" s="44"/>
      <c r="F1011" s="227"/>
      <c r="G1011" s="227"/>
      <c r="H1011" s="228" t="s">
        <v>203</v>
      </c>
      <c r="I1011" s="285">
        <v>5</v>
      </c>
      <c r="J1011" s="60">
        <f t="shared" si="130"/>
        <v>107700</v>
      </c>
      <c r="K1011" s="230">
        <f t="shared" si="129"/>
        <v>538500</v>
      </c>
    </row>
    <row r="1012" spans="1:11" ht="13.2" customHeight="1" x14ac:dyDescent="0.25">
      <c r="A1012" s="223"/>
      <c r="B1012" s="224" t="s">
        <v>110</v>
      </c>
      <c r="C1012" s="225" t="s">
        <v>890</v>
      </c>
      <c r="D1012" s="226"/>
      <c r="E1012" s="44"/>
      <c r="F1012" s="227"/>
      <c r="G1012" s="227"/>
      <c r="H1012" s="228" t="s">
        <v>235</v>
      </c>
      <c r="I1012" s="253">
        <v>6</v>
      </c>
      <c r="J1012" s="60">
        <f t="shared" si="130"/>
        <v>320000</v>
      </c>
      <c r="K1012" s="230">
        <f t="shared" si="129"/>
        <v>1920000</v>
      </c>
    </row>
    <row r="1013" spans="1:11" ht="13.2" customHeight="1" x14ac:dyDescent="0.25">
      <c r="A1013" s="223"/>
      <c r="B1013" s="224" t="s">
        <v>137</v>
      </c>
      <c r="C1013" s="225" t="s">
        <v>838</v>
      </c>
      <c r="D1013" s="226"/>
      <c r="E1013" s="44"/>
      <c r="F1013" s="287"/>
      <c r="G1013" s="227"/>
      <c r="H1013" s="228" t="s">
        <v>235</v>
      </c>
      <c r="I1013" s="253">
        <v>2</v>
      </c>
      <c r="J1013" s="60">
        <f>J998</f>
        <v>115000</v>
      </c>
      <c r="K1013" s="230">
        <f t="shared" si="129"/>
        <v>230000</v>
      </c>
    </row>
    <row r="1014" spans="1:11" ht="13.2" customHeight="1" x14ac:dyDescent="0.25">
      <c r="A1014" s="223"/>
      <c r="B1014" s="224" t="s">
        <v>156</v>
      </c>
      <c r="C1014" s="225" t="s">
        <v>1144</v>
      </c>
      <c r="D1014" s="226"/>
      <c r="E1014" s="44"/>
      <c r="F1014" s="287"/>
      <c r="G1014" s="227"/>
      <c r="H1014" s="228" t="s">
        <v>235</v>
      </c>
      <c r="I1014" s="253">
        <v>2</v>
      </c>
      <c r="J1014" s="60">
        <f>'Harga Satuan Dasar mat'!G24</f>
        <v>105500</v>
      </c>
      <c r="K1014" s="230">
        <f t="shared" si="129"/>
        <v>211000</v>
      </c>
    </row>
    <row r="1015" spans="1:11" ht="13.2" customHeight="1" x14ac:dyDescent="0.25">
      <c r="A1015" s="223"/>
      <c r="B1015" s="224" t="s">
        <v>175</v>
      </c>
      <c r="C1015" s="225" t="s">
        <v>1144</v>
      </c>
      <c r="D1015" s="226"/>
      <c r="E1015" s="44"/>
      <c r="F1015" s="287"/>
      <c r="G1015" s="227"/>
      <c r="H1015" s="228" t="s">
        <v>235</v>
      </c>
      <c r="I1015" s="285">
        <v>2</v>
      </c>
      <c r="J1015" s="60">
        <f>J1014</f>
        <v>105500</v>
      </c>
      <c r="K1015" s="230">
        <f t="shared" si="129"/>
        <v>211000</v>
      </c>
    </row>
    <row r="1016" spans="1:11" ht="13.2" customHeight="1" x14ac:dyDescent="0.25">
      <c r="A1016" s="223"/>
      <c r="B1016" s="224" t="s">
        <v>177</v>
      </c>
      <c r="C1016" s="225" t="s">
        <v>959</v>
      </c>
      <c r="D1016" s="226"/>
      <c r="E1016" s="44"/>
      <c r="F1016" s="287"/>
      <c r="G1016" s="227"/>
      <c r="H1016" s="228" t="s">
        <v>235</v>
      </c>
      <c r="I1016" s="285">
        <v>15</v>
      </c>
      <c r="J1016" s="60">
        <f t="shared" si="130"/>
        <v>55500</v>
      </c>
      <c r="K1016" s="230">
        <f t="shared" si="129"/>
        <v>832500</v>
      </c>
    </row>
    <row r="1017" spans="1:11" ht="13.2" customHeight="1" x14ac:dyDescent="0.25">
      <c r="A1017" s="223"/>
      <c r="B1017" s="224" t="s">
        <v>197</v>
      </c>
      <c r="C1017" s="225" t="s">
        <v>787</v>
      </c>
      <c r="D1017" s="226"/>
      <c r="E1017" s="44"/>
      <c r="F1017" s="227"/>
      <c r="G1017" s="227"/>
      <c r="H1017" s="228" t="s">
        <v>203</v>
      </c>
      <c r="I1017" s="253">
        <v>12</v>
      </c>
      <c r="J1017" s="60">
        <f t="shared" si="130"/>
        <v>27000</v>
      </c>
      <c r="K1017" s="230">
        <f t="shared" si="129"/>
        <v>324000</v>
      </c>
    </row>
    <row r="1018" spans="1:11" ht="13.2" customHeight="1" x14ac:dyDescent="0.25">
      <c r="A1018" s="223"/>
      <c r="B1018" s="224" t="s">
        <v>198</v>
      </c>
      <c r="C1018" s="225" t="s">
        <v>979</v>
      </c>
      <c r="D1018" s="226"/>
      <c r="E1018" s="44"/>
      <c r="F1018" s="227"/>
      <c r="G1018" s="227"/>
      <c r="H1018" s="228" t="s">
        <v>203</v>
      </c>
      <c r="I1018" s="253">
        <v>30</v>
      </c>
      <c r="J1018" s="60">
        <f t="shared" si="130"/>
        <v>14000</v>
      </c>
      <c r="K1018" s="230">
        <f t="shared" si="129"/>
        <v>420000</v>
      </c>
    </row>
    <row r="1019" spans="1:11" ht="12.9" customHeight="1" x14ac:dyDescent="0.25">
      <c r="A1019" s="58"/>
      <c r="B1019" s="231"/>
      <c r="C1019" s="232"/>
      <c r="D1019" s="232"/>
      <c r="E1019" s="232"/>
      <c r="F1019" s="232"/>
      <c r="G1019" s="233"/>
      <c r="H1019" s="234" t="s">
        <v>715</v>
      </c>
      <c r="I1019" s="235"/>
      <c r="J1019" s="235"/>
      <c r="K1019" s="236">
        <f>SUM(K1008:K1018)</f>
        <v>9660500</v>
      </c>
    </row>
    <row r="1020" spans="1:11" ht="12.9" customHeight="1" x14ac:dyDescent="0.25">
      <c r="A1020" s="58"/>
      <c r="B1020" s="59"/>
      <c r="C1020" s="56"/>
      <c r="D1020" s="56"/>
      <c r="E1020" s="56"/>
      <c r="F1020" s="56"/>
      <c r="G1020" s="237"/>
      <c r="H1020" s="238" t="s">
        <v>603</v>
      </c>
      <c r="I1020" s="239">
        <f>$K$3</f>
        <v>0.15</v>
      </c>
      <c r="J1020" s="240"/>
      <c r="K1020" s="241">
        <f>I1020*K1019</f>
        <v>1449075</v>
      </c>
    </row>
    <row r="1021" spans="1:11" ht="12.9" customHeight="1" x14ac:dyDescent="0.25">
      <c r="A1021" s="58"/>
      <c r="B1021" s="59"/>
      <c r="C1021" s="56"/>
      <c r="D1021" s="56"/>
      <c r="E1021" s="56"/>
      <c r="F1021" s="56"/>
      <c r="G1021" s="237"/>
      <c r="H1021" s="238" t="s">
        <v>604</v>
      </c>
      <c r="I1021" s="226"/>
      <c r="J1021" s="226"/>
      <c r="K1021" s="241">
        <f>SUM(K1019:K1020)</f>
        <v>11109575</v>
      </c>
    </row>
    <row r="1022" spans="1:11" ht="12.9" customHeight="1" thickBot="1" x14ac:dyDescent="0.3">
      <c r="A1022" s="242"/>
      <c r="B1022" s="243"/>
      <c r="C1022" s="244"/>
      <c r="D1022" s="244"/>
      <c r="E1022" s="244"/>
      <c r="F1022" s="244"/>
      <c r="G1022" s="245"/>
      <c r="H1022" s="246" t="s">
        <v>605</v>
      </c>
      <c r="I1022" s="247"/>
      <c r="J1022" s="247"/>
      <c r="K1022" s="248">
        <f>ROUND(K1021,-1)</f>
        <v>11109580</v>
      </c>
    </row>
    <row r="1023" spans="1:11" ht="14.1" customHeight="1" x14ac:dyDescent="0.25">
      <c r="A1023" s="215">
        <v>77</v>
      </c>
      <c r="B1023" s="651" t="s">
        <v>713</v>
      </c>
      <c r="C1023" s="652"/>
      <c r="D1023" s="216" t="s">
        <v>1165</v>
      </c>
      <c r="E1023" s="217"/>
      <c r="F1023" s="218"/>
      <c r="G1023" s="218"/>
      <c r="H1023" s="219"/>
      <c r="I1023" s="220"/>
      <c r="J1023" s="221"/>
      <c r="K1023" s="222"/>
    </row>
    <row r="1024" spans="1:11" ht="13.2" customHeight="1" x14ac:dyDescent="0.25">
      <c r="A1024" s="223"/>
      <c r="B1024" s="224" t="s">
        <v>4</v>
      </c>
      <c r="C1024" s="225" t="s">
        <v>1148</v>
      </c>
      <c r="D1024" s="226"/>
      <c r="E1024" s="44"/>
      <c r="F1024" s="227"/>
      <c r="G1024" s="227"/>
      <c r="H1024" s="228" t="s">
        <v>235</v>
      </c>
      <c r="I1024" s="263">
        <v>1</v>
      </c>
      <c r="J1024" s="60">
        <f>'Harga Satuan Dasar mat'!G325</f>
        <v>1135000</v>
      </c>
      <c r="K1024" s="230">
        <f>I1024*J1024</f>
        <v>1135000</v>
      </c>
    </row>
    <row r="1025" spans="1:11" ht="13.2" customHeight="1" x14ac:dyDescent="0.25">
      <c r="A1025" s="223"/>
      <c r="B1025" s="224" t="s">
        <v>30</v>
      </c>
      <c r="C1025" s="225" t="s">
        <v>1149</v>
      </c>
      <c r="D1025" s="226"/>
      <c r="E1025" s="44"/>
      <c r="F1025" s="227"/>
      <c r="G1025" s="227"/>
      <c r="H1025" s="228" t="s">
        <v>235</v>
      </c>
      <c r="I1025" s="253">
        <v>4</v>
      </c>
      <c r="J1025" s="60">
        <f>J1024</f>
        <v>1135000</v>
      </c>
      <c r="K1025" s="230">
        <f t="shared" ref="K1025:K1034" si="131">I1025*J1025</f>
        <v>4540000</v>
      </c>
    </row>
    <row r="1026" spans="1:11" ht="13.2" customHeight="1" x14ac:dyDescent="0.25">
      <c r="A1026" s="223"/>
      <c r="B1026" s="224" t="s">
        <v>57</v>
      </c>
      <c r="C1026" s="225" t="s">
        <v>1150</v>
      </c>
      <c r="D1026" s="226"/>
      <c r="E1026" s="44"/>
      <c r="F1026" s="227"/>
      <c r="G1026" s="227"/>
      <c r="H1026" s="228" t="s">
        <v>235</v>
      </c>
      <c r="I1026" s="253">
        <v>10</v>
      </c>
      <c r="J1026" s="60">
        <f>'Harga Satuan Dasar mat'!G360</f>
        <v>41000</v>
      </c>
      <c r="K1026" s="230">
        <f t="shared" si="131"/>
        <v>410000</v>
      </c>
    </row>
    <row r="1027" spans="1:11" ht="13.2" customHeight="1" x14ac:dyDescent="0.25">
      <c r="A1027" s="223"/>
      <c r="B1027" s="224" t="s">
        <v>83</v>
      </c>
      <c r="C1027" s="225" t="s">
        <v>1151</v>
      </c>
      <c r="D1027" s="226"/>
      <c r="E1027" s="44"/>
      <c r="F1027" s="227"/>
      <c r="G1027" s="227"/>
      <c r="H1027" s="228" t="s">
        <v>203</v>
      </c>
      <c r="I1027" s="285">
        <v>5</v>
      </c>
      <c r="J1027" s="60">
        <f>'Harga Satuan Dasar mat'!G357</f>
        <v>141750</v>
      </c>
      <c r="K1027" s="230">
        <f t="shared" si="131"/>
        <v>708750</v>
      </c>
    </row>
    <row r="1028" spans="1:11" ht="13.2" customHeight="1" x14ac:dyDescent="0.25">
      <c r="A1028" s="223"/>
      <c r="B1028" s="224" t="s">
        <v>110</v>
      </c>
      <c r="C1028" s="225" t="s">
        <v>890</v>
      </c>
      <c r="D1028" s="226"/>
      <c r="E1028" s="44"/>
      <c r="F1028" s="227"/>
      <c r="G1028" s="227"/>
      <c r="H1028" s="228" t="s">
        <v>235</v>
      </c>
      <c r="I1028" s="253">
        <v>6</v>
      </c>
      <c r="J1028" s="60">
        <f>J1012</f>
        <v>320000</v>
      </c>
      <c r="K1028" s="230">
        <f t="shared" si="131"/>
        <v>1920000</v>
      </c>
    </row>
    <row r="1029" spans="1:11" ht="13.2" customHeight="1" x14ac:dyDescent="0.25">
      <c r="A1029" s="223"/>
      <c r="B1029" s="224" t="s">
        <v>137</v>
      </c>
      <c r="C1029" s="225" t="s">
        <v>1135</v>
      </c>
      <c r="D1029" s="226"/>
      <c r="E1029" s="44"/>
      <c r="F1029" s="287" t="s">
        <v>961</v>
      </c>
      <c r="G1029" s="227"/>
      <c r="H1029" s="228" t="s">
        <v>235</v>
      </c>
      <c r="I1029" s="288">
        <v>2</v>
      </c>
      <c r="J1029" s="60">
        <f>'Harga Satuan Dasar mat'!G35</f>
        <v>157500</v>
      </c>
      <c r="K1029" s="230">
        <f t="shared" si="131"/>
        <v>315000</v>
      </c>
    </row>
    <row r="1030" spans="1:11" ht="13.2" customHeight="1" x14ac:dyDescent="0.25">
      <c r="A1030" s="223"/>
      <c r="B1030" s="224" t="s">
        <v>156</v>
      </c>
      <c r="C1030" s="225" t="s">
        <v>1137</v>
      </c>
      <c r="D1030" s="226"/>
      <c r="E1030" s="44"/>
      <c r="F1030" s="287" t="s">
        <v>962</v>
      </c>
      <c r="G1030" s="227"/>
      <c r="H1030" s="228" t="s">
        <v>235</v>
      </c>
      <c r="I1030" s="289">
        <v>2</v>
      </c>
      <c r="J1030" s="60">
        <f>'Harga Satuan Dasar mat'!G33</f>
        <v>147500</v>
      </c>
      <c r="K1030" s="230">
        <f t="shared" si="131"/>
        <v>295000</v>
      </c>
    </row>
    <row r="1031" spans="1:11" ht="13.2" customHeight="1" x14ac:dyDescent="0.25">
      <c r="A1031" s="223"/>
      <c r="B1031" s="224" t="s">
        <v>175</v>
      </c>
      <c r="C1031" s="225" t="s">
        <v>1136</v>
      </c>
      <c r="D1031" s="226"/>
      <c r="E1031" s="44"/>
      <c r="F1031" s="287" t="s">
        <v>960</v>
      </c>
      <c r="G1031" s="227"/>
      <c r="H1031" s="228" t="s">
        <v>235</v>
      </c>
      <c r="I1031" s="289">
        <v>2</v>
      </c>
      <c r="J1031" s="60">
        <f>'Harga Satuan Dasar mat'!G32</f>
        <v>143500</v>
      </c>
      <c r="K1031" s="230">
        <f t="shared" si="131"/>
        <v>287000</v>
      </c>
    </row>
    <row r="1032" spans="1:11" ht="13.2" customHeight="1" x14ac:dyDescent="0.25">
      <c r="A1032" s="223"/>
      <c r="B1032" s="224" t="s">
        <v>177</v>
      </c>
      <c r="C1032" s="225" t="s">
        <v>1153</v>
      </c>
      <c r="D1032" s="226"/>
      <c r="E1032" s="44"/>
      <c r="F1032" s="287" t="s">
        <v>963</v>
      </c>
      <c r="G1032" s="227"/>
      <c r="H1032" s="228" t="s">
        <v>235</v>
      </c>
      <c r="I1032" s="285">
        <v>15</v>
      </c>
      <c r="J1032" s="60">
        <f>J920</f>
        <v>60250</v>
      </c>
      <c r="K1032" s="230">
        <f t="shared" si="131"/>
        <v>903750</v>
      </c>
    </row>
    <row r="1033" spans="1:11" ht="13.2" customHeight="1" x14ac:dyDescent="0.25">
      <c r="A1033" s="223"/>
      <c r="B1033" s="224" t="s">
        <v>197</v>
      </c>
      <c r="C1033" s="225" t="s">
        <v>787</v>
      </c>
      <c r="D1033" s="226"/>
      <c r="E1033" s="44"/>
      <c r="F1033" s="227"/>
      <c r="G1033" s="227"/>
      <c r="H1033" s="228" t="s">
        <v>203</v>
      </c>
      <c r="I1033" s="253">
        <v>12</v>
      </c>
      <c r="J1033" s="60">
        <f>J1017</f>
        <v>27000</v>
      </c>
      <c r="K1033" s="230">
        <f t="shared" si="131"/>
        <v>324000</v>
      </c>
    </row>
    <row r="1034" spans="1:11" ht="13.2" customHeight="1" x14ac:dyDescent="0.25">
      <c r="A1034" s="223"/>
      <c r="B1034" s="224" t="s">
        <v>198</v>
      </c>
      <c r="C1034" s="225" t="s">
        <v>979</v>
      </c>
      <c r="D1034" s="226"/>
      <c r="E1034" s="44"/>
      <c r="F1034" s="227"/>
      <c r="G1034" s="227"/>
      <c r="H1034" s="228" t="s">
        <v>203</v>
      </c>
      <c r="I1034" s="253">
        <v>30</v>
      </c>
      <c r="J1034" s="60">
        <f>J1018</f>
        <v>14000</v>
      </c>
      <c r="K1034" s="230">
        <f t="shared" si="131"/>
        <v>420000</v>
      </c>
    </row>
    <row r="1035" spans="1:11" ht="12.9" customHeight="1" x14ac:dyDescent="0.25">
      <c r="A1035" s="58"/>
      <c r="B1035" s="231"/>
      <c r="C1035" s="232"/>
      <c r="D1035" s="232"/>
      <c r="E1035" s="232"/>
      <c r="F1035" s="232"/>
      <c r="G1035" s="233"/>
      <c r="H1035" s="234" t="s">
        <v>715</v>
      </c>
      <c r="I1035" s="235"/>
      <c r="J1035" s="235"/>
      <c r="K1035" s="236">
        <f>SUM(K1024:K1034)</f>
        <v>11258500</v>
      </c>
    </row>
    <row r="1036" spans="1:11" ht="12.9" customHeight="1" x14ac:dyDescent="0.25">
      <c r="A1036" s="58"/>
      <c r="B1036" s="59"/>
      <c r="C1036" s="56"/>
      <c r="D1036" s="56"/>
      <c r="E1036" s="56"/>
      <c r="F1036" s="56"/>
      <c r="G1036" s="237"/>
      <c r="H1036" s="238" t="s">
        <v>603</v>
      </c>
      <c r="I1036" s="239">
        <f>$K$3</f>
        <v>0.15</v>
      </c>
      <c r="J1036" s="240"/>
      <c r="K1036" s="241">
        <f>I1036*K1035</f>
        <v>1688775</v>
      </c>
    </row>
    <row r="1037" spans="1:11" ht="12.9" customHeight="1" x14ac:dyDescent="0.25">
      <c r="A1037" s="58"/>
      <c r="B1037" s="59"/>
      <c r="C1037" s="56"/>
      <c r="D1037" s="56"/>
      <c r="E1037" s="56"/>
      <c r="F1037" s="56"/>
      <c r="G1037" s="237"/>
      <c r="H1037" s="238" t="s">
        <v>604</v>
      </c>
      <c r="I1037" s="226"/>
      <c r="J1037" s="226"/>
      <c r="K1037" s="241">
        <f>SUM(K1035:K1036)</f>
        <v>12947275</v>
      </c>
    </row>
    <row r="1038" spans="1:11" ht="12.9" customHeight="1" thickBot="1" x14ac:dyDescent="0.3">
      <c r="A1038" s="242"/>
      <c r="B1038" s="243"/>
      <c r="C1038" s="244"/>
      <c r="D1038" s="244"/>
      <c r="E1038" s="244"/>
      <c r="F1038" s="244"/>
      <c r="G1038" s="245"/>
      <c r="H1038" s="246" t="s">
        <v>605</v>
      </c>
      <c r="I1038" s="247"/>
      <c r="J1038" s="247"/>
      <c r="K1038" s="248">
        <f>ROUND(K1037,-1)</f>
        <v>12947280</v>
      </c>
    </row>
    <row r="1039" spans="1:11" ht="14.1" customHeight="1" x14ac:dyDescent="0.25">
      <c r="A1039" s="215">
        <v>78</v>
      </c>
      <c r="B1039" s="651" t="s">
        <v>713</v>
      </c>
      <c r="C1039" s="652"/>
      <c r="D1039" s="216" t="s">
        <v>1166</v>
      </c>
      <c r="E1039" s="217"/>
      <c r="F1039" s="218"/>
      <c r="G1039" s="218"/>
      <c r="H1039" s="219"/>
      <c r="I1039" s="220"/>
      <c r="J1039" s="221"/>
      <c r="K1039" s="222"/>
    </row>
    <row r="1040" spans="1:11" ht="13.2" customHeight="1" x14ac:dyDescent="0.25">
      <c r="A1040" s="223"/>
      <c r="B1040" s="224" t="s">
        <v>4</v>
      </c>
      <c r="C1040" s="225" t="s">
        <v>1148</v>
      </c>
      <c r="D1040" s="226"/>
      <c r="E1040" s="44"/>
      <c r="F1040" s="227"/>
      <c r="G1040" s="227"/>
      <c r="H1040" s="228" t="s">
        <v>235</v>
      </c>
      <c r="I1040" s="263">
        <v>1</v>
      </c>
      <c r="J1040" s="60">
        <f>J1024</f>
        <v>1135000</v>
      </c>
      <c r="K1040" s="230">
        <f>I1040*J1040</f>
        <v>1135000</v>
      </c>
    </row>
    <row r="1041" spans="1:11" ht="13.2" customHeight="1" x14ac:dyDescent="0.25">
      <c r="A1041" s="223"/>
      <c r="B1041" s="224" t="s">
        <v>30</v>
      </c>
      <c r="C1041" s="225" t="s">
        <v>1149</v>
      </c>
      <c r="D1041" s="226"/>
      <c r="E1041" s="44"/>
      <c r="F1041" s="227"/>
      <c r="G1041" s="227"/>
      <c r="H1041" s="228" t="s">
        <v>235</v>
      </c>
      <c r="I1041" s="253">
        <v>4</v>
      </c>
      <c r="J1041" s="60">
        <f>J1025</f>
        <v>1135000</v>
      </c>
      <c r="K1041" s="230">
        <f t="shared" ref="K1041:K1050" si="132">I1041*J1041</f>
        <v>4540000</v>
      </c>
    </row>
    <row r="1042" spans="1:11" ht="13.2" customHeight="1" x14ac:dyDescent="0.25">
      <c r="A1042" s="223"/>
      <c r="B1042" s="224" t="s">
        <v>57</v>
      </c>
      <c r="C1042" s="225" t="s">
        <v>1150</v>
      </c>
      <c r="D1042" s="226"/>
      <c r="E1042" s="44"/>
      <c r="F1042" s="227"/>
      <c r="G1042" s="227"/>
      <c r="H1042" s="228" t="s">
        <v>235</v>
      </c>
      <c r="I1042" s="253">
        <v>10</v>
      </c>
      <c r="J1042" s="60">
        <f t="shared" ref="J1042:J1050" si="133">J1026</f>
        <v>41000</v>
      </c>
      <c r="K1042" s="230">
        <f t="shared" si="132"/>
        <v>410000</v>
      </c>
    </row>
    <row r="1043" spans="1:11" ht="13.2" customHeight="1" x14ac:dyDescent="0.25">
      <c r="A1043" s="223"/>
      <c r="B1043" s="224" t="s">
        <v>83</v>
      </c>
      <c r="C1043" s="225" t="s">
        <v>1151</v>
      </c>
      <c r="D1043" s="226"/>
      <c r="E1043" s="44"/>
      <c r="F1043" s="227"/>
      <c r="G1043" s="227"/>
      <c r="H1043" s="228" t="s">
        <v>203</v>
      </c>
      <c r="I1043" s="285">
        <v>5</v>
      </c>
      <c r="J1043" s="60">
        <f t="shared" si="133"/>
        <v>141750</v>
      </c>
      <c r="K1043" s="230">
        <f t="shared" si="132"/>
        <v>708750</v>
      </c>
    </row>
    <row r="1044" spans="1:11" ht="13.2" customHeight="1" x14ac:dyDescent="0.25">
      <c r="A1044" s="223"/>
      <c r="B1044" s="224" t="s">
        <v>110</v>
      </c>
      <c r="C1044" s="225" t="s">
        <v>890</v>
      </c>
      <c r="D1044" s="226"/>
      <c r="E1044" s="44"/>
      <c r="F1044" s="227"/>
      <c r="G1044" s="227"/>
      <c r="H1044" s="228" t="s">
        <v>235</v>
      </c>
      <c r="I1044" s="253">
        <v>6</v>
      </c>
      <c r="J1044" s="60">
        <f t="shared" si="133"/>
        <v>320000</v>
      </c>
      <c r="K1044" s="230">
        <f t="shared" si="132"/>
        <v>1920000</v>
      </c>
    </row>
    <row r="1045" spans="1:11" ht="13.2" customHeight="1" x14ac:dyDescent="0.25">
      <c r="A1045" s="223"/>
      <c r="B1045" s="224" t="s">
        <v>137</v>
      </c>
      <c r="C1045" s="225" t="s">
        <v>1140</v>
      </c>
      <c r="D1045" s="226"/>
      <c r="E1045" s="44"/>
      <c r="G1045" s="227"/>
      <c r="H1045" s="228" t="s">
        <v>235</v>
      </c>
      <c r="I1045" s="288">
        <v>2</v>
      </c>
      <c r="J1045" s="60">
        <f>'Harga Satuan Dasar mat'!G34</f>
        <v>152000</v>
      </c>
      <c r="K1045" s="230">
        <f t="shared" si="132"/>
        <v>304000</v>
      </c>
    </row>
    <row r="1046" spans="1:11" ht="13.2" customHeight="1" x14ac:dyDescent="0.25">
      <c r="A1046" s="223"/>
      <c r="B1046" s="224" t="s">
        <v>156</v>
      </c>
      <c r="C1046" s="225" t="s">
        <v>1142</v>
      </c>
      <c r="D1046" s="226"/>
      <c r="E1046" s="44"/>
      <c r="G1046" s="227"/>
      <c r="H1046" s="228" t="s">
        <v>235</v>
      </c>
      <c r="I1046" s="289">
        <v>2</v>
      </c>
      <c r="J1046" s="60">
        <f>'Harga Satuan Dasar mat'!G31</f>
        <v>139500</v>
      </c>
      <c r="K1046" s="230">
        <f t="shared" si="132"/>
        <v>279000</v>
      </c>
    </row>
    <row r="1047" spans="1:11" ht="13.2" customHeight="1" x14ac:dyDescent="0.25">
      <c r="A1047" s="223"/>
      <c r="B1047" s="224" t="s">
        <v>175</v>
      </c>
      <c r="C1047" s="225" t="s">
        <v>1141</v>
      </c>
      <c r="D1047" s="226"/>
      <c r="E1047" s="44"/>
      <c r="G1047" s="227"/>
      <c r="H1047" s="228" t="s">
        <v>235</v>
      </c>
      <c r="I1047" s="289">
        <v>2</v>
      </c>
      <c r="J1047" s="60">
        <f>'Harga Satuan Dasar mat'!G29</f>
        <v>127000</v>
      </c>
      <c r="K1047" s="230">
        <f t="shared" si="132"/>
        <v>254000</v>
      </c>
    </row>
    <row r="1048" spans="1:11" ht="13.2" customHeight="1" x14ac:dyDescent="0.25">
      <c r="A1048" s="223"/>
      <c r="B1048" s="224" t="s">
        <v>177</v>
      </c>
      <c r="C1048" s="225" t="s">
        <v>1153</v>
      </c>
      <c r="D1048" s="226"/>
      <c r="E1048" s="44"/>
      <c r="G1048" s="227"/>
      <c r="H1048" s="228" t="s">
        <v>235</v>
      </c>
      <c r="I1048" s="285">
        <v>15</v>
      </c>
      <c r="J1048" s="60">
        <f t="shared" si="133"/>
        <v>60250</v>
      </c>
      <c r="K1048" s="230">
        <f t="shared" si="132"/>
        <v>903750</v>
      </c>
    </row>
    <row r="1049" spans="1:11" ht="13.2" customHeight="1" x14ac:dyDescent="0.25">
      <c r="A1049" s="223"/>
      <c r="B1049" s="224" t="s">
        <v>197</v>
      </c>
      <c r="C1049" s="225" t="s">
        <v>787</v>
      </c>
      <c r="D1049" s="226"/>
      <c r="E1049" s="44"/>
      <c r="F1049" s="227"/>
      <c r="G1049" s="227"/>
      <c r="H1049" s="228" t="s">
        <v>203</v>
      </c>
      <c r="I1049" s="253">
        <v>12</v>
      </c>
      <c r="J1049" s="60">
        <f t="shared" si="133"/>
        <v>27000</v>
      </c>
      <c r="K1049" s="230">
        <f t="shared" si="132"/>
        <v>324000</v>
      </c>
    </row>
    <row r="1050" spans="1:11" ht="13.2" customHeight="1" x14ac:dyDescent="0.25">
      <c r="A1050" s="223"/>
      <c r="B1050" s="224" t="s">
        <v>198</v>
      </c>
      <c r="C1050" s="225" t="s">
        <v>979</v>
      </c>
      <c r="D1050" s="226"/>
      <c r="E1050" s="44"/>
      <c r="F1050" s="227"/>
      <c r="G1050" s="227"/>
      <c r="H1050" s="228" t="s">
        <v>203</v>
      </c>
      <c r="I1050" s="253">
        <v>30</v>
      </c>
      <c r="J1050" s="60">
        <f t="shared" si="133"/>
        <v>14000</v>
      </c>
      <c r="K1050" s="230">
        <f t="shared" si="132"/>
        <v>420000</v>
      </c>
    </row>
    <row r="1051" spans="1:11" ht="12.9" customHeight="1" x14ac:dyDescent="0.25">
      <c r="A1051" s="58"/>
      <c r="B1051" s="231"/>
      <c r="C1051" s="232"/>
      <c r="D1051" s="232"/>
      <c r="E1051" s="232"/>
      <c r="F1051" s="232"/>
      <c r="G1051" s="233"/>
      <c r="H1051" s="234" t="s">
        <v>715</v>
      </c>
      <c r="I1051" s="235"/>
      <c r="J1051" s="235"/>
      <c r="K1051" s="236">
        <f>SUM(K1040:K1050)</f>
        <v>11198500</v>
      </c>
    </row>
    <row r="1052" spans="1:11" ht="12.9" customHeight="1" x14ac:dyDescent="0.25">
      <c r="A1052" s="58"/>
      <c r="B1052" s="59"/>
      <c r="C1052" s="56"/>
      <c r="D1052" s="56"/>
      <c r="E1052" s="56"/>
      <c r="F1052" s="56"/>
      <c r="G1052" s="237"/>
      <c r="H1052" s="238" t="s">
        <v>603</v>
      </c>
      <c r="I1052" s="239">
        <f>$K$3</f>
        <v>0.15</v>
      </c>
      <c r="J1052" s="240"/>
      <c r="K1052" s="241">
        <f>I1052*K1051</f>
        <v>1679775</v>
      </c>
    </row>
    <row r="1053" spans="1:11" ht="12.9" customHeight="1" x14ac:dyDescent="0.25">
      <c r="A1053" s="58"/>
      <c r="B1053" s="59"/>
      <c r="C1053" s="56"/>
      <c r="D1053" s="56"/>
      <c r="E1053" s="56"/>
      <c r="F1053" s="56"/>
      <c r="G1053" s="237"/>
      <c r="H1053" s="238" t="s">
        <v>604</v>
      </c>
      <c r="I1053" s="226"/>
      <c r="J1053" s="226"/>
      <c r="K1053" s="241">
        <f>SUM(K1051:K1052)</f>
        <v>12878275</v>
      </c>
    </row>
    <row r="1054" spans="1:11" ht="12.9" customHeight="1" thickBot="1" x14ac:dyDescent="0.3">
      <c r="A1054" s="242"/>
      <c r="B1054" s="243"/>
      <c r="C1054" s="244"/>
      <c r="D1054" s="244"/>
      <c r="E1054" s="244"/>
      <c r="F1054" s="244"/>
      <c r="G1054" s="245"/>
      <c r="H1054" s="246" t="s">
        <v>605</v>
      </c>
      <c r="I1054" s="247"/>
      <c r="J1054" s="247"/>
      <c r="K1054" s="248">
        <f>ROUND(K1053,-1)</f>
        <v>12878280</v>
      </c>
    </row>
    <row r="1055" spans="1:11" ht="14.1" customHeight="1" x14ac:dyDescent="0.25">
      <c r="A1055" s="215">
        <v>79</v>
      </c>
      <c r="B1055" s="651" t="s">
        <v>713</v>
      </c>
      <c r="C1055" s="652"/>
      <c r="D1055" s="216" t="s">
        <v>2227</v>
      </c>
      <c r="E1055" s="217"/>
      <c r="F1055" s="218"/>
      <c r="G1055" s="218"/>
      <c r="H1055" s="219"/>
      <c r="I1055" s="220"/>
      <c r="J1055" s="221"/>
      <c r="K1055" s="222"/>
    </row>
    <row r="1056" spans="1:11" ht="13.2" customHeight="1" x14ac:dyDescent="0.25">
      <c r="A1056" s="223"/>
      <c r="B1056" s="224" t="s">
        <v>4</v>
      </c>
      <c r="C1056" s="225" t="s">
        <v>1148</v>
      </c>
      <c r="D1056" s="226"/>
      <c r="E1056" s="44"/>
      <c r="F1056" s="227"/>
      <c r="G1056" s="227"/>
      <c r="H1056" s="228" t="s">
        <v>235</v>
      </c>
      <c r="I1056" s="263">
        <v>1</v>
      </c>
      <c r="J1056" s="60">
        <f t="shared" ref="J1056:J1061" si="134">J1040</f>
        <v>1135000</v>
      </c>
      <c r="K1056" s="230">
        <f>I1056*J1056</f>
        <v>1135000</v>
      </c>
    </row>
    <row r="1057" spans="1:11" ht="13.2" customHeight="1" x14ac:dyDescent="0.25">
      <c r="A1057" s="223"/>
      <c r="B1057" s="224" t="s">
        <v>30</v>
      </c>
      <c r="C1057" s="225" t="s">
        <v>1149</v>
      </c>
      <c r="D1057" s="226"/>
      <c r="E1057" s="44"/>
      <c r="F1057" s="227"/>
      <c r="G1057" s="227"/>
      <c r="H1057" s="228" t="s">
        <v>235</v>
      </c>
      <c r="I1057" s="253">
        <v>4</v>
      </c>
      <c r="J1057" s="60">
        <f t="shared" si="134"/>
        <v>1135000</v>
      </c>
      <c r="K1057" s="230">
        <f t="shared" ref="K1057:K1066" si="135">I1057*J1057</f>
        <v>4540000</v>
      </c>
    </row>
    <row r="1058" spans="1:11" ht="13.2" customHeight="1" x14ac:dyDescent="0.25">
      <c r="A1058" s="223"/>
      <c r="B1058" s="224" t="s">
        <v>57</v>
      </c>
      <c r="C1058" s="225" t="s">
        <v>1150</v>
      </c>
      <c r="D1058" s="226"/>
      <c r="E1058" s="44"/>
      <c r="F1058" s="227"/>
      <c r="G1058" s="227"/>
      <c r="H1058" s="228" t="s">
        <v>235</v>
      </c>
      <c r="I1058" s="253">
        <v>10</v>
      </c>
      <c r="J1058" s="60">
        <f t="shared" si="134"/>
        <v>41000</v>
      </c>
      <c r="K1058" s="230">
        <f t="shared" si="135"/>
        <v>410000</v>
      </c>
    </row>
    <row r="1059" spans="1:11" ht="13.2" customHeight="1" x14ac:dyDescent="0.25">
      <c r="A1059" s="223"/>
      <c r="B1059" s="224" t="s">
        <v>83</v>
      </c>
      <c r="C1059" s="225" t="s">
        <v>1151</v>
      </c>
      <c r="D1059" s="226"/>
      <c r="E1059" s="44"/>
      <c r="F1059" s="227"/>
      <c r="G1059" s="227"/>
      <c r="H1059" s="228" t="s">
        <v>203</v>
      </c>
      <c r="I1059" s="285">
        <v>5</v>
      </c>
      <c r="J1059" s="60">
        <f t="shared" si="134"/>
        <v>141750</v>
      </c>
      <c r="K1059" s="230">
        <f t="shared" si="135"/>
        <v>708750</v>
      </c>
    </row>
    <row r="1060" spans="1:11" ht="13.2" customHeight="1" x14ac:dyDescent="0.25">
      <c r="A1060" s="223"/>
      <c r="B1060" s="224" t="s">
        <v>110</v>
      </c>
      <c r="C1060" s="225" t="s">
        <v>890</v>
      </c>
      <c r="D1060" s="226"/>
      <c r="E1060" s="44"/>
      <c r="F1060" s="227"/>
      <c r="G1060" s="227"/>
      <c r="H1060" s="228" t="s">
        <v>235</v>
      </c>
      <c r="I1060" s="253">
        <v>6</v>
      </c>
      <c r="J1060" s="60">
        <f t="shared" si="134"/>
        <v>320000</v>
      </c>
      <c r="K1060" s="230">
        <f t="shared" si="135"/>
        <v>1920000</v>
      </c>
    </row>
    <row r="1061" spans="1:11" ht="13.2" customHeight="1" x14ac:dyDescent="0.25">
      <c r="A1061" s="223"/>
      <c r="B1061" s="224" t="s">
        <v>137</v>
      </c>
      <c r="C1061" s="225" t="s">
        <v>1140</v>
      </c>
      <c r="D1061" s="226"/>
      <c r="E1061" s="44"/>
      <c r="F1061" s="287"/>
      <c r="G1061" s="227"/>
      <c r="H1061" s="228" t="s">
        <v>235</v>
      </c>
      <c r="I1061" s="253">
        <v>2</v>
      </c>
      <c r="J1061" s="60">
        <f t="shared" si="134"/>
        <v>152000</v>
      </c>
      <c r="K1061" s="230">
        <f t="shared" si="135"/>
        <v>304000</v>
      </c>
    </row>
    <row r="1062" spans="1:11" ht="13.2" customHeight="1" x14ac:dyDescent="0.25">
      <c r="A1062" s="223"/>
      <c r="B1062" s="224" t="s">
        <v>156</v>
      </c>
      <c r="C1062" s="225" t="s">
        <v>958</v>
      </c>
      <c r="D1062" s="226"/>
      <c r="E1062" s="44"/>
      <c r="F1062" s="287"/>
      <c r="G1062" s="227"/>
      <c r="H1062" s="228" t="s">
        <v>235</v>
      </c>
      <c r="I1062" s="253">
        <v>2</v>
      </c>
      <c r="J1062" s="60">
        <f>'Harga Satuan Dasar mat'!G30</f>
        <v>132500</v>
      </c>
      <c r="K1062" s="230">
        <f t="shared" si="135"/>
        <v>265000</v>
      </c>
    </row>
    <row r="1063" spans="1:11" ht="13.2" customHeight="1" x14ac:dyDescent="0.25">
      <c r="A1063" s="223"/>
      <c r="B1063" s="224" t="s">
        <v>175</v>
      </c>
      <c r="C1063" s="225" t="s">
        <v>958</v>
      </c>
      <c r="D1063" s="226"/>
      <c r="E1063" s="44"/>
      <c r="F1063" s="287"/>
      <c r="G1063" s="227"/>
      <c r="H1063" s="228" t="s">
        <v>235</v>
      </c>
      <c r="I1063" s="285">
        <v>2</v>
      </c>
      <c r="J1063" s="60">
        <f>J1062</f>
        <v>132500</v>
      </c>
      <c r="K1063" s="230">
        <f t="shared" si="135"/>
        <v>265000</v>
      </c>
    </row>
    <row r="1064" spans="1:11" ht="13.2" customHeight="1" x14ac:dyDescent="0.25">
      <c r="A1064" s="223"/>
      <c r="B1064" s="224" t="s">
        <v>177</v>
      </c>
      <c r="C1064" s="225" t="s">
        <v>1153</v>
      </c>
      <c r="D1064" s="226"/>
      <c r="E1064" s="44"/>
      <c r="F1064" s="287"/>
      <c r="G1064" s="227"/>
      <c r="H1064" s="228" t="s">
        <v>235</v>
      </c>
      <c r="I1064" s="285">
        <v>15</v>
      </c>
      <c r="J1064" s="60">
        <f>J1048</f>
        <v>60250</v>
      </c>
      <c r="K1064" s="230">
        <f t="shared" si="135"/>
        <v>903750</v>
      </c>
    </row>
    <row r="1065" spans="1:11" ht="13.2" customHeight="1" x14ac:dyDescent="0.25">
      <c r="A1065" s="223"/>
      <c r="B1065" s="224" t="s">
        <v>197</v>
      </c>
      <c r="C1065" s="225" t="s">
        <v>787</v>
      </c>
      <c r="D1065" s="226"/>
      <c r="E1065" s="44"/>
      <c r="F1065" s="227"/>
      <c r="G1065" s="227"/>
      <c r="H1065" s="228" t="s">
        <v>203</v>
      </c>
      <c r="I1065" s="253">
        <v>12</v>
      </c>
      <c r="J1065" s="60">
        <f>J1049</f>
        <v>27000</v>
      </c>
      <c r="K1065" s="230">
        <f t="shared" si="135"/>
        <v>324000</v>
      </c>
    </row>
    <row r="1066" spans="1:11" ht="13.2" customHeight="1" x14ac:dyDescent="0.25">
      <c r="A1066" s="223"/>
      <c r="B1066" s="224" t="s">
        <v>198</v>
      </c>
      <c r="C1066" s="225" t="s">
        <v>979</v>
      </c>
      <c r="D1066" s="226"/>
      <c r="E1066" s="44"/>
      <c r="F1066" s="227"/>
      <c r="G1066" s="227"/>
      <c r="H1066" s="228" t="s">
        <v>203</v>
      </c>
      <c r="I1066" s="253">
        <v>30</v>
      </c>
      <c r="J1066" s="60">
        <f>J1050</f>
        <v>14000</v>
      </c>
      <c r="K1066" s="230">
        <f t="shared" si="135"/>
        <v>420000</v>
      </c>
    </row>
    <row r="1067" spans="1:11" ht="12.9" customHeight="1" x14ac:dyDescent="0.25">
      <c r="A1067" s="58"/>
      <c r="B1067" s="231"/>
      <c r="C1067" s="232"/>
      <c r="D1067" s="232"/>
      <c r="E1067" s="232"/>
      <c r="F1067" s="232"/>
      <c r="G1067" s="233"/>
      <c r="H1067" s="234" t="s">
        <v>715</v>
      </c>
      <c r="I1067" s="235"/>
      <c r="J1067" s="235"/>
      <c r="K1067" s="236">
        <f>SUM(K1056:K1066)</f>
        <v>11195500</v>
      </c>
    </row>
    <row r="1068" spans="1:11" ht="12.9" customHeight="1" x14ac:dyDescent="0.25">
      <c r="A1068" s="58"/>
      <c r="B1068" s="59"/>
      <c r="C1068" s="56"/>
      <c r="D1068" s="56"/>
      <c r="E1068" s="56"/>
      <c r="F1068" s="56"/>
      <c r="G1068" s="237"/>
      <c r="H1068" s="238" t="s">
        <v>603</v>
      </c>
      <c r="I1068" s="239">
        <f>$K$3</f>
        <v>0.15</v>
      </c>
      <c r="J1068" s="240"/>
      <c r="K1068" s="241">
        <f>I1068*K1067</f>
        <v>1679325</v>
      </c>
    </row>
    <row r="1069" spans="1:11" ht="12.9" customHeight="1" x14ac:dyDescent="0.25">
      <c r="A1069" s="58"/>
      <c r="B1069" s="59"/>
      <c r="C1069" s="56"/>
      <c r="D1069" s="56"/>
      <c r="E1069" s="56"/>
      <c r="F1069" s="56"/>
      <c r="G1069" s="237"/>
      <c r="H1069" s="238" t="s">
        <v>604</v>
      </c>
      <c r="I1069" s="226"/>
      <c r="J1069" s="226"/>
      <c r="K1069" s="241">
        <f>SUM(K1067:K1068)</f>
        <v>12874825</v>
      </c>
    </row>
    <row r="1070" spans="1:11" ht="12.9" customHeight="1" thickBot="1" x14ac:dyDescent="0.3">
      <c r="A1070" s="242"/>
      <c r="B1070" s="243"/>
      <c r="C1070" s="244"/>
      <c r="D1070" s="244"/>
      <c r="E1070" s="244"/>
      <c r="F1070" s="244"/>
      <c r="G1070" s="245"/>
      <c r="H1070" s="246" t="s">
        <v>605</v>
      </c>
      <c r="I1070" s="247"/>
      <c r="J1070" s="247"/>
      <c r="K1070" s="248">
        <f>ROUND(K1069,-1)</f>
        <v>12874830</v>
      </c>
    </row>
    <row r="1071" spans="1:11" ht="14.1" customHeight="1" x14ac:dyDescent="0.25">
      <c r="A1071" s="215">
        <v>80</v>
      </c>
      <c r="B1071" s="651" t="s">
        <v>713</v>
      </c>
      <c r="C1071" s="652"/>
      <c r="D1071" s="216" t="s">
        <v>2228</v>
      </c>
      <c r="E1071" s="217"/>
      <c r="F1071" s="218"/>
      <c r="G1071" s="218"/>
      <c r="H1071" s="219"/>
      <c r="I1071" s="220"/>
      <c r="J1071" s="221"/>
      <c r="K1071" s="222"/>
    </row>
    <row r="1072" spans="1:11" ht="13.2" customHeight="1" x14ac:dyDescent="0.25">
      <c r="A1072" s="223"/>
      <c r="B1072" s="224" t="s">
        <v>4</v>
      </c>
      <c r="C1072" s="225" t="s">
        <v>1148</v>
      </c>
      <c r="D1072" s="226"/>
      <c r="E1072" s="44"/>
      <c r="F1072" s="227"/>
      <c r="G1072" s="227"/>
      <c r="H1072" s="228" t="s">
        <v>235</v>
      </c>
      <c r="I1072" s="263">
        <v>1</v>
      </c>
      <c r="J1072" s="60">
        <f>J1056</f>
        <v>1135000</v>
      </c>
      <c r="K1072" s="230">
        <f>I1072*J1072</f>
        <v>1135000</v>
      </c>
    </row>
    <row r="1073" spans="1:11" ht="13.2" customHeight="1" x14ac:dyDescent="0.25">
      <c r="A1073" s="223"/>
      <c r="B1073" s="224" t="s">
        <v>30</v>
      </c>
      <c r="C1073" s="225" t="s">
        <v>1149</v>
      </c>
      <c r="D1073" s="226"/>
      <c r="E1073" s="44"/>
      <c r="F1073" s="227"/>
      <c r="G1073" s="227"/>
      <c r="H1073" s="228" t="s">
        <v>235</v>
      </c>
      <c r="I1073" s="253">
        <v>4</v>
      </c>
      <c r="J1073" s="60">
        <f>J1057</f>
        <v>1135000</v>
      </c>
      <c r="K1073" s="230">
        <f t="shared" ref="K1073:K1082" si="136">I1073*J1073</f>
        <v>4540000</v>
      </c>
    </row>
    <row r="1074" spans="1:11" ht="13.2" customHeight="1" x14ac:dyDescent="0.25">
      <c r="A1074" s="223"/>
      <c r="B1074" s="224" t="s">
        <v>57</v>
      </c>
      <c r="C1074" s="225" t="s">
        <v>1150</v>
      </c>
      <c r="D1074" s="226"/>
      <c r="E1074" s="44"/>
      <c r="F1074" s="227"/>
      <c r="G1074" s="227"/>
      <c r="H1074" s="228" t="s">
        <v>235</v>
      </c>
      <c r="I1074" s="253">
        <v>10</v>
      </c>
      <c r="J1074" s="60">
        <f t="shared" ref="J1074:J1082" si="137">J1058</f>
        <v>41000</v>
      </c>
      <c r="K1074" s="230">
        <f t="shared" si="136"/>
        <v>410000</v>
      </c>
    </row>
    <row r="1075" spans="1:11" ht="13.2" customHeight="1" x14ac:dyDescent="0.25">
      <c r="A1075" s="223"/>
      <c r="B1075" s="224" t="s">
        <v>83</v>
      </c>
      <c r="C1075" s="225" t="s">
        <v>1151</v>
      </c>
      <c r="D1075" s="226"/>
      <c r="E1075" s="44"/>
      <c r="F1075" s="227"/>
      <c r="G1075" s="227"/>
      <c r="H1075" s="228" t="s">
        <v>203</v>
      </c>
      <c r="I1075" s="285">
        <v>5</v>
      </c>
      <c r="J1075" s="60">
        <f t="shared" si="137"/>
        <v>141750</v>
      </c>
      <c r="K1075" s="230">
        <f t="shared" si="136"/>
        <v>708750</v>
      </c>
    </row>
    <row r="1076" spans="1:11" ht="13.2" customHeight="1" x14ac:dyDescent="0.25">
      <c r="A1076" s="223"/>
      <c r="B1076" s="224" t="s">
        <v>110</v>
      </c>
      <c r="C1076" s="225" t="s">
        <v>890</v>
      </c>
      <c r="D1076" s="226"/>
      <c r="E1076" s="44"/>
      <c r="F1076" s="227"/>
      <c r="G1076" s="227"/>
      <c r="H1076" s="228" t="s">
        <v>235</v>
      </c>
      <c r="I1076" s="253">
        <v>6</v>
      </c>
      <c r="J1076" s="60">
        <f t="shared" si="137"/>
        <v>320000</v>
      </c>
      <c r="K1076" s="230">
        <f t="shared" si="136"/>
        <v>1920000</v>
      </c>
    </row>
    <row r="1077" spans="1:11" ht="13.2" customHeight="1" x14ac:dyDescent="0.25">
      <c r="A1077" s="223"/>
      <c r="B1077" s="224" t="s">
        <v>137</v>
      </c>
      <c r="C1077" s="225" t="s">
        <v>958</v>
      </c>
      <c r="D1077" s="226"/>
      <c r="E1077" s="44"/>
      <c r="F1077" s="287"/>
      <c r="G1077" s="227"/>
      <c r="H1077" s="228" t="s">
        <v>235</v>
      </c>
      <c r="I1077" s="253">
        <v>2</v>
      </c>
      <c r="J1077" s="60">
        <f>J1062</f>
        <v>132500</v>
      </c>
      <c r="K1077" s="230">
        <f t="shared" si="136"/>
        <v>265000</v>
      </c>
    </row>
    <row r="1078" spans="1:11" ht="13.2" customHeight="1" x14ac:dyDescent="0.25">
      <c r="A1078" s="223"/>
      <c r="B1078" s="224" t="s">
        <v>156</v>
      </c>
      <c r="C1078" s="225" t="s">
        <v>838</v>
      </c>
      <c r="D1078" s="226"/>
      <c r="E1078" s="44"/>
      <c r="F1078" s="287"/>
      <c r="G1078" s="227"/>
      <c r="H1078" s="228" t="s">
        <v>235</v>
      </c>
      <c r="I1078" s="253">
        <v>2</v>
      </c>
      <c r="J1078" s="60">
        <f>'Harga Satuan Dasar mat'!G26</f>
        <v>115000</v>
      </c>
      <c r="K1078" s="230">
        <f t="shared" si="136"/>
        <v>230000</v>
      </c>
    </row>
    <row r="1079" spans="1:11" ht="13.2" customHeight="1" x14ac:dyDescent="0.25">
      <c r="A1079" s="223"/>
      <c r="B1079" s="224" t="s">
        <v>175</v>
      </c>
      <c r="C1079" s="225" t="s">
        <v>838</v>
      </c>
      <c r="D1079" s="226"/>
      <c r="E1079" s="44"/>
      <c r="F1079" s="287"/>
      <c r="G1079" s="227"/>
      <c r="H1079" s="228" t="s">
        <v>235</v>
      </c>
      <c r="I1079" s="285">
        <v>2</v>
      </c>
      <c r="J1079" s="60">
        <f>J1078</f>
        <v>115000</v>
      </c>
      <c r="K1079" s="230">
        <f t="shared" si="136"/>
        <v>230000</v>
      </c>
    </row>
    <row r="1080" spans="1:11" ht="13.2" customHeight="1" x14ac:dyDescent="0.25">
      <c r="A1080" s="223"/>
      <c r="B1080" s="224" t="s">
        <v>177</v>
      </c>
      <c r="C1080" s="225" t="s">
        <v>1153</v>
      </c>
      <c r="D1080" s="226"/>
      <c r="E1080" s="44"/>
      <c r="F1080" s="287"/>
      <c r="G1080" s="227"/>
      <c r="H1080" s="228" t="s">
        <v>235</v>
      </c>
      <c r="I1080" s="285">
        <v>15</v>
      </c>
      <c r="J1080" s="60">
        <f t="shared" si="137"/>
        <v>60250</v>
      </c>
      <c r="K1080" s="230">
        <f t="shared" si="136"/>
        <v>903750</v>
      </c>
    </row>
    <row r="1081" spans="1:11" ht="13.2" customHeight="1" x14ac:dyDescent="0.25">
      <c r="A1081" s="223"/>
      <c r="B1081" s="224" t="s">
        <v>197</v>
      </c>
      <c r="C1081" s="225" t="s">
        <v>787</v>
      </c>
      <c r="D1081" s="226"/>
      <c r="E1081" s="44"/>
      <c r="F1081" s="227"/>
      <c r="G1081" s="227"/>
      <c r="H1081" s="228" t="s">
        <v>203</v>
      </c>
      <c r="I1081" s="253">
        <v>12</v>
      </c>
      <c r="J1081" s="60">
        <f t="shared" si="137"/>
        <v>27000</v>
      </c>
      <c r="K1081" s="230">
        <f t="shared" si="136"/>
        <v>324000</v>
      </c>
    </row>
    <row r="1082" spans="1:11" ht="13.2" customHeight="1" x14ac:dyDescent="0.25">
      <c r="A1082" s="223"/>
      <c r="B1082" s="224" t="s">
        <v>198</v>
      </c>
      <c r="C1082" s="225" t="s">
        <v>979</v>
      </c>
      <c r="D1082" s="226"/>
      <c r="E1082" s="44"/>
      <c r="F1082" s="227"/>
      <c r="G1082" s="227"/>
      <c r="H1082" s="228" t="s">
        <v>203</v>
      </c>
      <c r="I1082" s="253">
        <v>30</v>
      </c>
      <c r="J1082" s="60">
        <f t="shared" si="137"/>
        <v>14000</v>
      </c>
      <c r="K1082" s="230">
        <f t="shared" si="136"/>
        <v>420000</v>
      </c>
    </row>
    <row r="1083" spans="1:11" ht="12.9" customHeight="1" x14ac:dyDescent="0.25">
      <c r="A1083" s="58"/>
      <c r="B1083" s="231"/>
      <c r="C1083" s="232"/>
      <c r="D1083" s="232"/>
      <c r="E1083" s="232"/>
      <c r="F1083" s="232"/>
      <c r="G1083" s="233"/>
      <c r="H1083" s="234" t="s">
        <v>715</v>
      </c>
      <c r="I1083" s="235"/>
      <c r="J1083" s="235"/>
      <c r="K1083" s="236">
        <f>SUM(K1072:K1082)</f>
        <v>11086500</v>
      </c>
    </row>
    <row r="1084" spans="1:11" ht="12.9" customHeight="1" x14ac:dyDescent="0.25">
      <c r="A1084" s="58"/>
      <c r="B1084" s="59"/>
      <c r="C1084" s="56"/>
      <c r="D1084" s="56"/>
      <c r="E1084" s="56"/>
      <c r="F1084" s="56"/>
      <c r="G1084" s="237"/>
      <c r="H1084" s="238" t="s">
        <v>603</v>
      </c>
      <c r="I1084" s="239">
        <f>$K$3</f>
        <v>0.15</v>
      </c>
      <c r="J1084" s="240"/>
      <c r="K1084" s="241">
        <f>I1084*K1083</f>
        <v>1662975</v>
      </c>
    </row>
    <row r="1085" spans="1:11" ht="12.9" customHeight="1" x14ac:dyDescent="0.25">
      <c r="A1085" s="58"/>
      <c r="B1085" s="59"/>
      <c r="C1085" s="56"/>
      <c r="D1085" s="56"/>
      <c r="E1085" s="56"/>
      <c r="F1085" s="56"/>
      <c r="G1085" s="237"/>
      <c r="H1085" s="238" t="s">
        <v>604</v>
      </c>
      <c r="I1085" s="226"/>
      <c r="J1085" s="226"/>
      <c r="K1085" s="241">
        <f>SUM(K1083:K1084)</f>
        <v>12749475</v>
      </c>
    </row>
    <row r="1086" spans="1:11" ht="12.9" customHeight="1" thickBot="1" x14ac:dyDescent="0.3">
      <c r="A1086" s="242"/>
      <c r="B1086" s="243"/>
      <c r="C1086" s="244"/>
      <c r="D1086" s="244"/>
      <c r="E1086" s="244"/>
      <c r="F1086" s="244"/>
      <c r="G1086" s="245"/>
      <c r="H1086" s="246" t="s">
        <v>605</v>
      </c>
      <c r="I1086" s="247"/>
      <c r="J1086" s="247"/>
      <c r="K1086" s="248">
        <f>ROUND(K1085,-1)</f>
        <v>12749480</v>
      </c>
    </row>
    <row r="1087" spans="1:11" ht="14.1" customHeight="1" x14ac:dyDescent="0.25">
      <c r="A1087" s="215">
        <v>81</v>
      </c>
      <c r="B1087" s="651" t="s">
        <v>713</v>
      </c>
      <c r="C1087" s="652"/>
      <c r="D1087" s="216" t="s">
        <v>1167</v>
      </c>
      <c r="E1087" s="217"/>
      <c r="F1087" s="218"/>
      <c r="G1087" s="218"/>
      <c r="H1087" s="219"/>
      <c r="I1087" s="220"/>
      <c r="J1087" s="221"/>
      <c r="K1087" s="222"/>
    </row>
    <row r="1088" spans="1:11" ht="13.2" customHeight="1" x14ac:dyDescent="0.25">
      <c r="A1088" s="223"/>
      <c r="B1088" s="224" t="s">
        <v>4</v>
      </c>
      <c r="C1088" s="225" t="s">
        <v>1148</v>
      </c>
      <c r="D1088" s="226"/>
      <c r="E1088" s="44"/>
      <c r="F1088" s="227"/>
      <c r="G1088" s="227"/>
      <c r="H1088" s="228" t="s">
        <v>235</v>
      </c>
      <c r="I1088" s="263">
        <v>1</v>
      </c>
      <c r="J1088" s="60">
        <f>J1072</f>
        <v>1135000</v>
      </c>
      <c r="K1088" s="230">
        <f>I1088*J1088</f>
        <v>1135000</v>
      </c>
    </row>
    <row r="1089" spans="1:11" ht="13.2" customHeight="1" x14ac:dyDescent="0.25">
      <c r="A1089" s="223"/>
      <c r="B1089" s="224" t="s">
        <v>30</v>
      </c>
      <c r="C1089" s="225" t="s">
        <v>1149</v>
      </c>
      <c r="D1089" s="226"/>
      <c r="E1089" s="44"/>
      <c r="F1089" s="227"/>
      <c r="G1089" s="227"/>
      <c r="H1089" s="228" t="s">
        <v>235</v>
      </c>
      <c r="I1089" s="253">
        <v>4</v>
      </c>
      <c r="J1089" s="60">
        <f>J1073</f>
        <v>1135000</v>
      </c>
      <c r="K1089" s="230">
        <f t="shared" ref="K1089:K1098" si="138">I1089*J1089</f>
        <v>4540000</v>
      </c>
    </row>
    <row r="1090" spans="1:11" ht="13.2" customHeight="1" x14ac:dyDescent="0.25">
      <c r="A1090" s="223"/>
      <c r="B1090" s="224" t="s">
        <v>57</v>
      </c>
      <c r="C1090" s="225" t="s">
        <v>1150</v>
      </c>
      <c r="D1090" s="226"/>
      <c r="E1090" s="44"/>
      <c r="F1090" s="227"/>
      <c r="G1090" s="227"/>
      <c r="H1090" s="228" t="s">
        <v>235</v>
      </c>
      <c r="I1090" s="253">
        <v>10</v>
      </c>
      <c r="J1090" s="60">
        <f t="shared" ref="J1090:J1092" si="139">J1074</f>
        <v>41000</v>
      </c>
      <c r="K1090" s="230">
        <f t="shared" si="138"/>
        <v>410000</v>
      </c>
    </row>
    <row r="1091" spans="1:11" ht="13.2" customHeight="1" x14ac:dyDescent="0.25">
      <c r="A1091" s="223"/>
      <c r="B1091" s="224" t="s">
        <v>83</v>
      </c>
      <c r="C1091" s="225" t="s">
        <v>1151</v>
      </c>
      <c r="D1091" s="226"/>
      <c r="E1091" s="44"/>
      <c r="F1091" s="227"/>
      <c r="G1091" s="227"/>
      <c r="H1091" s="228" t="s">
        <v>203</v>
      </c>
      <c r="I1091" s="285">
        <v>5</v>
      </c>
      <c r="J1091" s="60">
        <f t="shared" si="139"/>
        <v>141750</v>
      </c>
      <c r="K1091" s="230">
        <f t="shared" si="138"/>
        <v>708750</v>
      </c>
    </row>
    <row r="1092" spans="1:11" ht="13.2" customHeight="1" x14ac:dyDescent="0.25">
      <c r="A1092" s="223"/>
      <c r="B1092" s="224" t="s">
        <v>110</v>
      </c>
      <c r="C1092" s="225" t="s">
        <v>890</v>
      </c>
      <c r="D1092" s="226"/>
      <c r="E1092" s="44"/>
      <c r="F1092" s="227"/>
      <c r="G1092" s="227"/>
      <c r="H1092" s="228" t="s">
        <v>235</v>
      </c>
      <c r="I1092" s="253">
        <v>6</v>
      </c>
      <c r="J1092" s="60">
        <f t="shared" si="139"/>
        <v>320000</v>
      </c>
      <c r="K1092" s="230">
        <f t="shared" si="138"/>
        <v>1920000</v>
      </c>
    </row>
    <row r="1093" spans="1:11" ht="13.2" customHeight="1" x14ac:dyDescent="0.25">
      <c r="A1093" s="223"/>
      <c r="B1093" s="224" t="s">
        <v>137</v>
      </c>
      <c r="C1093" s="225" t="s">
        <v>838</v>
      </c>
      <c r="D1093" s="226"/>
      <c r="E1093" s="44"/>
      <c r="F1093" s="287"/>
      <c r="G1093" s="227"/>
      <c r="H1093" s="228" t="s">
        <v>235</v>
      </c>
      <c r="I1093" s="253">
        <v>2</v>
      </c>
      <c r="J1093" s="60">
        <f>'Harga Satuan Dasar mat'!G26</f>
        <v>115000</v>
      </c>
      <c r="K1093" s="230">
        <f t="shared" si="138"/>
        <v>230000</v>
      </c>
    </row>
    <row r="1094" spans="1:11" ht="13.2" customHeight="1" x14ac:dyDescent="0.25">
      <c r="A1094" s="223"/>
      <c r="B1094" s="224" t="s">
        <v>156</v>
      </c>
      <c r="C1094" s="225" t="s">
        <v>1144</v>
      </c>
      <c r="D1094" s="226"/>
      <c r="E1094" s="44"/>
      <c r="F1094" s="287"/>
      <c r="G1094" s="227"/>
      <c r="H1094" s="228" t="s">
        <v>235</v>
      </c>
      <c r="I1094" s="253">
        <v>2</v>
      </c>
      <c r="J1094" s="60">
        <f>'Harga Satuan Dasar mat'!G24</f>
        <v>105500</v>
      </c>
      <c r="K1094" s="230">
        <f t="shared" si="138"/>
        <v>211000</v>
      </c>
    </row>
    <row r="1095" spans="1:11" ht="13.2" customHeight="1" x14ac:dyDescent="0.25">
      <c r="A1095" s="223"/>
      <c r="B1095" s="224" t="s">
        <v>175</v>
      </c>
      <c r="C1095" s="225" t="s">
        <v>1144</v>
      </c>
      <c r="D1095" s="226"/>
      <c r="E1095" s="44"/>
      <c r="F1095" s="287"/>
      <c r="G1095" s="227"/>
      <c r="H1095" s="228" t="s">
        <v>235</v>
      </c>
      <c r="I1095" s="285">
        <v>2</v>
      </c>
      <c r="J1095" s="60">
        <f>J1094</f>
        <v>105500</v>
      </c>
      <c r="K1095" s="230">
        <f t="shared" si="138"/>
        <v>211000</v>
      </c>
    </row>
    <row r="1096" spans="1:11" ht="13.2" customHeight="1" x14ac:dyDescent="0.25">
      <c r="A1096" s="223"/>
      <c r="B1096" s="224" t="s">
        <v>177</v>
      </c>
      <c r="C1096" s="225" t="s">
        <v>1153</v>
      </c>
      <c r="D1096" s="226"/>
      <c r="E1096" s="44"/>
      <c r="F1096" s="287"/>
      <c r="G1096" s="227"/>
      <c r="H1096" s="228" t="s">
        <v>235</v>
      </c>
      <c r="I1096" s="285">
        <v>15</v>
      </c>
      <c r="J1096" s="60">
        <f>J1080</f>
        <v>60250</v>
      </c>
      <c r="K1096" s="230">
        <f t="shared" si="138"/>
        <v>903750</v>
      </c>
    </row>
    <row r="1097" spans="1:11" ht="13.2" customHeight="1" x14ac:dyDescent="0.25">
      <c r="A1097" s="223"/>
      <c r="B1097" s="224" t="s">
        <v>197</v>
      </c>
      <c r="C1097" s="225" t="s">
        <v>787</v>
      </c>
      <c r="D1097" s="226"/>
      <c r="E1097" s="44"/>
      <c r="F1097" s="227"/>
      <c r="G1097" s="227"/>
      <c r="H1097" s="228" t="s">
        <v>203</v>
      </c>
      <c r="I1097" s="253">
        <v>12</v>
      </c>
      <c r="J1097" s="60">
        <f t="shared" ref="J1097:J1098" si="140">J1081</f>
        <v>27000</v>
      </c>
      <c r="K1097" s="230">
        <f t="shared" si="138"/>
        <v>324000</v>
      </c>
    </row>
    <row r="1098" spans="1:11" ht="13.2" customHeight="1" x14ac:dyDescent="0.25">
      <c r="A1098" s="223"/>
      <c r="B1098" s="224" t="s">
        <v>198</v>
      </c>
      <c r="C1098" s="225" t="s">
        <v>979</v>
      </c>
      <c r="D1098" s="226"/>
      <c r="E1098" s="44"/>
      <c r="F1098" s="227"/>
      <c r="G1098" s="227"/>
      <c r="H1098" s="228" t="s">
        <v>203</v>
      </c>
      <c r="I1098" s="253">
        <v>30</v>
      </c>
      <c r="J1098" s="60">
        <f t="shared" si="140"/>
        <v>14000</v>
      </c>
      <c r="K1098" s="230">
        <f t="shared" si="138"/>
        <v>420000</v>
      </c>
    </row>
    <row r="1099" spans="1:11" ht="12.9" customHeight="1" x14ac:dyDescent="0.25">
      <c r="A1099" s="58"/>
      <c r="B1099" s="231"/>
      <c r="C1099" s="232"/>
      <c r="D1099" s="232"/>
      <c r="E1099" s="232"/>
      <c r="F1099" s="232"/>
      <c r="G1099" s="233"/>
      <c r="H1099" s="234" t="s">
        <v>715</v>
      </c>
      <c r="I1099" s="235"/>
      <c r="J1099" s="235"/>
      <c r="K1099" s="236">
        <f>SUM(K1088:K1098)</f>
        <v>11013500</v>
      </c>
    </row>
    <row r="1100" spans="1:11" ht="12.9" customHeight="1" x14ac:dyDescent="0.25">
      <c r="A1100" s="58"/>
      <c r="B1100" s="59"/>
      <c r="C1100" s="56"/>
      <c r="D1100" s="56"/>
      <c r="E1100" s="56"/>
      <c r="F1100" s="56"/>
      <c r="G1100" s="237"/>
      <c r="H1100" s="238" t="s">
        <v>603</v>
      </c>
      <c r="I1100" s="239">
        <f>$K$3</f>
        <v>0.15</v>
      </c>
      <c r="J1100" s="240"/>
      <c r="K1100" s="241">
        <f>I1100*K1099</f>
        <v>1652025</v>
      </c>
    </row>
    <row r="1101" spans="1:11" ht="12.9" customHeight="1" x14ac:dyDescent="0.25">
      <c r="A1101" s="58"/>
      <c r="B1101" s="59"/>
      <c r="C1101" s="56"/>
      <c r="D1101" s="56"/>
      <c r="E1101" s="56"/>
      <c r="F1101" s="56"/>
      <c r="G1101" s="237"/>
      <c r="H1101" s="238" t="s">
        <v>604</v>
      </c>
      <c r="I1101" s="226"/>
      <c r="J1101" s="226"/>
      <c r="K1101" s="241">
        <f>SUM(K1099:K1100)</f>
        <v>12665525</v>
      </c>
    </row>
    <row r="1102" spans="1:11" ht="12.9" customHeight="1" thickBot="1" x14ac:dyDescent="0.3">
      <c r="A1102" s="242"/>
      <c r="B1102" s="243"/>
      <c r="C1102" s="244"/>
      <c r="D1102" s="244"/>
      <c r="E1102" s="244"/>
      <c r="F1102" s="244"/>
      <c r="G1102" s="245"/>
      <c r="H1102" s="246" t="s">
        <v>605</v>
      </c>
      <c r="I1102" s="247"/>
      <c r="J1102" s="247"/>
      <c r="K1102" s="248">
        <f>ROUND(K1101,-1)</f>
        <v>12665530</v>
      </c>
    </row>
    <row r="1103" spans="1:11" ht="14.1" customHeight="1" x14ac:dyDescent="0.25">
      <c r="A1103" s="215">
        <v>82</v>
      </c>
      <c r="B1103" s="701" t="s">
        <v>713</v>
      </c>
      <c r="C1103" s="702"/>
      <c r="D1103" s="216" t="s">
        <v>1684</v>
      </c>
      <c r="E1103" s="217"/>
      <c r="F1103" s="218"/>
      <c r="G1103" s="218"/>
      <c r="H1103" s="219"/>
      <c r="I1103" s="220"/>
      <c r="J1103" s="221"/>
      <c r="K1103" s="222"/>
    </row>
    <row r="1104" spans="1:11" ht="13.2" customHeight="1" x14ac:dyDescent="0.25">
      <c r="A1104" s="223"/>
      <c r="B1104" s="224" t="s">
        <v>4</v>
      </c>
      <c r="C1104" s="225" t="s">
        <v>1685</v>
      </c>
      <c r="D1104" s="226"/>
      <c r="E1104" s="44"/>
      <c r="F1104" s="227"/>
      <c r="G1104" s="227"/>
      <c r="H1104" s="228" t="s">
        <v>203</v>
      </c>
      <c r="I1104" s="263">
        <v>1</v>
      </c>
      <c r="J1104" s="60">
        <f>'Harga Satuan Dasar mat'!G752</f>
        <v>118800</v>
      </c>
      <c r="K1104" s="230">
        <f t="shared" ref="K1104:K1105" si="141">I1104*J1104</f>
        <v>118800</v>
      </c>
    </row>
    <row r="1105" spans="1:11" ht="13.2" customHeight="1" x14ac:dyDescent="0.25">
      <c r="A1105" s="223"/>
      <c r="B1105" s="224" t="s">
        <v>30</v>
      </c>
      <c r="C1105" s="225" t="s">
        <v>1686</v>
      </c>
      <c r="D1105" s="226"/>
      <c r="E1105" s="44"/>
      <c r="F1105" s="227"/>
      <c r="G1105" s="227"/>
      <c r="H1105" s="228" t="s">
        <v>203</v>
      </c>
      <c r="I1105" s="253">
        <v>1</v>
      </c>
      <c r="J1105" s="60">
        <f>'Harga Satuan Dasar mat'!G731</f>
        <v>14700</v>
      </c>
      <c r="K1105" s="230">
        <f t="shared" si="141"/>
        <v>14700</v>
      </c>
    </row>
    <row r="1106" spans="1:11" ht="12.9" customHeight="1" x14ac:dyDescent="0.25">
      <c r="A1106" s="58"/>
      <c r="B1106" s="231"/>
      <c r="C1106" s="232"/>
      <c r="D1106" s="232"/>
      <c r="E1106" s="232"/>
      <c r="F1106" s="232"/>
      <c r="G1106" s="233"/>
      <c r="H1106" s="234" t="s">
        <v>715</v>
      </c>
      <c r="I1106" s="235"/>
      <c r="J1106" s="235"/>
      <c r="K1106" s="236">
        <f>SUM(K1104:K1105)</f>
        <v>133500</v>
      </c>
    </row>
    <row r="1107" spans="1:11" ht="12.9" customHeight="1" x14ac:dyDescent="0.25">
      <c r="A1107" s="58"/>
      <c r="B1107" s="59"/>
      <c r="C1107" s="56"/>
      <c r="D1107" s="56"/>
      <c r="E1107" s="56"/>
      <c r="F1107" s="56"/>
      <c r="G1107" s="237"/>
      <c r="H1107" s="238" t="s">
        <v>603</v>
      </c>
      <c r="I1107" s="239">
        <f>I1084</f>
        <v>0.15</v>
      </c>
      <c r="J1107" s="240"/>
      <c r="K1107" s="241">
        <f>I1107*K1106</f>
        <v>20025</v>
      </c>
    </row>
    <row r="1108" spans="1:11" ht="12.9" customHeight="1" x14ac:dyDescent="0.25">
      <c r="A1108" s="58"/>
      <c r="B1108" s="59"/>
      <c r="C1108" s="56"/>
      <c r="D1108" s="56"/>
      <c r="E1108" s="56"/>
      <c r="F1108" s="56"/>
      <c r="G1108" s="237"/>
      <c r="H1108" s="238" t="s">
        <v>604</v>
      </c>
      <c r="I1108" s="226"/>
      <c r="J1108" s="226"/>
      <c r="K1108" s="241">
        <f>SUM(K1106:K1107)</f>
        <v>153525</v>
      </c>
    </row>
    <row r="1109" spans="1:11" ht="12.9" customHeight="1" thickBot="1" x14ac:dyDescent="0.3">
      <c r="A1109" s="242"/>
      <c r="B1109" s="243"/>
      <c r="C1109" s="244"/>
      <c r="D1109" s="244"/>
      <c r="E1109" s="244"/>
      <c r="F1109" s="244"/>
      <c r="G1109" s="245"/>
      <c r="H1109" s="246" t="s">
        <v>605</v>
      </c>
      <c r="I1109" s="247"/>
      <c r="J1109" s="247"/>
      <c r="K1109" s="248">
        <f>ROUND(K1108,-1)</f>
        <v>153530</v>
      </c>
    </row>
  </sheetData>
  <mergeCells count="91">
    <mergeCell ref="B1071:C1071"/>
    <mergeCell ref="B1103:C1103"/>
    <mergeCell ref="B1087:C1087"/>
    <mergeCell ref="B991:C991"/>
    <mergeCell ref="B1007:C1007"/>
    <mergeCell ref="B1023:C1023"/>
    <mergeCell ref="B1039:C1039"/>
    <mergeCell ref="B1055:C1055"/>
    <mergeCell ref="B975:C975"/>
    <mergeCell ref="B799:C799"/>
    <mergeCell ref="B815:C815"/>
    <mergeCell ref="B831:C831"/>
    <mergeCell ref="B847:C847"/>
    <mergeCell ref="B863:C863"/>
    <mergeCell ref="B879:C879"/>
    <mergeCell ref="B895:C895"/>
    <mergeCell ref="B911:C911"/>
    <mergeCell ref="B927:C927"/>
    <mergeCell ref="B943:C943"/>
    <mergeCell ref="B959:C959"/>
    <mergeCell ref="B783:C783"/>
    <mergeCell ref="B603:C603"/>
    <mergeCell ref="B613:C613"/>
    <mergeCell ref="B630:C630"/>
    <mergeCell ref="B647:C647"/>
    <mergeCell ref="B664:C664"/>
    <mergeCell ref="B681:C681"/>
    <mergeCell ref="B698:C698"/>
    <mergeCell ref="B715:C715"/>
    <mergeCell ref="B732:C732"/>
    <mergeCell ref="B749:C749"/>
    <mergeCell ref="B766:C766"/>
    <mergeCell ref="B593:C593"/>
    <mergeCell ref="B467:C467"/>
    <mergeCell ref="B485:C485"/>
    <mergeCell ref="B503:C503"/>
    <mergeCell ref="B513:C513"/>
    <mergeCell ref="B523:C523"/>
    <mergeCell ref="B533:C533"/>
    <mergeCell ref="B543:C543"/>
    <mergeCell ref="B553:C553"/>
    <mergeCell ref="B563:C563"/>
    <mergeCell ref="B573:C573"/>
    <mergeCell ref="B583:C583"/>
    <mergeCell ref="B449:C449"/>
    <mergeCell ref="B287:C287"/>
    <mergeCell ref="B302:C302"/>
    <mergeCell ref="B317:C317"/>
    <mergeCell ref="B330:C330"/>
    <mergeCell ref="B343:C343"/>
    <mergeCell ref="B356:C356"/>
    <mergeCell ref="B369:C369"/>
    <mergeCell ref="B382:C382"/>
    <mergeCell ref="B395:C395"/>
    <mergeCell ref="B413:C413"/>
    <mergeCell ref="B431:C431"/>
    <mergeCell ref="B272:C272"/>
    <mergeCell ref="B143:C143"/>
    <mergeCell ref="B157:C157"/>
    <mergeCell ref="B171:C171"/>
    <mergeCell ref="B185:C185"/>
    <mergeCell ref="B199:C199"/>
    <mergeCell ref="B213:C213"/>
    <mergeCell ref="B227:C227"/>
    <mergeCell ref="B242:C242"/>
    <mergeCell ref="B257:C257"/>
    <mergeCell ref="B37:C37"/>
    <mergeCell ref="B47:C47"/>
    <mergeCell ref="B55:C55"/>
    <mergeCell ref="B63:C63"/>
    <mergeCell ref="B71:C71"/>
    <mergeCell ref="B111:C111"/>
    <mergeCell ref="B119:C119"/>
    <mergeCell ref="B127:C127"/>
    <mergeCell ref="B135:C135"/>
    <mergeCell ref="B79:C79"/>
    <mergeCell ref="B87:C87"/>
    <mergeCell ref="B95:C95"/>
    <mergeCell ref="B103:C103"/>
    <mergeCell ref="B7:C7"/>
    <mergeCell ref="B17:C17"/>
    <mergeCell ref="B27:C27"/>
    <mergeCell ref="A1:K1"/>
    <mergeCell ref="A4:A6"/>
    <mergeCell ref="B4:G6"/>
    <mergeCell ref="H4:H6"/>
    <mergeCell ref="I4:I6"/>
    <mergeCell ref="J4:K4"/>
    <mergeCell ref="J5:J6"/>
    <mergeCell ref="K5:K6"/>
    <mergeCell ref="A2:K2"/>
  </mergeCells>
  <pageMargins left="0.51181102362204722" right="0.11811023622047245" top="0.35433070866141736" bottom="0.15748031496062992" header="0.31496062992125984" footer="0.31496062992125984"/>
  <pageSetup paperSize="9" scale="87" orientation="portrait" verticalDpi="0" r:id="rId1"/>
  <rowBreaks count="15" manualBreakCount="15">
    <brk id="134" max="16383" man="1"/>
    <brk id="198" max="16383" man="1"/>
    <brk id="256" max="16383" man="1"/>
    <brk id="316" max="16383" man="1"/>
    <brk id="381" max="16383" man="1"/>
    <brk id="448" max="16383" man="1"/>
    <brk id="512" max="16383" man="1"/>
    <brk id="582" max="16383" man="1"/>
    <brk id="646" max="16383" man="1"/>
    <brk id="714" max="16383" man="1"/>
    <brk id="782" max="16383" man="1"/>
    <brk id="846" max="16383" man="1"/>
    <brk id="910" max="16383" man="1"/>
    <brk id="974" max="16383" man="1"/>
    <brk id="103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E217-722E-4B8D-92CF-244651DC2AAF}">
  <sheetPr>
    <tabColor rgb="FFFFC000"/>
  </sheetPr>
  <dimension ref="A1:K81"/>
  <sheetViews>
    <sheetView topLeftCell="A43" zoomScaleNormal="100" zoomScaleSheetLayoutView="85" workbookViewId="0">
      <selection activeCell="K83" sqref="K83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0.0976562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1445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1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99" t="s">
        <v>713</v>
      </c>
      <c r="C7" s="700"/>
      <c r="D7" s="137" t="s">
        <v>1212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1226</v>
      </c>
      <c r="D8" s="14"/>
      <c r="E8" s="22"/>
      <c r="F8" s="23"/>
      <c r="G8" s="23"/>
      <c r="H8" s="24" t="s">
        <v>203</v>
      </c>
      <c r="I8" s="45">
        <v>1</v>
      </c>
      <c r="J8" s="25">
        <f>'Harga Satuan Dasar mat'!G724</f>
        <v>31500</v>
      </c>
      <c r="K8" s="26">
        <f>I8*J8</f>
        <v>31500</v>
      </c>
    </row>
    <row r="9" spans="1:11" ht="13.2" customHeight="1" x14ac:dyDescent="0.25">
      <c r="A9" s="2"/>
      <c r="B9" s="20" t="s">
        <v>30</v>
      </c>
      <c r="C9" s="21" t="s">
        <v>1216</v>
      </c>
      <c r="D9" s="14"/>
      <c r="E9" s="22"/>
      <c r="F9" s="23"/>
      <c r="G9" s="23"/>
      <c r="H9" s="24" t="s">
        <v>203</v>
      </c>
      <c r="I9" s="45">
        <v>1</v>
      </c>
      <c r="J9" s="25">
        <f>'Harga Satuan Dasar mat'!G559</f>
        <v>55000</v>
      </c>
      <c r="K9" s="26">
        <f t="shared" ref="K9:K12" si="0">I9*J9</f>
        <v>55000</v>
      </c>
    </row>
    <row r="10" spans="1:11" ht="13.2" customHeight="1" x14ac:dyDescent="0.25">
      <c r="A10" s="2"/>
      <c r="B10" s="20" t="s">
        <v>57</v>
      </c>
      <c r="C10" s="21" t="s">
        <v>1217</v>
      </c>
      <c r="D10" s="14"/>
      <c r="E10" s="22"/>
      <c r="F10" s="23"/>
      <c r="G10" s="23"/>
      <c r="H10" s="24" t="s">
        <v>264</v>
      </c>
      <c r="I10" s="64">
        <v>1.2</v>
      </c>
      <c r="J10" s="25">
        <f>'Harga Satuan Dasar mat'!G731</f>
        <v>14700</v>
      </c>
      <c r="K10" s="26">
        <f t="shared" si="0"/>
        <v>17640</v>
      </c>
    </row>
    <row r="11" spans="1:11" ht="13.2" customHeight="1" x14ac:dyDescent="0.25">
      <c r="A11" s="2"/>
      <c r="B11" s="20" t="s">
        <v>83</v>
      </c>
      <c r="C11" s="21" t="s">
        <v>1218</v>
      </c>
      <c r="D11" s="14"/>
      <c r="E11" s="22"/>
      <c r="F11" s="23"/>
      <c r="G11" s="23"/>
      <c r="H11" s="24" t="s">
        <v>203</v>
      </c>
      <c r="I11" s="45">
        <v>2</v>
      </c>
      <c r="J11" s="25">
        <f>'Harga Satuan Dasar mat'!G732</f>
        <v>3960</v>
      </c>
      <c r="K11" s="26">
        <f t="shared" si="0"/>
        <v>7920</v>
      </c>
    </row>
    <row r="12" spans="1:11" ht="13.2" customHeight="1" x14ac:dyDescent="0.25">
      <c r="A12" s="2"/>
      <c r="B12" s="20" t="s">
        <v>110</v>
      </c>
      <c r="C12" s="21" t="s">
        <v>1219</v>
      </c>
      <c r="D12" s="14"/>
      <c r="E12" s="22"/>
      <c r="F12" s="23"/>
      <c r="G12" s="23"/>
      <c r="H12" s="24" t="s">
        <v>203</v>
      </c>
      <c r="I12" s="45">
        <v>3</v>
      </c>
      <c r="J12" s="25">
        <f>'Harga Satuan Dasar mat'!G735</f>
        <v>3150</v>
      </c>
      <c r="K12" s="26">
        <f t="shared" si="0"/>
        <v>9450</v>
      </c>
    </row>
    <row r="13" spans="1:11" ht="12.9" customHeight="1" x14ac:dyDescent="0.25">
      <c r="A13" s="6"/>
      <c r="B13" s="7"/>
      <c r="C13" s="8"/>
      <c r="D13" s="8"/>
      <c r="E13" s="8"/>
      <c r="F13" s="8"/>
      <c r="G13" s="9"/>
      <c r="H13" s="10" t="s">
        <v>715</v>
      </c>
      <c r="I13" s="11"/>
      <c r="J13" s="11"/>
      <c r="K13" s="27">
        <f>SUM(K8:K12)</f>
        <v>121510</v>
      </c>
    </row>
    <row r="14" spans="1:11" ht="12.9" customHeight="1" x14ac:dyDescent="0.25">
      <c r="A14" s="6"/>
      <c r="B14" s="5"/>
      <c r="C14" s="3"/>
      <c r="D14" s="3"/>
      <c r="E14" s="3"/>
      <c r="F14" s="3"/>
      <c r="G14" s="4"/>
      <c r="H14" s="12" t="s">
        <v>603</v>
      </c>
      <c r="I14" s="28">
        <f>$K$3</f>
        <v>0.15</v>
      </c>
      <c r="J14" s="13"/>
      <c r="K14" s="29">
        <f>I14*K13</f>
        <v>18226.5</v>
      </c>
    </row>
    <row r="15" spans="1:11" ht="12.9" customHeight="1" x14ac:dyDescent="0.25">
      <c r="A15" s="6"/>
      <c r="B15" s="5"/>
      <c r="C15" s="3"/>
      <c r="D15" s="3"/>
      <c r="E15" s="3"/>
      <c r="F15" s="3"/>
      <c r="G15" s="4"/>
      <c r="H15" s="12" t="s">
        <v>604</v>
      </c>
      <c r="I15" s="14"/>
      <c r="J15" s="14"/>
      <c r="K15" s="29">
        <f>SUM(K13:K14)</f>
        <v>139736.5</v>
      </c>
    </row>
    <row r="16" spans="1:11" ht="12.9" customHeight="1" thickBot="1" x14ac:dyDescent="0.3">
      <c r="A16" s="15"/>
      <c r="B16" s="16"/>
      <c r="C16" s="17"/>
      <c r="D16" s="17"/>
      <c r="E16" s="17"/>
      <c r="F16" s="17"/>
      <c r="G16" s="18"/>
      <c r="H16" s="46" t="s">
        <v>605</v>
      </c>
      <c r="I16" s="47"/>
      <c r="J16" s="47"/>
      <c r="K16" s="144">
        <f>ROUND(K15,-1)</f>
        <v>139740</v>
      </c>
    </row>
    <row r="17" spans="1:11" ht="14.1" customHeight="1" x14ac:dyDescent="0.25">
      <c r="A17" s="81">
        <v>2</v>
      </c>
      <c r="B17" s="703" t="s">
        <v>713</v>
      </c>
      <c r="C17" s="704"/>
      <c r="D17" s="137" t="s">
        <v>1213</v>
      </c>
      <c r="E17" s="138"/>
      <c r="F17" s="139"/>
      <c r="G17" s="139"/>
      <c r="H17" s="140"/>
      <c r="I17" s="141"/>
      <c r="J17" s="142"/>
      <c r="K17" s="143"/>
    </row>
    <row r="18" spans="1:11" ht="13.2" customHeight="1" x14ac:dyDescent="0.25">
      <c r="A18" s="2"/>
      <c r="B18" s="20" t="s">
        <v>4</v>
      </c>
      <c r="C18" s="21" t="s">
        <v>1228</v>
      </c>
      <c r="D18" s="14"/>
      <c r="E18" s="22"/>
      <c r="F18" s="23"/>
      <c r="G18" s="23"/>
      <c r="H18" s="24" t="s">
        <v>203</v>
      </c>
      <c r="I18" s="45">
        <v>1</v>
      </c>
      <c r="J18" s="25">
        <f>'Harga Satuan Dasar mat'!G725</f>
        <v>30900</v>
      </c>
      <c r="K18" s="26">
        <f>I18*J18</f>
        <v>30900</v>
      </c>
    </row>
    <row r="19" spans="1:11" ht="13.2" customHeight="1" x14ac:dyDescent="0.25">
      <c r="A19" s="2"/>
      <c r="B19" s="20" t="s">
        <v>30</v>
      </c>
      <c r="C19" s="21" t="s">
        <v>1227</v>
      </c>
      <c r="D19" s="14"/>
      <c r="E19" s="22"/>
      <c r="F19" s="23"/>
      <c r="G19" s="23"/>
      <c r="H19" s="24" t="s">
        <v>203</v>
      </c>
      <c r="I19" s="45">
        <v>1</v>
      </c>
      <c r="J19" s="25">
        <f>'Harga Satuan Dasar mat'!G563</f>
        <v>75000</v>
      </c>
      <c r="K19" s="26">
        <f t="shared" ref="K19:K22" si="1">I19*J19</f>
        <v>75000</v>
      </c>
    </row>
    <row r="20" spans="1:11" ht="13.2" customHeight="1" x14ac:dyDescent="0.25">
      <c r="A20" s="2"/>
      <c r="B20" s="20" t="s">
        <v>57</v>
      </c>
      <c r="C20" s="21" t="s">
        <v>1217</v>
      </c>
      <c r="D20" s="14"/>
      <c r="E20" s="22"/>
      <c r="F20" s="23"/>
      <c r="G20" s="23"/>
      <c r="H20" s="24" t="s">
        <v>264</v>
      </c>
      <c r="I20" s="64">
        <v>1.2</v>
      </c>
      <c r="J20" s="25">
        <f>J10</f>
        <v>14700</v>
      </c>
      <c r="K20" s="26">
        <f t="shared" si="1"/>
        <v>17640</v>
      </c>
    </row>
    <row r="21" spans="1:11" ht="13.2" customHeight="1" x14ac:dyDescent="0.25">
      <c r="A21" s="2"/>
      <c r="B21" s="20" t="s">
        <v>83</v>
      </c>
      <c r="C21" s="21" t="s">
        <v>1218</v>
      </c>
      <c r="D21" s="14"/>
      <c r="E21" s="22"/>
      <c r="F21" s="23"/>
      <c r="G21" s="23"/>
      <c r="H21" s="24" t="s">
        <v>203</v>
      </c>
      <c r="I21" s="45">
        <v>2</v>
      </c>
      <c r="J21" s="25">
        <f>J11</f>
        <v>3960</v>
      </c>
      <c r="K21" s="26">
        <f t="shared" si="1"/>
        <v>7920</v>
      </c>
    </row>
    <row r="22" spans="1:11" ht="13.2" customHeight="1" x14ac:dyDescent="0.25">
      <c r="A22" s="2"/>
      <c r="B22" s="20" t="s">
        <v>110</v>
      </c>
      <c r="C22" s="21" t="s">
        <v>1219</v>
      </c>
      <c r="D22" s="14"/>
      <c r="E22" s="22"/>
      <c r="F22" s="23"/>
      <c r="G22" s="23"/>
      <c r="H22" s="24" t="s">
        <v>203</v>
      </c>
      <c r="I22" s="45">
        <v>2</v>
      </c>
      <c r="J22" s="25">
        <f>J12</f>
        <v>3150</v>
      </c>
      <c r="K22" s="26">
        <f t="shared" si="1"/>
        <v>6300</v>
      </c>
    </row>
    <row r="23" spans="1:11" ht="12.9" customHeight="1" x14ac:dyDescent="0.25">
      <c r="A23" s="6"/>
      <c r="B23" s="7"/>
      <c r="C23" s="8"/>
      <c r="D23" s="8"/>
      <c r="E23" s="8"/>
      <c r="F23" s="8"/>
      <c r="G23" s="9"/>
      <c r="H23" s="10" t="s">
        <v>715</v>
      </c>
      <c r="I23" s="11"/>
      <c r="J23" s="11"/>
      <c r="K23" s="27">
        <f>SUM(K18:K22)</f>
        <v>137760</v>
      </c>
    </row>
    <row r="24" spans="1:11" ht="12.9" customHeight="1" x14ac:dyDescent="0.25">
      <c r="A24" s="6"/>
      <c r="B24" s="5"/>
      <c r="C24" s="3"/>
      <c r="D24" s="3"/>
      <c r="E24" s="3"/>
      <c r="F24" s="3"/>
      <c r="G24" s="4"/>
      <c r="H24" s="12" t="s">
        <v>603</v>
      </c>
      <c r="I24" s="28">
        <f>$K$3</f>
        <v>0.15</v>
      </c>
      <c r="J24" s="13"/>
      <c r="K24" s="29">
        <f>I24*K23</f>
        <v>20664</v>
      </c>
    </row>
    <row r="25" spans="1:11" ht="12.9" customHeight="1" x14ac:dyDescent="0.25">
      <c r="A25" s="6"/>
      <c r="B25" s="5"/>
      <c r="C25" s="3"/>
      <c r="D25" s="3"/>
      <c r="E25" s="3"/>
      <c r="F25" s="3"/>
      <c r="G25" s="4"/>
      <c r="H25" s="12" t="s">
        <v>604</v>
      </c>
      <c r="I25" s="14"/>
      <c r="J25" s="14"/>
      <c r="K25" s="29">
        <f>SUM(K23:K24)</f>
        <v>158424</v>
      </c>
    </row>
    <row r="26" spans="1:11" ht="12.9" customHeight="1" thickBot="1" x14ac:dyDescent="0.3">
      <c r="A26" s="15"/>
      <c r="B26" s="16"/>
      <c r="C26" s="17"/>
      <c r="D26" s="17"/>
      <c r="E26" s="17"/>
      <c r="F26" s="17"/>
      <c r="G26" s="18"/>
      <c r="H26" s="46" t="s">
        <v>605</v>
      </c>
      <c r="I26" s="47"/>
      <c r="J26" s="47"/>
      <c r="K26" s="144">
        <f>ROUND(K25,-1)</f>
        <v>158420</v>
      </c>
    </row>
    <row r="27" spans="1:11" ht="14.1" customHeight="1" x14ac:dyDescent="0.25">
      <c r="A27" s="81">
        <v>3</v>
      </c>
      <c r="B27" s="703" t="s">
        <v>713</v>
      </c>
      <c r="C27" s="704"/>
      <c r="D27" s="137" t="s">
        <v>1214</v>
      </c>
      <c r="E27" s="138"/>
      <c r="F27" s="139"/>
      <c r="G27" s="139"/>
      <c r="H27" s="140"/>
      <c r="I27" s="141"/>
      <c r="J27" s="142"/>
      <c r="K27" s="143"/>
    </row>
    <row r="28" spans="1:11" ht="13.2" customHeight="1" x14ac:dyDescent="0.25">
      <c r="A28" s="2"/>
      <c r="B28" s="20" t="s">
        <v>4</v>
      </c>
      <c r="C28" s="21" t="s">
        <v>1228</v>
      </c>
      <c r="D28" s="14"/>
      <c r="E28" s="22"/>
      <c r="F28" s="23"/>
      <c r="G28" s="23"/>
      <c r="H28" s="24" t="s">
        <v>203</v>
      </c>
      <c r="I28" s="45">
        <v>1</v>
      </c>
      <c r="J28" s="25">
        <f>J18</f>
        <v>30900</v>
      </c>
      <c r="K28" s="26">
        <f>I28*J28</f>
        <v>30900</v>
      </c>
    </row>
    <row r="29" spans="1:11" ht="13.2" customHeight="1" x14ac:dyDescent="0.25">
      <c r="A29" s="2"/>
      <c r="B29" s="20" t="s">
        <v>30</v>
      </c>
      <c r="C29" s="21" t="s">
        <v>1227</v>
      </c>
      <c r="D29" s="14"/>
      <c r="E29" s="22"/>
      <c r="F29" s="23"/>
      <c r="G29" s="23"/>
      <c r="H29" s="24" t="s">
        <v>203</v>
      </c>
      <c r="I29" s="45">
        <v>1</v>
      </c>
      <c r="J29" s="25">
        <f>J19</f>
        <v>75000</v>
      </c>
      <c r="K29" s="26">
        <f t="shared" ref="K29:K32" si="2">I29*J29</f>
        <v>75000</v>
      </c>
    </row>
    <row r="30" spans="1:11" ht="13.2" customHeight="1" x14ac:dyDescent="0.25">
      <c r="A30" s="2"/>
      <c r="B30" s="20" t="s">
        <v>57</v>
      </c>
      <c r="C30" s="21" t="s">
        <v>1217</v>
      </c>
      <c r="D30" s="14"/>
      <c r="E30" s="22"/>
      <c r="F30" s="23"/>
      <c r="G30" s="23"/>
      <c r="H30" s="24" t="s">
        <v>264</v>
      </c>
      <c r="I30" s="64">
        <v>1.2</v>
      </c>
      <c r="J30" s="25">
        <f>J20</f>
        <v>14700</v>
      </c>
      <c r="K30" s="26">
        <f t="shared" si="2"/>
        <v>17640</v>
      </c>
    </row>
    <row r="31" spans="1:11" ht="13.2" customHeight="1" x14ac:dyDescent="0.25">
      <c r="A31" s="2"/>
      <c r="B31" s="20" t="s">
        <v>83</v>
      </c>
      <c r="C31" s="21" t="s">
        <v>1218</v>
      </c>
      <c r="D31" s="14"/>
      <c r="E31" s="22"/>
      <c r="F31" s="23"/>
      <c r="G31" s="23"/>
      <c r="H31" s="24" t="s">
        <v>203</v>
      </c>
      <c r="I31" s="45">
        <v>2</v>
      </c>
      <c r="J31" s="25">
        <f>J21</f>
        <v>3960</v>
      </c>
      <c r="K31" s="26">
        <f t="shared" si="2"/>
        <v>7920</v>
      </c>
    </row>
    <row r="32" spans="1:11" ht="13.2" customHeight="1" x14ac:dyDescent="0.25">
      <c r="A32" s="2"/>
      <c r="B32" s="20" t="s">
        <v>110</v>
      </c>
      <c r="C32" s="21" t="s">
        <v>1219</v>
      </c>
      <c r="D32" s="14"/>
      <c r="E32" s="22"/>
      <c r="F32" s="23"/>
      <c r="G32" s="23"/>
      <c r="H32" s="24" t="s">
        <v>203</v>
      </c>
      <c r="I32" s="45">
        <v>3</v>
      </c>
      <c r="J32" s="25">
        <f>J22</f>
        <v>3150</v>
      </c>
      <c r="K32" s="26">
        <f t="shared" si="2"/>
        <v>9450</v>
      </c>
    </row>
    <row r="33" spans="1:11" ht="12.9" customHeight="1" x14ac:dyDescent="0.25">
      <c r="A33" s="6"/>
      <c r="B33" s="7"/>
      <c r="C33" s="8"/>
      <c r="D33" s="8"/>
      <c r="E33" s="8"/>
      <c r="F33" s="8"/>
      <c r="G33" s="9"/>
      <c r="H33" s="10" t="s">
        <v>715</v>
      </c>
      <c r="I33" s="11"/>
      <c r="J33" s="11"/>
      <c r="K33" s="27">
        <f>SUM(K28:K32)</f>
        <v>140910</v>
      </c>
    </row>
    <row r="34" spans="1:11" ht="12.9" customHeight="1" x14ac:dyDescent="0.25">
      <c r="A34" s="6"/>
      <c r="B34" s="5"/>
      <c r="C34" s="3"/>
      <c r="D34" s="3"/>
      <c r="E34" s="3"/>
      <c r="F34" s="3"/>
      <c r="G34" s="4"/>
      <c r="H34" s="12" t="s">
        <v>603</v>
      </c>
      <c r="I34" s="28">
        <f>$K$3</f>
        <v>0.15</v>
      </c>
      <c r="J34" s="13"/>
      <c r="K34" s="29">
        <f>I34*K33</f>
        <v>21136.5</v>
      </c>
    </row>
    <row r="35" spans="1:11" ht="12.9" customHeight="1" x14ac:dyDescent="0.25">
      <c r="A35" s="6"/>
      <c r="B35" s="5"/>
      <c r="C35" s="3"/>
      <c r="D35" s="3"/>
      <c r="E35" s="3"/>
      <c r="F35" s="3"/>
      <c r="G35" s="4"/>
      <c r="H35" s="12" t="s">
        <v>604</v>
      </c>
      <c r="I35" s="14"/>
      <c r="J35" s="14"/>
      <c r="K35" s="29">
        <f>SUM(K33:K34)</f>
        <v>162046.5</v>
      </c>
    </row>
    <row r="36" spans="1:11" ht="12.9" customHeight="1" thickBot="1" x14ac:dyDescent="0.3">
      <c r="A36" s="15"/>
      <c r="B36" s="16"/>
      <c r="C36" s="17"/>
      <c r="D36" s="17"/>
      <c r="E36" s="17"/>
      <c r="F36" s="17"/>
      <c r="G36" s="18"/>
      <c r="H36" s="46" t="s">
        <v>605</v>
      </c>
      <c r="I36" s="47"/>
      <c r="J36" s="47"/>
      <c r="K36" s="144">
        <f>ROUND(K35,-1)</f>
        <v>162050</v>
      </c>
    </row>
    <row r="37" spans="1:11" ht="14.1" customHeight="1" x14ac:dyDescent="0.25">
      <c r="A37" s="81">
        <v>4</v>
      </c>
      <c r="B37" s="703" t="s">
        <v>713</v>
      </c>
      <c r="C37" s="704"/>
      <c r="D37" s="137" t="s">
        <v>1215</v>
      </c>
      <c r="E37" s="138"/>
      <c r="F37" s="139"/>
      <c r="G37" s="139"/>
      <c r="H37" s="140"/>
      <c r="I37" s="141"/>
      <c r="J37" s="142"/>
      <c r="K37" s="143"/>
    </row>
    <row r="38" spans="1:11" ht="13.2" customHeight="1" x14ac:dyDescent="0.25">
      <c r="A38" s="2"/>
      <c r="B38" s="20" t="s">
        <v>4</v>
      </c>
      <c r="C38" s="21" t="s">
        <v>1228</v>
      </c>
      <c r="D38" s="14"/>
      <c r="E38" s="22"/>
      <c r="F38" s="23"/>
      <c r="G38" s="23"/>
      <c r="H38" s="24" t="s">
        <v>203</v>
      </c>
      <c r="I38" s="45">
        <v>1</v>
      </c>
      <c r="J38" s="25">
        <f>J28</f>
        <v>30900</v>
      </c>
      <c r="K38" s="26">
        <f>I38*J38</f>
        <v>30900</v>
      </c>
    </row>
    <row r="39" spans="1:11" ht="13.2" customHeight="1" x14ac:dyDescent="0.25">
      <c r="A39" s="2"/>
      <c r="B39" s="20" t="s">
        <v>30</v>
      </c>
      <c r="C39" s="21" t="s">
        <v>1227</v>
      </c>
      <c r="D39" s="14"/>
      <c r="E39" s="22"/>
      <c r="F39" s="23"/>
      <c r="G39" s="23"/>
      <c r="H39" s="24" t="s">
        <v>203</v>
      </c>
      <c r="I39" s="45">
        <v>1</v>
      </c>
      <c r="J39" s="25">
        <f>J29</f>
        <v>75000</v>
      </c>
      <c r="K39" s="26">
        <f t="shared" ref="K39:K43" si="3">I39*J39</f>
        <v>75000</v>
      </c>
    </row>
    <row r="40" spans="1:11" ht="13.2" customHeight="1" x14ac:dyDescent="0.25">
      <c r="A40" s="2"/>
      <c r="B40" s="20" t="s">
        <v>57</v>
      </c>
      <c r="C40" s="21" t="s">
        <v>1217</v>
      </c>
      <c r="D40" s="14"/>
      <c r="E40" s="22"/>
      <c r="F40" s="23"/>
      <c r="G40" s="23"/>
      <c r="H40" s="24" t="s">
        <v>264</v>
      </c>
      <c r="I40" s="64">
        <v>1.2</v>
      </c>
      <c r="J40" s="25">
        <f>J30</f>
        <v>14700</v>
      </c>
      <c r="K40" s="26">
        <f t="shared" si="3"/>
        <v>17640</v>
      </c>
    </row>
    <row r="41" spans="1:11" ht="13.2" customHeight="1" x14ac:dyDescent="0.25">
      <c r="A41" s="2"/>
      <c r="B41" s="20" t="s">
        <v>83</v>
      </c>
      <c r="C41" s="21" t="s">
        <v>1218</v>
      </c>
      <c r="D41" s="14"/>
      <c r="E41" s="22"/>
      <c r="F41" s="23"/>
      <c r="G41" s="23"/>
      <c r="H41" s="24" t="s">
        <v>203</v>
      </c>
      <c r="I41" s="45">
        <v>2</v>
      </c>
      <c r="J41" s="25">
        <f>J31</f>
        <v>3960</v>
      </c>
      <c r="K41" s="26">
        <f t="shared" si="3"/>
        <v>7920</v>
      </c>
    </row>
    <row r="42" spans="1:11" ht="13.2" customHeight="1" x14ac:dyDescent="0.25">
      <c r="A42" s="2"/>
      <c r="B42" s="20" t="s">
        <v>110</v>
      </c>
      <c r="C42" s="21" t="s">
        <v>1219</v>
      </c>
      <c r="D42" s="14"/>
      <c r="E42" s="22"/>
      <c r="F42" s="23"/>
      <c r="G42" s="23"/>
      <c r="H42" s="24" t="s">
        <v>203</v>
      </c>
      <c r="I42" s="45">
        <v>2</v>
      </c>
      <c r="J42" s="25">
        <f>J32</f>
        <v>3150</v>
      </c>
      <c r="K42" s="26">
        <f t="shared" si="3"/>
        <v>6300</v>
      </c>
    </row>
    <row r="43" spans="1:11" ht="13.2" customHeight="1" x14ac:dyDescent="0.25">
      <c r="A43" s="2"/>
      <c r="B43" s="30" t="s">
        <v>137</v>
      </c>
      <c r="C43" s="31" t="s">
        <v>1221</v>
      </c>
      <c r="D43" s="32"/>
      <c r="E43" s="33"/>
      <c r="F43" s="34"/>
      <c r="G43" s="34"/>
      <c r="H43" s="43" t="s">
        <v>203</v>
      </c>
      <c r="I43" s="66">
        <v>1</v>
      </c>
      <c r="J43" s="40">
        <f>'Harga Satuan Dasar mat'!G389</f>
        <v>100000</v>
      </c>
      <c r="K43" s="54">
        <f t="shared" si="3"/>
        <v>100000</v>
      </c>
    </row>
    <row r="44" spans="1:11" ht="12.9" customHeight="1" x14ac:dyDescent="0.25">
      <c r="A44" s="6"/>
      <c r="B44" s="7"/>
      <c r="C44" s="8"/>
      <c r="D44" s="8"/>
      <c r="E44" s="8"/>
      <c r="F44" s="8"/>
      <c r="G44" s="9"/>
      <c r="H44" s="10" t="s">
        <v>715</v>
      </c>
      <c r="I44" s="11"/>
      <c r="J44" s="11"/>
      <c r="K44" s="27">
        <f>SUM(K38:K43)</f>
        <v>237760</v>
      </c>
    </row>
    <row r="45" spans="1:11" ht="12.9" customHeight="1" x14ac:dyDescent="0.25">
      <c r="A45" s="6"/>
      <c r="B45" s="5"/>
      <c r="C45" s="3"/>
      <c r="D45" s="3"/>
      <c r="E45" s="3"/>
      <c r="F45" s="3"/>
      <c r="G45" s="4"/>
      <c r="H45" s="12" t="s">
        <v>603</v>
      </c>
      <c r="I45" s="28">
        <f>$K$3</f>
        <v>0.15</v>
      </c>
      <c r="J45" s="13"/>
      <c r="K45" s="29">
        <f>I45*K44</f>
        <v>35664</v>
      </c>
    </row>
    <row r="46" spans="1:11" ht="12.9" customHeight="1" x14ac:dyDescent="0.25">
      <c r="A46" s="6"/>
      <c r="B46" s="5"/>
      <c r="C46" s="3"/>
      <c r="D46" s="3"/>
      <c r="E46" s="3"/>
      <c r="F46" s="3"/>
      <c r="G46" s="4"/>
      <c r="H46" s="12" t="s">
        <v>604</v>
      </c>
      <c r="I46" s="14"/>
      <c r="J46" s="14"/>
      <c r="K46" s="29">
        <f>SUM(K44:K45)</f>
        <v>273424</v>
      </c>
    </row>
    <row r="47" spans="1:11" ht="12.9" customHeight="1" thickBot="1" x14ac:dyDescent="0.3">
      <c r="A47" s="15"/>
      <c r="B47" s="16"/>
      <c r="C47" s="17"/>
      <c r="D47" s="17"/>
      <c r="E47" s="17"/>
      <c r="F47" s="17"/>
      <c r="G47" s="18"/>
      <c r="H47" s="46" t="s">
        <v>605</v>
      </c>
      <c r="I47" s="47"/>
      <c r="J47" s="47"/>
      <c r="K47" s="144">
        <f>ROUND(K46,-1)</f>
        <v>273420</v>
      </c>
    </row>
    <row r="48" spans="1:11" ht="14.1" customHeight="1" x14ac:dyDescent="0.25">
      <c r="A48" s="81">
        <v>5</v>
      </c>
      <c r="B48" s="703" t="s">
        <v>713</v>
      </c>
      <c r="C48" s="704"/>
      <c r="D48" s="137" t="s">
        <v>1222</v>
      </c>
      <c r="E48" s="138"/>
      <c r="F48" s="139"/>
      <c r="G48" s="139"/>
      <c r="H48" s="140"/>
      <c r="I48" s="141"/>
      <c r="J48" s="142"/>
      <c r="K48" s="143"/>
    </row>
    <row r="49" spans="1:11" ht="13.2" customHeight="1" x14ac:dyDescent="0.25">
      <c r="A49" s="2"/>
      <c r="B49" s="20" t="s">
        <v>1229</v>
      </c>
      <c r="C49" s="21" t="s">
        <v>1223</v>
      </c>
      <c r="D49" s="14"/>
      <c r="E49" s="22"/>
      <c r="F49" s="23"/>
      <c r="G49" s="23"/>
      <c r="H49" s="24" t="s">
        <v>203</v>
      </c>
      <c r="I49" s="45">
        <v>1</v>
      </c>
      <c r="J49" s="25">
        <f>'Harga Satuan Dasar mat'!G746</f>
        <v>17200</v>
      </c>
      <c r="K49" s="26">
        <f>I49*J49</f>
        <v>17200</v>
      </c>
    </row>
    <row r="50" spans="1:11" ht="13.2" customHeight="1" x14ac:dyDescent="0.25">
      <c r="A50" s="2"/>
      <c r="B50" s="20" t="s">
        <v>1230</v>
      </c>
      <c r="C50" s="21" t="s">
        <v>1217</v>
      </c>
      <c r="D50" s="14"/>
      <c r="E50" s="22"/>
      <c r="F50" s="23"/>
      <c r="G50" s="23"/>
      <c r="H50" s="24" t="s">
        <v>264</v>
      </c>
      <c r="I50" s="63">
        <v>1.8</v>
      </c>
      <c r="J50" s="25">
        <f>J40</f>
        <v>14700</v>
      </c>
      <c r="K50" s="26">
        <f t="shared" ref="K50:K53" si="4">I50*J50</f>
        <v>26460</v>
      </c>
    </row>
    <row r="51" spans="1:11" ht="13.2" customHeight="1" x14ac:dyDescent="0.25">
      <c r="A51" s="2"/>
      <c r="B51" s="20" t="s">
        <v>1231</v>
      </c>
      <c r="C51" s="21" t="s">
        <v>1218</v>
      </c>
      <c r="D51" s="14"/>
      <c r="E51" s="22"/>
      <c r="F51" s="23"/>
      <c r="G51" s="23"/>
      <c r="H51" s="24" t="s">
        <v>203</v>
      </c>
      <c r="I51" s="65">
        <v>2</v>
      </c>
      <c r="J51" s="25">
        <f>J41</f>
        <v>3960</v>
      </c>
      <c r="K51" s="26">
        <f t="shared" si="4"/>
        <v>7920</v>
      </c>
    </row>
    <row r="52" spans="1:11" ht="13.2" customHeight="1" x14ac:dyDescent="0.25">
      <c r="A52" s="2"/>
      <c r="B52" s="20" t="s">
        <v>1232</v>
      </c>
      <c r="C52" s="21" t="s">
        <v>1224</v>
      </c>
      <c r="D52" s="14"/>
      <c r="E52" s="22"/>
      <c r="F52" s="23"/>
      <c r="G52" s="23"/>
      <c r="H52" s="24" t="s">
        <v>203</v>
      </c>
      <c r="I52" s="45">
        <v>2</v>
      </c>
      <c r="J52" s="25">
        <f>'Harga Satuan Dasar mat'!G733</f>
        <v>3650</v>
      </c>
      <c r="K52" s="26">
        <f t="shared" si="4"/>
        <v>7300</v>
      </c>
    </row>
    <row r="53" spans="1:11" ht="13.2" customHeight="1" x14ac:dyDescent="0.25">
      <c r="A53" s="2"/>
      <c r="B53" s="20" t="s">
        <v>1233</v>
      </c>
      <c r="C53" s="21" t="s">
        <v>1225</v>
      </c>
      <c r="D53" s="14"/>
      <c r="E53" s="22"/>
      <c r="F53" s="23"/>
      <c r="G53" s="23"/>
      <c r="H53" s="24" t="s">
        <v>203</v>
      </c>
      <c r="I53" s="45">
        <v>4</v>
      </c>
      <c r="J53" s="25">
        <f>'Harga Satuan Dasar mat'!G743</f>
        <v>3350</v>
      </c>
      <c r="K53" s="26">
        <f t="shared" si="4"/>
        <v>13400</v>
      </c>
    </row>
    <row r="54" spans="1:11" ht="12.9" customHeight="1" x14ac:dyDescent="0.25">
      <c r="A54" s="6"/>
      <c r="B54" s="7"/>
      <c r="C54" s="8"/>
      <c r="D54" s="8"/>
      <c r="E54" s="8"/>
      <c r="F54" s="8"/>
      <c r="G54" s="9"/>
      <c r="H54" s="10" t="s">
        <v>715</v>
      </c>
      <c r="I54" s="11"/>
      <c r="J54" s="11"/>
      <c r="K54" s="27">
        <f>SUM(K49:K53)</f>
        <v>72280</v>
      </c>
    </row>
    <row r="55" spans="1:11" ht="12.9" customHeight="1" x14ac:dyDescent="0.25">
      <c r="A55" s="6"/>
      <c r="B55" s="5"/>
      <c r="C55" s="3"/>
      <c r="D55" s="3"/>
      <c r="E55" s="3"/>
      <c r="F55" s="3"/>
      <c r="G55" s="4"/>
      <c r="H55" s="12" t="s">
        <v>603</v>
      </c>
      <c r="I55" s="28">
        <f>$K$3</f>
        <v>0.15</v>
      </c>
      <c r="J55" s="13"/>
      <c r="K55" s="29">
        <f>I55*K54</f>
        <v>10842</v>
      </c>
    </row>
    <row r="56" spans="1:11" ht="12.9" customHeight="1" x14ac:dyDescent="0.25">
      <c r="A56" s="6"/>
      <c r="B56" s="5"/>
      <c r="C56" s="3"/>
      <c r="D56" s="3"/>
      <c r="E56" s="3"/>
      <c r="F56" s="3"/>
      <c r="G56" s="4"/>
      <c r="H56" s="12" t="s">
        <v>604</v>
      </c>
      <c r="I56" s="14"/>
      <c r="J56" s="14"/>
      <c r="K56" s="29">
        <f>SUM(K54:K55)</f>
        <v>83122</v>
      </c>
    </row>
    <row r="57" spans="1:11" ht="12.9" customHeight="1" thickBot="1" x14ac:dyDescent="0.3">
      <c r="A57" s="15"/>
      <c r="B57" s="16"/>
      <c r="C57" s="17"/>
      <c r="D57" s="17"/>
      <c r="E57" s="17"/>
      <c r="F57" s="17"/>
      <c r="G57" s="18"/>
      <c r="H57" s="46" t="s">
        <v>605</v>
      </c>
      <c r="I57" s="47"/>
      <c r="J57" s="47"/>
      <c r="K57" s="144">
        <f>ROUND(K56,-1)</f>
        <v>83120</v>
      </c>
    </row>
    <row r="58" spans="1:11" ht="14.1" customHeight="1" x14ac:dyDescent="0.25">
      <c r="A58" s="103">
        <v>6</v>
      </c>
      <c r="B58" s="703" t="s">
        <v>713</v>
      </c>
      <c r="C58" s="704"/>
      <c r="D58" s="82" t="s">
        <v>1465</v>
      </c>
      <c r="E58" s="83"/>
      <c r="F58" s="84"/>
      <c r="G58" s="84"/>
      <c r="H58" s="145"/>
      <c r="I58" s="146"/>
      <c r="J58" s="147"/>
      <c r="K58" s="148"/>
    </row>
    <row r="59" spans="1:11" ht="13.2" customHeight="1" x14ac:dyDescent="0.25">
      <c r="A59" s="2"/>
      <c r="B59" s="20" t="s">
        <v>1229</v>
      </c>
      <c r="C59" s="21" t="s">
        <v>1468</v>
      </c>
      <c r="D59" s="14"/>
      <c r="E59" s="22"/>
      <c r="F59" s="23"/>
      <c r="G59" s="23"/>
      <c r="H59" s="24" t="s">
        <v>264</v>
      </c>
      <c r="I59" s="45">
        <v>2</v>
      </c>
      <c r="J59" s="69" t="s">
        <v>1469</v>
      </c>
      <c r="K59" s="26"/>
    </row>
    <row r="60" spans="1:11" ht="13.2" customHeight="1" x14ac:dyDescent="0.25">
      <c r="A60" s="2"/>
      <c r="B60" s="20" t="s">
        <v>1230</v>
      </c>
      <c r="C60" s="21" t="s">
        <v>471</v>
      </c>
      <c r="D60" s="14"/>
      <c r="E60" s="22"/>
      <c r="F60" s="23"/>
      <c r="G60" s="23"/>
      <c r="H60" s="24" t="s">
        <v>203</v>
      </c>
      <c r="I60" s="45">
        <v>4</v>
      </c>
      <c r="J60" s="25">
        <f>'Harga Satuan Dasar mat'!G603</f>
        <v>19144</v>
      </c>
      <c r="K60" s="26">
        <f t="shared" ref="K60:K61" si="5">I60*J60</f>
        <v>76576</v>
      </c>
    </row>
    <row r="61" spans="1:11" ht="13.2" customHeight="1" x14ac:dyDescent="0.25">
      <c r="A61" s="2"/>
      <c r="B61" s="20" t="s">
        <v>1231</v>
      </c>
      <c r="C61" s="21" t="s">
        <v>1470</v>
      </c>
      <c r="D61" s="14"/>
      <c r="E61" s="22"/>
      <c r="F61" s="23"/>
      <c r="G61" s="23"/>
      <c r="H61" s="24" t="s">
        <v>203</v>
      </c>
      <c r="I61" s="65">
        <v>4</v>
      </c>
      <c r="J61" s="25">
        <f>'Harga Satuan Dasar mat'!G754</f>
        <v>25750</v>
      </c>
      <c r="K61" s="26">
        <f t="shared" si="5"/>
        <v>103000</v>
      </c>
    </row>
    <row r="62" spans="1:11" ht="12.9" customHeight="1" x14ac:dyDescent="0.25">
      <c r="A62" s="6"/>
      <c r="B62" s="7"/>
      <c r="C62" s="8"/>
      <c r="D62" s="8"/>
      <c r="E62" s="8"/>
      <c r="F62" s="8"/>
      <c r="G62" s="9"/>
      <c r="H62" s="10" t="s">
        <v>715</v>
      </c>
      <c r="I62" s="11"/>
      <c r="J62" s="11"/>
      <c r="K62" s="27">
        <f>SUM(K59:K61)</f>
        <v>179576</v>
      </c>
    </row>
    <row r="63" spans="1:11" ht="12.9" customHeight="1" x14ac:dyDescent="0.25">
      <c r="A63" s="6"/>
      <c r="B63" s="5"/>
      <c r="C63" s="3"/>
      <c r="D63" s="3"/>
      <c r="E63" s="3"/>
      <c r="F63" s="3"/>
      <c r="G63" s="4"/>
      <c r="H63" s="12" t="s">
        <v>603</v>
      </c>
      <c r="I63" s="28">
        <f>$K$3</f>
        <v>0.15</v>
      </c>
      <c r="J63" s="13"/>
      <c r="K63" s="29">
        <f>I63*K62</f>
        <v>26936.399999999998</v>
      </c>
    </row>
    <row r="64" spans="1:11" ht="12.9" customHeight="1" x14ac:dyDescent="0.25">
      <c r="A64" s="6"/>
      <c r="B64" s="5"/>
      <c r="C64" s="3"/>
      <c r="D64" s="3"/>
      <c r="E64" s="3"/>
      <c r="F64" s="3"/>
      <c r="G64" s="4"/>
      <c r="H64" s="12" t="s">
        <v>604</v>
      </c>
      <c r="I64" s="14"/>
      <c r="J64" s="14"/>
      <c r="K64" s="29">
        <f>SUM(K62:K63)</f>
        <v>206512.4</v>
      </c>
    </row>
    <row r="65" spans="1:11" ht="12.9" customHeight="1" thickBot="1" x14ac:dyDescent="0.3">
      <c r="A65" s="15"/>
      <c r="B65" s="16"/>
      <c r="C65" s="17"/>
      <c r="D65" s="17"/>
      <c r="E65" s="17"/>
      <c r="F65" s="17"/>
      <c r="G65" s="18"/>
      <c r="H65" s="46" t="s">
        <v>605</v>
      </c>
      <c r="I65" s="47"/>
      <c r="J65" s="47"/>
      <c r="K65" s="144">
        <f>ROUND(K64,-1)</f>
        <v>206510</v>
      </c>
    </row>
    <row r="66" spans="1:11" ht="14.1" customHeight="1" x14ac:dyDescent="0.25">
      <c r="A66" s="81">
        <v>7</v>
      </c>
      <c r="B66" s="703" t="s">
        <v>713</v>
      </c>
      <c r="C66" s="704"/>
      <c r="D66" s="137" t="s">
        <v>1466</v>
      </c>
      <c r="E66" s="138"/>
      <c r="F66" s="139"/>
      <c r="G66" s="139"/>
      <c r="H66" s="140"/>
      <c r="I66" s="141"/>
      <c r="J66" s="142"/>
      <c r="K66" s="143"/>
    </row>
    <row r="67" spans="1:11" ht="13.2" customHeight="1" x14ac:dyDescent="0.25">
      <c r="A67" s="2"/>
      <c r="B67" s="20" t="s">
        <v>1229</v>
      </c>
      <c r="C67" s="21" t="s">
        <v>1471</v>
      </c>
      <c r="D67" s="14"/>
      <c r="E67" s="22"/>
      <c r="F67" s="23"/>
      <c r="G67" s="23"/>
      <c r="H67" s="24" t="s">
        <v>264</v>
      </c>
      <c r="I67" s="45">
        <v>2</v>
      </c>
      <c r="J67" s="69" t="s">
        <v>1469</v>
      </c>
      <c r="K67" s="26"/>
    </row>
    <row r="68" spans="1:11" ht="13.2" customHeight="1" x14ac:dyDescent="0.25">
      <c r="A68" s="2"/>
      <c r="B68" s="20" t="s">
        <v>1230</v>
      </c>
      <c r="C68" s="21" t="s">
        <v>1472</v>
      </c>
      <c r="D68" s="14"/>
      <c r="E68" s="22"/>
      <c r="F68" s="23"/>
      <c r="G68" s="23"/>
      <c r="H68" s="24" t="s">
        <v>203</v>
      </c>
      <c r="I68" s="45">
        <v>4</v>
      </c>
      <c r="J68" s="25">
        <f>'Harga Satuan Dasar mat'!G604</f>
        <v>19298</v>
      </c>
      <c r="K68" s="26">
        <f t="shared" ref="K68:K69" si="6">I68*J68</f>
        <v>77192</v>
      </c>
    </row>
    <row r="69" spans="1:11" ht="13.2" customHeight="1" x14ac:dyDescent="0.25">
      <c r="A69" s="2"/>
      <c r="B69" s="20" t="s">
        <v>1231</v>
      </c>
      <c r="C69" s="21" t="s">
        <v>1470</v>
      </c>
      <c r="D69" s="14"/>
      <c r="E69" s="22"/>
      <c r="F69" s="23"/>
      <c r="G69" s="23"/>
      <c r="H69" s="24" t="s">
        <v>203</v>
      </c>
      <c r="I69" s="65">
        <v>4</v>
      </c>
      <c r="J69" s="25">
        <f>J61</f>
        <v>25750</v>
      </c>
      <c r="K69" s="26">
        <f t="shared" si="6"/>
        <v>103000</v>
      </c>
    </row>
    <row r="70" spans="1:11" ht="12.9" customHeight="1" x14ac:dyDescent="0.25">
      <c r="A70" s="6"/>
      <c r="B70" s="7"/>
      <c r="C70" s="8"/>
      <c r="D70" s="8"/>
      <c r="E70" s="8"/>
      <c r="F70" s="8"/>
      <c r="G70" s="9"/>
      <c r="H70" s="10" t="s">
        <v>715</v>
      </c>
      <c r="I70" s="11"/>
      <c r="J70" s="11"/>
      <c r="K70" s="27">
        <f>SUM(K67:K69)</f>
        <v>180192</v>
      </c>
    </row>
    <row r="71" spans="1:11" ht="12.9" customHeight="1" x14ac:dyDescent="0.25">
      <c r="A71" s="6"/>
      <c r="B71" s="5"/>
      <c r="C71" s="3"/>
      <c r="D71" s="3"/>
      <c r="E71" s="3"/>
      <c r="F71" s="3"/>
      <c r="G71" s="4"/>
      <c r="H71" s="12" t="s">
        <v>603</v>
      </c>
      <c r="I71" s="28">
        <f>$K$3</f>
        <v>0.15</v>
      </c>
      <c r="J71" s="13"/>
      <c r="K71" s="29">
        <f>I71*K70</f>
        <v>27028.799999999999</v>
      </c>
    </row>
    <row r="72" spans="1:11" ht="12.9" customHeight="1" x14ac:dyDescent="0.25">
      <c r="A72" s="6"/>
      <c r="B72" s="5"/>
      <c r="C72" s="3"/>
      <c r="D72" s="3"/>
      <c r="E72" s="3"/>
      <c r="F72" s="3"/>
      <c r="G72" s="4"/>
      <c r="H72" s="12" t="s">
        <v>604</v>
      </c>
      <c r="I72" s="14"/>
      <c r="J72" s="14"/>
      <c r="K72" s="29">
        <f>SUM(K70:K71)</f>
        <v>207220.8</v>
      </c>
    </row>
    <row r="73" spans="1:11" ht="12.9" customHeight="1" thickBot="1" x14ac:dyDescent="0.3">
      <c r="A73" s="15"/>
      <c r="B73" s="16"/>
      <c r="C73" s="17"/>
      <c r="D73" s="17"/>
      <c r="E73" s="17"/>
      <c r="F73" s="17"/>
      <c r="G73" s="18"/>
      <c r="H73" s="46" t="s">
        <v>605</v>
      </c>
      <c r="I73" s="47"/>
      <c r="J73" s="47"/>
      <c r="K73" s="144">
        <f>ROUND(K72,-1)</f>
        <v>207220</v>
      </c>
    </row>
    <row r="74" spans="1:11" ht="14.1" customHeight="1" x14ac:dyDescent="0.25">
      <c r="A74" s="81">
        <v>8</v>
      </c>
      <c r="B74" s="703" t="s">
        <v>713</v>
      </c>
      <c r="C74" s="704"/>
      <c r="D74" s="137" t="s">
        <v>1467</v>
      </c>
      <c r="E74" s="138"/>
      <c r="F74" s="139"/>
      <c r="G74" s="139"/>
      <c r="H74" s="140"/>
      <c r="I74" s="141"/>
      <c r="J74" s="142"/>
      <c r="K74" s="143"/>
    </row>
    <row r="75" spans="1:11" ht="13.2" customHeight="1" x14ac:dyDescent="0.25">
      <c r="A75" s="2"/>
      <c r="B75" s="20" t="s">
        <v>1229</v>
      </c>
      <c r="C75" s="21" t="s">
        <v>1473</v>
      </c>
      <c r="D75" s="14"/>
      <c r="E75" s="22"/>
      <c r="F75" s="23"/>
      <c r="G75" s="23"/>
      <c r="H75" s="24" t="s">
        <v>264</v>
      </c>
      <c r="I75" s="45">
        <v>2</v>
      </c>
      <c r="J75" s="69" t="s">
        <v>1469</v>
      </c>
      <c r="K75" s="26"/>
    </row>
    <row r="76" spans="1:11" ht="13.2" customHeight="1" x14ac:dyDescent="0.25">
      <c r="A76" s="2"/>
      <c r="B76" s="20" t="s">
        <v>1230</v>
      </c>
      <c r="C76" s="21" t="s">
        <v>473</v>
      </c>
      <c r="D76" s="14"/>
      <c r="E76" s="22"/>
      <c r="F76" s="23"/>
      <c r="G76" s="23"/>
      <c r="H76" s="24" t="s">
        <v>203</v>
      </c>
      <c r="I76" s="45">
        <v>4</v>
      </c>
      <c r="J76" s="25">
        <f>'Harga Satuan Dasar mat'!G605</f>
        <v>22200</v>
      </c>
      <c r="K76" s="26">
        <f t="shared" ref="K76:K77" si="7">I76*J76</f>
        <v>88800</v>
      </c>
    </row>
    <row r="77" spans="1:11" ht="13.2" customHeight="1" x14ac:dyDescent="0.25">
      <c r="A77" s="2"/>
      <c r="B77" s="20" t="s">
        <v>1231</v>
      </c>
      <c r="C77" s="21" t="s">
        <v>1470</v>
      </c>
      <c r="D77" s="14"/>
      <c r="E77" s="22"/>
      <c r="F77" s="23"/>
      <c r="G77" s="23"/>
      <c r="H77" s="24" t="s">
        <v>203</v>
      </c>
      <c r="I77" s="65">
        <v>4</v>
      </c>
      <c r="J77" s="25">
        <f>J69</f>
        <v>25750</v>
      </c>
      <c r="K77" s="26">
        <f t="shared" si="7"/>
        <v>103000</v>
      </c>
    </row>
    <row r="78" spans="1:11" ht="12.9" customHeight="1" x14ac:dyDescent="0.25">
      <c r="A78" s="6"/>
      <c r="B78" s="7"/>
      <c r="C78" s="8"/>
      <c r="D78" s="8"/>
      <c r="E78" s="8"/>
      <c r="F78" s="8"/>
      <c r="G78" s="9"/>
      <c r="H78" s="10" t="s">
        <v>715</v>
      </c>
      <c r="I78" s="11"/>
      <c r="J78" s="11"/>
      <c r="K78" s="27">
        <f>SUM(K75:K77)</f>
        <v>191800</v>
      </c>
    </row>
    <row r="79" spans="1:11" ht="12.9" customHeight="1" x14ac:dyDescent="0.25">
      <c r="A79" s="6"/>
      <c r="B79" s="5"/>
      <c r="C79" s="3"/>
      <c r="D79" s="3"/>
      <c r="E79" s="3"/>
      <c r="F79" s="3"/>
      <c r="G79" s="4"/>
      <c r="H79" s="12" t="s">
        <v>603</v>
      </c>
      <c r="I79" s="28">
        <f>$K$3</f>
        <v>0.15</v>
      </c>
      <c r="J79" s="13"/>
      <c r="K79" s="29">
        <f>I79*K78</f>
        <v>28770</v>
      </c>
    </row>
    <row r="80" spans="1:11" ht="12.9" customHeight="1" x14ac:dyDescent="0.25">
      <c r="A80" s="6"/>
      <c r="B80" s="5"/>
      <c r="C80" s="3"/>
      <c r="D80" s="3"/>
      <c r="E80" s="3"/>
      <c r="F80" s="3"/>
      <c r="G80" s="4"/>
      <c r="H80" s="12" t="s">
        <v>604</v>
      </c>
      <c r="I80" s="14"/>
      <c r="J80" s="14"/>
      <c r="K80" s="29">
        <f>SUM(K78:K79)</f>
        <v>220570</v>
      </c>
    </row>
    <row r="81" spans="1:11" ht="12.9" customHeight="1" thickBot="1" x14ac:dyDescent="0.3">
      <c r="A81" s="15"/>
      <c r="B81" s="16"/>
      <c r="C81" s="17"/>
      <c r="D81" s="17"/>
      <c r="E81" s="17"/>
      <c r="F81" s="17"/>
      <c r="G81" s="18"/>
      <c r="H81" s="46" t="s">
        <v>605</v>
      </c>
      <c r="I81" s="47"/>
      <c r="J81" s="47"/>
      <c r="K81" s="144">
        <f>ROUND(K80,-1)</f>
        <v>220570</v>
      </c>
    </row>
  </sheetData>
  <mergeCells count="17">
    <mergeCell ref="B66:C66"/>
    <mergeCell ref="B74:C74"/>
    <mergeCell ref="B7:C7"/>
    <mergeCell ref="B17:C17"/>
    <mergeCell ref="B27:C27"/>
    <mergeCell ref="B37:C37"/>
    <mergeCell ref="B48:C48"/>
    <mergeCell ref="B58:C58"/>
    <mergeCell ref="A1:K1"/>
    <mergeCell ref="A4:A6"/>
    <mergeCell ref="B4:G6"/>
    <mergeCell ref="H4:H6"/>
    <mergeCell ref="I4:I6"/>
    <mergeCell ref="J4:K4"/>
    <mergeCell ref="J5:J6"/>
    <mergeCell ref="K5:K6"/>
    <mergeCell ref="A2:K2"/>
  </mergeCells>
  <pageMargins left="0.47244094488188981" right="0.11811023622047245" top="0.35433070866141736" bottom="0.15748031496062992" header="0.31496062992125984" footer="0.31496062992125984"/>
  <pageSetup paperSize="9" scale="87" orientation="portrait" verticalDpi="0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5BF4-22A0-4563-B260-A74BBB009756}">
  <sheetPr>
    <tabColor rgb="FFFFC000"/>
  </sheetPr>
  <dimension ref="A1:K31"/>
  <sheetViews>
    <sheetView workbookViewId="0">
      <selection activeCell="K33" sqref="K33"/>
    </sheetView>
  </sheetViews>
  <sheetFormatPr defaultRowHeight="13.8" x14ac:dyDescent="0.25"/>
  <cols>
    <col min="1" max="1" width="4.3984375" customWidth="1"/>
    <col min="2" max="2" width="4" customWidth="1"/>
    <col min="7" max="7" width="20.69921875" customWidth="1"/>
    <col min="11" max="11" width="11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1475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1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99" t="s">
        <v>713</v>
      </c>
      <c r="C7" s="700"/>
      <c r="D7" s="137" t="s">
        <v>1722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592</v>
      </c>
      <c r="D8" s="14"/>
      <c r="E8" s="22"/>
      <c r="F8" s="23"/>
      <c r="G8" s="23"/>
      <c r="H8" s="24" t="s">
        <v>203</v>
      </c>
      <c r="I8" s="45">
        <v>1</v>
      </c>
      <c r="J8" s="25">
        <f>'Harga Satuan Dasar mat'!G742</f>
        <v>94700</v>
      </c>
      <c r="K8" s="26">
        <f>I8*J8</f>
        <v>94700</v>
      </c>
    </row>
    <row r="9" spans="1:11" ht="13.2" customHeight="1" x14ac:dyDescent="0.25">
      <c r="A9" s="2"/>
      <c r="B9" s="20" t="s">
        <v>30</v>
      </c>
      <c r="C9" s="21" t="s">
        <v>1669</v>
      </c>
      <c r="D9" s="14"/>
      <c r="E9" s="22"/>
      <c r="F9" s="23"/>
      <c r="G9" s="23"/>
      <c r="H9" s="24" t="s">
        <v>203</v>
      </c>
      <c r="I9" s="45">
        <v>5</v>
      </c>
      <c r="J9" s="25">
        <f>'Harga Satuan Dasar mat'!G766</f>
        <v>10750</v>
      </c>
      <c r="K9" s="26">
        <f>I9*J9</f>
        <v>53750</v>
      </c>
    </row>
    <row r="10" spans="1:11" ht="12.9" customHeight="1" x14ac:dyDescent="0.25">
      <c r="A10" s="6"/>
      <c r="B10" s="7"/>
      <c r="C10" s="8"/>
      <c r="D10" s="8"/>
      <c r="E10" s="8"/>
      <c r="F10" s="8"/>
      <c r="G10" s="9"/>
      <c r="H10" s="10" t="s">
        <v>715</v>
      </c>
      <c r="I10" s="11"/>
      <c r="J10" s="11"/>
      <c r="K10" s="27">
        <f>SUM(K8:K9)</f>
        <v>148450</v>
      </c>
    </row>
    <row r="11" spans="1:11" ht="12.9" customHeight="1" x14ac:dyDescent="0.25">
      <c r="A11" s="6"/>
      <c r="B11" s="5"/>
      <c r="C11" s="3"/>
      <c r="D11" s="3"/>
      <c r="E11" s="3"/>
      <c r="F11" s="3"/>
      <c r="G11" s="4"/>
      <c r="H11" s="12" t="s">
        <v>603</v>
      </c>
      <c r="I11" s="28">
        <f>K3</f>
        <v>0.15</v>
      </c>
      <c r="J11" s="38"/>
      <c r="K11" s="29">
        <f>I11*K10</f>
        <v>22267.5</v>
      </c>
    </row>
    <row r="12" spans="1:11" ht="12.9" customHeight="1" x14ac:dyDescent="0.25">
      <c r="A12" s="6"/>
      <c r="B12" s="5"/>
      <c r="C12" s="3"/>
      <c r="D12" s="3"/>
      <c r="E12" s="3"/>
      <c r="F12" s="3"/>
      <c r="G12" s="4"/>
      <c r="H12" s="12" t="s">
        <v>604</v>
      </c>
      <c r="I12" s="14"/>
      <c r="J12" s="14"/>
      <c r="K12" s="29">
        <f>SUM(K10:K11)</f>
        <v>170717.5</v>
      </c>
    </row>
    <row r="13" spans="1:11" ht="12.9" customHeight="1" thickBot="1" x14ac:dyDescent="0.3">
      <c r="A13" s="15"/>
      <c r="B13" s="16"/>
      <c r="C13" s="17"/>
      <c r="D13" s="17"/>
      <c r="E13" s="17"/>
      <c r="F13" s="17"/>
      <c r="G13" s="18"/>
      <c r="H13" s="46" t="s">
        <v>605</v>
      </c>
      <c r="I13" s="47"/>
      <c r="J13" s="47"/>
      <c r="K13" s="144">
        <f>ROUND(K12,-1)</f>
        <v>170720</v>
      </c>
    </row>
    <row r="14" spans="1:11" ht="14.1" customHeight="1" x14ac:dyDescent="0.25">
      <c r="A14" s="81">
        <v>2</v>
      </c>
      <c r="B14" s="705" t="s">
        <v>713</v>
      </c>
      <c r="C14" s="706"/>
      <c r="D14" s="82" t="s">
        <v>1853</v>
      </c>
      <c r="E14" s="83"/>
      <c r="F14" s="84"/>
      <c r="G14" s="85"/>
      <c r="H14" s="140"/>
      <c r="I14" s="141"/>
      <c r="J14" s="142"/>
      <c r="K14" s="143"/>
    </row>
    <row r="15" spans="1:11" ht="13.2" customHeight="1" x14ac:dyDescent="0.25">
      <c r="A15" s="2"/>
      <c r="B15" s="20" t="s">
        <v>4</v>
      </c>
      <c r="C15" s="21" t="s">
        <v>1915</v>
      </c>
      <c r="D15" s="14"/>
      <c r="E15" s="22"/>
      <c r="F15" s="23"/>
      <c r="G15" s="136"/>
      <c r="H15" s="24" t="s">
        <v>235</v>
      </c>
      <c r="I15" s="41">
        <v>2</v>
      </c>
      <c r="J15" s="25">
        <f>'Harga Satuan Dasar mat'!G151</f>
        <v>400000</v>
      </c>
      <c r="K15" s="26">
        <f t="shared" ref="K15:K18" si="0">I15*J15</f>
        <v>800000</v>
      </c>
    </row>
    <row r="16" spans="1:11" ht="13.2" customHeight="1" x14ac:dyDescent="0.25">
      <c r="A16" s="2"/>
      <c r="B16" s="20" t="s">
        <v>30</v>
      </c>
      <c r="C16" s="21" t="s">
        <v>1920</v>
      </c>
      <c r="D16" s="14"/>
      <c r="E16" s="22"/>
      <c r="F16" s="23"/>
      <c r="G16" s="136"/>
      <c r="H16" s="24" t="s">
        <v>235</v>
      </c>
      <c r="I16" s="41">
        <v>3</v>
      </c>
      <c r="J16" s="25">
        <f>'Harga Satuan Dasar mat'!G328</f>
        <v>333000</v>
      </c>
      <c r="K16" s="26">
        <f t="shared" si="0"/>
        <v>999000</v>
      </c>
    </row>
    <row r="17" spans="1:11" ht="13.2" customHeight="1" x14ac:dyDescent="0.25">
      <c r="A17" s="2"/>
      <c r="B17" s="20" t="s">
        <v>57</v>
      </c>
      <c r="C17" s="21" t="s">
        <v>209</v>
      </c>
      <c r="D17" s="14"/>
      <c r="E17" s="22"/>
      <c r="F17" s="23"/>
      <c r="G17" s="136"/>
      <c r="H17" s="24" t="s">
        <v>203</v>
      </c>
      <c r="I17" s="41">
        <v>4</v>
      </c>
      <c r="J17" s="25">
        <f>'Harga Satuan Dasar mat'!G249</f>
        <v>25000</v>
      </c>
      <c r="K17" s="26">
        <f t="shared" si="0"/>
        <v>100000</v>
      </c>
    </row>
    <row r="18" spans="1:11" ht="13.2" customHeight="1" x14ac:dyDescent="0.25">
      <c r="A18" s="2"/>
      <c r="B18" s="20" t="s">
        <v>83</v>
      </c>
      <c r="C18" s="21" t="s">
        <v>594</v>
      </c>
      <c r="D18" s="14"/>
      <c r="E18" s="22"/>
      <c r="F18" s="23"/>
      <c r="G18" s="136"/>
      <c r="H18" s="24" t="s">
        <v>203</v>
      </c>
      <c r="I18" s="41">
        <v>4</v>
      </c>
      <c r="J18" s="25">
        <f>'Harga Satuan Dasar mat'!G744</f>
        <v>18700</v>
      </c>
      <c r="K18" s="26">
        <f t="shared" si="0"/>
        <v>74800</v>
      </c>
    </row>
    <row r="19" spans="1:11" ht="12.9" customHeight="1" x14ac:dyDescent="0.25">
      <c r="A19" s="6"/>
      <c r="B19" s="7"/>
      <c r="C19" s="8"/>
      <c r="D19" s="8"/>
      <c r="E19" s="8"/>
      <c r="F19" s="8"/>
      <c r="G19" s="9"/>
      <c r="H19" s="10" t="s">
        <v>715</v>
      </c>
      <c r="I19" s="11"/>
      <c r="J19" s="11"/>
      <c r="K19" s="27">
        <f>SUM(K15:K18)</f>
        <v>1973800</v>
      </c>
    </row>
    <row r="20" spans="1:11" ht="12.9" customHeight="1" x14ac:dyDescent="0.25">
      <c r="A20" s="6"/>
      <c r="B20" s="5"/>
      <c r="C20" s="3"/>
      <c r="D20" s="3"/>
      <c r="E20" s="3"/>
      <c r="F20" s="3"/>
      <c r="G20" s="4"/>
      <c r="H20" s="12" t="s">
        <v>603</v>
      </c>
      <c r="I20" s="28">
        <f>I11</f>
        <v>0.15</v>
      </c>
      <c r="J20" s="13"/>
      <c r="K20" s="29">
        <f>I20*K19</f>
        <v>296070</v>
      </c>
    </row>
    <row r="21" spans="1:11" ht="12.9" customHeight="1" x14ac:dyDescent="0.25">
      <c r="A21" s="6"/>
      <c r="B21" s="5"/>
      <c r="C21" s="3"/>
      <c r="D21" s="3"/>
      <c r="E21" s="3"/>
      <c r="F21" s="3"/>
      <c r="G21" s="4"/>
      <c r="H21" s="12" t="s">
        <v>604</v>
      </c>
      <c r="I21" s="14"/>
      <c r="J21" s="14"/>
      <c r="K21" s="29">
        <f>SUM(K19:K20)</f>
        <v>2269870</v>
      </c>
    </row>
    <row r="22" spans="1:11" ht="12.9" customHeight="1" thickBot="1" x14ac:dyDescent="0.3">
      <c r="A22" s="15"/>
      <c r="B22" s="16"/>
      <c r="C22" s="17"/>
      <c r="D22" s="17"/>
      <c r="E22" s="17"/>
      <c r="F22" s="17"/>
      <c r="G22" s="18"/>
      <c r="H22" s="46" t="s">
        <v>605</v>
      </c>
      <c r="I22" s="47"/>
      <c r="J22" s="47"/>
      <c r="K22" s="144">
        <f>ROUND(K21,-1)</f>
        <v>2269870</v>
      </c>
    </row>
    <row r="23" spans="1:11" ht="14.1" customHeight="1" x14ac:dyDescent="0.25">
      <c r="A23" s="81">
        <v>3</v>
      </c>
      <c r="B23" s="676" t="s">
        <v>1832</v>
      </c>
      <c r="C23" s="677"/>
      <c r="D23" s="149" t="s">
        <v>1833</v>
      </c>
      <c r="E23" s="138"/>
      <c r="F23" s="139"/>
      <c r="G23" s="139"/>
      <c r="H23" s="140"/>
      <c r="I23" s="141"/>
      <c r="J23" s="142"/>
      <c r="K23" s="143"/>
    </row>
    <row r="24" spans="1:11" ht="13.2" customHeight="1" x14ac:dyDescent="0.25">
      <c r="A24" s="2"/>
      <c r="B24" s="20" t="s">
        <v>4</v>
      </c>
      <c r="C24" s="21" t="s">
        <v>599</v>
      </c>
      <c r="D24" s="151"/>
      <c r="E24" s="152"/>
      <c r="F24" s="21"/>
      <c r="G24" s="21"/>
      <c r="H24" s="24" t="s">
        <v>600</v>
      </c>
      <c r="I24" s="63">
        <v>8.3000000000000007</v>
      </c>
      <c r="J24" s="25">
        <f>'Harga Satuan Dasar mat'!G760</f>
        <v>51500</v>
      </c>
      <c r="K24" s="89">
        <f>I24*J24</f>
        <v>427450.00000000006</v>
      </c>
    </row>
    <row r="25" spans="1:11" ht="13.2" customHeight="1" x14ac:dyDescent="0.25">
      <c r="A25" s="2"/>
      <c r="B25" s="20" t="s">
        <v>30</v>
      </c>
      <c r="C25" s="21" t="s">
        <v>601</v>
      </c>
      <c r="D25" s="151"/>
      <c r="E25" s="152"/>
      <c r="F25" s="21"/>
      <c r="G25" s="21"/>
      <c r="H25" s="24" t="s">
        <v>596</v>
      </c>
      <c r="I25" s="63">
        <v>0.83</v>
      </c>
      <c r="J25" s="25">
        <f>'Harga Satuan Dasar mat'!G761</f>
        <v>595000</v>
      </c>
      <c r="K25" s="89">
        <f t="shared" ref="K25:K26" si="1">I25*J25</f>
        <v>493850</v>
      </c>
    </row>
    <row r="26" spans="1:11" ht="13.2" customHeight="1" x14ac:dyDescent="0.25">
      <c r="A26" s="2"/>
      <c r="B26" s="20" t="s">
        <v>57</v>
      </c>
      <c r="C26" s="21" t="s">
        <v>602</v>
      </c>
      <c r="D26" s="151"/>
      <c r="E26" s="152"/>
      <c r="F26" s="21"/>
      <c r="G26" s="21"/>
      <c r="H26" s="24" t="s">
        <v>596</v>
      </c>
      <c r="I26" s="64">
        <v>0.54</v>
      </c>
      <c r="J26" s="25">
        <f>'Harga Satuan Dasar mat'!G764</f>
        <v>445500</v>
      </c>
      <c r="K26" s="89">
        <f t="shared" si="1"/>
        <v>240570.00000000003</v>
      </c>
    </row>
    <row r="27" spans="1:11" ht="15" customHeight="1" thickBot="1" x14ac:dyDescent="0.3">
      <c r="A27" s="15"/>
      <c r="B27" s="16"/>
      <c r="C27" s="17"/>
      <c r="D27" s="17"/>
      <c r="E27" s="17"/>
      <c r="F27" s="17"/>
      <c r="G27" s="18"/>
      <c r="H27" s="153" t="s">
        <v>715</v>
      </c>
      <c r="I27" s="154"/>
      <c r="J27" s="154"/>
      <c r="K27" s="155">
        <f>SUM(K24:K26)</f>
        <v>1161870</v>
      </c>
    </row>
    <row r="28" spans="1:11" ht="14.1" customHeight="1" x14ac:dyDescent="0.25">
      <c r="A28" s="81"/>
      <c r="B28" s="705" t="s">
        <v>1477</v>
      </c>
      <c r="C28" s="706"/>
      <c r="D28" s="82" t="s">
        <v>1807</v>
      </c>
      <c r="E28" s="83"/>
      <c r="F28" s="84"/>
      <c r="G28" s="85"/>
      <c r="H28" s="86" t="s">
        <v>596</v>
      </c>
      <c r="I28" s="91">
        <f>(90*40*90)/1000000</f>
        <v>0.32400000000000001</v>
      </c>
      <c r="J28" s="92">
        <f>K27</f>
        <v>1161870</v>
      </c>
      <c r="K28" s="87">
        <f>I28*J28</f>
        <v>376445.88</v>
      </c>
    </row>
    <row r="29" spans="1:11" ht="12.9" customHeight="1" x14ac:dyDescent="0.25">
      <c r="A29" s="6"/>
      <c r="B29" s="5"/>
      <c r="C29" s="3"/>
      <c r="D29" s="3" t="s">
        <v>1921</v>
      </c>
      <c r="E29" s="3"/>
      <c r="F29" s="3"/>
      <c r="G29" s="4"/>
      <c r="H29" s="12" t="s">
        <v>603</v>
      </c>
      <c r="I29" s="37">
        <f>I20</f>
        <v>0.15</v>
      </c>
      <c r="J29" s="13"/>
      <c r="K29" s="90">
        <f>K28*I29</f>
        <v>56466.881999999998</v>
      </c>
    </row>
    <row r="30" spans="1:11" ht="12.9" customHeight="1" x14ac:dyDescent="0.25">
      <c r="A30" s="6"/>
      <c r="B30" s="5"/>
      <c r="C30" s="3"/>
      <c r="D30" s="3"/>
      <c r="E30" s="3"/>
      <c r="F30" s="3"/>
      <c r="G30" s="4"/>
      <c r="H30" s="12" t="s">
        <v>604</v>
      </c>
      <c r="I30" s="14"/>
      <c r="J30" s="14"/>
      <c r="K30" s="90">
        <f>K28+K29</f>
        <v>432912.76199999999</v>
      </c>
    </row>
    <row r="31" spans="1:11" ht="12.9" customHeight="1" thickBot="1" x14ac:dyDescent="0.3">
      <c r="A31" s="15"/>
      <c r="B31" s="16"/>
      <c r="C31" s="17"/>
      <c r="D31" s="17"/>
      <c r="E31" s="17"/>
      <c r="F31" s="17"/>
      <c r="G31" s="18"/>
      <c r="H31" s="46" t="s">
        <v>605</v>
      </c>
      <c r="I31" s="47"/>
      <c r="J31" s="47"/>
      <c r="K31" s="150">
        <f>ROUND(K30,-1)</f>
        <v>432910</v>
      </c>
    </row>
  </sheetData>
  <mergeCells count="13">
    <mergeCell ref="A1:K1"/>
    <mergeCell ref="A2:K2"/>
    <mergeCell ref="B14:C14"/>
    <mergeCell ref="B23:C23"/>
    <mergeCell ref="B28:C28"/>
    <mergeCell ref="B7:C7"/>
    <mergeCell ref="A4:A6"/>
    <mergeCell ref="B4:G6"/>
    <mergeCell ref="H4:H6"/>
    <mergeCell ref="I4:I6"/>
    <mergeCell ref="J4:K4"/>
    <mergeCell ref="J5:J6"/>
    <mergeCell ref="K5:K6"/>
  </mergeCells>
  <pageMargins left="0.47244094488188981" right="0.11811023622047245" top="0.39370078740157483" bottom="0.15748031496062992" header="0.31496062992125984" footer="0.31496062992125984"/>
  <pageSetup paperSize="9" scale="8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7728-F539-4296-8C1B-478B63F6721E}">
  <sheetPr>
    <tabColor rgb="FFFFC000"/>
  </sheetPr>
  <dimension ref="A1:K160"/>
  <sheetViews>
    <sheetView topLeftCell="D122" zoomScaleNormal="100" zoomScaleSheetLayoutView="100" workbookViewId="0">
      <selection activeCell="K162" sqref="K162"/>
    </sheetView>
  </sheetViews>
  <sheetFormatPr defaultRowHeight="13.8" x14ac:dyDescent="0.25"/>
  <cols>
    <col min="1" max="1" width="4.3984375" customWidth="1"/>
    <col min="2" max="2" width="3.59765625" customWidth="1"/>
    <col min="3" max="3" width="5.69921875" customWidth="1"/>
    <col min="7" max="7" width="23.59765625" customWidth="1"/>
    <col min="11" max="11" width="9.6992187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1725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1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99" t="s">
        <v>713</v>
      </c>
      <c r="C7" s="700"/>
      <c r="D7" s="137" t="s">
        <v>1736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1737</v>
      </c>
      <c r="D8" s="14"/>
      <c r="E8" s="22"/>
      <c r="F8" s="23"/>
      <c r="G8" s="23"/>
      <c r="H8" s="24" t="s">
        <v>203</v>
      </c>
      <c r="I8" s="45">
        <v>1</v>
      </c>
      <c r="J8" s="55">
        <f>'Harga Satuan Dasar mat'!G99</f>
        <v>174250</v>
      </c>
      <c r="K8" s="26">
        <f>I8*J8</f>
        <v>174250</v>
      </c>
    </row>
    <row r="9" spans="1:11" ht="13.2" customHeight="1" x14ac:dyDescent="0.25">
      <c r="A9" s="2"/>
      <c r="B9" s="20" t="s">
        <v>30</v>
      </c>
      <c r="C9" s="21" t="s">
        <v>1727</v>
      </c>
      <c r="D9" s="14"/>
      <c r="E9" s="22"/>
      <c r="F9" s="23"/>
      <c r="G9" s="23"/>
      <c r="H9" s="24" t="s">
        <v>203</v>
      </c>
      <c r="I9" s="45">
        <v>1</v>
      </c>
      <c r="J9" s="25">
        <f>'Harga Satuan Dasar mat'!G734</f>
        <v>5700</v>
      </c>
      <c r="K9" s="26">
        <f t="shared" ref="K9:K13" si="0">I9*J9</f>
        <v>5700</v>
      </c>
    </row>
    <row r="10" spans="1:11" ht="13.2" customHeight="1" x14ac:dyDescent="0.25">
      <c r="A10" s="2"/>
      <c r="B10" s="20" t="s">
        <v>57</v>
      </c>
      <c r="C10" s="21" t="s">
        <v>1728</v>
      </c>
      <c r="D10" s="14"/>
      <c r="E10" s="22"/>
      <c r="F10" s="23"/>
      <c r="G10" s="23"/>
      <c r="H10" s="24" t="s">
        <v>264</v>
      </c>
      <c r="I10" s="63">
        <v>1</v>
      </c>
      <c r="J10" s="25">
        <f>'Harga Satuan Dasar mat'!G731</f>
        <v>14700</v>
      </c>
      <c r="K10" s="26">
        <f t="shared" si="0"/>
        <v>14700</v>
      </c>
    </row>
    <row r="11" spans="1:11" ht="13.2" customHeight="1" x14ac:dyDescent="0.25">
      <c r="A11" s="2"/>
      <c r="B11" s="20" t="s">
        <v>83</v>
      </c>
      <c r="C11" s="21" t="s">
        <v>1729</v>
      </c>
      <c r="D11" s="14"/>
      <c r="E11" s="22"/>
      <c r="F11" s="23"/>
      <c r="G11" s="23"/>
      <c r="H11" s="24" t="s">
        <v>203</v>
      </c>
      <c r="I11" s="79">
        <v>1</v>
      </c>
      <c r="J11" s="25">
        <f>'Harga Satuan Dasar mat'!G732</f>
        <v>3960</v>
      </c>
      <c r="K11" s="26">
        <f t="shared" si="0"/>
        <v>3960</v>
      </c>
    </row>
    <row r="12" spans="1:11" ht="13.2" customHeight="1" x14ac:dyDescent="0.25">
      <c r="A12" s="2"/>
      <c r="B12" s="77" t="s">
        <v>110</v>
      </c>
      <c r="C12" s="71" t="s">
        <v>586</v>
      </c>
      <c r="D12" s="72"/>
      <c r="E12" s="73"/>
      <c r="F12" s="74"/>
      <c r="G12" s="74"/>
      <c r="H12" s="24" t="s">
        <v>203</v>
      </c>
      <c r="I12" s="78">
        <v>1</v>
      </c>
      <c r="J12" s="76">
        <f>'Harga Satuan Dasar mat'!G733</f>
        <v>3650</v>
      </c>
      <c r="K12" s="26">
        <f t="shared" si="0"/>
        <v>3650</v>
      </c>
    </row>
    <row r="13" spans="1:11" ht="13.2" customHeight="1" x14ac:dyDescent="0.25">
      <c r="A13" s="2"/>
      <c r="B13" s="77" t="s">
        <v>137</v>
      </c>
      <c r="C13" s="71" t="s">
        <v>1730</v>
      </c>
      <c r="D13" s="72"/>
      <c r="E13" s="73"/>
      <c r="F13" s="74"/>
      <c r="G13" s="74"/>
      <c r="H13" s="24" t="s">
        <v>203</v>
      </c>
      <c r="I13" s="78">
        <v>2</v>
      </c>
      <c r="J13" s="80">
        <f>'Harga Satuan Dasar mat'!G601</f>
        <v>19500</v>
      </c>
      <c r="K13" s="26">
        <f t="shared" si="0"/>
        <v>39000</v>
      </c>
    </row>
    <row r="14" spans="1:11" ht="12.9" customHeight="1" x14ac:dyDescent="0.25">
      <c r="A14" s="6"/>
      <c r="B14" s="7"/>
      <c r="C14" s="8"/>
      <c r="D14" s="8"/>
      <c r="E14" s="8"/>
      <c r="F14" s="8"/>
      <c r="G14" s="9"/>
      <c r="H14" s="10" t="s">
        <v>715</v>
      </c>
      <c r="I14" s="11"/>
      <c r="J14" s="11"/>
      <c r="K14" s="27">
        <f>SUM(K8:K13)</f>
        <v>241260</v>
      </c>
    </row>
    <row r="15" spans="1:11" ht="12.9" customHeight="1" x14ac:dyDescent="0.25">
      <c r="A15" s="6"/>
      <c r="B15" s="5"/>
      <c r="C15" s="3"/>
      <c r="D15" s="3"/>
      <c r="E15" s="3"/>
      <c r="F15" s="3"/>
      <c r="G15" s="4"/>
      <c r="H15" s="12" t="s">
        <v>603</v>
      </c>
      <c r="I15" s="28">
        <f>K3</f>
        <v>0.15</v>
      </c>
      <c r="J15" s="38"/>
      <c r="K15" s="29">
        <f>I15*K14</f>
        <v>36189</v>
      </c>
    </row>
    <row r="16" spans="1:11" ht="12.9" customHeight="1" x14ac:dyDescent="0.25">
      <c r="A16" s="6"/>
      <c r="B16" s="5"/>
      <c r="C16" s="3"/>
      <c r="D16" s="3"/>
      <c r="E16" s="3"/>
      <c r="F16" s="3"/>
      <c r="G16" s="4"/>
      <c r="H16" s="12" t="s">
        <v>604</v>
      </c>
      <c r="I16" s="14"/>
      <c r="J16" s="14"/>
      <c r="K16" s="29">
        <f>SUM(K14:K15)</f>
        <v>277449</v>
      </c>
    </row>
    <row r="17" spans="1:11" ht="12.9" customHeight="1" thickBot="1" x14ac:dyDescent="0.3">
      <c r="A17" s="15"/>
      <c r="B17" s="16"/>
      <c r="C17" s="17"/>
      <c r="D17" s="17"/>
      <c r="E17" s="17"/>
      <c r="F17" s="17"/>
      <c r="G17" s="18"/>
      <c r="H17" s="46" t="s">
        <v>605</v>
      </c>
      <c r="I17" s="47"/>
      <c r="J17" s="47"/>
      <c r="K17" s="144">
        <f>ROUND(K16,-1)</f>
        <v>277450</v>
      </c>
    </row>
    <row r="18" spans="1:11" ht="14.1" customHeight="1" x14ac:dyDescent="0.25">
      <c r="A18" s="81">
        <v>2</v>
      </c>
      <c r="B18" s="699" t="s">
        <v>713</v>
      </c>
      <c r="C18" s="700"/>
      <c r="D18" s="137" t="s">
        <v>1731</v>
      </c>
      <c r="E18" s="138"/>
      <c r="F18" s="139"/>
      <c r="G18" s="139"/>
      <c r="H18" s="140"/>
      <c r="I18" s="141"/>
      <c r="J18" s="142"/>
      <c r="K18" s="143"/>
    </row>
    <row r="19" spans="1:11" ht="13.2" customHeight="1" x14ac:dyDescent="0.25">
      <c r="A19" s="2"/>
      <c r="B19" s="20" t="s">
        <v>4</v>
      </c>
      <c r="C19" s="21" t="s">
        <v>1726</v>
      </c>
      <c r="D19" s="14"/>
      <c r="E19" s="22"/>
      <c r="F19" s="23"/>
      <c r="G19" s="23"/>
      <c r="H19" s="24" t="s">
        <v>203</v>
      </c>
      <c r="I19" s="45">
        <v>1</v>
      </c>
      <c r="J19" s="55">
        <f>'Harga Satuan Dasar mat'!G96</f>
        <v>145500</v>
      </c>
      <c r="K19" s="26">
        <f>I19*J19</f>
        <v>145500</v>
      </c>
    </row>
    <row r="20" spans="1:11" ht="13.2" customHeight="1" x14ac:dyDescent="0.25">
      <c r="A20" s="2"/>
      <c r="B20" s="20" t="s">
        <v>30</v>
      </c>
      <c r="C20" s="21" t="s">
        <v>1727</v>
      </c>
      <c r="D20" s="14"/>
      <c r="E20" s="22"/>
      <c r="F20" s="23"/>
      <c r="G20" s="23"/>
      <c r="H20" s="24" t="s">
        <v>203</v>
      </c>
      <c r="I20" s="45">
        <v>1</v>
      </c>
      <c r="J20" s="25">
        <f>'Harga Satuan Dasar mat'!G734</f>
        <v>5700</v>
      </c>
      <c r="K20" s="26">
        <f t="shared" ref="K20:K24" si="1">I20*J20</f>
        <v>5700</v>
      </c>
    </row>
    <row r="21" spans="1:11" ht="13.2" customHeight="1" x14ac:dyDescent="0.25">
      <c r="A21" s="2"/>
      <c r="B21" s="20" t="s">
        <v>57</v>
      </c>
      <c r="C21" s="21" t="s">
        <v>1728</v>
      </c>
      <c r="D21" s="14"/>
      <c r="E21" s="22"/>
      <c r="F21" s="23"/>
      <c r="G21" s="23"/>
      <c r="H21" s="24" t="s">
        <v>264</v>
      </c>
      <c r="I21" s="63">
        <v>0.8</v>
      </c>
      <c r="J21" s="25">
        <f>'Harga Satuan Dasar mat'!G731</f>
        <v>14700</v>
      </c>
      <c r="K21" s="26">
        <f t="shared" si="1"/>
        <v>11760</v>
      </c>
    </row>
    <row r="22" spans="1:11" ht="13.2" customHeight="1" x14ac:dyDescent="0.25">
      <c r="A22" s="2"/>
      <c r="B22" s="20" t="s">
        <v>83</v>
      </c>
      <c r="C22" s="21" t="s">
        <v>1729</v>
      </c>
      <c r="D22" s="14"/>
      <c r="E22" s="22"/>
      <c r="F22" s="23"/>
      <c r="G22" s="23"/>
      <c r="H22" s="24" t="s">
        <v>203</v>
      </c>
      <c r="I22" s="79">
        <v>1</v>
      </c>
      <c r="J22" s="25">
        <f>'Harga Satuan Dasar mat'!G732</f>
        <v>3960</v>
      </c>
      <c r="K22" s="26">
        <f t="shared" si="1"/>
        <v>3960</v>
      </c>
    </row>
    <row r="23" spans="1:11" ht="13.2" customHeight="1" x14ac:dyDescent="0.25">
      <c r="A23" s="2"/>
      <c r="B23" s="77" t="s">
        <v>110</v>
      </c>
      <c r="C23" s="71" t="s">
        <v>586</v>
      </c>
      <c r="D23" s="72"/>
      <c r="E23" s="73"/>
      <c r="F23" s="74"/>
      <c r="G23" s="74"/>
      <c r="H23" s="24" t="s">
        <v>203</v>
      </c>
      <c r="I23" s="78">
        <v>1</v>
      </c>
      <c r="J23" s="76">
        <f>'Harga Satuan Dasar mat'!G733</f>
        <v>3650</v>
      </c>
      <c r="K23" s="26">
        <f t="shared" si="1"/>
        <v>3650</v>
      </c>
    </row>
    <row r="24" spans="1:11" ht="13.2" customHeight="1" x14ac:dyDescent="0.25">
      <c r="A24" s="2"/>
      <c r="B24" s="77" t="s">
        <v>137</v>
      </c>
      <c r="C24" s="71" t="s">
        <v>1730</v>
      </c>
      <c r="D24" s="72"/>
      <c r="E24" s="73"/>
      <c r="F24" s="74"/>
      <c r="G24" s="74"/>
      <c r="H24" s="24" t="s">
        <v>203</v>
      </c>
      <c r="I24" s="78">
        <v>2</v>
      </c>
      <c r="J24" s="80">
        <f>'Harga Satuan Dasar mat'!G601</f>
        <v>19500</v>
      </c>
      <c r="K24" s="26">
        <f t="shared" si="1"/>
        <v>39000</v>
      </c>
    </row>
    <row r="25" spans="1:11" ht="12.9" customHeight="1" x14ac:dyDescent="0.25">
      <c r="A25" s="6"/>
      <c r="B25" s="7"/>
      <c r="C25" s="8"/>
      <c r="D25" s="8"/>
      <c r="E25" s="8"/>
      <c r="F25" s="8"/>
      <c r="G25" s="9"/>
      <c r="H25" s="10" t="s">
        <v>715</v>
      </c>
      <c r="I25" s="11"/>
      <c r="J25" s="11"/>
      <c r="K25" s="27">
        <f>SUM(K19:K24)</f>
        <v>209570</v>
      </c>
    </row>
    <row r="26" spans="1:11" ht="12.9" customHeight="1" x14ac:dyDescent="0.25">
      <c r="A26" s="6"/>
      <c r="B26" s="5"/>
      <c r="C26" s="3"/>
      <c r="D26" s="3"/>
      <c r="E26" s="3"/>
      <c r="F26" s="3"/>
      <c r="G26" s="4"/>
      <c r="H26" s="12" t="s">
        <v>603</v>
      </c>
      <c r="I26" s="28">
        <f>K3</f>
        <v>0.15</v>
      </c>
      <c r="J26" s="38"/>
      <c r="K26" s="29">
        <f>I26*K25</f>
        <v>31435.5</v>
      </c>
    </row>
    <row r="27" spans="1:11" ht="12.9" customHeight="1" x14ac:dyDescent="0.25">
      <c r="A27" s="6"/>
      <c r="B27" s="5"/>
      <c r="C27" s="3"/>
      <c r="D27" s="3"/>
      <c r="E27" s="3"/>
      <c r="F27" s="3"/>
      <c r="G27" s="4"/>
      <c r="H27" s="12" t="s">
        <v>604</v>
      </c>
      <c r="I27" s="14"/>
      <c r="J27" s="14"/>
      <c r="K27" s="29">
        <f>SUM(K25:K26)</f>
        <v>241005.5</v>
      </c>
    </row>
    <row r="28" spans="1:11" ht="12.9" customHeight="1" thickBot="1" x14ac:dyDescent="0.3">
      <c r="A28" s="15"/>
      <c r="B28" s="16"/>
      <c r="C28" s="17"/>
      <c r="D28" s="17"/>
      <c r="E28" s="17"/>
      <c r="F28" s="17"/>
      <c r="G28" s="18"/>
      <c r="H28" s="46" t="s">
        <v>605</v>
      </c>
      <c r="I28" s="47"/>
      <c r="J28" s="47"/>
      <c r="K28" s="144">
        <f>ROUND(K27,-1)</f>
        <v>241010</v>
      </c>
    </row>
    <row r="29" spans="1:11" ht="14.1" customHeight="1" x14ac:dyDescent="0.25">
      <c r="A29" s="81">
        <v>3</v>
      </c>
      <c r="B29" s="699" t="s">
        <v>713</v>
      </c>
      <c r="C29" s="700"/>
      <c r="D29" s="137" t="s">
        <v>1732</v>
      </c>
      <c r="E29" s="138"/>
      <c r="F29" s="139"/>
      <c r="G29" s="139"/>
      <c r="H29" s="140"/>
      <c r="I29" s="141"/>
      <c r="J29" s="142"/>
      <c r="K29" s="143"/>
    </row>
    <row r="30" spans="1:11" ht="13.2" customHeight="1" x14ac:dyDescent="0.25">
      <c r="A30" s="2"/>
      <c r="B30" s="20" t="s">
        <v>4</v>
      </c>
      <c r="C30" s="21" t="s">
        <v>1733</v>
      </c>
      <c r="D30" s="14"/>
      <c r="E30" s="22"/>
      <c r="F30" s="23"/>
      <c r="G30" s="23"/>
      <c r="H30" s="24" t="s">
        <v>203</v>
      </c>
      <c r="I30" s="45">
        <v>1</v>
      </c>
      <c r="J30" s="55">
        <f>'Harga Satuan Dasar mat'!G95</f>
        <v>136000</v>
      </c>
      <c r="K30" s="26">
        <f>I30*J30</f>
        <v>136000</v>
      </c>
    </row>
    <row r="31" spans="1:11" ht="13.2" customHeight="1" x14ac:dyDescent="0.25">
      <c r="A31" s="2"/>
      <c r="B31" s="20" t="s">
        <v>30</v>
      </c>
      <c r="C31" s="21" t="s">
        <v>1727</v>
      </c>
      <c r="D31" s="14"/>
      <c r="E31" s="22"/>
      <c r="F31" s="23"/>
      <c r="G31" s="23"/>
      <c r="H31" s="24" t="s">
        <v>203</v>
      </c>
      <c r="I31" s="45">
        <v>1</v>
      </c>
      <c r="J31" s="25">
        <f>J20</f>
        <v>5700</v>
      </c>
      <c r="K31" s="26">
        <f t="shared" ref="K31:K35" si="2">I31*J31</f>
        <v>5700</v>
      </c>
    </row>
    <row r="32" spans="1:11" ht="13.2" customHeight="1" x14ac:dyDescent="0.25">
      <c r="A32" s="2"/>
      <c r="B32" s="20" t="s">
        <v>57</v>
      </c>
      <c r="C32" s="21" t="s">
        <v>1728</v>
      </c>
      <c r="D32" s="14"/>
      <c r="E32" s="22"/>
      <c r="F32" s="23"/>
      <c r="G32" s="23"/>
      <c r="H32" s="24" t="s">
        <v>264</v>
      </c>
      <c r="I32" s="63">
        <v>0.7</v>
      </c>
      <c r="J32" s="25">
        <f t="shared" ref="J32:J35" si="3">J21</f>
        <v>14700</v>
      </c>
      <c r="K32" s="26">
        <f t="shared" si="2"/>
        <v>10290</v>
      </c>
    </row>
    <row r="33" spans="1:11" ht="13.2" customHeight="1" x14ac:dyDescent="0.25">
      <c r="A33" s="2"/>
      <c r="B33" s="20" t="s">
        <v>83</v>
      </c>
      <c r="C33" s="21" t="s">
        <v>1729</v>
      </c>
      <c r="D33" s="14"/>
      <c r="E33" s="22"/>
      <c r="F33" s="23"/>
      <c r="G33" s="23"/>
      <c r="H33" s="24" t="s">
        <v>203</v>
      </c>
      <c r="I33" s="79">
        <v>1</v>
      </c>
      <c r="J33" s="25">
        <f t="shared" si="3"/>
        <v>3960</v>
      </c>
      <c r="K33" s="26">
        <f t="shared" si="2"/>
        <v>3960</v>
      </c>
    </row>
    <row r="34" spans="1:11" ht="13.2" customHeight="1" x14ac:dyDescent="0.25">
      <c r="A34" s="2"/>
      <c r="B34" s="77" t="s">
        <v>110</v>
      </c>
      <c r="C34" s="71" t="s">
        <v>586</v>
      </c>
      <c r="D34" s="72"/>
      <c r="E34" s="73"/>
      <c r="F34" s="74"/>
      <c r="G34" s="74"/>
      <c r="H34" s="24" t="s">
        <v>203</v>
      </c>
      <c r="I34" s="78">
        <v>1</v>
      </c>
      <c r="J34" s="25">
        <f t="shared" si="3"/>
        <v>3650</v>
      </c>
      <c r="K34" s="26">
        <f t="shared" si="2"/>
        <v>3650</v>
      </c>
    </row>
    <row r="35" spans="1:11" ht="13.2" customHeight="1" x14ac:dyDescent="0.25">
      <c r="A35" s="2"/>
      <c r="B35" s="77" t="s">
        <v>137</v>
      </c>
      <c r="C35" s="71" t="s">
        <v>1730</v>
      </c>
      <c r="D35" s="72"/>
      <c r="E35" s="73"/>
      <c r="F35" s="74"/>
      <c r="G35" s="74"/>
      <c r="H35" s="24" t="s">
        <v>203</v>
      </c>
      <c r="I35" s="78">
        <v>2</v>
      </c>
      <c r="J35" s="55">
        <f t="shared" si="3"/>
        <v>19500</v>
      </c>
      <c r="K35" s="26">
        <f t="shared" si="2"/>
        <v>39000</v>
      </c>
    </row>
    <row r="36" spans="1:11" ht="12.9" customHeight="1" x14ac:dyDescent="0.25">
      <c r="A36" s="6"/>
      <c r="B36" s="7"/>
      <c r="C36" s="8"/>
      <c r="D36" s="8"/>
      <c r="E36" s="8"/>
      <c r="F36" s="8"/>
      <c r="G36" s="9"/>
      <c r="H36" s="10" t="s">
        <v>715</v>
      </c>
      <c r="I36" s="11"/>
      <c r="J36" s="11"/>
      <c r="K36" s="27">
        <f>SUM(K30:K35)</f>
        <v>198600</v>
      </c>
    </row>
    <row r="37" spans="1:11" ht="12.9" customHeight="1" x14ac:dyDescent="0.25">
      <c r="A37" s="6"/>
      <c r="B37" s="5"/>
      <c r="C37" s="3"/>
      <c r="D37" s="3"/>
      <c r="E37" s="3"/>
      <c r="F37" s="3"/>
      <c r="G37" s="4"/>
      <c r="H37" s="12" t="s">
        <v>603</v>
      </c>
      <c r="I37" s="28">
        <f>I26</f>
        <v>0.15</v>
      </c>
      <c r="J37" s="38"/>
      <c r="K37" s="29">
        <f>I37*K36</f>
        <v>29790</v>
      </c>
    </row>
    <row r="38" spans="1:11" ht="12.9" customHeight="1" x14ac:dyDescent="0.25">
      <c r="A38" s="6"/>
      <c r="B38" s="5"/>
      <c r="C38" s="3"/>
      <c r="D38" s="3"/>
      <c r="E38" s="3"/>
      <c r="F38" s="3"/>
      <c r="G38" s="4"/>
      <c r="H38" s="12" t="s">
        <v>604</v>
      </c>
      <c r="I38" s="14"/>
      <c r="J38" s="14"/>
      <c r="K38" s="29">
        <f>SUM(K36:K37)</f>
        <v>228390</v>
      </c>
    </row>
    <row r="39" spans="1:11" ht="12.9" customHeight="1" thickBot="1" x14ac:dyDescent="0.3">
      <c r="A39" s="15"/>
      <c r="B39" s="16"/>
      <c r="C39" s="17"/>
      <c r="D39" s="17"/>
      <c r="E39" s="17"/>
      <c r="F39" s="17"/>
      <c r="G39" s="18"/>
      <c r="H39" s="46" t="s">
        <v>605</v>
      </c>
      <c r="I39" s="47"/>
      <c r="J39" s="47"/>
      <c r="K39" s="144">
        <f>ROUND(K38,-1)</f>
        <v>228390</v>
      </c>
    </row>
    <row r="40" spans="1:11" ht="14.1" customHeight="1" x14ac:dyDescent="0.25">
      <c r="A40" s="81">
        <v>4</v>
      </c>
      <c r="B40" s="699" t="s">
        <v>713</v>
      </c>
      <c r="C40" s="700"/>
      <c r="D40" s="137" t="s">
        <v>1738</v>
      </c>
      <c r="E40" s="138"/>
      <c r="F40" s="139"/>
      <c r="G40" s="139"/>
      <c r="H40" s="140"/>
      <c r="I40" s="141"/>
      <c r="J40" s="142"/>
      <c r="K40" s="143"/>
    </row>
    <row r="41" spans="1:11" ht="13.2" customHeight="1" x14ac:dyDescent="0.25">
      <c r="A41" s="2"/>
      <c r="B41" s="20" t="s">
        <v>4</v>
      </c>
      <c r="C41" s="21" t="s">
        <v>1737</v>
      </c>
      <c r="D41" s="14"/>
      <c r="E41" s="22"/>
      <c r="F41" s="23"/>
      <c r="G41" s="23"/>
      <c r="H41" s="24" t="s">
        <v>203</v>
      </c>
      <c r="I41" s="45">
        <v>1</v>
      </c>
      <c r="J41" s="55">
        <f>J8</f>
        <v>174250</v>
      </c>
      <c r="K41" s="26">
        <f>I41*J41</f>
        <v>174250</v>
      </c>
    </row>
    <row r="42" spans="1:11" ht="13.2" customHeight="1" x14ac:dyDescent="0.25">
      <c r="A42" s="2"/>
      <c r="B42" s="20" t="s">
        <v>30</v>
      </c>
      <c r="C42" s="21" t="s">
        <v>1727</v>
      </c>
      <c r="D42" s="14"/>
      <c r="E42" s="22"/>
      <c r="F42" s="23"/>
      <c r="G42" s="23"/>
      <c r="H42" s="24" t="s">
        <v>203</v>
      </c>
      <c r="I42" s="45">
        <v>2</v>
      </c>
      <c r="J42" s="25">
        <f t="shared" ref="J42:J46" si="4">J9</f>
        <v>5700</v>
      </c>
      <c r="K42" s="26">
        <f t="shared" ref="K42:K46" si="5">I42*J42</f>
        <v>11400</v>
      </c>
    </row>
    <row r="43" spans="1:11" ht="13.2" customHeight="1" x14ac:dyDescent="0.25">
      <c r="A43" s="2"/>
      <c r="B43" s="20" t="s">
        <v>57</v>
      </c>
      <c r="C43" s="21" t="s">
        <v>1728</v>
      </c>
      <c r="D43" s="14"/>
      <c r="E43" s="22"/>
      <c r="F43" s="23"/>
      <c r="G43" s="23"/>
      <c r="H43" s="24" t="s">
        <v>264</v>
      </c>
      <c r="I43" s="63">
        <v>1</v>
      </c>
      <c r="J43" s="25">
        <f t="shared" si="4"/>
        <v>14700</v>
      </c>
      <c r="K43" s="26">
        <f t="shared" si="5"/>
        <v>14700</v>
      </c>
    </row>
    <row r="44" spans="1:11" ht="13.2" customHeight="1" x14ac:dyDescent="0.25">
      <c r="A44" s="2"/>
      <c r="B44" s="20" t="s">
        <v>83</v>
      </c>
      <c r="C44" s="21" t="s">
        <v>1729</v>
      </c>
      <c r="D44" s="14"/>
      <c r="E44" s="22"/>
      <c r="F44" s="23"/>
      <c r="G44" s="23"/>
      <c r="H44" s="24" t="s">
        <v>203</v>
      </c>
      <c r="I44" s="79">
        <v>1</v>
      </c>
      <c r="J44" s="25">
        <f t="shared" si="4"/>
        <v>3960</v>
      </c>
      <c r="K44" s="26">
        <f t="shared" si="5"/>
        <v>3960</v>
      </c>
    </row>
    <row r="45" spans="1:11" ht="13.2" customHeight="1" x14ac:dyDescent="0.25">
      <c r="A45" s="2"/>
      <c r="B45" s="77" t="s">
        <v>110</v>
      </c>
      <c r="C45" s="71" t="s">
        <v>586</v>
      </c>
      <c r="D45" s="72"/>
      <c r="E45" s="73"/>
      <c r="F45" s="74"/>
      <c r="G45" s="74"/>
      <c r="H45" s="24" t="s">
        <v>203</v>
      </c>
      <c r="I45" s="78">
        <v>1</v>
      </c>
      <c r="J45" s="25">
        <f t="shared" si="4"/>
        <v>3650</v>
      </c>
      <c r="K45" s="26">
        <f t="shared" si="5"/>
        <v>3650</v>
      </c>
    </row>
    <row r="46" spans="1:11" ht="13.2" customHeight="1" x14ac:dyDescent="0.25">
      <c r="A46" s="2"/>
      <c r="B46" s="77" t="s">
        <v>137</v>
      </c>
      <c r="C46" s="71" t="s">
        <v>1730</v>
      </c>
      <c r="D46" s="72"/>
      <c r="E46" s="73"/>
      <c r="F46" s="74"/>
      <c r="G46" s="74"/>
      <c r="H46" s="24" t="s">
        <v>203</v>
      </c>
      <c r="I46" s="78">
        <v>4</v>
      </c>
      <c r="J46" s="55">
        <f t="shared" si="4"/>
        <v>19500</v>
      </c>
      <c r="K46" s="26">
        <f t="shared" si="5"/>
        <v>78000</v>
      </c>
    </row>
    <row r="47" spans="1:11" ht="12.9" customHeight="1" x14ac:dyDescent="0.25">
      <c r="A47" s="6"/>
      <c r="B47" s="7"/>
      <c r="C47" s="8"/>
      <c r="D47" s="8"/>
      <c r="E47" s="8"/>
      <c r="F47" s="8"/>
      <c r="G47" s="9"/>
      <c r="H47" s="10" t="s">
        <v>715</v>
      </c>
      <c r="I47" s="11"/>
      <c r="J47" s="11"/>
      <c r="K47" s="27">
        <f>SUM(K41:K46)</f>
        <v>285960</v>
      </c>
    </row>
    <row r="48" spans="1:11" ht="12.9" customHeight="1" x14ac:dyDescent="0.25">
      <c r="A48" s="6"/>
      <c r="B48" s="5"/>
      <c r="C48" s="3"/>
      <c r="D48" s="3"/>
      <c r="E48" s="3"/>
      <c r="F48" s="3"/>
      <c r="G48" s="4"/>
      <c r="H48" s="12" t="s">
        <v>603</v>
      </c>
      <c r="I48" s="28">
        <f>I26</f>
        <v>0.15</v>
      </c>
      <c r="J48" s="38"/>
      <c r="K48" s="29">
        <f>I48*K47</f>
        <v>42894</v>
      </c>
    </row>
    <row r="49" spans="1:11" ht="12.9" customHeight="1" x14ac:dyDescent="0.25">
      <c r="A49" s="6"/>
      <c r="B49" s="5"/>
      <c r="C49" s="3"/>
      <c r="D49" s="3"/>
      <c r="E49" s="3"/>
      <c r="F49" s="3"/>
      <c r="G49" s="4"/>
      <c r="H49" s="12" t="s">
        <v>604</v>
      </c>
      <c r="I49" s="14"/>
      <c r="J49" s="14"/>
      <c r="K49" s="29">
        <f>SUM(K47:K48)</f>
        <v>328854</v>
      </c>
    </row>
    <row r="50" spans="1:11" ht="12.9" customHeight="1" thickBot="1" x14ac:dyDescent="0.3">
      <c r="A50" s="15"/>
      <c r="B50" s="16"/>
      <c r="C50" s="17"/>
      <c r="D50" s="17"/>
      <c r="E50" s="17"/>
      <c r="F50" s="17"/>
      <c r="G50" s="18"/>
      <c r="H50" s="46" t="s">
        <v>605</v>
      </c>
      <c r="I50" s="47"/>
      <c r="J50" s="47"/>
      <c r="K50" s="144">
        <f>ROUND(K49,-1)</f>
        <v>328850</v>
      </c>
    </row>
    <row r="51" spans="1:11" ht="14.1" customHeight="1" x14ac:dyDescent="0.25">
      <c r="A51" s="81">
        <v>5</v>
      </c>
      <c r="B51" s="699" t="s">
        <v>713</v>
      </c>
      <c r="C51" s="700"/>
      <c r="D51" s="137" t="s">
        <v>1734</v>
      </c>
      <c r="E51" s="138"/>
      <c r="F51" s="139"/>
      <c r="G51" s="139"/>
      <c r="H51" s="140"/>
      <c r="I51" s="141"/>
      <c r="J51" s="142"/>
      <c r="K51" s="143"/>
    </row>
    <row r="52" spans="1:11" ht="13.2" customHeight="1" x14ac:dyDescent="0.25">
      <c r="A52" s="2"/>
      <c r="B52" s="20" t="s">
        <v>4</v>
      </c>
      <c r="C52" s="21" t="s">
        <v>1726</v>
      </c>
      <c r="D52" s="14"/>
      <c r="E52" s="22"/>
      <c r="F52" s="23"/>
      <c r="G52" s="23"/>
      <c r="H52" s="24" t="s">
        <v>203</v>
      </c>
      <c r="I52" s="45">
        <v>1</v>
      </c>
      <c r="J52" s="55">
        <f>J19</f>
        <v>145500</v>
      </c>
      <c r="K52" s="26">
        <f>I52*J52</f>
        <v>145500</v>
      </c>
    </row>
    <row r="53" spans="1:11" ht="13.2" customHeight="1" x14ac:dyDescent="0.25">
      <c r="A53" s="2"/>
      <c r="B53" s="20" t="s">
        <v>30</v>
      </c>
      <c r="C53" s="21" t="s">
        <v>1727</v>
      </c>
      <c r="D53" s="14"/>
      <c r="E53" s="22"/>
      <c r="F53" s="23"/>
      <c r="G53" s="23"/>
      <c r="H53" s="24" t="s">
        <v>203</v>
      </c>
      <c r="I53" s="45">
        <v>2</v>
      </c>
      <c r="J53" s="25">
        <f t="shared" ref="J53:J57" si="6">J20</f>
        <v>5700</v>
      </c>
      <c r="K53" s="26">
        <f t="shared" ref="K53:K57" si="7">I53*J53</f>
        <v>11400</v>
      </c>
    </row>
    <row r="54" spans="1:11" ht="13.2" customHeight="1" x14ac:dyDescent="0.25">
      <c r="A54" s="2"/>
      <c r="B54" s="20" t="s">
        <v>57</v>
      </c>
      <c r="C54" s="21" t="s">
        <v>1728</v>
      </c>
      <c r="D54" s="14"/>
      <c r="E54" s="22"/>
      <c r="F54" s="23"/>
      <c r="G54" s="23"/>
      <c r="H54" s="24" t="s">
        <v>264</v>
      </c>
      <c r="I54" s="63">
        <v>0.8</v>
      </c>
      <c r="J54" s="25">
        <f t="shared" si="6"/>
        <v>14700</v>
      </c>
      <c r="K54" s="26">
        <f t="shared" si="7"/>
        <v>11760</v>
      </c>
    </row>
    <row r="55" spans="1:11" ht="13.2" customHeight="1" x14ac:dyDescent="0.25">
      <c r="A55" s="2"/>
      <c r="B55" s="20" t="s">
        <v>83</v>
      </c>
      <c r="C55" s="21" t="s">
        <v>1729</v>
      </c>
      <c r="D55" s="14"/>
      <c r="E55" s="22"/>
      <c r="F55" s="23"/>
      <c r="G55" s="23"/>
      <c r="H55" s="24" t="s">
        <v>203</v>
      </c>
      <c r="I55" s="79">
        <v>1</v>
      </c>
      <c r="J55" s="25">
        <f t="shared" si="6"/>
        <v>3960</v>
      </c>
      <c r="K55" s="26">
        <f t="shared" si="7"/>
        <v>3960</v>
      </c>
    </row>
    <row r="56" spans="1:11" ht="13.2" customHeight="1" x14ac:dyDescent="0.25">
      <c r="A56" s="2"/>
      <c r="B56" s="77" t="s">
        <v>110</v>
      </c>
      <c r="C56" s="71" t="s">
        <v>586</v>
      </c>
      <c r="D56" s="72"/>
      <c r="E56" s="73"/>
      <c r="F56" s="74"/>
      <c r="G56" s="74"/>
      <c r="H56" s="24" t="s">
        <v>203</v>
      </c>
      <c r="I56" s="78">
        <v>1</v>
      </c>
      <c r="J56" s="25">
        <f t="shared" si="6"/>
        <v>3650</v>
      </c>
      <c r="K56" s="26">
        <f t="shared" si="7"/>
        <v>3650</v>
      </c>
    </row>
    <row r="57" spans="1:11" ht="13.2" customHeight="1" x14ac:dyDescent="0.25">
      <c r="A57" s="2"/>
      <c r="B57" s="77" t="s">
        <v>137</v>
      </c>
      <c r="C57" s="71" t="s">
        <v>1730</v>
      </c>
      <c r="D57" s="72"/>
      <c r="E57" s="73"/>
      <c r="F57" s="74"/>
      <c r="G57" s="74"/>
      <c r="H57" s="24" t="s">
        <v>203</v>
      </c>
      <c r="I57" s="78">
        <v>4</v>
      </c>
      <c r="J57" s="55">
        <f t="shared" si="6"/>
        <v>19500</v>
      </c>
      <c r="K57" s="26">
        <f t="shared" si="7"/>
        <v>78000</v>
      </c>
    </row>
    <row r="58" spans="1:11" ht="12.9" customHeight="1" x14ac:dyDescent="0.25">
      <c r="A58" s="6"/>
      <c r="B58" s="7"/>
      <c r="C58" s="8"/>
      <c r="D58" s="8"/>
      <c r="E58" s="8"/>
      <c r="F58" s="8"/>
      <c r="G58" s="9"/>
      <c r="H58" s="10" t="s">
        <v>715</v>
      </c>
      <c r="I58" s="11"/>
      <c r="J58" s="11"/>
      <c r="K58" s="27">
        <f>SUM(K52:K57)</f>
        <v>254270</v>
      </c>
    </row>
    <row r="59" spans="1:11" ht="12.9" customHeight="1" x14ac:dyDescent="0.25">
      <c r="A59" s="6"/>
      <c r="B59" s="5"/>
      <c r="C59" s="3"/>
      <c r="D59" s="3"/>
      <c r="E59" s="3"/>
      <c r="F59" s="3"/>
      <c r="G59" s="4"/>
      <c r="H59" s="12" t="s">
        <v>603</v>
      </c>
      <c r="I59" s="28">
        <f>I37</f>
        <v>0.15</v>
      </c>
      <c r="J59" s="38"/>
      <c r="K59" s="29">
        <f>I59*K58</f>
        <v>38140.5</v>
      </c>
    </row>
    <row r="60" spans="1:11" ht="12.9" customHeight="1" x14ac:dyDescent="0.25">
      <c r="A60" s="6"/>
      <c r="B60" s="5"/>
      <c r="C60" s="3"/>
      <c r="D60" s="3"/>
      <c r="E60" s="3"/>
      <c r="F60" s="3"/>
      <c r="G60" s="4"/>
      <c r="H60" s="12" t="s">
        <v>604</v>
      </c>
      <c r="I60" s="14"/>
      <c r="J60" s="14"/>
      <c r="K60" s="29">
        <f>SUM(K58:K59)</f>
        <v>292410.5</v>
      </c>
    </row>
    <row r="61" spans="1:11" ht="12.9" customHeight="1" thickBot="1" x14ac:dyDescent="0.3">
      <c r="A61" s="15"/>
      <c r="B61" s="16"/>
      <c r="C61" s="17"/>
      <c r="D61" s="17"/>
      <c r="E61" s="17"/>
      <c r="F61" s="17"/>
      <c r="G61" s="18"/>
      <c r="H61" s="46" t="s">
        <v>605</v>
      </c>
      <c r="I61" s="47"/>
      <c r="J61" s="47"/>
      <c r="K61" s="144">
        <f>ROUND(K60,-1)</f>
        <v>292410</v>
      </c>
    </row>
    <row r="62" spans="1:11" ht="14.1" customHeight="1" x14ac:dyDescent="0.25">
      <c r="A62" s="81">
        <v>6</v>
      </c>
      <c r="B62" s="699" t="s">
        <v>713</v>
      </c>
      <c r="C62" s="700"/>
      <c r="D62" s="137" t="s">
        <v>1735</v>
      </c>
      <c r="E62" s="138"/>
      <c r="F62" s="139"/>
      <c r="G62" s="139"/>
      <c r="H62" s="140"/>
      <c r="I62" s="141"/>
      <c r="J62" s="142"/>
      <c r="K62" s="143"/>
    </row>
    <row r="63" spans="1:11" ht="13.2" customHeight="1" x14ac:dyDescent="0.25">
      <c r="A63" s="2"/>
      <c r="B63" s="20" t="s">
        <v>4</v>
      </c>
      <c r="C63" s="21" t="s">
        <v>1733</v>
      </c>
      <c r="D63" s="14"/>
      <c r="E63" s="22"/>
      <c r="F63" s="23"/>
      <c r="G63" s="23"/>
      <c r="H63" s="24" t="s">
        <v>203</v>
      </c>
      <c r="I63" s="45">
        <v>1</v>
      </c>
      <c r="J63" s="55">
        <f>J30</f>
        <v>136000</v>
      </c>
      <c r="K63" s="26">
        <f>I63*J63</f>
        <v>136000</v>
      </c>
    </row>
    <row r="64" spans="1:11" ht="13.2" customHeight="1" x14ac:dyDescent="0.25">
      <c r="A64" s="2"/>
      <c r="B64" s="20" t="s">
        <v>30</v>
      </c>
      <c r="C64" s="21" t="s">
        <v>1727</v>
      </c>
      <c r="D64" s="14"/>
      <c r="E64" s="22"/>
      <c r="F64" s="23"/>
      <c r="G64" s="23"/>
      <c r="H64" s="24" t="s">
        <v>203</v>
      </c>
      <c r="I64" s="45">
        <v>2</v>
      </c>
      <c r="J64" s="25">
        <f t="shared" ref="J64:J68" si="8">J31</f>
        <v>5700</v>
      </c>
      <c r="K64" s="26">
        <f t="shared" ref="K64:K68" si="9">I64*J64</f>
        <v>11400</v>
      </c>
    </row>
    <row r="65" spans="1:11" ht="13.2" customHeight="1" x14ac:dyDescent="0.25">
      <c r="A65" s="2"/>
      <c r="B65" s="20" t="s">
        <v>57</v>
      </c>
      <c r="C65" s="21" t="s">
        <v>1728</v>
      </c>
      <c r="D65" s="14"/>
      <c r="E65" s="22"/>
      <c r="F65" s="23"/>
      <c r="G65" s="23"/>
      <c r="H65" s="24" t="s">
        <v>264</v>
      </c>
      <c r="I65" s="63">
        <v>0.7</v>
      </c>
      <c r="J65" s="25">
        <f t="shared" si="8"/>
        <v>14700</v>
      </c>
      <c r="K65" s="26">
        <f t="shared" si="9"/>
        <v>10290</v>
      </c>
    </row>
    <row r="66" spans="1:11" ht="13.2" customHeight="1" x14ac:dyDescent="0.25">
      <c r="A66" s="2"/>
      <c r="B66" s="20" t="s">
        <v>83</v>
      </c>
      <c r="C66" s="21" t="s">
        <v>1729</v>
      </c>
      <c r="D66" s="14"/>
      <c r="E66" s="22"/>
      <c r="F66" s="23"/>
      <c r="G66" s="23"/>
      <c r="H66" s="24" t="s">
        <v>203</v>
      </c>
      <c r="I66" s="79">
        <v>1</v>
      </c>
      <c r="J66" s="25">
        <f t="shared" si="8"/>
        <v>3960</v>
      </c>
      <c r="K66" s="26">
        <f t="shared" si="9"/>
        <v>3960</v>
      </c>
    </row>
    <row r="67" spans="1:11" ht="13.2" customHeight="1" x14ac:dyDescent="0.25">
      <c r="A67" s="2"/>
      <c r="B67" s="77" t="s">
        <v>110</v>
      </c>
      <c r="C67" s="71" t="s">
        <v>586</v>
      </c>
      <c r="D67" s="72"/>
      <c r="E67" s="73"/>
      <c r="F67" s="74"/>
      <c r="G67" s="74"/>
      <c r="H67" s="24" t="s">
        <v>203</v>
      </c>
      <c r="I67" s="78">
        <v>1</v>
      </c>
      <c r="J67" s="25">
        <f t="shared" si="8"/>
        <v>3650</v>
      </c>
      <c r="K67" s="26">
        <f t="shared" si="9"/>
        <v>3650</v>
      </c>
    </row>
    <row r="68" spans="1:11" ht="13.2" customHeight="1" x14ac:dyDescent="0.25">
      <c r="A68" s="2"/>
      <c r="B68" s="77" t="s">
        <v>137</v>
      </c>
      <c r="C68" s="71" t="s">
        <v>1730</v>
      </c>
      <c r="D68" s="72"/>
      <c r="E68" s="73"/>
      <c r="F68" s="74"/>
      <c r="G68" s="74"/>
      <c r="H68" s="24" t="s">
        <v>203</v>
      </c>
      <c r="I68" s="78">
        <v>4</v>
      </c>
      <c r="J68" s="55">
        <f t="shared" si="8"/>
        <v>19500</v>
      </c>
      <c r="K68" s="26">
        <f t="shared" si="9"/>
        <v>78000</v>
      </c>
    </row>
    <row r="69" spans="1:11" ht="12.9" customHeight="1" x14ac:dyDescent="0.25">
      <c r="A69" s="6"/>
      <c r="B69" s="7"/>
      <c r="C69" s="8"/>
      <c r="D69" s="8"/>
      <c r="E69" s="8"/>
      <c r="F69" s="8"/>
      <c r="G69" s="9"/>
      <c r="H69" s="10" t="s">
        <v>715</v>
      </c>
      <c r="I69" s="11"/>
      <c r="J69" s="11"/>
      <c r="K69" s="27">
        <f>SUM(K63:K68)</f>
        <v>243300</v>
      </c>
    </row>
    <row r="70" spans="1:11" ht="12.9" customHeight="1" x14ac:dyDescent="0.25">
      <c r="A70" s="6"/>
      <c r="B70" s="5"/>
      <c r="C70" s="3"/>
      <c r="D70" s="3"/>
      <c r="E70" s="3"/>
      <c r="F70" s="3"/>
      <c r="G70" s="4"/>
      <c r="H70" s="12" t="s">
        <v>603</v>
      </c>
      <c r="I70" s="28">
        <f>I59</f>
        <v>0.15</v>
      </c>
      <c r="J70" s="38"/>
      <c r="K70" s="29">
        <f>I70*K69</f>
        <v>36495</v>
      </c>
    </row>
    <row r="71" spans="1:11" ht="12.9" customHeight="1" x14ac:dyDescent="0.25">
      <c r="A71" s="6"/>
      <c r="B71" s="5"/>
      <c r="C71" s="3"/>
      <c r="D71" s="3"/>
      <c r="E71" s="3"/>
      <c r="F71" s="3"/>
      <c r="G71" s="4"/>
      <c r="H71" s="12" t="s">
        <v>604</v>
      </c>
      <c r="I71" s="14"/>
      <c r="J71" s="14"/>
      <c r="K71" s="29">
        <f>SUM(K69:K70)</f>
        <v>279795</v>
      </c>
    </row>
    <row r="72" spans="1:11" ht="12.9" customHeight="1" thickBot="1" x14ac:dyDescent="0.3">
      <c r="A72" s="15"/>
      <c r="B72" s="16"/>
      <c r="C72" s="17"/>
      <c r="D72" s="17"/>
      <c r="E72" s="17"/>
      <c r="F72" s="17"/>
      <c r="G72" s="18"/>
      <c r="H72" s="46" t="s">
        <v>605</v>
      </c>
      <c r="I72" s="47"/>
      <c r="J72" s="47"/>
      <c r="K72" s="144">
        <f>ROUND(K71,-1)</f>
        <v>279800</v>
      </c>
    </row>
    <row r="73" spans="1:11" ht="14.1" customHeight="1" x14ac:dyDescent="0.25">
      <c r="A73" s="81">
        <v>7</v>
      </c>
      <c r="B73" s="699" t="s">
        <v>713</v>
      </c>
      <c r="C73" s="700"/>
      <c r="D73" s="137" t="s">
        <v>1749</v>
      </c>
      <c r="E73" s="138"/>
      <c r="F73" s="139"/>
      <c r="G73" s="139"/>
      <c r="H73" s="140"/>
      <c r="I73" s="141"/>
      <c r="J73" s="142"/>
      <c r="K73" s="143"/>
    </row>
    <row r="74" spans="1:11" ht="13.2" customHeight="1" x14ac:dyDescent="0.25">
      <c r="A74" s="2"/>
      <c r="B74" s="20" t="s">
        <v>4</v>
      </c>
      <c r="C74" s="21" t="s">
        <v>1742</v>
      </c>
      <c r="D74" s="14"/>
      <c r="E74" s="22"/>
      <c r="F74" s="23"/>
      <c r="G74" s="23"/>
      <c r="H74" s="24" t="s">
        <v>203</v>
      </c>
      <c r="I74" s="45">
        <v>2</v>
      </c>
      <c r="J74" s="25">
        <f>'Harga Satuan Dasar mat'!G173</f>
        <v>164700</v>
      </c>
      <c r="K74" s="26">
        <f>I74*J74</f>
        <v>329400</v>
      </c>
    </row>
    <row r="75" spans="1:11" ht="13.2" customHeight="1" x14ac:dyDescent="0.25">
      <c r="A75" s="2"/>
      <c r="B75" s="20" t="s">
        <v>30</v>
      </c>
      <c r="C75" s="21" t="s">
        <v>1747</v>
      </c>
      <c r="D75" s="14"/>
      <c r="E75" s="22"/>
      <c r="F75" s="23"/>
      <c r="G75" s="23"/>
      <c r="H75" s="24" t="s">
        <v>203</v>
      </c>
      <c r="I75" s="45">
        <v>2</v>
      </c>
      <c r="J75" s="55">
        <f>'Harga Satuan Dasar mat'!G35</f>
        <v>157500</v>
      </c>
      <c r="K75" s="26">
        <f t="shared" ref="K75:K77" si="10">I75*J75</f>
        <v>315000</v>
      </c>
    </row>
    <row r="76" spans="1:11" ht="13.2" customHeight="1" x14ac:dyDescent="0.25">
      <c r="A76" s="2"/>
      <c r="B76" s="20" t="s">
        <v>57</v>
      </c>
      <c r="C76" s="21" t="s">
        <v>1740</v>
      </c>
      <c r="D76" s="14"/>
      <c r="E76" s="22"/>
      <c r="F76" s="23"/>
      <c r="G76" s="23"/>
      <c r="H76" s="24" t="s">
        <v>203</v>
      </c>
      <c r="I76" s="45">
        <v>4</v>
      </c>
      <c r="J76" s="25">
        <f>'Harga Satuan Dasar mat'!G784</f>
        <v>535000</v>
      </c>
      <c r="K76" s="26">
        <f t="shared" si="10"/>
        <v>2140000</v>
      </c>
    </row>
    <row r="77" spans="1:11" ht="13.2" customHeight="1" x14ac:dyDescent="0.25">
      <c r="A77" s="2"/>
      <c r="B77" s="20" t="s">
        <v>83</v>
      </c>
      <c r="C77" s="21" t="s">
        <v>1741</v>
      </c>
      <c r="D77" s="14"/>
      <c r="E77" s="22"/>
      <c r="F77" s="23"/>
      <c r="G77" s="23"/>
      <c r="H77" s="24" t="s">
        <v>203</v>
      </c>
      <c r="I77" s="79">
        <v>4</v>
      </c>
      <c r="J77" s="25">
        <f>'Harga Satuan Dasar mat'!G270</f>
        <v>74750</v>
      </c>
      <c r="K77" s="26">
        <f t="shared" si="10"/>
        <v>299000</v>
      </c>
    </row>
    <row r="78" spans="1:11" ht="12.9" customHeight="1" x14ac:dyDescent="0.25">
      <c r="A78" s="6"/>
      <c r="B78" s="7"/>
      <c r="C78" s="8"/>
      <c r="D78" s="8"/>
      <c r="E78" s="8"/>
      <c r="F78" s="8"/>
      <c r="G78" s="9"/>
      <c r="H78" s="10" t="s">
        <v>715</v>
      </c>
      <c r="I78" s="11"/>
      <c r="J78" s="11"/>
      <c r="K78" s="27">
        <f>SUM(K74:K77)</f>
        <v>3083400</v>
      </c>
    </row>
    <row r="79" spans="1:11" ht="12.9" customHeight="1" x14ac:dyDescent="0.25">
      <c r="A79" s="6"/>
      <c r="B79" s="5"/>
      <c r="C79" s="3"/>
      <c r="D79" s="3"/>
      <c r="E79" s="3"/>
      <c r="F79" s="3"/>
      <c r="G79" s="4"/>
      <c r="H79" s="12" t="s">
        <v>603</v>
      </c>
      <c r="I79" s="28">
        <f>I70</f>
        <v>0.15</v>
      </c>
      <c r="J79" s="38"/>
      <c r="K79" s="29">
        <f>I79*K78</f>
        <v>462510</v>
      </c>
    </row>
    <row r="80" spans="1:11" ht="12.9" customHeight="1" x14ac:dyDescent="0.25">
      <c r="A80" s="6"/>
      <c r="B80" s="5"/>
      <c r="C80" s="3"/>
      <c r="D80" s="3"/>
      <c r="E80" s="3"/>
      <c r="F80" s="3"/>
      <c r="G80" s="4"/>
      <c r="H80" s="12" t="s">
        <v>604</v>
      </c>
      <c r="I80" s="14"/>
      <c r="J80" s="14"/>
      <c r="K80" s="29">
        <f>SUM(K78:K79)</f>
        <v>3545910</v>
      </c>
    </row>
    <row r="81" spans="1:11" ht="12.9" customHeight="1" thickBot="1" x14ac:dyDescent="0.3">
      <c r="A81" s="15"/>
      <c r="B81" s="16"/>
      <c r="C81" s="17"/>
      <c r="D81" s="17"/>
      <c r="E81" s="17"/>
      <c r="F81" s="17"/>
      <c r="G81" s="18"/>
      <c r="H81" s="46" t="s">
        <v>605</v>
      </c>
      <c r="I81" s="47"/>
      <c r="J81" s="47"/>
      <c r="K81" s="144">
        <f>ROUND(K80,-1)</f>
        <v>3545910</v>
      </c>
    </row>
    <row r="82" spans="1:11" ht="14.1" customHeight="1" x14ac:dyDescent="0.25">
      <c r="A82" s="81">
        <v>8</v>
      </c>
      <c r="B82" s="699" t="s">
        <v>713</v>
      </c>
      <c r="C82" s="700"/>
      <c r="D82" s="137" t="s">
        <v>1751</v>
      </c>
      <c r="E82" s="138"/>
      <c r="F82" s="139"/>
      <c r="G82" s="139"/>
      <c r="H82" s="140"/>
      <c r="I82" s="141"/>
      <c r="J82" s="142"/>
      <c r="K82" s="143"/>
    </row>
    <row r="83" spans="1:11" ht="13.2" customHeight="1" x14ac:dyDescent="0.25">
      <c r="A83" s="2"/>
      <c r="B83" s="20" t="s">
        <v>4</v>
      </c>
      <c r="C83" s="21" t="s">
        <v>1742</v>
      </c>
      <c r="D83" s="14"/>
      <c r="E83" s="22"/>
      <c r="F83" s="23"/>
      <c r="G83" s="23"/>
      <c r="H83" s="24" t="s">
        <v>203</v>
      </c>
      <c r="I83" s="45">
        <v>2</v>
      </c>
      <c r="J83" s="25">
        <f>J74</f>
        <v>164700</v>
      </c>
      <c r="K83" s="26">
        <f>I83*J83</f>
        <v>329400</v>
      </c>
    </row>
    <row r="84" spans="1:11" ht="13.2" customHeight="1" x14ac:dyDescent="0.25">
      <c r="A84" s="2"/>
      <c r="B84" s="20" t="s">
        <v>30</v>
      </c>
      <c r="C84" s="21" t="s">
        <v>1753</v>
      </c>
      <c r="D84" s="14"/>
      <c r="E84" s="22"/>
      <c r="F84" s="23"/>
      <c r="G84" s="23"/>
      <c r="H84" s="24" t="s">
        <v>203</v>
      </c>
      <c r="I84" s="45">
        <v>2</v>
      </c>
      <c r="J84" s="55">
        <f>'Harga Satuan Dasar mat'!G34</f>
        <v>152000</v>
      </c>
      <c r="K84" s="26">
        <f t="shared" ref="K84:K86" si="11">I84*J84</f>
        <v>304000</v>
      </c>
    </row>
    <row r="85" spans="1:11" ht="13.2" customHeight="1" x14ac:dyDescent="0.25">
      <c r="A85" s="2"/>
      <c r="B85" s="20" t="s">
        <v>57</v>
      </c>
      <c r="C85" s="21" t="s">
        <v>1740</v>
      </c>
      <c r="D85" s="14"/>
      <c r="E85" s="22"/>
      <c r="F85" s="23"/>
      <c r="G85" s="23"/>
      <c r="H85" s="24" t="s">
        <v>203</v>
      </c>
      <c r="I85" s="45">
        <v>4</v>
      </c>
      <c r="J85" s="25">
        <f t="shared" ref="J85" si="12">J76</f>
        <v>535000</v>
      </c>
      <c r="K85" s="26">
        <f t="shared" si="11"/>
        <v>2140000</v>
      </c>
    </row>
    <row r="86" spans="1:11" ht="13.2" customHeight="1" x14ac:dyDescent="0.25">
      <c r="A86" s="2"/>
      <c r="B86" s="20" t="s">
        <v>83</v>
      </c>
      <c r="C86" s="21" t="s">
        <v>1741</v>
      </c>
      <c r="D86" s="14"/>
      <c r="E86" s="22"/>
      <c r="F86" s="23"/>
      <c r="G86" s="23"/>
      <c r="H86" s="24" t="s">
        <v>203</v>
      </c>
      <c r="I86" s="79">
        <v>4</v>
      </c>
      <c r="J86" s="25">
        <f>J77</f>
        <v>74750</v>
      </c>
      <c r="K86" s="26">
        <f t="shared" si="11"/>
        <v>299000</v>
      </c>
    </row>
    <row r="87" spans="1:11" ht="12.9" customHeight="1" x14ac:dyDescent="0.25">
      <c r="A87" s="6"/>
      <c r="B87" s="7"/>
      <c r="C87" s="8"/>
      <c r="D87" s="8"/>
      <c r="E87" s="8"/>
      <c r="F87" s="8"/>
      <c r="G87" s="9"/>
      <c r="H87" s="10" t="s">
        <v>715</v>
      </c>
      <c r="I87" s="11"/>
      <c r="J87" s="11"/>
      <c r="K87" s="27">
        <f>SUM(K83:K86)</f>
        <v>3072400</v>
      </c>
    </row>
    <row r="88" spans="1:11" ht="12.9" customHeight="1" x14ac:dyDescent="0.25">
      <c r="A88" s="6"/>
      <c r="B88" s="5"/>
      <c r="C88" s="3"/>
      <c r="D88" s="3"/>
      <c r="E88" s="3"/>
      <c r="F88" s="3"/>
      <c r="G88" s="4"/>
      <c r="H88" s="12" t="s">
        <v>603</v>
      </c>
      <c r="I88" s="28">
        <f>I79</f>
        <v>0.15</v>
      </c>
      <c r="J88" s="38"/>
      <c r="K88" s="29">
        <f>I88*K87</f>
        <v>460860</v>
      </c>
    </row>
    <row r="89" spans="1:11" ht="12.9" customHeight="1" x14ac:dyDescent="0.25">
      <c r="A89" s="6"/>
      <c r="B89" s="5"/>
      <c r="C89" s="3"/>
      <c r="D89" s="3"/>
      <c r="E89" s="3"/>
      <c r="F89" s="3"/>
      <c r="G89" s="4"/>
      <c r="H89" s="12" t="s">
        <v>604</v>
      </c>
      <c r="I89" s="14"/>
      <c r="J89" s="14"/>
      <c r="K89" s="29">
        <f>SUM(K87:K88)</f>
        <v>3533260</v>
      </c>
    </row>
    <row r="90" spans="1:11" ht="12.9" customHeight="1" thickBot="1" x14ac:dyDescent="0.3">
      <c r="A90" s="15"/>
      <c r="B90" s="16"/>
      <c r="C90" s="17"/>
      <c r="D90" s="17"/>
      <c r="E90" s="17"/>
      <c r="F90" s="17"/>
      <c r="G90" s="18"/>
      <c r="H90" s="46" t="s">
        <v>605</v>
      </c>
      <c r="I90" s="47"/>
      <c r="J90" s="47"/>
      <c r="K90" s="144">
        <f>ROUND(K89,-1)</f>
        <v>3533260</v>
      </c>
    </row>
    <row r="91" spans="1:11" ht="14.1" customHeight="1" x14ac:dyDescent="0.25">
      <c r="A91" s="81">
        <v>9</v>
      </c>
      <c r="B91" s="699" t="s">
        <v>713</v>
      </c>
      <c r="C91" s="700"/>
      <c r="D91" s="137" t="s">
        <v>1756</v>
      </c>
      <c r="E91" s="138"/>
      <c r="F91" s="139"/>
      <c r="G91" s="139"/>
      <c r="H91" s="140"/>
      <c r="I91" s="141"/>
      <c r="J91" s="142"/>
      <c r="K91" s="143"/>
    </row>
    <row r="92" spans="1:11" ht="13.2" customHeight="1" x14ac:dyDescent="0.25">
      <c r="A92" s="2"/>
      <c r="B92" s="20" t="s">
        <v>4</v>
      </c>
      <c r="C92" s="21" t="s">
        <v>1742</v>
      </c>
      <c r="D92" s="14"/>
      <c r="E92" s="22"/>
      <c r="F92" s="23"/>
      <c r="G92" s="23"/>
      <c r="H92" s="24" t="s">
        <v>203</v>
      </c>
      <c r="I92" s="45">
        <v>2</v>
      </c>
      <c r="J92" s="25">
        <f>J83</f>
        <v>164700</v>
      </c>
      <c r="K92" s="26">
        <f>I92*J92</f>
        <v>329400</v>
      </c>
    </row>
    <row r="93" spans="1:11" ht="13.2" customHeight="1" x14ac:dyDescent="0.25">
      <c r="A93" s="2"/>
      <c r="B93" s="20" t="s">
        <v>30</v>
      </c>
      <c r="C93" s="21" t="s">
        <v>1752</v>
      </c>
      <c r="D93" s="14"/>
      <c r="E93" s="22"/>
      <c r="F93" s="23"/>
      <c r="G93" s="23"/>
      <c r="H93" s="24" t="s">
        <v>203</v>
      </c>
      <c r="I93" s="45">
        <v>2</v>
      </c>
      <c r="J93" s="55">
        <f>'Harga Satuan Dasar mat'!G33</f>
        <v>147500</v>
      </c>
      <c r="K93" s="26">
        <f t="shared" ref="K93:K95" si="13">I93*J93</f>
        <v>295000</v>
      </c>
    </row>
    <row r="94" spans="1:11" ht="13.2" customHeight="1" x14ac:dyDescent="0.25">
      <c r="A94" s="2"/>
      <c r="B94" s="20" t="s">
        <v>57</v>
      </c>
      <c r="C94" s="21" t="s">
        <v>1740</v>
      </c>
      <c r="D94" s="14"/>
      <c r="E94" s="22"/>
      <c r="F94" s="23"/>
      <c r="G94" s="23"/>
      <c r="H94" s="24" t="s">
        <v>203</v>
      </c>
      <c r="I94" s="45">
        <v>4</v>
      </c>
      <c r="J94" s="25">
        <f t="shared" ref="J94" si="14">J85</f>
        <v>535000</v>
      </c>
      <c r="K94" s="26">
        <f t="shared" si="13"/>
        <v>2140000</v>
      </c>
    </row>
    <row r="95" spans="1:11" ht="13.2" customHeight="1" x14ac:dyDescent="0.25">
      <c r="A95" s="2"/>
      <c r="B95" s="20" t="s">
        <v>83</v>
      </c>
      <c r="C95" s="21" t="s">
        <v>1741</v>
      </c>
      <c r="D95" s="14"/>
      <c r="E95" s="22"/>
      <c r="F95" s="23"/>
      <c r="G95" s="23"/>
      <c r="H95" s="24" t="s">
        <v>203</v>
      </c>
      <c r="I95" s="79">
        <v>4</v>
      </c>
      <c r="J95" s="25">
        <f>J86</f>
        <v>74750</v>
      </c>
      <c r="K95" s="26">
        <f t="shared" si="13"/>
        <v>299000</v>
      </c>
    </row>
    <row r="96" spans="1:11" ht="12.9" customHeight="1" x14ac:dyDescent="0.25">
      <c r="A96" s="6"/>
      <c r="B96" s="7"/>
      <c r="C96" s="8"/>
      <c r="D96" s="8"/>
      <c r="E96" s="8"/>
      <c r="F96" s="8"/>
      <c r="G96" s="9"/>
      <c r="H96" s="10" t="s">
        <v>715</v>
      </c>
      <c r="I96" s="11"/>
      <c r="J96" s="11"/>
      <c r="K96" s="27">
        <f>SUM(K92:K95)</f>
        <v>3063400</v>
      </c>
    </row>
    <row r="97" spans="1:11" ht="12.9" customHeight="1" x14ac:dyDescent="0.25">
      <c r="A97" s="6"/>
      <c r="B97" s="5"/>
      <c r="C97" s="3"/>
      <c r="D97" s="3"/>
      <c r="E97" s="3"/>
      <c r="F97" s="3"/>
      <c r="G97" s="4"/>
      <c r="H97" s="12" t="s">
        <v>603</v>
      </c>
      <c r="I97" s="28">
        <f>I88</f>
        <v>0.15</v>
      </c>
      <c r="J97" s="38"/>
      <c r="K97" s="29">
        <f>I97*K96</f>
        <v>459510</v>
      </c>
    </row>
    <row r="98" spans="1:11" ht="12.9" customHeight="1" x14ac:dyDescent="0.25">
      <c r="A98" s="6"/>
      <c r="B98" s="5"/>
      <c r="C98" s="3"/>
      <c r="D98" s="3"/>
      <c r="E98" s="3"/>
      <c r="F98" s="3"/>
      <c r="G98" s="4"/>
      <c r="H98" s="12" t="s">
        <v>604</v>
      </c>
      <c r="I98" s="14"/>
      <c r="J98" s="14"/>
      <c r="K98" s="29">
        <f>SUM(K96:K97)</f>
        <v>3522910</v>
      </c>
    </row>
    <row r="99" spans="1:11" ht="12.9" customHeight="1" thickBot="1" x14ac:dyDescent="0.3">
      <c r="A99" s="15"/>
      <c r="B99" s="16"/>
      <c r="C99" s="17"/>
      <c r="D99" s="17"/>
      <c r="E99" s="17"/>
      <c r="F99" s="17"/>
      <c r="G99" s="18"/>
      <c r="H99" s="46" t="s">
        <v>605</v>
      </c>
      <c r="I99" s="47"/>
      <c r="J99" s="47"/>
      <c r="K99" s="144">
        <f>ROUND(K98,-1)</f>
        <v>3522910</v>
      </c>
    </row>
    <row r="100" spans="1:11" ht="14.1" customHeight="1" x14ac:dyDescent="0.25">
      <c r="A100" s="81">
        <v>10</v>
      </c>
      <c r="B100" s="699" t="s">
        <v>713</v>
      </c>
      <c r="C100" s="700"/>
      <c r="D100" s="137" t="s">
        <v>1755</v>
      </c>
      <c r="E100" s="138"/>
      <c r="F100" s="139"/>
      <c r="G100" s="139"/>
      <c r="H100" s="140"/>
      <c r="I100" s="141"/>
      <c r="J100" s="142"/>
      <c r="K100" s="143"/>
    </row>
    <row r="101" spans="1:11" ht="13.2" customHeight="1" x14ac:dyDescent="0.25">
      <c r="A101" s="2"/>
      <c r="B101" s="20" t="s">
        <v>4</v>
      </c>
      <c r="C101" s="21" t="s">
        <v>1742</v>
      </c>
      <c r="D101" s="14"/>
      <c r="E101" s="22"/>
      <c r="F101" s="23"/>
      <c r="G101" s="23"/>
      <c r="H101" s="24" t="s">
        <v>203</v>
      </c>
      <c r="I101" s="45">
        <v>2</v>
      </c>
      <c r="J101" s="25">
        <f>'Harga Satuan Dasar mat'!G173</f>
        <v>164700</v>
      </c>
      <c r="K101" s="26">
        <f>I101*J101</f>
        <v>329400</v>
      </c>
    </row>
    <row r="102" spans="1:11" ht="13.2" customHeight="1" x14ac:dyDescent="0.25">
      <c r="A102" s="2"/>
      <c r="B102" s="20" t="s">
        <v>30</v>
      </c>
      <c r="C102" s="21" t="s">
        <v>1757</v>
      </c>
      <c r="D102" s="14"/>
      <c r="E102" s="22"/>
      <c r="F102" s="23"/>
      <c r="G102" s="23"/>
      <c r="H102" s="24" t="s">
        <v>203</v>
      </c>
      <c r="I102" s="45">
        <v>2</v>
      </c>
      <c r="J102" s="55">
        <f>'Harga Satuan Dasar mat'!G28</f>
        <v>122500</v>
      </c>
      <c r="K102" s="26">
        <f t="shared" ref="K102:K104" si="15">I102*J102</f>
        <v>245000</v>
      </c>
    </row>
    <row r="103" spans="1:11" ht="13.2" customHeight="1" x14ac:dyDescent="0.25">
      <c r="A103" s="2"/>
      <c r="B103" s="20" t="s">
        <v>57</v>
      </c>
      <c r="C103" s="21" t="s">
        <v>1740</v>
      </c>
      <c r="D103" s="14"/>
      <c r="E103" s="22"/>
      <c r="F103" s="23"/>
      <c r="G103" s="23"/>
      <c r="H103" s="24" t="s">
        <v>203</v>
      </c>
      <c r="I103" s="45">
        <v>4</v>
      </c>
      <c r="J103" s="25">
        <f>J94</f>
        <v>535000</v>
      </c>
      <c r="K103" s="26">
        <f t="shared" si="15"/>
        <v>2140000</v>
      </c>
    </row>
    <row r="104" spans="1:11" ht="13.2" customHeight="1" x14ac:dyDescent="0.25">
      <c r="A104" s="2"/>
      <c r="B104" s="20" t="s">
        <v>83</v>
      </c>
      <c r="C104" s="21" t="s">
        <v>1741</v>
      </c>
      <c r="D104" s="14"/>
      <c r="E104" s="22"/>
      <c r="F104" s="23"/>
      <c r="G104" s="23"/>
      <c r="H104" s="24" t="s">
        <v>203</v>
      </c>
      <c r="I104" s="79">
        <v>4</v>
      </c>
      <c r="J104" s="25">
        <f>J95</f>
        <v>74750</v>
      </c>
      <c r="K104" s="26">
        <f t="shared" si="15"/>
        <v>299000</v>
      </c>
    </row>
    <row r="105" spans="1:11" ht="12.9" customHeight="1" x14ac:dyDescent="0.25">
      <c r="A105" s="6"/>
      <c r="B105" s="7"/>
      <c r="C105" s="8"/>
      <c r="D105" s="8"/>
      <c r="E105" s="8"/>
      <c r="F105" s="8"/>
      <c r="G105" s="9"/>
      <c r="H105" s="10" t="s">
        <v>715</v>
      </c>
      <c r="I105" s="11"/>
      <c r="J105" s="11"/>
      <c r="K105" s="27">
        <f>SUM(K101:K104)</f>
        <v>3013400</v>
      </c>
    </row>
    <row r="106" spans="1:11" ht="12.9" customHeight="1" x14ac:dyDescent="0.25">
      <c r="A106" s="6"/>
      <c r="B106" s="5"/>
      <c r="C106" s="3"/>
      <c r="D106" s="3"/>
      <c r="E106" s="3"/>
      <c r="F106" s="3"/>
      <c r="G106" s="4"/>
      <c r="H106" s="12" t="s">
        <v>603</v>
      </c>
      <c r="I106" s="28">
        <f>I70</f>
        <v>0.15</v>
      </c>
      <c r="J106" s="38"/>
      <c r="K106" s="29">
        <f>I106*K105</f>
        <v>452010</v>
      </c>
    </row>
    <row r="107" spans="1:11" ht="12.9" customHeight="1" x14ac:dyDescent="0.25">
      <c r="A107" s="6"/>
      <c r="B107" s="5"/>
      <c r="C107" s="3"/>
      <c r="D107" s="3"/>
      <c r="E107" s="3"/>
      <c r="F107" s="3"/>
      <c r="G107" s="4"/>
      <c r="H107" s="12" t="s">
        <v>604</v>
      </c>
      <c r="I107" s="14"/>
      <c r="J107" s="14"/>
      <c r="K107" s="29">
        <f>SUM(K105:K106)</f>
        <v>3465410</v>
      </c>
    </row>
    <row r="108" spans="1:11" ht="12.9" customHeight="1" thickBot="1" x14ac:dyDescent="0.3">
      <c r="A108" s="15"/>
      <c r="B108" s="16"/>
      <c r="C108" s="17"/>
      <c r="D108" s="17"/>
      <c r="E108" s="17"/>
      <c r="F108" s="17"/>
      <c r="G108" s="18"/>
      <c r="H108" s="46" t="s">
        <v>605</v>
      </c>
      <c r="I108" s="47"/>
      <c r="J108" s="47"/>
      <c r="K108" s="144">
        <f>ROUND(K107,-1)</f>
        <v>3465410</v>
      </c>
    </row>
    <row r="109" spans="1:11" ht="14.1" customHeight="1" x14ac:dyDescent="0.25">
      <c r="A109" s="81">
        <v>11</v>
      </c>
      <c r="B109" s="699" t="s">
        <v>713</v>
      </c>
      <c r="C109" s="700"/>
      <c r="D109" s="137" t="s">
        <v>1761</v>
      </c>
      <c r="E109" s="138"/>
      <c r="F109" s="139"/>
      <c r="G109" s="139"/>
      <c r="H109" s="140"/>
      <c r="I109" s="141"/>
      <c r="J109" s="142"/>
      <c r="K109" s="143"/>
    </row>
    <row r="110" spans="1:11" ht="13.2" customHeight="1" x14ac:dyDescent="0.25">
      <c r="A110" s="2"/>
      <c r="B110" s="20" t="s">
        <v>4</v>
      </c>
      <c r="C110" s="21" t="s">
        <v>1742</v>
      </c>
      <c r="D110" s="14"/>
      <c r="E110" s="22"/>
      <c r="F110" s="23"/>
      <c r="G110" s="23"/>
      <c r="H110" s="24" t="s">
        <v>203</v>
      </c>
      <c r="I110" s="45">
        <v>2</v>
      </c>
      <c r="J110" s="25">
        <f>J92</f>
        <v>164700</v>
      </c>
      <c r="K110" s="26">
        <f>I110*J110</f>
        <v>329400</v>
      </c>
    </row>
    <row r="111" spans="1:11" ht="13.2" customHeight="1" x14ac:dyDescent="0.25">
      <c r="A111" s="2"/>
      <c r="B111" s="20" t="s">
        <v>30</v>
      </c>
      <c r="C111" s="21" t="s">
        <v>1753</v>
      </c>
      <c r="D111" s="14"/>
      <c r="E111" s="22"/>
      <c r="F111" s="23"/>
      <c r="G111" s="23"/>
      <c r="H111" s="24" t="s">
        <v>203</v>
      </c>
      <c r="I111" s="45">
        <v>2</v>
      </c>
      <c r="J111" s="55">
        <f>'Harga Satuan Dasar mat'!G34</f>
        <v>152000</v>
      </c>
      <c r="K111" s="26">
        <f t="shared" ref="K111:K113" si="16">I111*J111</f>
        <v>304000</v>
      </c>
    </row>
    <row r="112" spans="1:11" ht="13.2" customHeight="1" x14ac:dyDescent="0.25">
      <c r="A112" s="2"/>
      <c r="B112" s="20" t="s">
        <v>57</v>
      </c>
      <c r="C112" s="21" t="s">
        <v>1740</v>
      </c>
      <c r="D112" s="14"/>
      <c r="E112" s="22"/>
      <c r="F112" s="23"/>
      <c r="G112" s="23"/>
      <c r="H112" s="24" t="s">
        <v>203</v>
      </c>
      <c r="I112" s="45">
        <v>4</v>
      </c>
      <c r="J112" s="25">
        <f>J94</f>
        <v>535000</v>
      </c>
      <c r="K112" s="26">
        <f t="shared" si="16"/>
        <v>2140000</v>
      </c>
    </row>
    <row r="113" spans="1:11" ht="13.2" customHeight="1" x14ac:dyDescent="0.25">
      <c r="A113" s="2"/>
      <c r="B113" s="20" t="s">
        <v>83</v>
      </c>
      <c r="C113" s="21" t="s">
        <v>1741</v>
      </c>
      <c r="D113" s="14"/>
      <c r="E113" s="22"/>
      <c r="F113" s="23"/>
      <c r="G113" s="23"/>
      <c r="H113" s="24" t="s">
        <v>203</v>
      </c>
      <c r="I113" s="79">
        <v>4</v>
      </c>
      <c r="J113" s="25">
        <f>J104</f>
        <v>74750</v>
      </c>
      <c r="K113" s="26">
        <f t="shared" si="16"/>
        <v>299000</v>
      </c>
    </row>
    <row r="114" spans="1:11" ht="12.9" customHeight="1" x14ac:dyDescent="0.25">
      <c r="A114" s="6"/>
      <c r="B114" s="7"/>
      <c r="C114" s="8"/>
      <c r="D114" s="8"/>
      <c r="E114" s="8"/>
      <c r="F114" s="8"/>
      <c r="G114" s="9"/>
      <c r="H114" s="10" t="s">
        <v>715</v>
      </c>
      <c r="I114" s="11"/>
      <c r="J114" s="11"/>
      <c r="K114" s="27">
        <f>SUM(K110:K113)</f>
        <v>3072400</v>
      </c>
    </row>
    <row r="115" spans="1:11" ht="12.9" customHeight="1" x14ac:dyDescent="0.25">
      <c r="A115" s="6"/>
      <c r="B115" s="5"/>
      <c r="C115" s="3"/>
      <c r="D115" s="3"/>
      <c r="E115" s="3"/>
      <c r="F115" s="3"/>
      <c r="G115" s="4"/>
      <c r="H115" s="12" t="s">
        <v>603</v>
      </c>
      <c r="I115" s="28">
        <f>I97</f>
        <v>0.15</v>
      </c>
      <c r="J115" s="38"/>
      <c r="K115" s="29">
        <f>I115*K114</f>
        <v>460860</v>
      </c>
    </row>
    <row r="116" spans="1:11" ht="12.9" customHeight="1" x14ac:dyDescent="0.25">
      <c r="A116" s="6"/>
      <c r="B116" s="5"/>
      <c r="C116" s="3"/>
      <c r="D116" s="3"/>
      <c r="E116" s="3"/>
      <c r="F116" s="3"/>
      <c r="G116" s="4"/>
      <c r="H116" s="12" t="s">
        <v>604</v>
      </c>
      <c r="I116" s="14"/>
      <c r="J116" s="14"/>
      <c r="K116" s="29">
        <f>SUM(K114:K115)</f>
        <v>3533260</v>
      </c>
    </row>
    <row r="117" spans="1:11" ht="12.9" customHeight="1" thickBot="1" x14ac:dyDescent="0.3">
      <c r="A117" s="15"/>
      <c r="B117" s="16"/>
      <c r="C117" s="17"/>
      <c r="D117" s="17"/>
      <c r="E117" s="17"/>
      <c r="F117" s="17"/>
      <c r="G117" s="18"/>
      <c r="H117" s="46" t="s">
        <v>605</v>
      </c>
      <c r="I117" s="47"/>
      <c r="J117" s="47"/>
      <c r="K117" s="144">
        <f>ROUND(K116,-1)</f>
        <v>3533260</v>
      </c>
    </row>
    <row r="118" spans="1:11" ht="14.1" customHeight="1" x14ac:dyDescent="0.25">
      <c r="A118" s="81">
        <v>12</v>
      </c>
      <c r="B118" s="699" t="s">
        <v>713</v>
      </c>
      <c r="C118" s="700"/>
      <c r="D118" s="137" t="s">
        <v>1765</v>
      </c>
      <c r="E118" s="138"/>
      <c r="F118" s="139"/>
      <c r="G118" s="139"/>
      <c r="H118" s="140"/>
      <c r="I118" s="141"/>
      <c r="J118" s="142"/>
      <c r="K118" s="143"/>
    </row>
    <row r="119" spans="1:11" ht="13.2" customHeight="1" x14ac:dyDescent="0.25">
      <c r="A119" s="2"/>
      <c r="B119" s="20" t="s">
        <v>4</v>
      </c>
      <c r="C119" s="21" t="s">
        <v>1742</v>
      </c>
      <c r="D119" s="14"/>
      <c r="E119" s="22"/>
      <c r="F119" s="23"/>
      <c r="G119" s="23"/>
      <c r="H119" s="24" t="s">
        <v>203</v>
      </c>
      <c r="I119" s="45">
        <v>2</v>
      </c>
      <c r="J119" s="25">
        <f>J110</f>
        <v>164700</v>
      </c>
      <c r="K119" s="26">
        <f>I119*J119</f>
        <v>329400</v>
      </c>
    </row>
    <row r="120" spans="1:11" ht="13.2" customHeight="1" x14ac:dyDescent="0.25">
      <c r="A120" s="2"/>
      <c r="B120" s="20" t="s">
        <v>30</v>
      </c>
      <c r="C120" s="21" t="s">
        <v>1764</v>
      </c>
      <c r="D120" s="14"/>
      <c r="E120" s="22"/>
      <c r="F120" s="23"/>
      <c r="G120" s="23"/>
      <c r="H120" s="24" t="s">
        <v>203</v>
      </c>
      <c r="I120" s="45">
        <v>2</v>
      </c>
      <c r="J120" s="55">
        <f>'Harga Satuan Dasar mat'!G30</f>
        <v>132500</v>
      </c>
      <c r="K120" s="26">
        <f t="shared" ref="K120:K122" si="17">I120*J120</f>
        <v>265000</v>
      </c>
    </row>
    <row r="121" spans="1:11" ht="13.2" customHeight="1" x14ac:dyDescent="0.25">
      <c r="A121" s="2"/>
      <c r="B121" s="20" t="s">
        <v>57</v>
      </c>
      <c r="C121" s="21" t="s">
        <v>1740</v>
      </c>
      <c r="D121" s="14"/>
      <c r="E121" s="22"/>
      <c r="F121" s="23"/>
      <c r="G121" s="23"/>
      <c r="H121" s="24" t="s">
        <v>203</v>
      </c>
      <c r="I121" s="45">
        <v>4</v>
      </c>
      <c r="J121" s="25">
        <f t="shared" ref="J121" si="18">J112</f>
        <v>535000</v>
      </c>
      <c r="K121" s="26">
        <f t="shared" si="17"/>
        <v>2140000</v>
      </c>
    </row>
    <row r="122" spans="1:11" ht="13.2" customHeight="1" x14ac:dyDescent="0.25">
      <c r="A122" s="2"/>
      <c r="B122" s="20" t="s">
        <v>83</v>
      </c>
      <c r="C122" s="21" t="s">
        <v>1741</v>
      </c>
      <c r="D122" s="14"/>
      <c r="E122" s="22"/>
      <c r="F122" s="23"/>
      <c r="G122" s="23"/>
      <c r="H122" s="24" t="s">
        <v>203</v>
      </c>
      <c r="I122" s="79">
        <v>4</v>
      </c>
      <c r="J122" s="25">
        <f>J113</f>
        <v>74750</v>
      </c>
      <c r="K122" s="26">
        <f t="shared" si="17"/>
        <v>299000</v>
      </c>
    </row>
    <row r="123" spans="1:11" ht="12.9" customHeight="1" x14ac:dyDescent="0.25">
      <c r="A123" s="6"/>
      <c r="B123" s="7"/>
      <c r="C123" s="8"/>
      <c r="D123" s="8"/>
      <c r="E123" s="8"/>
      <c r="F123" s="8"/>
      <c r="G123" s="9"/>
      <c r="H123" s="10" t="s">
        <v>715</v>
      </c>
      <c r="I123" s="11"/>
      <c r="J123" s="11"/>
      <c r="K123" s="27">
        <f>SUM(K119:K122)</f>
        <v>3033400</v>
      </c>
    </row>
    <row r="124" spans="1:11" ht="12.9" customHeight="1" x14ac:dyDescent="0.25">
      <c r="A124" s="6"/>
      <c r="B124" s="5"/>
      <c r="C124" s="3"/>
      <c r="D124" s="3"/>
      <c r="E124" s="3"/>
      <c r="F124" s="3"/>
      <c r="G124" s="4"/>
      <c r="H124" s="12" t="s">
        <v>603</v>
      </c>
      <c r="I124" s="28">
        <f>I106</f>
        <v>0.15</v>
      </c>
      <c r="J124" s="38"/>
      <c r="K124" s="29">
        <f>I124*K123</f>
        <v>455010</v>
      </c>
    </row>
    <row r="125" spans="1:11" ht="12.9" customHeight="1" x14ac:dyDescent="0.25">
      <c r="A125" s="6"/>
      <c r="B125" s="5"/>
      <c r="C125" s="3"/>
      <c r="D125" s="3"/>
      <c r="E125" s="3"/>
      <c r="F125" s="3"/>
      <c r="G125" s="4"/>
      <c r="H125" s="12" t="s">
        <v>604</v>
      </c>
      <c r="I125" s="14"/>
      <c r="J125" s="14"/>
      <c r="K125" s="29">
        <f>SUM(K123:K124)</f>
        <v>3488410</v>
      </c>
    </row>
    <row r="126" spans="1:11" ht="12.9" customHeight="1" thickBot="1" x14ac:dyDescent="0.3">
      <c r="A126" s="15"/>
      <c r="B126" s="16"/>
      <c r="C126" s="17"/>
      <c r="D126" s="17"/>
      <c r="E126" s="17"/>
      <c r="F126" s="17"/>
      <c r="G126" s="18"/>
      <c r="H126" s="46" t="s">
        <v>605</v>
      </c>
      <c r="I126" s="47"/>
      <c r="J126" s="47"/>
      <c r="K126" s="144">
        <f>ROUND(K125,-1)</f>
        <v>3488410</v>
      </c>
    </row>
    <row r="127" spans="1:11" ht="14.1" customHeight="1" x14ac:dyDescent="0.25">
      <c r="A127" s="81">
        <v>13</v>
      </c>
      <c r="B127" s="699" t="s">
        <v>713</v>
      </c>
      <c r="C127" s="700"/>
      <c r="D127" s="137" t="s">
        <v>1766</v>
      </c>
      <c r="E127" s="138"/>
      <c r="F127" s="139"/>
      <c r="G127" s="139"/>
      <c r="H127" s="140"/>
      <c r="I127" s="141"/>
      <c r="J127" s="142"/>
      <c r="K127" s="143"/>
    </row>
    <row r="128" spans="1:11" ht="13.2" customHeight="1" x14ac:dyDescent="0.25">
      <c r="A128" s="2"/>
      <c r="B128" s="20" t="s">
        <v>4</v>
      </c>
      <c r="C128" s="21" t="s">
        <v>1742</v>
      </c>
      <c r="D128" s="14"/>
      <c r="E128" s="22"/>
      <c r="F128" s="23"/>
      <c r="G128" s="23"/>
      <c r="H128" s="24" t="s">
        <v>203</v>
      </c>
      <c r="I128" s="45">
        <v>2</v>
      </c>
      <c r="J128" s="25">
        <f>J119</f>
        <v>164700</v>
      </c>
      <c r="K128" s="26">
        <f>I128*J128</f>
        <v>329400</v>
      </c>
    </row>
    <row r="129" spans="1:11" ht="13.2" customHeight="1" x14ac:dyDescent="0.25">
      <c r="A129" s="2"/>
      <c r="B129" s="20" t="s">
        <v>30</v>
      </c>
      <c r="C129" s="21" t="s">
        <v>1767</v>
      </c>
      <c r="D129" s="14"/>
      <c r="E129" s="22"/>
      <c r="F129" s="23"/>
      <c r="G129" s="23"/>
      <c r="H129" s="24" t="s">
        <v>203</v>
      </c>
      <c r="I129" s="45">
        <v>2</v>
      </c>
      <c r="J129" s="55">
        <f>'Harga Satuan Dasar mat'!G26</f>
        <v>115000</v>
      </c>
      <c r="K129" s="26">
        <f t="shared" ref="K129:K131" si="19">I129*J129</f>
        <v>230000</v>
      </c>
    </row>
    <row r="130" spans="1:11" ht="13.2" customHeight="1" x14ac:dyDescent="0.25">
      <c r="A130" s="2"/>
      <c r="B130" s="20" t="s">
        <v>57</v>
      </c>
      <c r="C130" s="21" t="s">
        <v>1740</v>
      </c>
      <c r="D130" s="14"/>
      <c r="E130" s="22"/>
      <c r="F130" s="23"/>
      <c r="G130" s="23"/>
      <c r="H130" s="24" t="s">
        <v>203</v>
      </c>
      <c r="I130" s="45">
        <v>4</v>
      </c>
      <c r="J130" s="25">
        <f t="shared" ref="J130" si="20">J121</f>
        <v>535000</v>
      </c>
      <c r="K130" s="26">
        <f t="shared" si="19"/>
        <v>2140000</v>
      </c>
    </row>
    <row r="131" spans="1:11" ht="13.2" customHeight="1" x14ac:dyDescent="0.25">
      <c r="A131" s="2"/>
      <c r="B131" s="20" t="s">
        <v>83</v>
      </c>
      <c r="C131" s="21" t="s">
        <v>1741</v>
      </c>
      <c r="D131" s="14"/>
      <c r="E131" s="22"/>
      <c r="F131" s="23"/>
      <c r="G131" s="23"/>
      <c r="H131" s="24" t="s">
        <v>203</v>
      </c>
      <c r="I131" s="79">
        <v>4</v>
      </c>
      <c r="J131" s="25">
        <f>J122</f>
        <v>74750</v>
      </c>
      <c r="K131" s="26">
        <f t="shared" si="19"/>
        <v>299000</v>
      </c>
    </row>
    <row r="132" spans="1:11" ht="12.9" customHeight="1" x14ac:dyDescent="0.25">
      <c r="A132" s="6"/>
      <c r="B132" s="7"/>
      <c r="C132" s="8"/>
      <c r="D132" s="8"/>
      <c r="E132" s="8"/>
      <c r="F132" s="8"/>
      <c r="G132" s="9"/>
      <c r="H132" s="10" t="s">
        <v>715</v>
      </c>
      <c r="I132" s="11"/>
      <c r="J132" s="11"/>
      <c r="K132" s="27">
        <f>SUM(K128:K131)</f>
        <v>2998400</v>
      </c>
    </row>
    <row r="133" spans="1:11" ht="12.9" customHeight="1" x14ac:dyDescent="0.25">
      <c r="A133" s="6"/>
      <c r="B133" s="5"/>
      <c r="C133" s="3"/>
      <c r="D133" s="3"/>
      <c r="E133" s="3"/>
      <c r="F133" s="3"/>
      <c r="G133" s="4"/>
      <c r="H133" s="12" t="s">
        <v>603</v>
      </c>
      <c r="I133" s="28">
        <f>I115</f>
        <v>0.15</v>
      </c>
      <c r="J133" s="38"/>
      <c r="K133" s="29">
        <f>I133*K132</f>
        <v>449760</v>
      </c>
    </row>
    <row r="134" spans="1:11" ht="12.9" customHeight="1" x14ac:dyDescent="0.25">
      <c r="A134" s="6"/>
      <c r="B134" s="5"/>
      <c r="C134" s="3"/>
      <c r="D134" s="3"/>
      <c r="E134" s="3"/>
      <c r="F134" s="3"/>
      <c r="G134" s="4"/>
      <c r="H134" s="12" t="s">
        <v>604</v>
      </c>
      <c r="I134" s="14"/>
      <c r="J134" s="14"/>
      <c r="K134" s="29">
        <f>SUM(K132:K133)</f>
        <v>3448160</v>
      </c>
    </row>
    <row r="135" spans="1:11" ht="12.9" customHeight="1" thickBot="1" x14ac:dyDescent="0.3">
      <c r="A135" s="15"/>
      <c r="B135" s="16"/>
      <c r="C135" s="17"/>
      <c r="D135" s="17"/>
      <c r="E135" s="17"/>
      <c r="F135" s="17"/>
      <c r="G135" s="18"/>
      <c r="H135" s="46" t="s">
        <v>605</v>
      </c>
      <c r="I135" s="47"/>
      <c r="J135" s="47"/>
      <c r="K135" s="144">
        <f>ROUND(K134,-1)</f>
        <v>3448160</v>
      </c>
    </row>
    <row r="136" spans="1:11" ht="14.1" customHeight="1" x14ac:dyDescent="0.25">
      <c r="A136" s="81">
        <v>14</v>
      </c>
      <c r="B136" s="699" t="s">
        <v>713</v>
      </c>
      <c r="C136" s="700"/>
      <c r="D136" s="137" t="s">
        <v>1745</v>
      </c>
      <c r="E136" s="138"/>
      <c r="F136" s="139"/>
      <c r="G136" s="139"/>
      <c r="H136" s="140"/>
      <c r="I136" s="141"/>
      <c r="J136" s="142"/>
      <c r="K136" s="143"/>
    </row>
    <row r="137" spans="1:11" ht="13.2" customHeight="1" x14ac:dyDescent="0.25">
      <c r="A137" s="2"/>
      <c r="B137" s="20" t="s">
        <v>4</v>
      </c>
      <c r="C137" s="21" t="s">
        <v>1742</v>
      </c>
      <c r="D137" s="14"/>
      <c r="E137" s="22"/>
      <c r="F137" s="23"/>
      <c r="G137" s="23"/>
      <c r="H137" s="24" t="s">
        <v>203</v>
      </c>
      <c r="I137" s="45">
        <v>2</v>
      </c>
      <c r="J137" s="25">
        <f>J101</f>
        <v>164700</v>
      </c>
      <c r="K137" s="26">
        <f>I137*J137</f>
        <v>329400</v>
      </c>
    </row>
    <row r="138" spans="1:11" ht="13.2" customHeight="1" x14ac:dyDescent="0.25">
      <c r="A138" s="2"/>
      <c r="B138" s="20" t="s">
        <v>30</v>
      </c>
      <c r="C138" s="21" t="s">
        <v>1759</v>
      </c>
      <c r="D138" s="14"/>
      <c r="E138" s="22"/>
      <c r="F138" s="23"/>
      <c r="G138" s="23"/>
      <c r="H138" s="24" t="s">
        <v>203</v>
      </c>
      <c r="I138" s="45">
        <v>2</v>
      </c>
      <c r="J138" s="55">
        <f>'Harga Satuan Dasar mat'!G24</f>
        <v>105500</v>
      </c>
      <c r="K138" s="26">
        <f t="shared" ref="K138:K140" si="21">I138*J138</f>
        <v>211000</v>
      </c>
    </row>
    <row r="139" spans="1:11" ht="13.2" customHeight="1" x14ac:dyDescent="0.25">
      <c r="A139" s="2"/>
      <c r="B139" s="20" t="s">
        <v>57</v>
      </c>
      <c r="C139" s="21" t="s">
        <v>1740</v>
      </c>
      <c r="D139" s="14"/>
      <c r="E139" s="22"/>
      <c r="F139" s="23"/>
      <c r="G139" s="23"/>
      <c r="H139" s="24" t="s">
        <v>203</v>
      </c>
      <c r="I139" s="45">
        <v>4</v>
      </c>
      <c r="J139" s="25">
        <f>J103</f>
        <v>535000</v>
      </c>
      <c r="K139" s="26">
        <f t="shared" si="21"/>
        <v>2140000</v>
      </c>
    </row>
    <row r="140" spans="1:11" ht="13.2" customHeight="1" x14ac:dyDescent="0.25">
      <c r="A140" s="2"/>
      <c r="B140" s="20" t="s">
        <v>83</v>
      </c>
      <c r="C140" s="21" t="s">
        <v>1741</v>
      </c>
      <c r="D140" s="14"/>
      <c r="E140" s="22"/>
      <c r="F140" s="23"/>
      <c r="G140" s="23"/>
      <c r="H140" s="24" t="s">
        <v>203</v>
      </c>
      <c r="I140" s="79">
        <v>4</v>
      </c>
      <c r="J140" s="25">
        <f>J131</f>
        <v>74750</v>
      </c>
      <c r="K140" s="26">
        <f t="shared" si="21"/>
        <v>299000</v>
      </c>
    </row>
    <row r="141" spans="1:11" ht="12.9" customHeight="1" x14ac:dyDescent="0.25">
      <c r="A141" s="6"/>
      <c r="B141" s="7"/>
      <c r="C141" s="8"/>
      <c r="D141" s="8"/>
      <c r="E141" s="8"/>
      <c r="F141" s="8"/>
      <c r="G141" s="9"/>
      <c r="H141" s="10" t="s">
        <v>715</v>
      </c>
      <c r="I141" s="11"/>
      <c r="J141" s="11"/>
      <c r="K141" s="27">
        <f>SUM(K137:K140)</f>
        <v>2979400</v>
      </c>
    </row>
    <row r="142" spans="1:11" ht="12.9" customHeight="1" x14ac:dyDescent="0.25">
      <c r="A142" s="6"/>
      <c r="B142" s="5"/>
      <c r="C142" s="3"/>
      <c r="D142" s="3"/>
      <c r="E142" s="3"/>
      <c r="F142" s="3"/>
      <c r="G142" s="4"/>
      <c r="H142" s="12" t="s">
        <v>603</v>
      </c>
      <c r="I142" s="28">
        <f>I106</f>
        <v>0.15</v>
      </c>
      <c r="J142" s="38"/>
      <c r="K142" s="29">
        <f>I142*K141</f>
        <v>446910</v>
      </c>
    </row>
    <row r="143" spans="1:11" ht="12.9" customHeight="1" x14ac:dyDescent="0.25">
      <c r="A143" s="6"/>
      <c r="B143" s="5"/>
      <c r="C143" s="3"/>
      <c r="D143" s="3"/>
      <c r="E143" s="3"/>
      <c r="F143" s="3"/>
      <c r="G143" s="4"/>
      <c r="H143" s="12" t="s">
        <v>604</v>
      </c>
      <c r="I143" s="14"/>
      <c r="J143" s="14"/>
      <c r="K143" s="29">
        <f>SUM(K141:K142)</f>
        <v>3426310</v>
      </c>
    </row>
    <row r="144" spans="1:11" ht="13.2" customHeight="1" thickBot="1" x14ac:dyDescent="0.3">
      <c r="A144" s="15"/>
      <c r="B144" s="16"/>
      <c r="C144" s="17"/>
      <c r="D144" s="17"/>
      <c r="E144" s="17"/>
      <c r="F144" s="17"/>
      <c r="G144" s="18"/>
      <c r="H144" s="46" t="s">
        <v>605</v>
      </c>
      <c r="I144" s="47"/>
      <c r="J144" s="47"/>
      <c r="K144" s="144">
        <f>ROUND(K143,-1)</f>
        <v>3426310</v>
      </c>
    </row>
    <row r="145" spans="1:11" ht="14.1" customHeight="1" x14ac:dyDescent="0.25">
      <c r="A145" s="81">
        <v>15</v>
      </c>
      <c r="B145" s="699" t="s">
        <v>713</v>
      </c>
      <c r="C145" s="700"/>
      <c r="D145" s="137" t="s">
        <v>1746</v>
      </c>
      <c r="E145" s="138"/>
      <c r="F145" s="139"/>
      <c r="G145" s="139"/>
      <c r="H145" s="140"/>
      <c r="I145" s="141"/>
      <c r="J145" s="142"/>
      <c r="K145" s="143"/>
    </row>
    <row r="146" spans="1:11" ht="13.2" customHeight="1" x14ac:dyDescent="0.25">
      <c r="A146" s="2"/>
      <c r="B146" s="20" t="s">
        <v>4</v>
      </c>
      <c r="C146" s="21" t="s">
        <v>1742</v>
      </c>
      <c r="D146" s="14"/>
      <c r="E146" s="22"/>
      <c r="F146" s="23"/>
      <c r="G146" s="23"/>
      <c r="H146" s="24" t="s">
        <v>203</v>
      </c>
      <c r="I146" s="45">
        <v>2</v>
      </c>
      <c r="J146" s="25">
        <f>J137</f>
        <v>164700</v>
      </c>
      <c r="K146" s="26">
        <f>I146*J146</f>
        <v>329400</v>
      </c>
    </row>
    <row r="147" spans="1:11" ht="13.2" customHeight="1" x14ac:dyDescent="0.25">
      <c r="A147" s="2"/>
      <c r="B147" s="20" t="s">
        <v>30</v>
      </c>
      <c r="C147" s="21" t="s">
        <v>1760</v>
      </c>
      <c r="D147" s="14"/>
      <c r="E147" s="22"/>
      <c r="F147" s="23"/>
      <c r="G147" s="23"/>
      <c r="H147" s="24" t="s">
        <v>203</v>
      </c>
      <c r="I147" s="45">
        <v>2</v>
      </c>
      <c r="J147" s="55">
        <f>'Harga Satuan Dasar mat'!G23</f>
        <v>100250</v>
      </c>
      <c r="K147" s="26">
        <f t="shared" ref="K147:K149" si="22">I147*J147</f>
        <v>200500</v>
      </c>
    </row>
    <row r="148" spans="1:11" ht="13.2" customHeight="1" x14ac:dyDescent="0.25">
      <c r="A148" s="2"/>
      <c r="B148" s="20" t="s">
        <v>57</v>
      </c>
      <c r="C148" s="21" t="s">
        <v>1740</v>
      </c>
      <c r="D148" s="14"/>
      <c r="E148" s="22"/>
      <c r="F148" s="23"/>
      <c r="G148" s="23"/>
      <c r="H148" s="24" t="s">
        <v>203</v>
      </c>
      <c r="I148" s="45">
        <v>4</v>
      </c>
      <c r="J148" s="25">
        <f t="shared" ref="J148" si="23">J139</f>
        <v>535000</v>
      </c>
      <c r="K148" s="26">
        <f t="shared" si="22"/>
        <v>2140000</v>
      </c>
    </row>
    <row r="149" spans="1:11" ht="13.2" customHeight="1" x14ac:dyDescent="0.25">
      <c r="A149" s="2"/>
      <c r="B149" s="20" t="s">
        <v>83</v>
      </c>
      <c r="C149" s="21" t="s">
        <v>1741</v>
      </c>
      <c r="D149" s="14"/>
      <c r="E149" s="22"/>
      <c r="F149" s="23"/>
      <c r="G149" s="23"/>
      <c r="H149" s="24" t="s">
        <v>203</v>
      </c>
      <c r="I149" s="79">
        <v>4</v>
      </c>
      <c r="J149" s="25">
        <f>J140</f>
        <v>74750</v>
      </c>
      <c r="K149" s="26">
        <f t="shared" si="22"/>
        <v>299000</v>
      </c>
    </row>
    <row r="150" spans="1:11" ht="12.9" customHeight="1" x14ac:dyDescent="0.25">
      <c r="A150" s="6"/>
      <c r="B150" s="7"/>
      <c r="C150" s="8"/>
      <c r="D150" s="8"/>
      <c r="E150" s="8"/>
      <c r="F150" s="8"/>
      <c r="G150" s="9"/>
      <c r="H150" s="10" t="s">
        <v>715</v>
      </c>
      <c r="I150" s="11"/>
      <c r="J150" s="11"/>
      <c r="K150" s="27">
        <f>SUM(K146:K149)</f>
        <v>2968900</v>
      </c>
    </row>
    <row r="151" spans="1:11" ht="12.9" customHeight="1" x14ac:dyDescent="0.25">
      <c r="A151" s="6"/>
      <c r="B151" s="5"/>
      <c r="C151" s="3"/>
      <c r="D151" s="3"/>
      <c r="E151" s="3"/>
      <c r="F151" s="3"/>
      <c r="G151" s="4"/>
      <c r="H151" s="12" t="s">
        <v>603</v>
      </c>
      <c r="I151" s="28">
        <f>I142</f>
        <v>0.15</v>
      </c>
      <c r="J151" s="38"/>
      <c r="K151" s="29">
        <f>I151*K150</f>
        <v>445335</v>
      </c>
    </row>
    <row r="152" spans="1:11" ht="12.9" customHeight="1" x14ac:dyDescent="0.25">
      <c r="A152" s="6"/>
      <c r="B152" s="5"/>
      <c r="C152" s="3"/>
      <c r="D152" s="3"/>
      <c r="E152" s="3"/>
      <c r="F152" s="3"/>
      <c r="G152" s="4"/>
      <c r="H152" s="12" t="s">
        <v>604</v>
      </c>
      <c r="I152" s="14"/>
      <c r="J152" s="14"/>
      <c r="K152" s="29">
        <f>SUM(K150:K151)</f>
        <v>3414235</v>
      </c>
    </row>
    <row r="153" spans="1:11" ht="12.9" customHeight="1" thickBot="1" x14ac:dyDescent="0.3">
      <c r="A153" s="15"/>
      <c r="B153" s="16"/>
      <c r="C153" s="17"/>
      <c r="D153" s="17"/>
      <c r="E153" s="17"/>
      <c r="F153" s="17"/>
      <c r="G153" s="18"/>
      <c r="H153" s="46" t="s">
        <v>605</v>
      </c>
      <c r="I153" s="47"/>
      <c r="J153" s="47"/>
      <c r="K153" s="144">
        <f>ROUND(K152,-1)</f>
        <v>3414240</v>
      </c>
    </row>
    <row r="154" spans="1:11" ht="14.1" customHeight="1" x14ac:dyDescent="0.25">
      <c r="A154" s="81">
        <v>16</v>
      </c>
      <c r="B154" s="699" t="s">
        <v>713</v>
      </c>
      <c r="C154" s="700"/>
      <c r="D154" s="137" t="s">
        <v>1768</v>
      </c>
      <c r="E154" s="138"/>
      <c r="F154" s="139"/>
      <c r="G154" s="139"/>
      <c r="H154" s="140"/>
      <c r="I154" s="141"/>
      <c r="J154" s="142"/>
      <c r="K154" s="143"/>
    </row>
    <row r="155" spans="1:11" ht="13.2" customHeight="1" x14ac:dyDescent="0.25">
      <c r="A155" s="2"/>
      <c r="B155" s="20" t="s">
        <v>4</v>
      </c>
      <c r="C155" s="21" t="s">
        <v>1769</v>
      </c>
      <c r="D155" s="14"/>
      <c r="E155" s="22"/>
      <c r="F155" s="23"/>
      <c r="G155" s="23"/>
      <c r="H155" s="24" t="s">
        <v>203</v>
      </c>
      <c r="I155" s="45">
        <v>4</v>
      </c>
      <c r="J155" s="25">
        <f>'Harga Satuan Dasar mat'!G744</f>
        <v>18700</v>
      </c>
      <c r="K155" s="26">
        <f>I155*J155</f>
        <v>74800</v>
      </c>
    </row>
    <row r="156" spans="1:11" ht="13.2" customHeight="1" x14ac:dyDescent="0.25">
      <c r="A156" s="2"/>
      <c r="B156" s="20"/>
      <c r="C156" s="21"/>
      <c r="D156" s="14"/>
      <c r="E156" s="22"/>
      <c r="F156" s="23"/>
      <c r="G156" s="23"/>
      <c r="H156" s="24"/>
      <c r="I156" s="79"/>
      <c r="J156" s="25"/>
      <c r="K156" s="26"/>
    </row>
    <row r="157" spans="1:11" ht="12.9" customHeight="1" x14ac:dyDescent="0.25">
      <c r="A157" s="6"/>
      <c r="B157" s="7"/>
      <c r="C157" s="8"/>
      <c r="D157" s="8"/>
      <c r="E157" s="8"/>
      <c r="F157" s="8"/>
      <c r="G157" s="9"/>
      <c r="H157" s="10" t="s">
        <v>715</v>
      </c>
      <c r="I157" s="11"/>
      <c r="J157" s="11"/>
      <c r="K157" s="27">
        <f>SUM(K155:K156)</f>
        <v>74800</v>
      </c>
    </row>
    <row r="158" spans="1:11" ht="12.9" customHeight="1" x14ac:dyDescent="0.25">
      <c r="A158" s="6"/>
      <c r="B158" s="5"/>
      <c r="C158" s="3"/>
      <c r="D158" s="3"/>
      <c r="E158" s="3"/>
      <c r="F158" s="3"/>
      <c r="G158" s="4"/>
      <c r="H158" s="12" t="s">
        <v>603</v>
      </c>
      <c r="I158" s="28">
        <f>I151</f>
        <v>0.15</v>
      </c>
      <c r="J158" s="38"/>
      <c r="K158" s="29">
        <f>I158*K157</f>
        <v>11220</v>
      </c>
    </row>
    <row r="159" spans="1:11" ht="12.9" customHeight="1" x14ac:dyDescent="0.25">
      <c r="A159" s="6"/>
      <c r="B159" s="5"/>
      <c r="C159" s="3"/>
      <c r="D159" s="3"/>
      <c r="E159" s="3"/>
      <c r="F159" s="3"/>
      <c r="G159" s="4"/>
      <c r="H159" s="12" t="s">
        <v>604</v>
      </c>
      <c r="I159" s="14"/>
      <c r="J159" s="14"/>
      <c r="K159" s="29">
        <f>SUM(K157:K158)</f>
        <v>86020</v>
      </c>
    </row>
    <row r="160" spans="1:11" ht="12.9" customHeight="1" thickBot="1" x14ac:dyDescent="0.3">
      <c r="A160" s="15"/>
      <c r="B160" s="16"/>
      <c r="C160" s="17"/>
      <c r="D160" s="17"/>
      <c r="E160" s="17"/>
      <c r="F160" s="17"/>
      <c r="G160" s="18"/>
      <c r="H160" s="46" t="s">
        <v>605</v>
      </c>
      <c r="I160" s="47"/>
      <c r="J160" s="47"/>
      <c r="K160" s="144">
        <f>ROUND(K159,-1)</f>
        <v>86020</v>
      </c>
    </row>
  </sheetData>
  <mergeCells count="25">
    <mergeCell ref="J4:K4"/>
    <mergeCell ref="J5:J6"/>
    <mergeCell ref="K5:K6"/>
    <mergeCell ref="B7:C7"/>
    <mergeCell ref="A1:K1"/>
    <mergeCell ref="A2:K2"/>
    <mergeCell ref="B18:C18"/>
    <mergeCell ref="A4:A6"/>
    <mergeCell ref="B4:G6"/>
    <mergeCell ref="H4:H6"/>
    <mergeCell ref="I4:I6"/>
    <mergeCell ref="B29:C29"/>
    <mergeCell ref="B51:C51"/>
    <mergeCell ref="B62:C62"/>
    <mergeCell ref="B40:C40"/>
    <mergeCell ref="B100:C100"/>
    <mergeCell ref="B154:C154"/>
    <mergeCell ref="B145:C145"/>
    <mergeCell ref="B73:C73"/>
    <mergeCell ref="B82:C82"/>
    <mergeCell ref="B91:C91"/>
    <mergeCell ref="B109:C109"/>
    <mergeCell ref="B118:C118"/>
    <mergeCell ref="B127:C127"/>
    <mergeCell ref="B136:C136"/>
  </mergeCells>
  <pageMargins left="0.51181102362204722" right="0.11811023622047245" top="0.35433070866141736" bottom="0.15748031496062992" header="0.31496062992125984" footer="0.31496062992125984"/>
  <pageSetup paperSize="9" scale="87" orientation="portrait" verticalDpi="0" r:id="rId1"/>
  <rowBreaks count="2" manualBreakCount="2">
    <brk id="61" max="16383" man="1"/>
    <brk id="12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6DAB-5760-4C4E-AB29-80E9BAE31835}">
  <sheetPr>
    <tabColor rgb="FFFFC000"/>
  </sheetPr>
  <dimension ref="A1:K469"/>
  <sheetViews>
    <sheetView topLeftCell="A431" zoomScaleNormal="100" zoomScaleSheetLayoutView="88" workbookViewId="0">
      <selection activeCell="K471" sqref="K471"/>
    </sheetView>
  </sheetViews>
  <sheetFormatPr defaultRowHeight="13.8" x14ac:dyDescent="0.25"/>
  <cols>
    <col min="1" max="1" width="4.19921875" customWidth="1"/>
    <col min="2" max="2" width="3" customWidth="1"/>
    <col min="3" max="3" width="5.8984375" customWidth="1"/>
    <col min="7" max="7" width="25.8984375" customWidth="1"/>
    <col min="8" max="8" width="7.5" customWidth="1"/>
    <col min="9" max="9" width="8.59765625" customWidth="1"/>
    <col min="11" max="11" width="10.0976562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1454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1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ht="14.1" customHeight="1" x14ac:dyDescent="0.25">
      <c r="A7" s="81">
        <v>1</v>
      </c>
      <c r="B7" s="676" t="s">
        <v>713</v>
      </c>
      <c r="C7" s="677"/>
      <c r="D7" s="137" t="s">
        <v>1189</v>
      </c>
      <c r="E7" s="138"/>
      <c r="F7" s="139"/>
      <c r="G7" s="139"/>
      <c r="H7" s="140"/>
      <c r="I7" s="141"/>
      <c r="J7" s="142"/>
      <c r="K7" s="143"/>
    </row>
    <row r="8" spans="1:11" ht="13.2" customHeight="1" x14ac:dyDescent="0.25">
      <c r="A8" s="2"/>
      <c r="B8" s="20" t="s">
        <v>4</v>
      </c>
      <c r="C8" s="21" t="s">
        <v>1169</v>
      </c>
      <c r="D8" s="14"/>
      <c r="E8" s="22"/>
      <c r="F8" s="23"/>
      <c r="G8" s="23"/>
      <c r="H8" s="24" t="s">
        <v>235</v>
      </c>
      <c r="I8" s="41">
        <v>1</v>
      </c>
      <c r="J8" s="25">
        <f>'Harga Satuan Dasar mat'!G465</f>
        <v>258000</v>
      </c>
      <c r="K8" s="26">
        <f>I8*J8</f>
        <v>258000</v>
      </c>
    </row>
    <row r="9" spans="1:11" ht="13.2" customHeight="1" x14ac:dyDescent="0.25">
      <c r="A9" s="2"/>
      <c r="B9" s="20" t="s">
        <v>30</v>
      </c>
      <c r="C9" s="21" t="s">
        <v>2182</v>
      </c>
      <c r="D9" s="14"/>
      <c r="E9" s="22"/>
      <c r="F9" s="23"/>
      <c r="G9" s="23"/>
      <c r="H9" s="24" t="s">
        <v>264</v>
      </c>
      <c r="I9" s="39">
        <v>14</v>
      </c>
      <c r="J9" s="25">
        <f>'Harga Satuan Dasar mat'!G471</f>
        <v>110000</v>
      </c>
      <c r="K9" s="26">
        <f t="shared" ref="K9:K15" si="0">I9*J9</f>
        <v>1540000</v>
      </c>
    </row>
    <row r="10" spans="1:11" ht="13.2" customHeight="1" x14ac:dyDescent="0.25">
      <c r="A10" s="2"/>
      <c r="B10" s="20" t="s">
        <v>57</v>
      </c>
      <c r="C10" s="21" t="s">
        <v>974</v>
      </c>
      <c r="D10" s="14"/>
      <c r="E10" s="22"/>
      <c r="F10" s="23"/>
      <c r="G10" s="23"/>
      <c r="H10" s="24" t="s">
        <v>235</v>
      </c>
      <c r="I10" s="42">
        <v>1</v>
      </c>
      <c r="J10" s="25">
        <f>'Harga Satuan Dasar mat'!G278</f>
        <v>105000</v>
      </c>
      <c r="K10" s="26">
        <f t="shared" si="0"/>
        <v>105000</v>
      </c>
    </row>
    <row r="11" spans="1:11" ht="13.2" customHeight="1" x14ac:dyDescent="0.25">
      <c r="A11" s="2"/>
      <c r="B11" s="20" t="s">
        <v>83</v>
      </c>
      <c r="C11" s="21" t="s">
        <v>1175</v>
      </c>
      <c r="D11" s="14"/>
      <c r="E11" s="22"/>
      <c r="F11" s="23"/>
      <c r="G11" s="23"/>
      <c r="H11" s="24" t="s">
        <v>264</v>
      </c>
      <c r="I11" s="61">
        <v>4</v>
      </c>
      <c r="J11" s="25">
        <f>'Harga Satuan Dasar mat'!G731</f>
        <v>14700</v>
      </c>
      <c r="K11" s="26">
        <f t="shared" si="0"/>
        <v>58800</v>
      </c>
    </row>
    <row r="12" spans="1:11" ht="13.2" customHeight="1" x14ac:dyDescent="0.25">
      <c r="A12" s="2"/>
      <c r="B12" s="20" t="s">
        <v>110</v>
      </c>
      <c r="C12" s="21" t="s">
        <v>975</v>
      </c>
      <c r="D12" s="14"/>
      <c r="E12" s="22"/>
      <c r="F12" s="23"/>
      <c r="G12" s="23"/>
      <c r="H12" s="24" t="s">
        <v>203</v>
      </c>
      <c r="I12" s="36">
        <v>1</v>
      </c>
      <c r="J12" s="25">
        <f>'Harga Satuan Dasar mat'!G759</f>
        <v>56500</v>
      </c>
      <c r="K12" s="26">
        <f t="shared" si="0"/>
        <v>56500</v>
      </c>
    </row>
    <row r="13" spans="1:11" ht="13.2" customHeight="1" x14ac:dyDescent="0.25">
      <c r="A13" s="2"/>
      <c r="B13" s="20" t="s">
        <v>137</v>
      </c>
      <c r="C13" s="21" t="s">
        <v>585</v>
      </c>
      <c r="D13" s="14"/>
      <c r="E13" s="22"/>
      <c r="F13" s="23"/>
      <c r="G13" s="23"/>
      <c r="H13" s="24" t="s">
        <v>203</v>
      </c>
      <c r="I13" s="36">
        <v>5</v>
      </c>
      <c r="J13" s="25">
        <f>'Harga Satuan Dasar mat'!G732</f>
        <v>3960</v>
      </c>
      <c r="K13" s="26">
        <f t="shared" si="0"/>
        <v>19800</v>
      </c>
    </row>
    <row r="14" spans="1:11" ht="13.2" customHeight="1" x14ac:dyDescent="0.25">
      <c r="A14" s="2"/>
      <c r="B14" s="20" t="s">
        <v>156</v>
      </c>
      <c r="C14" s="21" t="s">
        <v>586</v>
      </c>
      <c r="D14" s="14"/>
      <c r="E14" s="22"/>
      <c r="F14" s="23"/>
      <c r="G14" s="23"/>
      <c r="H14" s="24" t="s">
        <v>203</v>
      </c>
      <c r="I14" s="42">
        <v>5</v>
      </c>
      <c r="J14" s="25">
        <f>'Harga Satuan Dasar mat'!G733</f>
        <v>3650</v>
      </c>
      <c r="K14" s="26">
        <f t="shared" si="0"/>
        <v>18250</v>
      </c>
    </row>
    <row r="15" spans="1:11" ht="13.2" customHeight="1" x14ac:dyDescent="0.25">
      <c r="A15" s="2"/>
      <c r="B15" s="20" t="s">
        <v>175</v>
      </c>
      <c r="C15" s="21" t="s">
        <v>2183</v>
      </c>
      <c r="D15" s="14"/>
      <c r="E15" s="22"/>
      <c r="F15" s="23"/>
      <c r="G15" s="23"/>
      <c r="H15" s="24" t="s">
        <v>203</v>
      </c>
      <c r="I15" s="36">
        <v>1</v>
      </c>
      <c r="J15" s="25">
        <f>'Harga Satuan Dasar mat'!G629</f>
        <v>44500</v>
      </c>
      <c r="K15" s="26">
        <f t="shared" si="0"/>
        <v>44500</v>
      </c>
    </row>
    <row r="16" spans="1:11" ht="12.9" customHeight="1" x14ac:dyDescent="0.25">
      <c r="A16" s="6"/>
      <c r="B16" s="7"/>
      <c r="C16" s="8"/>
      <c r="D16" s="8"/>
      <c r="E16" s="8"/>
      <c r="F16" s="8"/>
      <c r="G16" s="9"/>
      <c r="H16" s="10" t="s">
        <v>715</v>
      </c>
      <c r="I16" s="11"/>
      <c r="J16" s="11"/>
      <c r="K16" s="27">
        <f>SUM(K8:K15)</f>
        <v>2100850</v>
      </c>
    </row>
    <row r="17" spans="1:11" ht="12.9" customHeight="1" x14ac:dyDescent="0.25">
      <c r="A17" s="6"/>
      <c r="B17" s="5"/>
      <c r="C17" s="3"/>
      <c r="D17" s="3"/>
      <c r="E17" s="3"/>
      <c r="F17" s="3"/>
      <c r="G17" s="4"/>
      <c r="H17" s="12" t="s">
        <v>603</v>
      </c>
      <c r="I17" s="28">
        <f>K3</f>
        <v>0.15</v>
      </c>
      <c r="J17" s="13"/>
      <c r="K17" s="29">
        <f>I17*K16</f>
        <v>315127.5</v>
      </c>
    </row>
    <row r="18" spans="1:11" ht="12.9" customHeight="1" x14ac:dyDescent="0.25">
      <c r="A18" s="6"/>
      <c r="B18" s="5"/>
      <c r="C18" s="3"/>
      <c r="D18" s="3"/>
      <c r="E18" s="3"/>
      <c r="F18" s="3"/>
      <c r="G18" s="4"/>
      <c r="H18" s="12" t="s">
        <v>604</v>
      </c>
      <c r="I18" s="14"/>
      <c r="J18" s="14"/>
      <c r="K18" s="29">
        <f>SUM(K16:K17)</f>
        <v>2415977.5</v>
      </c>
    </row>
    <row r="19" spans="1:11" ht="12.9" customHeight="1" thickBot="1" x14ac:dyDescent="0.3">
      <c r="A19" s="15"/>
      <c r="B19" s="16"/>
      <c r="C19" s="17"/>
      <c r="D19" s="17"/>
      <c r="E19" s="17"/>
      <c r="F19" s="17"/>
      <c r="G19" s="18"/>
      <c r="H19" s="46" t="s">
        <v>605</v>
      </c>
      <c r="I19" s="47"/>
      <c r="J19" s="47"/>
      <c r="K19" s="144">
        <f>ROUND(K18,-1)</f>
        <v>2415980</v>
      </c>
    </row>
    <row r="20" spans="1:11" ht="14.1" customHeight="1" x14ac:dyDescent="0.25">
      <c r="A20" s="81">
        <v>2</v>
      </c>
      <c r="B20" s="676" t="s">
        <v>713</v>
      </c>
      <c r="C20" s="677"/>
      <c r="D20" s="137" t="s">
        <v>1190</v>
      </c>
      <c r="E20" s="138"/>
      <c r="F20" s="139"/>
      <c r="G20" s="139"/>
      <c r="H20" s="140"/>
      <c r="I20" s="141"/>
      <c r="J20" s="142"/>
      <c r="K20" s="143"/>
    </row>
    <row r="21" spans="1:11" ht="13.2" customHeight="1" x14ac:dyDescent="0.25">
      <c r="A21" s="2"/>
      <c r="B21" s="20" t="s">
        <v>4</v>
      </c>
      <c r="C21" s="21" t="s">
        <v>973</v>
      </c>
      <c r="D21" s="14"/>
      <c r="E21" s="22"/>
      <c r="F21" s="23"/>
      <c r="G21" s="23"/>
      <c r="H21" s="24" t="s">
        <v>235</v>
      </c>
      <c r="I21" s="41">
        <v>1</v>
      </c>
      <c r="J21" s="25">
        <f t="shared" ref="J21:J28" si="1">J8</f>
        <v>258000</v>
      </c>
      <c r="K21" s="26">
        <f>I21*J21</f>
        <v>258000</v>
      </c>
    </row>
    <row r="22" spans="1:11" ht="13.2" customHeight="1" x14ac:dyDescent="0.25">
      <c r="A22" s="2"/>
      <c r="B22" s="20" t="s">
        <v>30</v>
      </c>
      <c r="C22" s="21" t="s">
        <v>2182</v>
      </c>
      <c r="D22" s="14"/>
      <c r="E22" s="22"/>
      <c r="F22" s="23"/>
      <c r="G22" s="23"/>
      <c r="H22" s="24" t="s">
        <v>264</v>
      </c>
      <c r="I22" s="39">
        <v>13</v>
      </c>
      <c r="J22" s="25">
        <f t="shared" si="1"/>
        <v>110000</v>
      </c>
      <c r="K22" s="26">
        <f t="shared" ref="K22:K28" si="2">I22*J22</f>
        <v>1430000</v>
      </c>
    </row>
    <row r="23" spans="1:11" ht="13.2" customHeight="1" x14ac:dyDescent="0.25">
      <c r="A23" s="2"/>
      <c r="B23" s="20" t="s">
        <v>57</v>
      </c>
      <c r="C23" s="21" t="s">
        <v>974</v>
      </c>
      <c r="D23" s="14"/>
      <c r="E23" s="22"/>
      <c r="F23" s="23"/>
      <c r="G23" s="23"/>
      <c r="H23" s="24" t="s">
        <v>235</v>
      </c>
      <c r="I23" s="42">
        <v>1</v>
      </c>
      <c r="J23" s="25">
        <f t="shared" si="1"/>
        <v>105000</v>
      </c>
      <c r="K23" s="26">
        <f t="shared" si="2"/>
        <v>105000</v>
      </c>
    </row>
    <row r="24" spans="1:11" ht="13.2" customHeight="1" x14ac:dyDescent="0.25">
      <c r="A24" s="2"/>
      <c r="B24" s="20" t="s">
        <v>83</v>
      </c>
      <c r="C24" s="21" t="s">
        <v>1175</v>
      </c>
      <c r="D24" s="14"/>
      <c r="E24" s="22"/>
      <c r="F24" s="23"/>
      <c r="G24" s="23"/>
      <c r="H24" s="24" t="s">
        <v>264</v>
      </c>
      <c r="I24" s="61">
        <v>4</v>
      </c>
      <c r="J24" s="25">
        <f t="shared" si="1"/>
        <v>14700</v>
      </c>
      <c r="K24" s="26">
        <f t="shared" si="2"/>
        <v>58800</v>
      </c>
    </row>
    <row r="25" spans="1:11" ht="13.2" customHeight="1" x14ac:dyDescent="0.25">
      <c r="A25" s="2"/>
      <c r="B25" s="20" t="s">
        <v>110</v>
      </c>
      <c r="C25" s="21" t="s">
        <v>2184</v>
      </c>
      <c r="D25" s="14"/>
      <c r="E25" s="22"/>
      <c r="F25" s="23"/>
      <c r="G25" s="23"/>
      <c r="H25" s="24" t="s">
        <v>203</v>
      </c>
      <c r="I25" s="36">
        <v>1</v>
      </c>
      <c r="J25" s="25">
        <f>J12</f>
        <v>56500</v>
      </c>
      <c r="K25" s="26">
        <f t="shared" si="2"/>
        <v>56500</v>
      </c>
    </row>
    <row r="26" spans="1:11" ht="13.2" customHeight="1" x14ac:dyDescent="0.25">
      <c r="A26" s="2"/>
      <c r="B26" s="20" t="s">
        <v>137</v>
      </c>
      <c r="C26" s="21" t="s">
        <v>585</v>
      </c>
      <c r="D26" s="14"/>
      <c r="E26" s="22"/>
      <c r="F26" s="23"/>
      <c r="G26" s="23"/>
      <c r="H26" s="24" t="s">
        <v>203</v>
      </c>
      <c r="I26" s="36">
        <v>5</v>
      </c>
      <c r="J26" s="25">
        <f t="shared" si="1"/>
        <v>3960</v>
      </c>
      <c r="K26" s="26">
        <f t="shared" si="2"/>
        <v>19800</v>
      </c>
    </row>
    <row r="27" spans="1:11" ht="13.2" customHeight="1" x14ac:dyDescent="0.25">
      <c r="A27" s="2"/>
      <c r="B27" s="20" t="s">
        <v>156</v>
      </c>
      <c r="C27" s="21" t="s">
        <v>586</v>
      </c>
      <c r="D27" s="14"/>
      <c r="E27" s="22"/>
      <c r="F27" s="23"/>
      <c r="G27" s="23"/>
      <c r="H27" s="24" t="s">
        <v>203</v>
      </c>
      <c r="I27" s="42">
        <v>5</v>
      </c>
      <c r="J27" s="25">
        <f t="shared" si="1"/>
        <v>3650</v>
      </c>
      <c r="K27" s="26">
        <f t="shared" si="2"/>
        <v>18250</v>
      </c>
    </row>
    <row r="28" spans="1:11" ht="13.2" customHeight="1" x14ac:dyDescent="0.25">
      <c r="A28" s="2"/>
      <c r="B28" s="20" t="s">
        <v>175</v>
      </c>
      <c r="C28" s="21" t="s">
        <v>2183</v>
      </c>
      <c r="D28" s="14"/>
      <c r="E28" s="22"/>
      <c r="F28" s="23"/>
      <c r="G28" s="23"/>
      <c r="H28" s="24" t="s">
        <v>203</v>
      </c>
      <c r="I28" s="36">
        <v>1</v>
      </c>
      <c r="J28" s="25">
        <f t="shared" si="1"/>
        <v>44500</v>
      </c>
      <c r="K28" s="26">
        <f t="shared" si="2"/>
        <v>44500</v>
      </c>
    </row>
    <row r="29" spans="1:11" ht="12.9" customHeight="1" x14ac:dyDescent="0.25">
      <c r="A29" s="6"/>
      <c r="B29" s="7"/>
      <c r="C29" s="8"/>
      <c r="D29" s="8"/>
      <c r="E29" s="8"/>
      <c r="F29" s="8"/>
      <c r="G29" s="9"/>
      <c r="H29" s="10" t="s">
        <v>715</v>
      </c>
      <c r="I29" s="11"/>
      <c r="J29" s="11"/>
      <c r="K29" s="27">
        <f>SUM(K21:K28)</f>
        <v>1990850</v>
      </c>
    </row>
    <row r="30" spans="1:11" ht="12.9" customHeight="1" x14ac:dyDescent="0.25">
      <c r="A30" s="6"/>
      <c r="B30" s="5"/>
      <c r="C30" s="3"/>
      <c r="D30" s="3"/>
      <c r="E30" s="3"/>
      <c r="F30" s="3"/>
      <c r="G30" s="4"/>
      <c r="H30" s="12" t="s">
        <v>603</v>
      </c>
      <c r="I30" s="28">
        <f>I17</f>
        <v>0.15</v>
      </c>
      <c r="J30" s="13"/>
      <c r="K30" s="29">
        <f>I30*K29</f>
        <v>298627.5</v>
      </c>
    </row>
    <row r="31" spans="1:11" ht="12.9" customHeight="1" x14ac:dyDescent="0.25">
      <c r="A31" s="6"/>
      <c r="B31" s="5"/>
      <c r="C31" s="3"/>
      <c r="D31" s="3"/>
      <c r="E31" s="3"/>
      <c r="F31" s="3"/>
      <c r="G31" s="4"/>
      <c r="H31" s="12" t="s">
        <v>604</v>
      </c>
      <c r="I31" s="14"/>
      <c r="J31" s="14"/>
      <c r="K31" s="29">
        <f>SUM(K29:K30)</f>
        <v>2289477.5</v>
      </c>
    </row>
    <row r="32" spans="1:11" ht="12.9" customHeight="1" thickBot="1" x14ac:dyDescent="0.3">
      <c r="A32" s="15"/>
      <c r="B32" s="16"/>
      <c r="C32" s="17"/>
      <c r="D32" s="17"/>
      <c r="E32" s="17"/>
      <c r="F32" s="17"/>
      <c r="G32" s="18"/>
      <c r="H32" s="46" t="s">
        <v>605</v>
      </c>
      <c r="I32" s="47"/>
      <c r="J32" s="47"/>
      <c r="K32" s="144">
        <f>ROUND(K31,-1)</f>
        <v>2289480</v>
      </c>
    </row>
    <row r="33" spans="1:11" ht="14.1" customHeight="1" x14ac:dyDescent="0.25">
      <c r="A33" s="81">
        <v>3</v>
      </c>
      <c r="B33" s="676" t="s">
        <v>713</v>
      </c>
      <c r="C33" s="677"/>
      <c r="D33" s="137" t="s">
        <v>1191</v>
      </c>
      <c r="E33" s="138"/>
      <c r="F33" s="139"/>
      <c r="G33" s="139"/>
      <c r="H33" s="140"/>
      <c r="I33" s="141"/>
      <c r="J33" s="142"/>
      <c r="K33" s="143"/>
    </row>
    <row r="34" spans="1:11" ht="13.2" customHeight="1" x14ac:dyDescent="0.25">
      <c r="A34" s="2"/>
      <c r="B34" s="20" t="s">
        <v>4</v>
      </c>
      <c r="C34" s="21" t="s">
        <v>973</v>
      </c>
      <c r="D34" s="14"/>
      <c r="E34" s="22"/>
      <c r="F34" s="23"/>
      <c r="G34" s="23"/>
      <c r="H34" s="24" t="s">
        <v>235</v>
      </c>
      <c r="I34" s="41">
        <v>1</v>
      </c>
      <c r="J34" s="25">
        <f t="shared" ref="J34:J41" si="3">J21</f>
        <v>258000</v>
      </c>
      <c r="K34" s="26">
        <f>I34*J34</f>
        <v>258000</v>
      </c>
    </row>
    <row r="35" spans="1:11" ht="13.2" customHeight="1" x14ac:dyDescent="0.25">
      <c r="A35" s="2"/>
      <c r="B35" s="20" t="s">
        <v>30</v>
      </c>
      <c r="C35" s="21" t="s">
        <v>2182</v>
      </c>
      <c r="D35" s="14"/>
      <c r="E35" s="22"/>
      <c r="F35" s="23"/>
      <c r="G35" s="23"/>
      <c r="H35" s="24" t="s">
        <v>264</v>
      </c>
      <c r="I35" s="61">
        <v>12.5</v>
      </c>
      <c r="J35" s="25">
        <f t="shared" si="3"/>
        <v>110000</v>
      </c>
      <c r="K35" s="26">
        <f t="shared" ref="K35:K41" si="4">I35*J35</f>
        <v>1375000</v>
      </c>
    </row>
    <row r="36" spans="1:11" ht="13.2" customHeight="1" x14ac:dyDescent="0.25">
      <c r="A36" s="2"/>
      <c r="B36" s="20" t="s">
        <v>57</v>
      </c>
      <c r="C36" s="21" t="s">
        <v>974</v>
      </c>
      <c r="D36" s="14"/>
      <c r="E36" s="22"/>
      <c r="F36" s="23"/>
      <c r="G36" s="23"/>
      <c r="H36" s="24" t="s">
        <v>235</v>
      </c>
      <c r="I36" s="42">
        <v>1</v>
      </c>
      <c r="J36" s="25">
        <f t="shared" si="3"/>
        <v>105000</v>
      </c>
      <c r="K36" s="26">
        <f t="shared" si="4"/>
        <v>105000</v>
      </c>
    </row>
    <row r="37" spans="1:11" ht="13.2" customHeight="1" x14ac:dyDescent="0.25">
      <c r="A37" s="2"/>
      <c r="B37" s="20" t="s">
        <v>83</v>
      </c>
      <c r="C37" s="21" t="s">
        <v>1175</v>
      </c>
      <c r="D37" s="14"/>
      <c r="E37" s="22"/>
      <c r="F37" s="23"/>
      <c r="G37" s="23"/>
      <c r="H37" s="24" t="s">
        <v>264</v>
      </c>
      <c r="I37" s="61">
        <v>4</v>
      </c>
      <c r="J37" s="25">
        <f t="shared" si="3"/>
        <v>14700</v>
      </c>
      <c r="K37" s="26">
        <f t="shared" si="4"/>
        <v>58800</v>
      </c>
    </row>
    <row r="38" spans="1:11" ht="13.2" customHeight="1" x14ac:dyDescent="0.25">
      <c r="A38" s="2"/>
      <c r="B38" s="20" t="s">
        <v>110</v>
      </c>
      <c r="C38" s="21" t="s">
        <v>975</v>
      </c>
      <c r="D38" s="14"/>
      <c r="E38" s="22"/>
      <c r="F38" s="23"/>
      <c r="G38" s="23"/>
      <c r="H38" s="24" t="s">
        <v>203</v>
      </c>
      <c r="I38" s="36">
        <v>1</v>
      </c>
      <c r="J38" s="25">
        <f>J25</f>
        <v>56500</v>
      </c>
      <c r="K38" s="26">
        <f t="shared" si="4"/>
        <v>56500</v>
      </c>
    </row>
    <row r="39" spans="1:11" ht="13.2" customHeight="1" x14ac:dyDescent="0.25">
      <c r="A39" s="2"/>
      <c r="B39" s="20" t="s">
        <v>137</v>
      </c>
      <c r="C39" s="21" t="s">
        <v>585</v>
      </c>
      <c r="D39" s="14"/>
      <c r="E39" s="22"/>
      <c r="F39" s="23"/>
      <c r="G39" s="23"/>
      <c r="H39" s="24" t="s">
        <v>203</v>
      </c>
      <c r="I39" s="36">
        <v>5</v>
      </c>
      <c r="J39" s="25">
        <f t="shared" si="3"/>
        <v>3960</v>
      </c>
      <c r="K39" s="26">
        <f t="shared" si="4"/>
        <v>19800</v>
      </c>
    </row>
    <row r="40" spans="1:11" ht="13.2" customHeight="1" x14ac:dyDescent="0.25">
      <c r="A40" s="2"/>
      <c r="B40" s="20" t="s">
        <v>156</v>
      </c>
      <c r="C40" s="21" t="s">
        <v>586</v>
      </c>
      <c r="D40" s="14"/>
      <c r="E40" s="22"/>
      <c r="F40" s="23"/>
      <c r="G40" s="23"/>
      <c r="H40" s="24" t="s">
        <v>203</v>
      </c>
      <c r="I40" s="42">
        <v>5</v>
      </c>
      <c r="J40" s="25">
        <f t="shared" si="3"/>
        <v>3650</v>
      </c>
      <c r="K40" s="26">
        <f t="shared" si="4"/>
        <v>18250</v>
      </c>
    </row>
    <row r="41" spans="1:11" ht="13.2" customHeight="1" x14ac:dyDescent="0.25">
      <c r="A41" s="2"/>
      <c r="B41" s="20" t="s">
        <v>175</v>
      </c>
      <c r="C41" s="21" t="s">
        <v>2185</v>
      </c>
      <c r="D41" s="14"/>
      <c r="E41" s="22"/>
      <c r="F41" s="23"/>
      <c r="G41" s="23"/>
      <c r="H41" s="24" t="s">
        <v>203</v>
      </c>
      <c r="I41" s="36">
        <v>1</v>
      </c>
      <c r="J41" s="25">
        <f t="shared" si="3"/>
        <v>44500</v>
      </c>
      <c r="K41" s="26">
        <f t="shared" si="4"/>
        <v>44500</v>
      </c>
    </row>
    <row r="42" spans="1:11" ht="12.9" customHeight="1" x14ac:dyDescent="0.25">
      <c r="A42" s="6"/>
      <c r="B42" s="7"/>
      <c r="C42" s="8"/>
      <c r="D42" s="8"/>
      <c r="E42" s="8"/>
      <c r="F42" s="8"/>
      <c r="G42" s="9"/>
      <c r="H42" s="10" t="s">
        <v>715</v>
      </c>
      <c r="I42" s="11"/>
      <c r="J42" s="11"/>
      <c r="K42" s="27">
        <f>SUM(K34:K41)</f>
        <v>1935850</v>
      </c>
    </row>
    <row r="43" spans="1:11" ht="12.9" customHeight="1" x14ac:dyDescent="0.25">
      <c r="A43" s="6"/>
      <c r="B43" s="5"/>
      <c r="C43" s="3"/>
      <c r="D43" s="3"/>
      <c r="E43" s="3"/>
      <c r="F43" s="3"/>
      <c r="G43" s="4"/>
      <c r="H43" s="12" t="s">
        <v>603</v>
      </c>
      <c r="I43" s="28">
        <f>I30</f>
        <v>0.15</v>
      </c>
      <c r="J43" s="13"/>
      <c r="K43" s="29">
        <f>I43*K42</f>
        <v>290377.5</v>
      </c>
    </row>
    <row r="44" spans="1:11" ht="12.9" customHeight="1" x14ac:dyDescent="0.25">
      <c r="A44" s="6"/>
      <c r="B44" s="5"/>
      <c r="C44" s="3"/>
      <c r="D44" s="3"/>
      <c r="E44" s="3"/>
      <c r="F44" s="3"/>
      <c r="G44" s="4"/>
      <c r="H44" s="12" t="s">
        <v>604</v>
      </c>
      <c r="I44" s="14"/>
      <c r="J44" s="14"/>
      <c r="K44" s="29">
        <f>SUM(K42:K43)</f>
        <v>2226227.5</v>
      </c>
    </row>
    <row r="45" spans="1:11" ht="12.9" customHeight="1" thickBot="1" x14ac:dyDescent="0.3">
      <c r="A45" s="15"/>
      <c r="B45" s="16"/>
      <c r="C45" s="17"/>
      <c r="D45" s="17"/>
      <c r="E45" s="17"/>
      <c r="F45" s="17"/>
      <c r="G45" s="18"/>
      <c r="H45" s="46" t="s">
        <v>605</v>
      </c>
      <c r="I45" s="47"/>
      <c r="J45" s="47"/>
      <c r="K45" s="144">
        <f>ROUND(K44,-1)</f>
        <v>2226230</v>
      </c>
    </row>
    <row r="46" spans="1:11" ht="14.1" customHeight="1" x14ac:dyDescent="0.25">
      <c r="A46" s="81">
        <v>4</v>
      </c>
      <c r="B46" s="676" t="s">
        <v>713</v>
      </c>
      <c r="C46" s="677"/>
      <c r="D46" s="137" t="s">
        <v>1192</v>
      </c>
      <c r="E46" s="138"/>
      <c r="F46" s="139"/>
      <c r="G46" s="139"/>
      <c r="H46" s="140"/>
      <c r="I46" s="141"/>
      <c r="J46" s="142"/>
      <c r="K46" s="143"/>
    </row>
    <row r="47" spans="1:11" ht="13.2" customHeight="1" x14ac:dyDescent="0.25">
      <c r="A47" s="2"/>
      <c r="B47" s="20" t="s">
        <v>4</v>
      </c>
      <c r="C47" s="21" t="s">
        <v>973</v>
      </c>
      <c r="D47" s="14"/>
      <c r="E47" s="22"/>
      <c r="F47" s="23"/>
      <c r="G47" s="23"/>
      <c r="H47" s="24" t="s">
        <v>235</v>
      </c>
      <c r="I47" s="41">
        <v>1</v>
      </c>
      <c r="J47" s="25">
        <f>J34</f>
        <v>258000</v>
      </c>
      <c r="K47" s="26">
        <f>I47*J47</f>
        <v>258000</v>
      </c>
    </row>
    <row r="48" spans="1:11" ht="13.2" customHeight="1" x14ac:dyDescent="0.25">
      <c r="A48" s="2"/>
      <c r="B48" s="20" t="s">
        <v>30</v>
      </c>
      <c r="C48" s="21" t="s">
        <v>2182</v>
      </c>
      <c r="D48" s="14"/>
      <c r="E48" s="22"/>
      <c r="F48" s="23"/>
      <c r="G48" s="23"/>
      <c r="H48" s="24" t="s">
        <v>264</v>
      </c>
      <c r="I48" s="61">
        <v>14</v>
      </c>
      <c r="J48" s="25">
        <f>'Harga Satuan Dasar mat'!G471</f>
        <v>110000</v>
      </c>
      <c r="K48" s="26">
        <f t="shared" ref="K48:K54" si="5">I48*J48</f>
        <v>1540000</v>
      </c>
    </row>
    <row r="49" spans="1:11" ht="13.2" customHeight="1" x14ac:dyDescent="0.25">
      <c r="A49" s="2"/>
      <c r="B49" s="20" t="s">
        <v>57</v>
      </c>
      <c r="C49" s="21" t="s">
        <v>974</v>
      </c>
      <c r="D49" s="14"/>
      <c r="E49" s="22"/>
      <c r="F49" s="23"/>
      <c r="G49" s="23"/>
      <c r="H49" s="24" t="s">
        <v>235</v>
      </c>
      <c r="I49" s="42">
        <v>1</v>
      </c>
      <c r="J49" s="25">
        <f>'Harga Satuan Dasar mat'!G278</f>
        <v>105000</v>
      </c>
      <c r="K49" s="26">
        <f t="shared" si="5"/>
        <v>105000</v>
      </c>
    </row>
    <row r="50" spans="1:11" ht="13.2" customHeight="1" x14ac:dyDescent="0.25">
      <c r="A50" s="2"/>
      <c r="B50" s="20" t="s">
        <v>83</v>
      </c>
      <c r="C50" s="21" t="s">
        <v>1175</v>
      </c>
      <c r="D50" s="14"/>
      <c r="E50" s="22"/>
      <c r="F50" s="23"/>
      <c r="G50" s="23"/>
      <c r="H50" s="24" t="s">
        <v>264</v>
      </c>
      <c r="I50" s="61">
        <v>4</v>
      </c>
      <c r="J50" s="25">
        <f>J37</f>
        <v>14700</v>
      </c>
      <c r="K50" s="26">
        <f t="shared" si="5"/>
        <v>58800</v>
      </c>
    </row>
    <row r="51" spans="1:11" ht="13.2" customHeight="1" x14ac:dyDescent="0.25">
      <c r="A51" s="2"/>
      <c r="B51" s="20" t="s">
        <v>110</v>
      </c>
      <c r="C51" s="21" t="s">
        <v>975</v>
      </c>
      <c r="D51" s="14"/>
      <c r="E51" s="22"/>
      <c r="F51" s="23"/>
      <c r="G51" s="23"/>
      <c r="H51" s="24" t="s">
        <v>203</v>
      </c>
      <c r="I51" s="36">
        <v>1</v>
      </c>
      <c r="J51" s="25">
        <f>J38</f>
        <v>56500</v>
      </c>
      <c r="K51" s="26">
        <f t="shared" si="5"/>
        <v>56500</v>
      </c>
    </row>
    <row r="52" spans="1:11" ht="13.2" customHeight="1" x14ac:dyDescent="0.25">
      <c r="A52" s="2"/>
      <c r="B52" s="20" t="s">
        <v>137</v>
      </c>
      <c r="C52" s="21" t="s">
        <v>585</v>
      </c>
      <c r="D52" s="14"/>
      <c r="E52" s="22"/>
      <c r="F52" s="23"/>
      <c r="G52" s="23"/>
      <c r="H52" s="24" t="s">
        <v>203</v>
      </c>
      <c r="I52" s="36">
        <v>5</v>
      </c>
      <c r="J52" s="25">
        <f>J39</f>
        <v>3960</v>
      </c>
      <c r="K52" s="26">
        <f t="shared" si="5"/>
        <v>19800</v>
      </c>
    </row>
    <row r="53" spans="1:11" ht="13.2" customHeight="1" x14ac:dyDescent="0.25">
      <c r="A53" s="2"/>
      <c r="B53" s="20" t="s">
        <v>156</v>
      </c>
      <c r="C53" s="21" t="s">
        <v>586</v>
      </c>
      <c r="D53" s="14"/>
      <c r="E53" s="22"/>
      <c r="F53" s="23"/>
      <c r="G53" s="23"/>
      <c r="H53" s="24" t="s">
        <v>203</v>
      </c>
      <c r="I53" s="42">
        <v>5</v>
      </c>
      <c r="J53" s="25">
        <f>J40</f>
        <v>3650</v>
      </c>
      <c r="K53" s="26">
        <f t="shared" si="5"/>
        <v>18250</v>
      </c>
    </row>
    <row r="54" spans="1:11" ht="13.2" customHeight="1" x14ac:dyDescent="0.25">
      <c r="A54" s="2"/>
      <c r="B54" s="20" t="s">
        <v>175</v>
      </c>
      <c r="C54" s="21" t="s">
        <v>2183</v>
      </c>
      <c r="D54" s="14"/>
      <c r="E54" s="22"/>
      <c r="F54" s="23"/>
      <c r="G54" s="23"/>
      <c r="H54" s="24" t="s">
        <v>203</v>
      </c>
      <c r="I54" s="36">
        <v>1</v>
      </c>
      <c r="J54" s="25">
        <f>J41</f>
        <v>44500</v>
      </c>
      <c r="K54" s="26">
        <f t="shared" si="5"/>
        <v>44500</v>
      </c>
    </row>
    <row r="55" spans="1:11" ht="12.9" customHeight="1" x14ac:dyDescent="0.25">
      <c r="A55" s="6"/>
      <c r="B55" s="7"/>
      <c r="C55" s="8"/>
      <c r="D55" s="8"/>
      <c r="E55" s="8"/>
      <c r="F55" s="8"/>
      <c r="G55" s="9"/>
      <c r="H55" s="10" t="s">
        <v>715</v>
      </c>
      <c r="I55" s="11"/>
      <c r="J55" s="11"/>
      <c r="K55" s="27">
        <f>SUM(K47:K54)</f>
        <v>2100850</v>
      </c>
    </row>
    <row r="56" spans="1:11" ht="12.9" customHeight="1" x14ac:dyDescent="0.25">
      <c r="A56" s="6"/>
      <c r="B56" s="5"/>
      <c r="C56" s="3"/>
      <c r="D56" s="3"/>
      <c r="E56" s="3"/>
      <c r="F56" s="3"/>
      <c r="G56" s="4"/>
      <c r="H56" s="12" t="s">
        <v>603</v>
      </c>
      <c r="I56" s="28">
        <f>I43</f>
        <v>0.15</v>
      </c>
      <c r="J56" s="13"/>
      <c r="K56" s="29">
        <f>I56*K55</f>
        <v>315127.5</v>
      </c>
    </row>
    <row r="57" spans="1:11" ht="12.9" customHeight="1" x14ac:dyDescent="0.25">
      <c r="A57" s="6"/>
      <c r="B57" s="5"/>
      <c r="C57" s="3"/>
      <c r="D57" s="3"/>
      <c r="E57" s="3"/>
      <c r="F57" s="3"/>
      <c r="G57" s="4"/>
      <c r="H57" s="12" t="s">
        <v>604</v>
      </c>
      <c r="I57" s="14"/>
      <c r="J57" s="14"/>
      <c r="K57" s="29">
        <f>SUM(K55:K56)</f>
        <v>2415977.5</v>
      </c>
    </row>
    <row r="58" spans="1:11" ht="12.9" customHeight="1" thickBot="1" x14ac:dyDescent="0.3">
      <c r="A58" s="15"/>
      <c r="B58" s="16"/>
      <c r="C58" s="17"/>
      <c r="D58" s="17"/>
      <c r="E58" s="17"/>
      <c r="F58" s="17"/>
      <c r="G58" s="18"/>
      <c r="H58" s="46" t="s">
        <v>605</v>
      </c>
      <c r="I58" s="47"/>
      <c r="J58" s="47"/>
      <c r="K58" s="144">
        <f>ROUND(K57,-1)</f>
        <v>2415980</v>
      </c>
    </row>
    <row r="59" spans="1:11" ht="14.1" customHeight="1" x14ac:dyDescent="0.25">
      <c r="A59" s="81">
        <v>5</v>
      </c>
      <c r="B59" s="676" t="s">
        <v>713</v>
      </c>
      <c r="C59" s="677"/>
      <c r="D59" s="137" t="s">
        <v>1193</v>
      </c>
      <c r="E59" s="138"/>
      <c r="F59" s="139"/>
      <c r="G59" s="139"/>
      <c r="H59" s="140"/>
      <c r="I59" s="141"/>
      <c r="J59" s="142"/>
      <c r="K59" s="143"/>
    </row>
    <row r="60" spans="1:11" ht="13.2" customHeight="1" x14ac:dyDescent="0.25">
      <c r="A60" s="2"/>
      <c r="B60" s="20" t="s">
        <v>4</v>
      </c>
      <c r="C60" s="21" t="s">
        <v>973</v>
      </c>
      <c r="D60" s="14"/>
      <c r="E60" s="22"/>
      <c r="F60" s="23"/>
      <c r="G60" s="23"/>
      <c r="H60" s="24" t="s">
        <v>235</v>
      </c>
      <c r="I60" s="41">
        <v>1</v>
      </c>
      <c r="J60" s="25">
        <f t="shared" ref="J60:J67" si="6">J47</f>
        <v>258000</v>
      </c>
      <c r="K60" s="26">
        <f>I60*J60</f>
        <v>258000</v>
      </c>
    </row>
    <row r="61" spans="1:11" ht="13.2" customHeight="1" x14ac:dyDescent="0.25">
      <c r="A61" s="2"/>
      <c r="B61" s="20" t="s">
        <v>30</v>
      </c>
      <c r="C61" s="21" t="s">
        <v>2182</v>
      </c>
      <c r="D61" s="14"/>
      <c r="E61" s="22"/>
      <c r="F61" s="23"/>
      <c r="G61" s="23"/>
      <c r="H61" s="24" t="s">
        <v>264</v>
      </c>
      <c r="I61" s="61">
        <v>13</v>
      </c>
      <c r="J61" s="25">
        <f t="shared" si="6"/>
        <v>110000</v>
      </c>
      <c r="K61" s="26">
        <f t="shared" ref="K61:K67" si="7">I61*J61</f>
        <v>1430000</v>
      </c>
    </row>
    <row r="62" spans="1:11" ht="13.2" customHeight="1" x14ac:dyDescent="0.25">
      <c r="A62" s="2"/>
      <c r="B62" s="20" t="s">
        <v>57</v>
      </c>
      <c r="C62" s="21" t="s">
        <v>974</v>
      </c>
      <c r="D62" s="14"/>
      <c r="E62" s="22"/>
      <c r="F62" s="23"/>
      <c r="G62" s="23"/>
      <c r="H62" s="24" t="s">
        <v>235</v>
      </c>
      <c r="I62" s="42">
        <v>1</v>
      </c>
      <c r="J62" s="25">
        <f t="shared" si="6"/>
        <v>105000</v>
      </c>
      <c r="K62" s="26">
        <f t="shared" si="7"/>
        <v>105000</v>
      </c>
    </row>
    <row r="63" spans="1:11" ht="13.2" customHeight="1" x14ac:dyDescent="0.25">
      <c r="A63" s="2"/>
      <c r="B63" s="20" t="s">
        <v>83</v>
      </c>
      <c r="C63" s="21" t="s">
        <v>1175</v>
      </c>
      <c r="D63" s="14"/>
      <c r="E63" s="22"/>
      <c r="F63" s="23"/>
      <c r="G63" s="23"/>
      <c r="H63" s="24" t="s">
        <v>264</v>
      </c>
      <c r="I63" s="61">
        <v>4</v>
      </c>
      <c r="J63" s="25">
        <f t="shared" si="6"/>
        <v>14700</v>
      </c>
      <c r="K63" s="26">
        <f t="shared" si="7"/>
        <v>58800</v>
      </c>
    </row>
    <row r="64" spans="1:11" ht="13.2" customHeight="1" x14ac:dyDescent="0.25">
      <c r="A64" s="2"/>
      <c r="B64" s="20" t="s">
        <v>110</v>
      </c>
      <c r="C64" s="21" t="s">
        <v>2184</v>
      </c>
      <c r="D64" s="14"/>
      <c r="E64" s="22"/>
      <c r="F64" s="23"/>
      <c r="G64" s="23"/>
      <c r="H64" s="24" t="s">
        <v>203</v>
      </c>
      <c r="I64" s="36">
        <v>1</v>
      </c>
      <c r="J64" s="25">
        <f>J51</f>
        <v>56500</v>
      </c>
      <c r="K64" s="26">
        <f t="shared" si="7"/>
        <v>56500</v>
      </c>
    </row>
    <row r="65" spans="1:11" ht="13.2" customHeight="1" x14ac:dyDescent="0.25">
      <c r="A65" s="2"/>
      <c r="B65" s="20" t="s">
        <v>137</v>
      </c>
      <c r="C65" s="21" t="s">
        <v>585</v>
      </c>
      <c r="D65" s="14"/>
      <c r="E65" s="22"/>
      <c r="F65" s="23"/>
      <c r="G65" s="23"/>
      <c r="H65" s="24" t="s">
        <v>203</v>
      </c>
      <c r="I65" s="36">
        <v>5</v>
      </c>
      <c r="J65" s="25">
        <f t="shared" si="6"/>
        <v>3960</v>
      </c>
      <c r="K65" s="26">
        <f t="shared" si="7"/>
        <v>19800</v>
      </c>
    </row>
    <row r="66" spans="1:11" ht="13.2" customHeight="1" x14ac:dyDescent="0.25">
      <c r="A66" s="2"/>
      <c r="B66" s="20" t="s">
        <v>156</v>
      </c>
      <c r="C66" s="21" t="s">
        <v>586</v>
      </c>
      <c r="D66" s="14"/>
      <c r="E66" s="22"/>
      <c r="F66" s="23"/>
      <c r="G66" s="23"/>
      <c r="H66" s="24" t="s">
        <v>203</v>
      </c>
      <c r="I66" s="42">
        <v>5</v>
      </c>
      <c r="J66" s="25">
        <f t="shared" si="6"/>
        <v>3650</v>
      </c>
      <c r="K66" s="26">
        <f t="shared" si="7"/>
        <v>18250</v>
      </c>
    </row>
    <row r="67" spans="1:11" ht="13.2" customHeight="1" x14ac:dyDescent="0.25">
      <c r="A67" s="2"/>
      <c r="B67" s="20" t="s">
        <v>175</v>
      </c>
      <c r="C67" s="21" t="s">
        <v>2185</v>
      </c>
      <c r="D67" s="14"/>
      <c r="E67" s="22"/>
      <c r="F67" s="23"/>
      <c r="G67" s="23"/>
      <c r="H67" s="24" t="s">
        <v>203</v>
      </c>
      <c r="I67" s="36">
        <v>1</v>
      </c>
      <c r="J67" s="25">
        <f t="shared" si="6"/>
        <v>44500</v>
      </c>
      <c r="K67" s="26">
        <f t="shared" si="7"/>
        <v>44500</v>
      </c>
    </row>
    <row r="68" spans="1:11" ht="12.9" customHeight="1" x14ac:dyDescent="0.25">
      <c r="A68" s="6"/>
      <c r="B68" s="7"/>
      <c r="C68" s="8"/>
      <c r="D68" s="8"/>
      <c r="E68" s="8"/>
      <c r="F68" s="8"/>
      <c r="G68" s="9"/>
      <c r="H68" s="10" t="s">
        <v>715</v>
      </c>
      <c r="I68" s="11"/>
      <c r="J68" s="11"/>
      <c r="K68" s="27">
        <f>SUM(K60:K67)</f>
        <v>1990850</v>
      </c>
    </row>
    <row r="69" spans="1:11" ht="12.9" customHeight="1" x14ac:dyDescent="0.25">
      <c r="A69" s="6"/>
      <c r="B69" s="5"/>
      <c r="C69" s="3"/>
      <c r="D69" s="3"/>
      <c r="E69" s="3"/>
      <c r="F69" s="3"/>
      <c r="G69" s="4"/>
      <c r="H69" s="12" t="s">
        <v>603</v>
      </c>
      <c r="I69" s="28">
        <f>I56</f>
        <v>0.15</v>
      </c>
      <c r="J69" s="13"/>
      <c r="K69" s="29">
        <f>I69*K68</f>
        <v>298627.5</v>
      </c>
    </row>
    <row r="70" spans="1:11" ht="12.9" customHeight="1" x14ac:dyDescent="0.25">
      <c r="A70" s="6"/>
      <c r="B70" s="5"/>
      <c r="C70" s="3"/>
      <c r="D70" s="3"/>
      <c r="E70" s="3"/>
      <c r="F70" s="3"/>
      <c r="G70" s="4"/>
      <c r="H70" s="12" t="s">
        <v>604</v>
      </c>
      <c r="I70" s="14"/>
      <c r="J70" s="14"/>
      <c r="K70" s="29">
        <f>SUM(K68:K69)</f>
        <v>2289477.5</v>
      </c>
    </row>
    <row r="71" spans="1:11" ht="12.9" customHeight="1" thickBot="1" x14ac:dyDescent="0.3">
      <c r="A71" s="15"/>
      <c r="B71" s="16"/>
      <c r="C71" s="17"/>
      <c r="D71" s="17"/>
      <c r="E71" s="17"/>
      <c r="F71" s="17"/>
      <c r="G71" s="18"/>
      <c r="H71" s="46" t="s">
        <v>605</v>
      </c>
      <c r="I71" s="47"/>
      <c r="J71" s="47"/>
      <c r="K71" s="144">
        <f>ROUND(K70,-1)</f>
        <v>2289480</v>
      </c>
    </row>
    <row r="72" spans="1:11" ht="14.1" customHeight="1" x14ac:dyDescent="0.25">
      <c r="A72" s="81">
        <v>6</v>
      </c>
      <c r="B72" s="676" t="s">
        <v>713</v>
      </c>
      <c r="C72" s="677"/>
      <c r="D72" s="137" t="s">
        <v>1194</v>
      </c>
      <c r="E72" s="138"/>
      <c r="F72" s="139"/>
      <c r="G72" s="139"/>
      <c r="H72" s="140"/>
      <c r="I72" s="141"/>
      <c r="J72" s="142"/>
      <c r="K72" s="143"/>
    </row>
    <row r="73" spans="1:11" ht="13.2" customHeight="1" x14ac:dyDescent="0.25">
      <c r="A73" s="2"/>
      <c r="B73" s="20" t="s">
        <v>4</v>
      </c>
      <c r="C73" s="21" t="s">
        <v>973</v>
      </c>
      <c r="D73" s="14"/>
      <c r="E73" s="22"/>
      <c r="F73" s="23"/>
      <c r="G73" s="23"/>
      <c r="H73" s="24" t="s">
        <v>235</v>
      </c>
      <c r="I73" s="41">
        <v>1</v>
      </c>
      <c r="J73" s="25">
        <f t="shared" ref="J73:J80" si="8">J60</f>
        <v>258000</v>
      </c>
      <c r="K73" s="26">
        <f>I73*J73</f>
        <v>258000</v>
      </c>
    </row>
    <row r="74" spans="1:11" ht="13.2" customHeight="1" x14ac:dyDescent="0.25">
      <c r="A74" s="2"/>
      <c r="B74" s="20" t="s">
        <v>30</v>
      </c>
      <c r="C74" s="21" t="s">
        <v>2182</v>
      </c>
      <c r="D74" s="14"/>
      <c r="E74" s="22"/>
      <c r="F74" s="23"/>
      <c r="G74" s="23"/>
      <c r="H74" s="24" t="s">
        <v>264</v>
      </c>
      <c r="I74" s="61">
        <v>12.5</v>
      </c>
      <c r="J74" s="25">
        <f t="shared" si="8"/>
        <v>110000</v>
      </c>
      <c r="K74" s="26">
        <f t="shared" ref="K74:K80" si="9">I74*J74</f>
        <v>1375000</v>
      </c>
    </row>
    <row r="75" spans="1:11" ht="13.2" customHeight="1" x14ac:dyDescent="0.25">
      <c r="A75" s="2"/>
      <c r="B75" s="20" t="s">
        <v>57</v>
      </c>
      <c r="C75" s="21" t="s">
        <v>974</v>
      </c>
      <c r="D75" s="14"/>
      <c r="E75" s="22"/>
      <c r="F75" s="23"/>
      <c r="G75" s="23"/>
      <c r="H75" s="24" t="s">
        <v>235</v>
      </c>
      <c r="I75" s="42">
        <v>1</v>
      </c>
      <c r="J75" s="25">
        <f t="shared" si="8"/>
        <v>105000</v>
      </c>
      <c r="K75" s="26">
        <f t="shared" si="9"/>
        <v>105000</v>
      </c>
    </row>
    <row r="76" spans="1:11" ht="13.2" customHeight="1" x14ac:dyDescent="0.25">
      <c r="A76" s="2"/>
      <c r="B76" s="20" t="s">
        <v>83</v>
      </c>
      <c r="C76" s="21" t="s">
        <v>1175</v>
      </c>
      <c r="D76" s="14"/>
      <c r="E76" s="22"/>
      <c r="F76" s="23"/>
      <c r="G76" s="23"/>
      <c r="H76" s="24" t="s">
        <v>264</v>
      </c>
      <c r="I76" s="61">
        <v>4</v>
      </c>
      <c r="J76" s="25">
        <f t="shared" si="8"/>
        <v>14700</v>
      </c>
      <c r="K76" s="26">
        <f t="shared" si="9"/>
        <v>58800</v>
      </c>
    </row>
    <row r="77" spans="1:11" ht="13.2" customHeight="1" x14ac:dyDescent="0.25">
      <c r="A77" s="2"/>
      <c r="B77" s="20" t="s">
        <v>110</v>
      </c>
      <c r="C77" s="21" t="s">
        <v>2184</v>
      </c>
      <c r="D77" s="14"/>
      <c r="E77" s="22"/>
      <c r="F77" s="23"/>
      <c r="G77" s="23"/>
      <c r="H77" s="24" t="s">
        <v>203</v>
      </c>
      <c r="I77" s="36">
        <v>1</v>
      </c>
      <c r="J77" s="25">
        <f>J64</f>
        <v>56500</v>
      </c>
      <c r="K77" s="26">
        <f t="shared" si="9"/>
        <v>56500</v>
      </c>
    </row>
    <row r="78" spans="1:11" ht="13.2" customHeight="1" x14ac:dyDescent="0.25">
      <c r="A78" s="2"/>
      <c r="B78" s="20" t="s">
        <v>137</v>
      </c>
      <c r="C78" s="21" t="s">
        <v>585</v>
      </c>
      <c r="D78" s="14"/>
      <c r="E78" s="22"/>
      <c r="F78" s="23"/>
      <c r="G78" s="23"/>
      <c r="H78" s="24" t="s">
        <v>203</v>
      </c>
      <c r="I78" s="36">
        <v>5</v>
      </c>
      <c r="J78" s="25">
        <f t="shared" si="8"/>
        <v>3960</v>
      </c>
      <c r="K78" s="26">
        <f t="shared" si="9"/>
        <v>19800</v>
      </c>
    </row>
    <row r="79" spans="1:11" ht="13.2" customHeight="1" x14ac:dyDescent="0.25">
      <c r="A79" s="2"/>
      <c r="B79" s="20" t="s">
        <v>156</v>
      </c>
      <c r="C79" s="21" t="s">
        <v>586</v>
      </c>
      <c r="D79" s="14"/>
      <c r="E79" s="22"/>
      <c r="F79" s="23"/>
      <c r="G79" s="23"/>
      <c r="H79" s="24" t="s">
        <v>203</v>
      </c>
      <c r="I79" s="42">
        <v>5</v>
      </c>
      <c r="J79" s="25">
        <f t="shared" si="8"/>
        <v>3650</v>
      </c>
      <c r="K79" s="26">
        <f t="shared" si="9"/>
        <v>18250</v>
      </c>
    </row>
    <row r="80" spans="1:11" ht="13.2" customHeight="1" x14ac:dyDescent="0.25">
      <c r="A80" s="2"/>
      <c r="B80" s="20" t="s">
        <v>175</v>
      </c>
      <c r="C80" s="21" t="s">
        <v>2185</v>
      </c>
      <c r="D80" s="14"/>
      <c r="E80" s="22"/>
      <c r="F80" s="23"/>
      <c r="G80" s="23"/>
      <c r="H80" s="24" t="s">
        <v>203</v>
      </c>
      <c r="I80" s="36">
        <v>1</v>
      </c>
      <c r="J80" s="25">
        <f t="shared" si="8"/>
        <v>44500</v>
      </c>
      <c r="K80" s="26">
        <f t="shared" si="9"/>
        <v>44500</v>
      </c>
    </row>
    <row r="81" spans="1:11" ht="12.9" customHeight="1" x14ac:dyDescent="0.25">
      <c r="A81" s="6"/>
      <c r="B81" s="7"/>
      <c r="C81" s="8"/>
      <c r="D81" s="8"/>
      <c r="E81" s="8"/>
      <c r="F81" s="8"/>
      <c r="G81" s="9"/>
      <c r="H81" s="10" t="s">
        <v>715</v>
      </c>
      <c r="I81" s="11"/>
      <c r="J81" s="11"/>
      <c r="K81" s="27">
        <f>SUM(K73:K80)</f>
        <v>1935850</v>
      </c>
    </row>
    <row r="82" spans="1:11" ht="12.9" customHeight="1" x14ac:dyDescent="0.25">
      <c r="A82" s="6"/>
      <c r="B82" s="5"/>
      <c r="C82" s="3"/>
      <c r="D82" s="3"/>
      <c r="E82" s="3"/>
      <c r="F82" s="3"/>
      <c r="G82" s="4"/>
      <c r="H82" s="12" t="s">
        <v>603</v>
      </c>
      <c r="I82" s="28">
        <f>I69</f>
        <v>0.15</v>
      </c>
      <c r="J82" s="13"/>
      <c r="K82" s="29">
        <f>I82*K81</f>
        <v>290377.5</v>
      </c>
    </row>
    <row r="83" spans="1:11" ht="12.9" customHeight="1" x14ac:dyDescent="0.25">
      <c r="A83" s="6"/>
      <c r="B83" s="5"/>
      <c r="C83" s="3"/>
      <c r="D83" s="3"/>
      <c r="E83" s="3"/>
      <c r="F83" s="3"/>
      <c r="G83" s="4"/>
      <c r="H83" s="12" t="s">
        <v>604</v>
      </c>
      <c r="I83" s="14"/>
      <c r="J83" s="14"/>
      <c r="K83" s="29">
        <f>SUM(K81:K82)</f>
        <v>2226227.5</v>
      </c>
    </row>
    <row r="84" spans="1:11" ht="12.9" customHeight="1" thickBot="1" x14ac:dyDescent="0.3">
      <c r="A84" s="15"/>
      <c r="B84" s="16"/>
      <c r="C84" s="17"/>
      <c r="D84" s="17"/>
      <c r="E84" s="17"/>
      <c r="F84" s="17"/>
      <c r="G84" s="18"/>
      <c r="H84" s="46" t="s">
        <v>605</v>
      </c>
      <c r="I84" s="47"/>
      <c r="J84" s="47"/>
      <c r="K84" s="144">
        <f>ROUND(K83,-1)</f>
        <v>2226230</v>
      </c>
    </row>
    <row r="85" spans="1:11" ht="14.1" customHeight="1" x14ac:dyDescent="0.25">
      <c r="A85" s="81">
        <v>7</v>
      </c>
      <c r="B85" s="676" t="s">
        <v>713</v>
      </c>
      <c r="C85" s="677"/>
      <c r="D85" s="137" t="s">
        <v>1183</v>
      </c>
      <c r="E85" s="138"/>
      <c r="F85" s="139"/>
      <c r="G85" s="139"/>
      <c r="H85" s="140"/>
      <c r="I85" s="141"/>
      <c r="J85" s="142"/>
      <c r="K85" s="143"/>
    </row>
    <row r="86" spans="1:11" ht="13.2" customHeight="1" x14ac:dyDescent="0.25">
      <c r="A86" s="2"/>
      <c r="B86" s="20" t="s">
        <v>4</v>
      </c>
      <c r="C86" s="21" t="s">
        <v>1169</v>
      </c>
      <c r="D86" s="14"/>
      <c r="E86" s="22"/>
      <c r="F86" s="23"/>
      <c r="G86" s="23"/>
      <c r="H86" s="24" t="s">
        <v>235</v>
      </c>
      <c r="I86" s="41">
        <v>1</v>
      </c>
      <c r="J86" s="25">
        <f>J8</f>
        <v>258000</v>
      </c>
      <c r="K86" s="26">
        <f t="shared" ref="K86:K93" si="10">I86*J86</f>
        <v>258000</v>
      </c>
    </row>
    <row r="87" spans="1:11" ht="13.2" customHeight="1" x14ac:dyDescent="0.25">
      <c r="A87" s="2"/>
      <c r="B87" s="20" t="s">
        <v>30</v>
      </c>
      <c r="C87" s="21" t="s">
        <v>2186</v>
      </c>
      <c r="D87" s="14"/>
      <c r="E87" s="22"/>
      <c r="F87" s="23"/>
      <c r="G87" s="23"/>
      <c r="H87" s="24" t="s">
        <v>264</v>
      </c>
      <c r="I87" s="39">
        <v>14</v>
      </c>
      <c r="J87" s="162" t="s">
        <v>1469</v>
      </c>
      <c r="K87" s="26"/>
    </row>
    <row r="88" spans="1:11" ht="13.2" customHeight="1" x14ac:dyDescent="0.25">
      <c r="A88" s="2"/>
      <c r="B88" s="20" t="s">
        <v>57</v>
      </c>
      <c r="C88" s="21" t="s">
        <v>974</v>
      </c>
      <c r="D88" s="14"/>
      <c r="E88" s="22"/>
      <c r="F88" s="23"/>
      <c r="G88" s="23"/>
      <c r="H88" s="24" t="s">
        <v>235</v>
      </c>
      <c r="I88" s="42">
        <v>1</v>
      </c>
      <c r="J88" s="25">
        <f t="shared" ref="J88:J93" si="11">J10</f>
        <v>105000</v>
      </c>
      <c r="K88" s="26">
        <f t="shared" si="10"/>
        <v>105000</v>
      </c>
    </row>
    <row r="89" spans="1:11" ht="13.2" customHeight="1" x14ac:dyDescent="0.25">
      <c r="A89" s="2"/>
      <c r="B89" s="20" t="s">
        <v>83</v>
      </c>
      <c r="C89" s="21" t="s">
        <v>1175</v>
      </c>
      <c r="D89" s="14"/>
      <c r="E89" s="22"/>
      <c r="F89" s="23"/>
      <c r="G89" s="23"/>
      <c r="H89" s="24" t="s">
        <v>264</v>
      </c>
      <c r="I89" s="61">
        <v>5</v>
      </c>
      <c r="J89" s="25">
        <f t="shared" si="11"/>
        <v>14700</v>
      </c>
      <c r="K89" s="26">
        <f t="shared" si="10"/>
        <v>73500</v>
      </c>
    </row>
    <row r="90" spans="1:11" ht="13.2" customHeight="1" x14ac:dyDescent="0.25">
      <c r="A90" s="2"/>
      <c r="B90" s="20" t="s">
        <v>110</v>
      </c>
      <c r="C90" s="21" t="s">
        <v>2184</v>
      </c>
      <c r="D90" s="14"/>
      <c r="E90" s="22"/>
      <c r="F90" s="23"/>
      <c r="G90" s="23"/>
      <c r="H90" s="24" t="s">
        <v>203</v>
      </c>
      <c r="I90" s="36">
        <v>1</v>
      </c>
      <c r="J90" s="25">
        <f>J77</f>
        <v>56500</v>
      </c>
      <c r="K90" s="26">
        <f t="shared" si="10"/>
        <v>56500</v>
      </c>
    </row>
    <row r="91" spans="1:11" ht="13.2" customHeight="1" x14ac:dyDescent="0.25">
      <c r="A91" s="2"/>
      <c r="B91" s="20" t="s">
        <v>137</v>
      </c>
      <c r="C91" s="21" t="s">
        <v>585</v>
      </c>
      <c r="D91" s="14"/>
      <c r="E91" s="22"/>
      <c r="F91" s="23"/>
      <c r="G91" s="23"/>
      <c r="H91" s="24" t="s">
        <v>203</v>
      </c>
      <c r="I91" s="36">
        <v>5</v>
      </c>
      <c r="J91" s="25">
        <f t="shared" si="11"/>
        <v>3960</v>
      </c>
      <c r="K91" s="26">
        <f t="shared" si="10"/>
        <v>19800</v>
      </c>
    </row>
    <row r="92" spans="1:11" ht="13.2" customHeight="1" x14ac:dyDescent="0.25">
      <c r="A92" s="2"/>
      <c r="B92" s="20" t="s">
        <v>156</v>
      </c>
      <c r="C92" s="21" t="s">
        <v>586</v>
      </c>
      <c r="D92" s="14"/>
      <c r="E92" s="22"/>
      <c r="F92" s="23"/>
      <c r="G92" s="23"/>
      <c r="H92" s="24" t="s">
        <v>203</v>
      </c>
      <c r="I92" s="42">
        <v>5</v>
      </c>
      <c r="J92" s="25">
        <f t="shared" si="11"/>
        <v>3650</v>
      </c>
      <c r="K92" s="26">
        <f t="shared" si="10"/>
        <v>18250</v>
      </c>
    </row>
    <row r="93" spans="1:11" ht="13.2" customHeight="1" x14ac:dyDescent="0.25">
      <c r="A93" s="2"/>
      <c r="B93" s="20" t="s">
        <v>175</v>
      </c>
      <c r="C93" s="21" t="s">
        <v>2183</v>
      </c>
      <c r="D93" s="14"/>
      <c r="E93" s="22"/>
      <c r="F93" s="23"/>
      <c r="G93" s="23"/>
      <c r="H93" s="24" t="s">
        <v>203</v>
      </c>
      <c r="I93" s="36">
        <v>1</v>
      </c>
      <c r="J93" s="25">
        <f t="shared" si="11"/>
        <v>44500</v>
      </c>
      <c r="K93" s="26">
        <f t="shared" si="10"/>
        <v>44500</v>
      </c>
    </row>
    <row r="94" spans="1:11" ht="12.9" customHeight="1" x14ac:dyDescent="0.25">
      <c r="A94" s="6"/>
      <c r="B94" s="7"/>
      <c r="C94" s="8"/>
      <c r="D94" s="8"/>
      <c r="E94" s="8"/>
      <c r="F94" s="8"/>
      <c r="G94" s="9"/>
      <c r="H94" s="10" t="s">
        <v>715</v>
      </c>
      <c r="I94" s="11"/>
      <c r="J94" s="11"/>
      <c r="K94" s="27">
        <f>SUM(K86:K93)</f>
        <v>575550</v>
      </c>
    </row>
    <row r="95" spans="1:11" ht="12.9" customHeight="1" x14ac:dyDescent="0.25">
      <c r="A95" s="6"/>
      <c r="B95" s="5"/>
      <c r="C95" s="3"/>
      <c r="D95" s="3"/>
      <c r="E95" s="3"/>
      <c r="F95" s="3"/>
      <c r="G95" s="4"/>
      <c r="H95" s="12" t="s">
        <v>603</v>
      </c>
      <c r="I95" s="28">
        <f>I82</f>
        <v>0.15</v>
      </c>
      <c r="J95" s="13"/>
      <c r="K95" s="29">
        <f>I95*K94</f>
        <v>86332.5</v>
      </c>
    </row>
    <row r="96" spans="1:11" ht="12.9" customHeight="1" x14ac:dyDescent="0.25">
      <c r="A96" s="6"/>
      <c r="B96" s="5"/>
      <c r="C96" s="3"/>
      <c r="D96" s="3"/>
      <c r="E96" s="3"/>
      <c r="F96" s="3"/>
      <c r="G96" s="4"/>
      <c r="H96" s="12" t="s">
        <v>604</v>
      </c>
      <c r="I96" s="14"/>
      <c r="J96" s="14"/>
      <c r="K96" s="29">
        <f>SUM(K94:K95)</f>
        <v>661882.5</v>
      </c>
    </row>
    <row r="97" spans="1:11" ht="12.9" customHeight="1" thickBot="1" x14ac:dyDescent="0.3">
      <c r="A97" s="15"/>
      <c r="B97" s="16"/>
      <c r="C97" s="17"/>
      <c r="D97" s="17"/>
      <c r="E97" s="17"/>
      <c r="F97" s="17"/>
      <c r="G97" s="18"/>
      <c r="H97" s="46" t="s">
        <v>605</v>
      </c>
      <c r="I97" s="47"/>
      <c r="J97" s="47"/>
      <c r="K97" s="144">
        <f>ROUND(K96,-1)</f>
        <v>661880</v>
      </c>
    </row>
    <row r="98" spans="1:11" ht="14.1" customHeight="1" x14ac:dyDescent="0.25">
      <c r="A98" s="81">
        <v>8</v>
      </c>
      <c r="B98" s="676" t="s">
        <v>713</v>
      </c>
      <c r="C98" s="677"/>
      <c r="D98" s="137" t="s">
        <v>1184</v>
      </c>
      <c r="E98" s="138"/>
      <c r="F98" s="139"/>
      <c r="G98" s="139"/>
      <c r="H98" s="140"/>
      <c r="I98" s="141"/>
      <c r="J98" s="142"/>
      <c r="K98" s="143"/>
    </row>
    <row r="99" spans="1:11" ht="13.2" customHeight="1" x14ac:dyDescent="0.25">
      <c r="A99" s="2"/>
      <c r="B99" s="20" t="s">
        <v>4</v>
      </c>
      <c r="C99" s="21" t="s">
        <v>1169</v>
      </c>
      <c r="D99" s="14"/>
      <c r="E99" s="22"/>
      <c r="F99" s="23"/>
      <c r="G99" s="23"/>
      <c r="H99" s="24" t="s">
        <v>235</v>
      </c>
      <c r="I99" s="41">
        <v>1</v>
      </c>
      <c r="J99" s="25">
        <f>J86</f>
        <v>258000</v>
      </c>
      <c r="K99" s="26">
        <f>I99*J99</f>
        <v>258000</v>
      </c>
    </row>
    <row r="100" spans="1:11" ht="13.2" customHeight="1" x14ac:dyDescent="0.25">
      <c r="A100" s="2"/>
      <c r="B100" s="20" t="s">
        <v>30</v>
      </c>
      <c r="C100" s="21" t="s">
        <v>2186</v>
      </c>
      <c r="D100" s="14"/>
      <c r="E100" s="22"/>
      <c r="F100" s="23"/>
      <c r="G100" s="23"/>
      <c r="H100" s="24" t="s">
        <v>264</v>
      </c>
      <c r="I100" s="39">
        <v>13</v>
      </c>
      <c r="J100" s="162" t="s">
        <v>1469</v>
      </c>
      <c r="K100" s="26"/>
    </row>
    <row r="101" spans="1:11" ht="13.2" customHeight="1" x14ac:dyDescent="0.25">
      <c r="A101" s="2"/>
      <c r="B101" s="20" t="s">
        <v>57</v>
      </c>
      <c r="C101" s="21" t="s">
        <v>974</v>
      </c>
      <c r="D101" s="14"/>
      <c r="E101" s="22"/>
      <c r="F101" s="23"/>
      <c r="G101" s="23"/>
      <c r="H101" s="24" t="s">
        <v>235</v>
      </c>
      <c r="I101" s="42">
        <v>1</v>
      </c>
      <c r="J101" s="25">
        <f t="shared" ref="J101:J106" si="12">J88</f>
        <v>105000</v>
      </c>
      <c r="K101" s="26">
        <f t="shared" ref="K101:K106" si="13">I101*J101</f>
        <v>105000</v>
      </c>
    </row>
    <row r="102" spans="1:11" ht="13.2" customHeight="1" x14ac:dyDescent="0.25">
      <c r="A102" s="2"/>
      <c r="B102" s="20" t="s">
        <v>83</v>
      </c>
      <c r="C102" s="21" t="s">
        <v>1175</v>
      </c>
      <c r="D102" s="14"/>
      <c r="E102" s="22"/>
      <c r="F102" s="23"/>
      <c r="G102" s="23"/>
      <c r="H102" s="24" t="s">
        <v>264</v>
      </c>
      <c r="I102" s="61">
        <v>4</v>
      </c>
      <c r="J102" s="25">
        <f t="shared" si="12"/>
        <v>14700</v>
      </c>
      <c r="K102" s="26">
        <f t="shared" si="13"/>
        <v>58800</v>
      </c>
    </row>
    <row r="103" spans="1:11" ht="13.2" customHeight="1" x14ac:dyDescent="0.25">
      <c r="A103" s="2"/>
      <c r="B103" s="20" t="s">
        <v>110</v>
      </c>
      <c r="C103" s="21" t="s">
        <v>2184</v>
      </c>
      <c r="D103" s="14"/>
      <c r="E103" s="22"/>
      <c r="F103" s="23"/>
      <c r="G103" s="23"/>
      <c r="H103" s="24" t="s">
        <v>203</v>
      </c>
      <c r="I103" s="36">
        <v>1</v>
      </c>
      <c r="J103" s="25">
        <f>J90</f>
        <v>56500</v>
      </c>
      <c r="K103" s="26">
        <f t="shared" si="13"/>
        <v>56500</v>
      </c>
    </row>
    <row r="104" spans="1:11" ht="13.2" customHeight="1" x14ac:dyDescent="0.25">
      <c r="A104" s="2"/>
      <c r="B104" s="20" t="s">
        <v>137</v>
      </c>
      <c r="C104" s="21" t="s">
        <v>585</v>
      </c>
      <c r="D104" s="14"/>
      <c r="E104" s="22"/>
      <c r="F104" s="23"/>
      <c r="G104" s="23"/>
      <c r="H104" s="24" t="s">
        <v>203</v>
      </c>
      <c r="I104" s="36">
        <v>5</v>
      </c>
      <c r="J104" s="25">
        <f t="shared" si="12"/>
        <v>3960</v>
      </c>
      <c r="K104" s="26">
        <f t="shared" si="13"/>
        <v>19800</v>
      </c>
    </row>
    <row r="105" spans="1:11" ht="13.2" customHeight="1" x14ac:dyDescent="0.25">
      <c r="A105" s="2"/>
      <c r="B105" s="20" t="s">
        <v>156</v>
      </c>
      <c r="C105" s="21" t="s">
        <v>586</v>
      </c>
      <c r="D105" s="14"/>
      <c r="E105" s="22"/>
      <c r="F105" s="23"/>
      <c r="G105" s="23"/>
      <c r="H105" s="24" t="s">
        <v>203</v>
      </c>
      <c r="I105" s="42">
        <v>5</v>
      </c>
      <c r="J105" s="25">
        <f t="shared" si="12"/>
        <v>3650</v>
      </c>
      <c r="K105" s="26">
        <f t="shared" si="13"/>
        <v>18250</v>
      </c>
    </row>
    <row r="106" spans="1:11" ht="13.2" customHeight="1" x14ac:dyDescent="0.25">
      <c r="A106" s="2"/>
      <c r="B106" s="20" t="s">
        <v>175</v>
      </c>
      <c r="C106" s="21" t="s">
        <v>2185</v>
      </c>
      <c r="D106" s="14"/>
      <c r="E106" s="22"/>
      <c r="F106" s="23"/>
      <c r="G106" s="23"/>
      <c r="H106" s="24" t="s">
        <v>203</v>
      </c>
      <c r="I106" s="36">
        <v>1</v>
      </c>
      <c r="J106" s="25">
        <f t="shared" si="12"/>
        <v>44500</v>
      </c>
      <c r="K106" s="26">
        <f t="shared" si="13"/>
        <v>44500</v>
      </c>
    </row>
    <row r="107" spans="1:11" ht="12.9" customHeight="1" x14ac:dyDescent="0.25">
      <c r="A107" s="6"/>
      <c r="B107" s="7"/>
      <c r="C107" s="8"/>
      <c r="D107" s="8"/>
      <c r="E107" s="8"/>
      <c r="F107" s="8"/>
      <c r="G107" s="9"/>
      <c r="H107" s="10" t="s">
        <v>715</v>
      </c>
      <c r="I107" s="11"/>
      <c r="J107" s="11"/>
      <c r="K107" s="27">
        <f>SUM(K99:K106)</f>
        <v>560850</v>
      </c>
    </row>
    <row r="108" spans="1:11" ht="12.9" customHeight="1" x14ac:dyDescent="0.25">
      <c r="A108" s="6"/>
      <c r="B108" s="5"/>
      <c r="C108" s="3"/>
      <c r="D108" s="3"/>
      <c r="E108" s="3"/>
      <c r="F108" s="3"/>
      <c r="G108" s="4"/>
      <c r="H108" s="12" t="s">
        <v>603</v>
      </c>
      <c r="I108" s="28">
        <f>I95</f>
        <v>0.15</v>
      </c>
      <c r="J108" s="13"/>
      <c r="K108" s="29">
        <f>I108*K107</f>
        <v>84127.5</v>
      </c>
    </row>
    <row r="109" spans="1:11" ht="12.9" customHeight="1" x14ac:dyDescent="0.25">
      <c r="A109" s="6"/>
      <c r="B109" s="5"/>
      <c r="C109" s="3"/>
      <c r="D109" s="3"/>
      <c r="E109" s="3"/>
      <c r="F109" s="3"/>
      <c r="G109" s="4"/>
      <c r="H109" s="12" t="s">
        <v>604</v>
      </c>
      <c r="I109" s="14"/>
      <c r="J109" s="14"/>
      <c r="K109" s="29">
        <f>SUM(K107:K108)</f>
        <v>644977.5</v>
      </c>
    </row>
    <row r="110" spans="1:11" ht="12.9" customHeight="1" thickBot="1" x14ac:dyDescent="0.3">
      <c r="A110" s="15"/>
      <c r="B110" s="16"/>
      <c r="C110" s="17"/>
      <c r="D110" s="17"/>
      <c r="E110" s="17"/>
      <c r="F110" s="17"/>
      <c r="G110" s="18"/>
      <c r="H110" s="46" t="s">
        <v>605</v>
      </c>
      <c r="I110" s="47"/>
      <c r="J110" s="47"/>
      <c r="K110" s="144">
        <f>ROUND(K109,-1)</f>
        <v>644980</v>
      </c>
    </row>
    <row r="111" spans="1:11" ht="14.1" customHeight="1" x14ac:dyDescent="0.25">
      <c r="A111" s="81">
        <v>9</v>
      </c>
      <c r="B111" s="676" t="s">
        <v>713</v>
      </c>
      <c r="C111" s="677"/>
      <c r="D111" s="137" t="s">
        <v>1185</v>
      </c>
      <c r="E111" s="138"/>
      <c r="F111" s="139"/>
      <c r="G111" s="139"/>
      <c r="H111" s="140"/>
      <c r="I111" s="141"/>
      <c r="J111" s="142"/>
      <c r="K111" s="143"/>
    </row>
    <row r="112" spans="1:11" ht="13.2" customHeight="1" x14ac:dyDescent="0.25">
      <c r="A112" s="2"/>
      <c r="B112" s="20" t="s">
        <v>4</v>
      </c>
      <c r="C112" s="21" t="s">
        <v>1169</v>
      </c>
      <c r="D112" s="14"/>
      <c r="E112" s="22"/>
      <c r="F112" s="23"/>
      <c r="G112" s="23"/>
      <c r="H112" s="24" t="s">
        <v>235</v>
      </c>
      <c r="I112" s="41">
        <v>1</v>
      </c>
      <c r="J112" s="25">
        <f>J99</f>
        <v>258000</v>
      </c>
      <c r="K112" s="26">
        <f>I112*J112</f>
        <v>258000</v>
      </c>
    </row>
    <row r="113" spans="1:11" ht="13.2" customHeight="1" x14ac:dyDescent="0.25">
      <c r="A113" s="2"/>
      <c r="B113" s="20" t="s">
        <v>30</v>
      </c>
      <c r="C113" s="21" t="s">
        <v>2186</v>
      </c>
      <c r="D113" s="14"/>
      <c r="E113" s="22"/>
      <c r="F113" s="23"/>
      <c r="G113" s="23"/>
      <c r="H113" s="24" t="s">
        <v>264</v>
      </c>
      <c r="I113" s="39">
        <v>12.5</v>
      </c>
      <c r="J113" s="162" t="s">
        <v>1469</v>
      </c>
      <c r="K113" s="26"/>
    </row>
    <row r="114" spans="1:11" ht="13.2" customHeight="1" x14ac:dyDescent="0.25">
      <c r="A114" s="2"/>
      <c r="B114" s="20" t="s">
        <v>57</v>
      </c>
      <c r="C114" s="21" t="s">
        <v>974</v>
      </c>
      <c r="D114" s="14"/>
      <c r="E114" s="22"/>
      <c r="F114" s="23"/>
      <c r="G114" s="23"/>
      <c r="H114" s="24" t="s">
        <v>235</v>
      </c>
      <c r="I114" s="42">
        <v>1</v>
      </c>
      <c r="J114" s="25">
        <f t="shared" ref="J114:J119" si="14">J101</f>
        <v>105000</v>
      </c>
      <c r="K114" s="26">
        <f t="shared" ref="K114:K119" si="15">I114*J114</f>
        <v>105000</v>
      </c>
    </row>
    <row r="115" spans="1:11" ht="13.2" customHeight="1" x14ac:dyDescent="0.25">
      <c r="A115" s="2"/>
      <c r="B115" s="20" t="s">
        <v>83</v>
      </c>
      <c r="C115" s="21" t="s">
        <v>1175</v>
      </c>
      <c r="D115" s="14"/>
      <c r="E115" s="22"/>
      <c r="F115" s="23"/>
      <c r="G115" s="23"/>
      <c r="H115" s="24" t="s">
        <v>264</v>
      </c>
      <c r="I115" s="61">
        <v>3.5</v>
      </c>
      <c r="J115" s="25">
        <f t="shared" si="14"/>
        <v>14700</v>
      </c>
      <c r="K115" s="26">
        <f t="shared" si="15"/>
        <v>51450</v>
      </c>
    </row>
    <row r="116" spans="1:11" ht="13.2" customHeight="1" x14ac:dyDescent="0.25">
      <c r="A116" s="2"/>
      <c r="B116" s="20" t="s">
        <v>110</v>
      </c>
      <c r="C116" s="21" t="s">
        <v>2184</v>
      </c>
      <c r="D116" s="14"/>
      <c r="E116" s="22"/>
      <c r="F116" s="23"/>
      <c r="G116" s="23"/>
      <c r="H116" s="24" t="s">
        <v>203</v>
      </c>
      <c r="I116" s="36">
        <v>1</v>
      </c>
      <c r="J116" s="25">
        <f>J103</f>
        <v>56500</v>
      </c>
      <c r="K116" s="26">
        <f t="shared" si="15"/>
        <v>56500</v>
      </c>
    </row>
    <row r="117" spans="1:11" ht="13.2" customHeight="1" x14ac:dyDescent="0.25">
      <c r="A117" s="2"/>
      <c r="B117" s="20" t="s">
        <v>137</v>
      </c>
      <c r="C117" s="21" t="s">
        <v>585</v>
      </c>
      <c r="D117" s="14"/>
      <c r="E117" s="22"/>
      <c r="F117" s="23"/>
      <c r="G117" s="23"/>
      <c r="H117" s="24" t="s">
        <v>203</v>
      </c>
      <c r="I117" s="36">
        <v>5</v>
      </c>
      <c r="J117" s="25">
        <f t="shared" si="14"/>
        <v>3960</v>
      </c>
      <c r="K117" s="26">
        <f t="shared" si="15"/>
        <v>19800</v>
      </c>
    </row>
    <row r="118" spans="1:11" ht="13.2" customHeight="1" x14ac:dyDescent="0.25">
      <c r="A118" s="2"/>
      <c r="B118" s="20" t="s">
        <v>156</v>
      </c>
      <c r="C118" s="21" t="s">
        <v>586</v>
      </c>
      <c r="D118" s="14"/>
      <c r="E118" s="22"/>
      <c r="F118" s="23"/>
      <c r="G118" s="23"/>
      <c r="H118" s="24" t="s">
        <v>203</v>
      </c>
      <c r="I118" s="42">
        <v>5</v>
      </c>
      <c r="J118" s="25">
        <f t="shared" si="14"/>
        <v>3650</v>
      </c>
      <c r="K118" s="26">
        <f t="shared" si="15"/>
        <v>18250</v>
      </c>
    </row>
    <row r="119" spans="1:11" ht="13.2" customHeight="1" x14ac:dyDescent="0.25">
      <c r="A119" s="2"/>
      <c r="B119" s="20" t="s">
        <v>175</v>
      </c>
      <c r="C119" s="21" t="s">
        <v>2185</v>
      </c>
      <c r="D119" s="14"/>
      <c r="E119" s="22"/>
      <c r="F119" s="23"/>
      <c r="G119" s="23"/>
      <c r="H119" s="24" t="s">
        <v>203</v>
      </c>
      <c r="I119" s="36">
        <v>1</v>
      </c>
      <c r="J119" s="25">
        <f t="shared" si="14"/>
        <v>44500</v>
      </c>
      <c r="K119" s="26">
        <f t="shared" si="15"/>
        <v>44500</v>
      </c>
    </row>
    <row r="120" spans="1:11" ht="12.9" customHeight="1" x14ac:dyDescent="0.25">
      <c r="A120" s="6"/>
      <c r="B120" s="7"/>
      <c r="C120" s="8"/>
      <c r="D120" s="8"/>
      <c r="E120" s="8"/>
      <c r="F120" s="8"/>
      <c r="G120" s="9"/>
      <c r="H120" s="10" t="s">
        <v>715</v>
      </c>
      <c r="I120" s="11"/>
      <c r="J120" s="11"/>
      <c r="K120" s="27">
        <f>SUM(K112:K119)</f>
        <v>553500</v>
      </c>
    </row>
    <row r="121" spans="1:11" ht="12.9" customHeight="1" x14ac:dyDescent="0.25">
      <c r="A121" s="6"/>
      <c r="B121" s="5"/>
      <c r="C121" s="3"/>
      <c r="D121" s="3"/>
      <c r="E121" s="3"/>
      <c r="F121" s="3"/>
      <c r="G121" s="4"/>
      <c r="H121" s="12" t="s">
        <v>603</v>
      </c>
      <c r="I121" s="28">
        <f>I108</f>
        <v>0.15</v>
      </c>
      <c r="J121" s="13"/>
      <c r="K121" s="29">
        <f>I121*K120</f>
        <v>83025</v>
      </c>
    </row>
    <row r="122" spans="1:11" ht="12.9" customHeight="1" x14ac:dyDescent="0.25">
      <c r="A122" s="6"/>
      <c r="B122" s="5"/>
      <c r="C122" s="3"/>
      <c r="D122" s="3"/>
      <c r="E122" s="3"/>
      <c r="F122" s="3"/>
      <c r="G122" s="4"/>
      <c r="H122" s="12" t="s">
        <v>604</v>
      </c>
      <c r="I122" s="14"/>
      <c r="J122" s="14"/>
      <c r="K122" s="29">
        <f>SUM(K120:K121)</f>
        <v>636525</v>
      </c>
    </row>
    <row r="123" spans="1:11" ht="12.9" customHeight="1" thickBot="1" x14ac:dyDescent="0.3">
      <c r="A123" s="15"/>
      <c r="B123" s="16"/>
      <c r="C123" s="17"/>
      <c r="D123" s="17"/>
      <c r="E123" s="17"/>
      <c r="F123" s="17"/>
      <c r="G123" s="18"/>
      <c r="H123" s="46" t="s">
        <v>605</v>
      </c>
      <c r="I123" s="47"/>
      <c r="J123" s="47"/>
      <c r="K123" s="144">
        <f>ROUND(K122,-1)</f>
        <v>636530</v>
      </c>
    </row>
    <row r="124" spans="1:11" ht="14.1" customHeight="1" x14ac:dyDescent="0.25">
      <c r="A124" s="81">
        <v>10</v>
      </c>
      <c r="B124" s="676" t="s">
        <v>713</v>
      </c>
      <c r="C124" s="677"/>
      <c r="D124" s="137" t="s">
        <v>1186</v>
      </c>
      <c r="E124" s="138"/>
      <c r="F124" s="139"/>
      <c r="G124" s="139"/>
      <c r="H124" s="140"/>
      <c r="I124" s="141"/>
      <c r="J124" s="142"/>
      <c r="K124" s="143"/>
    </row>
    <row r="125" spans="1:11" ht="13.2" customHeight="1" x14ac:dyDescent="0.25">
      <c r="A125" s="2"/>
      <c r="B125" s="20" t="s">
        <v>4</v>
      </c>
      <c r="C125" s="21" t="s">
        <v>1169</v>
      </c>
      <c r="D125" s="14"/>
      <c r="E125" s="22"/>
      <c r="F125" s="23"/>
      <c r="G125" s="23"/>
      <c r="H125" s="24" t="s">
        <v>235</v>
      </c>
      <c r="I125" s="41">
        <v>1</v>
      </c>
      <c r="J125" s="25">
        <f t="shared" ref="J125:J132" si="16">J112</f>
        <v>258000</v>
      </c>
      <c r="K125" s="26">
        <f>I125*J125</f>
        <v>258000</v>
      </c>
    </row>
    <row r="126" spans="1:11" ht="13.2" customHeight="1" x14ac:dyDescent="0.25">
      <c r="A126" s="2"/>
      <c r="B126" s="20" t="s">
        <v>30</v>
      </c>
      <c r="C126" s="21" t="s">
        <v>2186</v>
      </c>
      <c r="D126" s="14"/>
      <c r="E126" s="22"/>
      <c r="F126" s="23"/>
      <c r="G126" s="23"/>
      <c r="H126" s="24" t="s">
        <v>264</v>
      </c>
      <c r="I126" s="39">
        <v>14</v>
      </c>
      <c r="J126" s="162" t="s">
        <v>1469</v>
      </c>
      <c r="K126" s="26"/>
    </row>
    <row r="127" spans="1:11" ht="13.2" customHeight="1" x14ac:dyDescent="0.25">
      <c r="A127" s="2"/>
      <c r="B127" s="20" t="s">
        <v>57</v>
      </c>
      <c r="C127" s="21" t="s">
        <v>974</v>
      </c>
      <c r="D127" s="14"/>
      <c r="E127" s="22"/>
      <c r="F127" s="23"/>
      <c r="G127" s="23"/>
      <c r="H127" s="24" t="s">
        <v>235</v>
      </c>
      <c r="I127" s="42">
        <v>1</v>
      </c>
      <c r="J127" s="25">
        <f t="shared" si="16"/>
        <v>105000</v>
      </c>
      <c r="K127" s="26">
        <f t="shared" ref="K127:K132" si="17">I127*J127</f>
        <v>105000</v>
      </c>
    </row>
    <row r="128" spans="1:11" ht="13.2" customHeight="1" x14ac:dyDescent="0.25">
      <c r="A128" s="2"/>
      <c r="B128" s="20" t="s">
        <v>83</v>
      </c>
      <c r="C128" s="21" t="s">
        <v>1175</v>
      </c>
      <c r="D128" s="14"/>
      <c r="E128" s="22"/>
      <c r="F128" s="23"/>
      <c r="G128" s="23"/>
      <c r="H128" s="24" t="s">
        <v>264</v>
      </c>
      <c r="I128" s="61">
        <v>5</v>
      </c>
      <c r="J128" s="25">
        <f t="shared" si="16"/>
        <v>14700</v>
      </c>
      <c r="K128" s="26">
        <f t="shared" si="17"/>
        <v>73500</v>
      </c>
    </row>
    <row r="129" spans="1:11" ht="13.2" customHeight="1" x14ac:dyDescent="0.25">
      <c r="A129" s="2"/>
      <c r="B129" s="20" t="s">
        <v>110</v>
      </c>
      <c r="C129" s="21" t="s">
        <v>2184</v>
      </c>
      <c r="D129" s="14"/>
      <c r="E129" s="22"/>
      <c r="F129" s="23"/>
      <c r="G129" s="23"/>
      <c r="H129" s="24" t="s">
        <v>203</v>
      </c>
      <c r="I129" s="36">
        <v>1</v>
      </c>
      <c r="J129" s="25">
        <f>J116</f>
        <v>56500</v>
      </c>
      <c r="K129" s="26">
        <f t="shared" si="17"/>
        <v>56500</v>
      </c>
    </row>
    <row r="130" spans="1:11" ht="13.2" customHeight="1" x14ac:dyDescent="0.25">
      <c r="A130" s="2"/>
      <c r="B130" s="20" t="s">
        <v>137</v>
      </c>
      <c r="C130" s="21" t="s">
        <v>585</v>
      </c>
      <c r="D130" s="14"/>
      <c r="E130" s="22"/>
      <c r="F130" s="23"/>
      <c r="G130" s="23"/>
      <c r="H130" s="24" t="s">
        <v>203</v>
      </c>
      <c r="I130" s="36">
        <v>5</v>
      </c>
      <c r="J130" s="25">
        <f t="shared" si="16"/>
        <v>3960</v>
      </c>
      <c r="K130" s="26">
        <f t="shared" si="17"/>
        <v>19800</v>
      </c>
    </row>
    <row r="131" spans="1:11" ht="13.2" customHeight="1" x14ac:dyDescent="0.25">
      <c r="A131" s="2"/>
      <c r="B131" s="20" t="s">
        <v>156</v>
      </c>
      <c r="C131" s="21" t="s">
        <v>586</v>
      </c>
      <c r="D131" s="14"/>
      <c r="E131" s="22"/>
      <c r="F131" s="23"/>
      <c r="G131" s="23"/>
      <c r="H131" s="24" t="s">
        <v>203</v>
      </c>
      <c r="I131" s="42">
        <v>5</v>
      </c>
      <c r="J131" s="25">
        <f t="shared" si="16"/>
        <v>3650</v>
      </c>
      <c r="K131" s="26">
        <f t="shared" si="17"/>
        <v>18250</v>
      </c>
    </row>
    <row r="132" spans="1:11" ht="13.2" customHeight="1" x14ac:dyDescent="0.25">
      <c r="A132" s="2"/>
      <c r="B132" s="20" t="s">
        <v>175</v>
      </c>
      <c r="C132" s="21" t="s">
        <v>2185</v>
      </c>
      <c r="D132" s="14"/>
      <c r="E132" s="22"/>
      <c r="F132" s="23"/>
      <c r="G132" s="23"/>
      <c r="H132" s="24" t="s">
        <v>203</v>
      </c>
      <c r="I132" s="36">
        <v>1</v>
      </c>
      <c r="J132" s="25">
        <f t="shared" si="16"/>
        <v>44500</v>
      </c>
      <c r="K132" s="26">
        <f t="shared" si="17"/>
        <v>44500</v>
      </c>
    </row>
    <row r="133" spans="1:11" ht="12.9" customHeight="1" x14ac:dyDescent="0.25">
      <c r="A133" s="6"/>
      <c r="B133" s="7"/>
      <c r="C133" s="8"/>
      <c r="D133" s="8"/>
      <c r="E133" s="8"/>
      <c r="F133" s="8"/>
      <c r="G133" s="9"/>
      <c r="H133" s="10" t="s">
        <v>715</v>
      </c>
      <c r="I133" s="11"/>
      <c r="J133" s="11"/>
      <c r="K133" s="27">
        <f>SUM(K125:K132)</f>
        <v>575550</v>
      </c>
    </row>
    <row r="134" spans="1:11" ht="12.9" customHeight="1" x14ac:dyDescent="0.25">
      <c r="A134" s="6"/>
      <c r="B134" s="5"/>
      <c r="C134" s="3"/>
      <c r="D134" s="3"/>
      <c r="E134" s="3"/>
      <c r="F134" s="3"/>
      <c r="G134" s="4"/>
      <c r="H134" s="12" t="s">
        <v>603</v>
      </c>
      <c r="I134" s="28">
        <f>I121</f>
        <v>0.15</v>
      </c>
      <c r="J134" s="13"/>
      <c r="K134" s="29">
        <f>I134*K133</f>
        <v>86332.5</v>
      </c>
    </row>
    <row r="135" spans="1:11" ht="12.9" customHeight="1" x14ac:dyDescent="0.25">
      <c r="A135" s="6"/>
      <c r="B135" s="5"/>
      <c r="C135" s="3"/>
      <c r="D135" s="3"/>
      <c r="E135" s="3"/>
      <c r="F135" s="3"/>
      <c r="G135" s="4"/>
      <c r="H135" s="12" t="s">
        <v>604</v>
      </c>
      <c r="I135" s="14"/>
      <c r="J135" s="14"/>
      <c r="K135" s="29">
        <f>SUM(K133:K134)</f>
        <v>661882.5</v>
      </c>
    </row>
    <row r="136" spans="1:11" ht="12.9" customHeight="1" thickBot="1" x14ac:dyDescent="0.3">
      <c r="A136" s="15"/>
      <c r="B136" s="16"/>
      <c r="C136" s="17"/>
      <c r="D136" s="17"/>
      <c r="E136" s="17"/>
      <c r="F136" s="17"/>
      <c r="G136" s="18"/>
      <c r="H136" s="46" t="s">
        <v>605</v>
      </c>
      <c r="I136" s="47"/>
      <c r="J136" s="47"/>
      <c r="K136" s="144">
        <f>ROUND(K135,-1)</f>
        <v>661880</v>
      </c>
    </row>
    <row r="137" spans="1:11" ht="14.1" customHeight="1" x14ac:dyDescent="0.25">
      <c r="A137" s="81">
        <v>11</v>
      </c>
      <c r="B137" s="676" t="s">
        <v>713</v>
      </c>
      <c r="C137" s="677"/>
      <c r="D137" s="137" t="s">
        <v>1187</v>
      </c>
      <c r="E137" s="138"/>
      <c r="F137" s="139"/>
      <c r="G137" s="139"/>
      <c r="H137" s="140"/>
      <c r="I137" s="141"/>
      <c r="J137" s="142"/>
      <c r="K137" s="143"/>
    </row>
    <row r="138" spans="1:11" ht="13.2" customHeight="1" x14ac:dyDescent="0.25">
      <c r="A138" s="2"/>
      <c r="B138" s="20" t="s">
        <v>4</v>
      </c>
      <c r="C138" s="21" t="s">
        <v>1169</v>
      </c>
      <c r="D138" s="14"/>
      <c r="E138" s="22"/>
      <c r="F138" s="23"/>
      <c r="G138" s="23"/>
      <c r="H138" s="24" t="s">
        <v>235</v>
      </c>
      <c r="I138" s="41">
        <v>1</v>
      </c>
      <c r="J138" s="25">
        <f t="shared" ref="J138:J145" si="18">J125</f>
        <v>258000</v>
      </c>
      <c r="K138" s="26">
        <f>I138*J138</f>
        <v>258000</v>
      </c>
    </row>
    <row r="139" spans="1:11" ht="13.2" customHeight="1" x14ac:dyDescent="0.25">
      <c r="A139" s="2"/>
      <c r="B139" s="20" t="s">
        <v>30</v>
      </c>
      <c r="C139" s="21" t="s">
        <v>2186</v>
      </c>
      <c r="D139" s="14"/>
      <c r="E139" s="22"/>
      <c r="F139" s="23"/>
      <c r="G139" s="23"/>
      <c r="H139" s="24" t="s">
        <v>264</v>
      </c>
      <c r="I139" s="39">
        <v>13</v>
      </c>
      <c r="J139" s="162" t="s">
        <v>1469</v>
      </c>
      <c r="K139" s="26"/>
    </row>
    <row r="140" spans="1:11" ht="13.2" customHeight="1" x14ac:dyDescent="0.25">
      <c r="A140" s="2"/>
      <c r="B140" s="20" t="s">
        <v>57</v>
      </c>
      <c r="C140" s="21" t="s">
        <v>974</v>
      </c>
      <c r="D140" s="14"/>
      <c r="E140" s="22"/>
      <c r="F140" s="23"/>
      <c r="G140" s="23"/>
      <c r="H140" s="24" t="s">
        <v>235</v>
      </c>
      <c r="I140" s="42">
        <v>1</v>
      </c>
      <c r="J140" s="25">
        <f t="shared" si="18"/>
        <v>105000</v>
      </c>
      <c r="K140" s="26">
        <f t="shared" ref="K140:K145" si="19">I140*J140</f>
        <v>105000</v>
      </c>
    </row>
    <row r="141" spans="1:11" ht="13.2" customHeight="1" x14ac:dyDescent="0.25">
      <c r="A141" s="2"/>
      <c r="B141" s="20" t="s">
        <v>83</v>
      </c>
      <c r="C141" s="21" t="s">
        <v>1175</v>
      </c>
      <c r="D141" s="14"/>
      <c r="E141" s="22"/>
      <c r="F141" s="23"/>
      <c r="G141" s="23"/>
      <c r="H141" s="24" t="s">
        <v>264</v>
      </c>
      <c r="I141" s="61">
        <v>4</v>
      </c>
      <c r="J141" s="25">
        <f t="shared" si="18"/>
        <v>14700</v>
      </c>
      <c r="K141" s="26">
        <f t="shared" si="19"/>
        <v>58800</v>
      </c>
    </row>
    <row r="142" spans="1:11" ht="13.2" customHeight="1" x14ac:dyDescent="0.25">
      <c r="A142" s="2"/>
      <c r="B142" s="20" t="s">
        <v>110</v>
      </c>
      <c r="C142" s="21" t="s">
        <v>2184</v>
      </c>
      <c r="D142" s="14"/>
      <c r="E142" s="22"/>
      <c r="F142" s="23"/>
      <c r="G142" s="23"/>
      <c r="H142" s="24" t="s">
        <v>203</v>
      </c>
      <c r="I142" s="36">
        <v>1</v>
      </c>
      <c r="J142" s="25">
        <f>J129</f>
        <v>56500</v>
      </c>
      <c r="K142" s="26">
        <f t="shared" si="19"/>
        <v>56500</v>
      </c>
    </row>
    <row r="143" spans="1:11" ht="13.2" customHeight="1" x14ac:dyDescent="0.25">
      <c r="A143" s="2"/>
      <c r="B143" s="20" t="s">
        <v>137</v>
      </c>
      <c r="C143" s="21" t="s">
        <v>585</v>
      </c>
      <c r="D143" s="14"/>
      <c r="E143" s="22"/>
      <c r="F143" s="23"/>
      <c r="G143" s="23"/>
      <c r="H143" s="24" t="s">
        <v>203</v>
      </c>
      <c r="I143" s="36">
        <v>5</v>
      </c>
      <c r="J143" s="25">
        <f t="shared" si="18"/>
        <v>3960</v>
      </c>
      <c r="K143" s="26">
        <f t="shared" si="19"/>
        <v>19800</v>
      </c>
    </row>
    <row r="144" spans="1:11" ht="13.2" customHeight="1" x14ac:dyDescent="0.25">
      <c r="A144" s="2"/>
      <c r="B144" s="20" t="s">
        <v>156</v>
      </c>
      <c r="C144" s="21" t="s">
        <v>586</v>
      </c>
      <c r="D144" s="14"/>
      <c r="E144" s="22"/>
      <c r="F144" s="23"/>
      <c r="G144" s="23"/>
      <c r="H144" s="24" t="s">
        <v>203</v>
      </c>
      <c r="I144" s="42">
        <v>5</v>
      </c>
      <c r="J144" s="25">
        <f t="shared" si="18"/>
        <v>3650</v>
      </c>
      <c r="K144" s="26">
        <f t="shared" si="19"/>
        <v>18250</v>
      </c>
    </row>
    <row r="145" spans="1:11" ht="13.2" customHeight="1" x14ac:dyDescent="0.25">
      <c r="A145" s="2"/>
      <c r="B145" s="20" t="s">
        <v>175</v>
      </c>
      <c r="C145" s="21" t="s">
        <v>2183</v>
      </c>
      <c r="D145" s="14"/>
      <c r="E145" s="22"/>
      <c r="F145" s="23"/>
      <c r="G145" s="23"/>
      <c r="H145" s="24" t="s">
        <v>203</v>
      </c>
      <c r="I145" s="36">
        <v>1</v>
      </c>
      <c r="J145" s="25">
        <f t="shared" si="18"/>
        <v>44500</v>
      </c>
      <c r="K145" s="26">
        <f t="shared" si="19"/>
        <v>44500</v>
      </c>
    </row>
    <row r="146" spans="1:11" ht="12.9" customHeight="1" x14ac:dyDescent="0.25">
      <c r="A146" s="6"/>
      <c r="B146" s="7"/>
      <c r="C146" s="8"/>
      <c r="D146" s="8"/>
      <c r="E146" s="8"/>
      <c r="F146" s="8"/>
      <c r="G146" s="9"/>
      <c r="H146" s="10" t="s">
        <v>715</v>
      </c>
      <c r="I146" s="11"/>
      <c r="J146" s="11"/>
      <c r="K146" s="27">
        <f>SUM(K138:K145)</f>
        <v>560850</v>
      </c>
    </row>
    <row r="147" spans="1:11" ht="12.9" customHeight="1" x14ac:dyDescent="0.25">
      <c r="A147" s="6"/>
      <c r="B147" s="5"/>
      <c r="C147" s="3"/>
      <c r="D147" s="3"/>
      <c r="E147" s="3"/>
      <c r="F147" s="3"/>
      <c r="G147" s="4"/>
      <c r="H147" s="12" t="s">
        <v>603</v>
      </c>
      <c r="I147" s="28">
        <f>I134</f>
        <v>0.15</v>
      </c>
      <c r="J147" s="13"/>
      <c r="K147" s="29">
        <f>I147*K146</f>
        <v>84127.5</v>
      </c>
    </row>
    <row r="148" spans="1:11" ht="12.9" customHeight="1" x14ac:dyDescent="0.25">
      <c r="A148" s="6"/>
      <c r="B148" s="5"/>
      <c r="C148" s="3"/>
      <c r="D148" s="3"/>
      <c r="E148" s="3"/>
      <c r="F148" s="3"/>
      <c r="G148" s="4"/>
      <c r="H148" s="12" t="s">
        <v>604</v>
      </c>
      <c r="I148" s="14"/>
      <c r="J148" s="14"/>
      <c r="K148" s="29">
        <f>SUM(K146:K147)</f>
        <v>644977.5</v>
      </c>
    </row>
    <row r="149" spans="1:11" ht="12.9" customHeight="1" thickBot="1" x14ac:dyDescent="0.3">
      <c r="A149" s="15"/>
      <c r="B149" s="16"/>
      <c r="C149" s="17"/>
      <c r="D149" s="17"/>
      <c r="E149" s="17"/>
      <c r="F149" s="17"/>
      <c r="G149" s="18"/>
      <c r="H149" s="46" t="s">
        <v>605</v>
      </c>
      <c r="I149" s="47"/>
      <c r="J149" s="47"/>
      <c r="K149" s="144">
        <f>ROUND(K148,-1)</f>
        <v>644980</v>
      </c>
    </row>
    <row r="150" spans="1:11" ht="14.1" customHeight="1" x14ac:dyDescent="0.25">
      <c r="A150" s="81">
        <v>12</v>
      </c>
      <c r="B150" s="676" t="s">
        <v>713</v>
      </c>
      <c r="C150" s="677"/>
      <c r="D150" s="137" t="s">
        <v>1188</v>
      </c>
      <c r="E150" s="138"/>
      <c r="F150" s="139"/>
      <c r="G150" s="139"/>
      <c r="H150" s="140"/>
      <c r="I150" s="141"/>
      <c r="J150" s="142"/>
      <c r="K150" s="143"/>
    </row>
    <row r="151" spans="1:11" ht="13.2" customHeight="1" x14ac:dyDescent="0.25">
      <c r="A151" s="2"/>
      <c r="B151" s="20" t="s">
        <v>4</v>
      </c>
      <c r="C151" s="21" t="s">
        <v>1169</v>
      </c>
      <c r="D151" s="14"/>
      <c r="E151" s="22"/>
      <c r="F151" s="23"/>
      <c r="G151" s="23"/>
      <c r="H151" s="24" t="s">
        <v>235</v>
      </c>
      <c r="I151" s="41">
        <v>1</v>
      </c>
      <c r="J151" s="25">
        <f t="shared" ref="J151:J158" si="20">J138</f>
        <v>258000</v>
      </c>
      <c r="K151" s="26">
        <f>I151*J151</f>
        <v>258000</v>
      </c>
    </row>
    <row r="152" spans="1:11" ht="13.2" customHeight="1" x14ac:dyDescent="0.25">
      <c r="A152" s="2"/>
      <c r="B152" s="20" t="s">
        <v>30</v>
      </c>
      <c r="C152" s="21" t="s">
        <v>2186</v>
      </c>
      <c r="D152" s="14"/>
      <c r="E152" s="22"/>
      <c r="F152" s="23"/>
      <c r="G152" s="23"/>
      <c r="H152" s="24" t="s">
        <v>264</v>
      </c>
      <c r="I152" s="39">
        <v>12.5</v>
      </c>
      <c r="J152" s="162" t="s">
        <v>1469</v>
      </c>
      <c r="K152" s="26"/>
    </row>
    <row r="153" spans="1:11" ht="13.2" customHeight="1" x14ac:dyDescent="0.25">
      <c r="A153" s="2"/>
      <c r="B153" s="20" t="s">
        <v>57</v>
      </c>
      <c r="C153" s="21" t="s">
        <v>974</v>
      </c>
      <c r="D153" s="14"/>
      <c r="E153" s="22"/>
      <c r="F153" s="23"/>
      <c r="G153" s="23"/>
      <c r="H153" s="24" t="s">
        <v>235</v>
      </c>
      <c r="I153" s="42">
        <v>1</v>
      </c>
      <c r="J153" s="25">
        <f t="shared" si="20"/>
        <v>105000</v>
      </c>
      <c r="K153" s="26">
        <f t="shared" ref="K153:K158" si="21">I153*J153</f>
        <v>105000</v>
      </c>
    </row>
    <row r="154" spans="1:11" ht="13.2" customHeight="1" x14ac:dyDescent="0.25">
      <c r="A154" s="2"/>
      <c r="B154" s="20" t="s">
        <v>83</v>
      </c>
      <c r="C154" s="21" t="s">
        <v>1175</v>
      </c>
      <c r="D154" s="14"/>
      <c r="E154" s="22"/>
      <c r="F154" s="23"/>
      <c r="G154" s="23"/>
      <c r="H154" s="24" t="s">
        <v>264</v>
      </c>
      <c r="I154" s="61">
        <v>3.5</v>
      </c>
      <c r="J154" s="25">
        <f t="shared" si="20"/>
        <v>14700</v>
      </c>
      <c r="K154" s="26">
        <f t="shared" si="21"/>
        <v>51450</v>
      </c>
    </row>
    <row r="155" spans="1:11" ht="13.2" customHeight="1" x14ac:dyDescent="0.25">
      <c r="A155" s="2"/>
      <c r="B155" s="20" t="s">
        <v>110</v>
      </c>
      <c r="C155" s="21" t="s">
        <v>2184</v>
      </c>
      <c r="D155" s="14"/>
      <c r="E155" s="22"/>
      <c r="F155" s="23"/>
      <c r="G155" s="23"/>
      <c r="H155" s="24" t="s">
        <v>203</v>
      </c>
      <c r="I155" s="36">
        <v>1</v>
      </c>
      <c r="J155" s="25">
        <f>J142</f>
        <v>56500</v>
      </c>
      <c r="K155" s="26">
        <f t="shared" si="21"/>
        <v>56500</v>
      </c>
    </row>
    <row r="156" spans="1:11" ht="13.2" customHeight="1" x14ac:dyDescent="0.25">
      <c r="A156" s="2"/>
      <c r="B156" s="20" t="s">
        <v>137</v>
      </c>
      <c r="C156" s="21" t="s">
        <v>585</v>
      </c>
      <c r="D156" s="14"/>
      <c r="E156" s="22"/>
      <c r="F156" s="23"/>
      <c r="G156" s="23"/>
      <c r="H156" s="24" t="s">
        <v>203</v>
      </c>
      <c r="I156" s="36">
        <v>5</v>
      </c>
      <c r="J156" s="25">
        <f t="shared" si="20"/>
        <v>3960</v>
      </c>
      <c r="K156" s="26">
        <f t="shared" si="21"/>
        <v>19800</v>
      </c>
    </row>
    <row r="157" spans="1:11" ht="13.2" customHeight="1" x14ac:dyDescent="0.25">
      <c r="A157" s="2"/>
      <c r="B157" s="20" t="s">
        <v>156</v>
      </c>
      <c r="C157" s="21" t="s">
        <v>586</v>
      </c>
      <c r="D157" s="14"/>
      <c r="E157" s="22"/>
      <c r="F157" s="23"/>
      <c r="G157" s="23"/>
      <c r="H157" s="24" t="s">
        <v>203</v>
      </c>
      <c r="I157" s="42">
        <v>5</v>
      </c>
      <c r="J157" s="25">
        <f t="shared" si="20"/>
        <v>3650</v>
      </c>
      <c r="K157" s="26">
        <f t="shared" si="21"/>
        <v>18250</v>
      </c>
    </row>
    <row r="158" spans="1:11" ht="13.2" customHeight="1" x14ac:dyDescent="0.25">
      <c r="A158" s="2"/>
      <c r="B158" s="20" t="s">
        <v>175</v>
      </c>
      <c r="C158" s="21" t="s">
        <v>2185</v>
      </c>
      <c r="D158" s="14"/>
      <c r="E158" s="22"/>
      <c r="F158" s="23"/>
      <c r="G158" s="23"/>
      <c r="H158" s="24" t="s">
        <v>203</v>
      </c>
      <c r="I158" s="36">
        <v>1</v>
      </c>
      <c r="J158" s="25">
        <f t="shared" si="20"/>
        <v>44500</v>
      </c>
      <c r="K158" s="26">
        <f t="shared" si="21"/>
        <v>44500</v>
      </c>
    </row>
    <row r="159" spans="1:11" ht="12.9" customHeight="1" x14ac:dyDescent="0.25">
      <c r="A159" s="6"/>
      <c r="B159" s="7"/>
      <c r="C159" s="8"/>
      <c r="D159" s="8"/>
      <c r="E159" s="8"/>
      <c r="F159" s="8"/>
      <c r="G159" s="9"/>
      <c r="H159" s="10" t="s">
        <v>715</v>
      </c>
      <c r="I159" s="11"/>
      <c r="J159" s="11"/>
      <c r="K159" s="27">
        <f>SUM(K151:K158)</f>
        <v>553500</v>
      </c>
    </row>
    <row r="160" spans="1:11" ht="12.9" customHeight="1" x14ac:dyDescent="0.25">
      <c r="A160" s="6"/>
      <c r="B160" s="5"/>
      <c r="C160" s="3"/>
      <c r="D160" s="3"/>
      <c r="E160" s="3"/>
      <c r="F160" s="3"/>
      <c r="G160" s="4"/>
      <c r="H160" s="12" t="s">
        <v>603</v>
      </c>
      <c r="I160" s="28">
        <f>I147</f>
        <v>0.15</v>
      </c>
      <c r="J160" s="13"/>
      <c r="K160" s="29">
        <f>I160*K159</f>
        <v>83025</v>
      </c>
    </row>
    <row r="161" spans="1:11" ht="12.9" customHeight="1" x14ac:dyDescent="0.25">
      <c r="A161" s="6"/>
      <c r="B161" s="5"/>
      <c r="C161" s="3"/>
      <c r="D161" s="3"/>
      <c r="E161" s="3"/>
      <c r="F161" s="3"/>
      <c r="G161" s="4"/>
      <c r="H161" s="12" t="s">
        <v>604</v>
      </c>
      <c r="I161" s="14"/>
      <c r="J161" s="14"/>
      <c r="K161" s="29">
        <f>SUM(K159:K160)</f>
        <v>636525</v>
      </c>
    </row>
    <row r="162" spans="1:11" ht="12.9" customHeight="1" thickBot="1" x14ac:dyDescent="0.3">
      <c r="A162" s="15"/>
      <c r="B162" s="16"/>
      <c r="C162" s="17"/>
      <c r="D162" s="17"/>
      <c r="E162" s="17"/>
      <c r="F162" s="17"/>
      <c r="G162" s="18"/>
      <c r="H162" s="46" t="s">
        <v>605</v>
      </c>
      <c r="I162" s="47"/>
      <c r="J162" s="47"/>
      <c r="K162" s="144">
        <f>ROUND(K161,-1)</f>
        <v>636530</v>
      </c>
    </row>
    <row r="163" spans="1:11" ht="14.1" customHeight="1" x14ac:dyDescent="0.25">
      <c r="A163" s="81">
        <v>13</v>
      </c>
      <c r="B163" s="676" t="s">
        <v>713</v>
      </c>
      <c r="C163" s="677"/>
      <c r="D163" s="137" t="s">
        <v>1170</v>
      </c>
      <c r="E163" s="138"/>
      <c r="F163" s="139"/>
      <c r="G163" s="139"/>
      <c r="H163" s="140"/>
      <c r="I163" s="141"/>
      <c r="J163" s="142"/>
      <c r="K163" s="143"/>
    </row>
    <row r="164" spans="1:11" ht="13.2" customHeight="1" x14ac:dyDescent="0.25">
      <c r="A164" s="2"/>
      <c r="B164" s="20" t="s">
        <v>4</v>
      </c>
      <c r="C164" s="21" t="s">
        <v>973</v>
      </c>
      <c r="D164" s="14"/>
      <c r="E164" s="22"/>
      <c r="F164" s="23"/>
      <c r="G164" s="23"/>
      <c r="H164" s="24" t="s">
        <v>235</v>
      </c>
      <c r="I164" s="41">
        <v>2</v>
      </c>
      <c r="J164" s="25">
        <f>'Harga Satuan Dasar mat'!G465</f>
        <v>258000</v>
      </c>
      <c r="K164" s="26">
        <f>I164*J164</f>
        <v>516000</v>
      </c>
    </row>
    <row r="165" spans="1:11" ht="13.2" customHeight="1" x14ac:dyDescent="0.25">
      <c r="A165" s="2"/>
      <c r="B165" s="20" t="s">
        <v>30</v>
      </c>
      <c r="C165" s="21" t="s">
        <v>2187</v>
      </c>
      <c r="D165" s="14"/>
      <c r="E165" s="22"/>
      <c r="F165" s="23"/>
      <c r="G165" s="23"/>
      <c r="H165" s="24" t="s">
        <v>264</v>
      </c>
      <c r="I165" s="61">
        <v>14</v>
      </c>
      <c r="J165" s="25">
        <f>'Harga Satuan Dasar mat'!G471</f>
        <v>110000</v>
      </c>
      <c r="K165" s="26">
        <f t="shared" ref="K165:K172" si="22">I165*J165</f>
        <v>1540000</v>
      </c>
    </row>
    <row r="166" spans="1:11" ht="13.2" customHeight="1" x14ac:dyDescent="0.25">
      <c r="A166" s="2"/>
      <c r="B166" s="20" t="s">
        <v>57</v>
      </c>
      <c r="C166" s="21" t="s">
        <v>974</v>
      </c>
      <c r="D166" s="14"/>
      <c r="E166" s="22"/>
      <c r="F166" s="23"/>
      <c r="G166" s="23"/>
      <c r="H166" s="24" t="s">
        <v>235</v>
      </c>
      <c r="I166" s="42">
        <v>1</v>
      </c>
      <c r="J166" s="25">
        <f>'Harga Satuan Dasar mat'!G278</f>
        <v>105000</v>
      </c>
      <c r="K166" s="26">
        <f t="shared" si="22"/>
        <v>105000</v>
      </c>
    </row>
    <row r="167" spans="1:11" ht="13.2" customHeight="1" x14ac:dyDescent="0.25">
      <c r="A167" s="2"/>
      <c r="B167" s="20" t="s">
        <v>83</v>
      </c>
      <c r="C167" s="21" t="s">
        <v>1175</v>
      </c>
      <c r="D167" s="14"/>
      <c r="E167" s="22"/>
      <c r="F167" s="23"/>
      <c r="G167" s="23"/>
      <c r="H167" s="24" t="s">
        <v>264</v>
      </c>
      <c r="I167" s="61">
        <f>0.8*5</f>
        <v>4</v>
      </c>
      <c r="J167" s="25">
        <f>'Harga Satuan Dasar mat'!G731</f>
        <v>14700</v>
      </c>
      <c r="K167" s="26">
        <f t="shared" si="22"/>
        <v>58800</v>
      </c>
    </row>
    <row r="168" spans="1:11" ht="13.2" customHeight="1" x14ac:dyDescent="0.25">
      <c r="A168" s="2"/>
      <c r="B168" s="20" t="s">
        <v>110</v>
      </c>
      <c r="C168" s="21" t="s">
        <v>975</v>
      </c>
      <c r="D168" s="14"/>
      <c r="E168" s="22"/>
      <c r="F168" s="23"/>
      <c r="G168" s="23"/>
      <c r="H168" s="24" t="s">
        <v>203</v>
      </c>
      <c r="I168" s="36">
        <v>2</v>
      </c>
      <c r="J168" s="25">
        <f>J155</f>
        <v>56500</v>
      </c>
      <c r="K168" s="26">
        <f t="shared" si="22"/>
        <v>113000</v>
      </c>
    </row>
    <row r="169" spans="1:11" ht="13.2" customHeight="1" x14ac:dyDescent="0.25">
      <c r="A169" s="2"/>
      <c r="B169" s="20" t="s">
        <v>137</v>
      </c>
      <c r="C169" s="21" t="s">
        <v>585</v>
      </c>
      <c r="D169" s="14"/>
      <c r="E169" s="22"/>
      <c r="F169" s="23"/>
      <c r="G169" s="23"/>
      <c r="H169" s="24" t="s">
        <v>203</v>
      </c>
      <c r="I169" s="36">
        <v>5</v>
      </c>
      <c r="J169" s="25">
        <f>'Harga Satuan Dasar mat'!G732</f>
        <v>3960</v>
      </c>
      <c r="K169" s="26">
        <f t="shared" si="22"/>
        <v>19800</v>
      </c>
    </row>
    <row r="170" spans="1:11" ht="13.2" customHeight="1" x14ac:dyDescent="0.25">
      <c r="A170" s="2"/>
      <c r="B170" s="20" t="s">
        <v>156</v>
      </c>
      <c r="C170" s="21" t="s">
        <v>586</v>
      </c>
      <c r="D170" s="14"/>
      <c r="E170" s="22"/>
      <c r="F170" s="23"/>
      <c r="G170" s="23"/>
      <c r="H170" s="24" t="s">
        <v>203</v>
      </c>
      <c r="I170" s="42">
        <v>5</v>
      </c>
      <c r="J170" s="25">
        <f>'Harga Satuan Dasar mat'!G733</f>
        <v>3650</v>
      </c>
      <c r="K170" s="26">
        <f t="shared" si="22"/>
        <v>18250</v>
      </c>
    </row>
    <row r="171" spans="1:11" ht="13.2" customHeight="1" x14ac:dyDescent="0.25">
      <c r="A171" s="2"/>
      <c r="B171" s="20" t="s">
        <v>175</v>
      </c>
      <c r="C171" s="21" t="s">
        <v>2188</v>
      </c>
      <c r="D171" s="14"/>
      <c r="E171" s="22"/>
      <c r="F171" s="23"/>
      <c r="G171" s="23"/>
      <c r="H171" s="24" t="s">
        <v>203</v>
      </c>
      <c r="I171" s="42">
        <v>3</v>
      </c>
      <c r="J171" s="25">
        <f>'Harga Satuan Dasar mat'!G688</f>
        <v>56000</v>
      </c>
      <c r="K171" s="26">
        <f t="shared" si="22"/>
        <v>168000</v>
      </c>
    </row>
    <row r="172" spans="1:11" ht="13.2" customHeight="1" x14ac:dyDescent="0.25">
      <c r="A172" s="2"/>
      <c r="B172" s="20" t="s">
        <v>177</v>
      </c>
      <c r="C172" s="21" t="s">
        <v>2189</v>
      </c>
      <c r="D172" s="14"/>
      <c r="E172" s="22"/>
      <c r="F172" s="23"/>
      <c r="G172" s="23"/>
      <c r="H172" s="24" t="s">
        <v>203</v>
      </c>
      <c r="I172" s="36">
        <v>2</v>
      </c>
      <c r="J172" s="25">
        <f>'Harga Satuan Dasar mat'!G629</f>
        <v>44500</v>
      </c>
      <c r="K172" s="26">
        <f t="shared" si="22"/>
        <v>89000</v>
      </c>
    </row>
    <row r="173" spans="1:11" ht="12.9" customHeight="1" x14ac:dyDescent="0.25">
      <c r="A173" s="6"/>
      <c r="B173" s="7"/>
      <c r="C173" s="8"/>
      <c r="D173" s="8"/>
      <c r="E173" s="8"/>
      <c r="F173" s="8"/>
      <c r="G173" s="9"/>
      <c r="H173" s="10" t="s">
        <v>715</v>
      </c>
      <c r="I173" s="11"/>
      <c r="J173" s="11"/>
      <c r="K173" s="27">
        <f>SUM(K164:K172)</f>
        <v>2627850</v>
      </c>
    </row>
    <row r="174" spans="1:11" ht="12.9" customHeight="1" x14ac:dyDescent="0.25">
      <c r="A174" s="6"/>
      <c r="B174" s="5"/>
      <c r="C174" s="3"/>
      <c r="D174" s="3"/>
      <c r="E174" s="3"/>
      <c r="F174" s="3"/>
      <c r="G174" s="4"/>
      <c r="H174" s="12" t="s">
        <v>603</v>
      </c>
      <c r="I174" s="28">
        <f>$K$3</f>
        <v>0.15</v>
      </c>
      <c r="J174" s="13"/>
      <c r="K174" s="29">
        <f>I174*K173</f>
        <v>394177.5</v>
      </c>
    </row>
    <row r="175" spans="1:11" ht="12.9" customHeight="1" x14ac:dyDescent="0.25">
      <c r="A175" s="6"/>
      <c r="B175" s="5"/>
      <c r="C175" s="3"/>
      <c r="D175" s="3"/>
      <c r="E175" s="3"/>
      <c r="F175" s="3"/>
      <c r="G175" s="4"/>
      <c r="H175" s="12" t="s">
        <v>604</v>
      </c>
      <c r="I175" s="14"/>
      <c r="J175" s="14"/>
      <c r="K175" s="29">
        <f>SUM(K173:K174)</f>
        <v>3022027.5</v>
      </c>
    </row>
    <row r="176" spans="1:11" ht="12.9" customHeight="1" thickBot="1" x14ac:dyDescent="0.3">
      <c r="A176" s="15"/>
      <c r="B176" s="16"/>
      <c r="C176" s="17"/>
      <c r="D176" s="17"/>
      <c r="E176" s="17"/>
      <c r="F176" s="17"/>
      <c r="G176" s="18"/>
      <c r="H176" s="46" t="s">
        <v>605</v>
      </c>
      <c r="I176" s="47"/>
      <c r="J176" s="47"/>
      <c r="K176" s="144">
        <f>ROUND(K175,-1)</f>
        <v>3022030</v>
      </c>
    </row>
    <row r="177" spans="1:11" ht="14.1" customHeight="1" x14ac:dyDescent="0.25">
      <c r="A177" s="81">
        <v>14</v>
      </c>
      <c r="B177" s="676" t="s">
        <v>713</v>
      </c>
      <c r="C177" s="677"/>
      <c r="D177" s="137" t="s">
        <v>1171</v>
      </c>
      <c r="E177" s="138"/>
      <c r="F177" s="139"/>
      <c r="G177" s="139"/>
      <c r="H177" s="140"/>
      <c r="I177" s="141"/>
      <c r="J177" s="142"/>
      <c r="K177" s="143"/>
    </row>
    <row r="178" spans="1:11" ht="13.2" customHeight="1" x14ac:dyDescent="0.25">
      <c r="A178" s="2"/>
      <c r="B178" s="20" t="s">
        <v>4</v>
      </c>
      <c r="C178" s="21" t="s">
        <v>973</v>
      </c>
      <c r="D178" s="14"/>
      <c r="E178" s="22"/>
      <c r="F178" s="23"/>
      <c r="G178" s="23"/>
      <c r="H178" s="24" t="s">
        <v>235</v>
      </c>
      <c r="I178" s="45">
        <v>2</v>
      </c>
      <c r="J178" s="25">
        <f>J164</f>
        <v>258000</v>
      </c>
      <c r="K178" s="26">
        <f>I178*J178</f>
        <v>516000</v>
      </c>
    </row>
    <row r="179" spans="1:11" ht="13.2" customHeight="1" x14ac:dyDescent="0.25">
      <c r="A179" s="2"/>
      <c r="B179" s="20" t="s">
        <v>30</v>
      </c>
      <c r="C179" s="21" t="s">
        <v>2187</v>
      </c>
      <c r="D179" s="14"/>
      <c r="E179" s="22"/>
      <c r="F179" s="23"/>
      <c r="G179" s="23"/>
      <c r="H179" s="24" t="s">
        <v>264</v>
      </c>
      <c r="I179" s="61">
        <v>13</v>
      </c>
      <c r="J179" s="25">
        <f t="shared" ref="J179:J185" si="23">J165</f>
        <v>110000</v>
      </c>
      <c r="K179" s="26">
        <f t="shared" ref="K179:K186" si="24">I179*J179</f>
        <v>1430000</v>
      </c>
    </row>
    <row r="180" spans="1:11" ht="13.2" customHeight="1" x14ac:dyDescent="0.25">
      <c r="A180" s="2"/>
      <c r="B180" s="20" t="s">
        <v>57</v>
      </c>
      <c r="C180" s="21" t="s">
        <v>974</v>
      </c>
      <c r="D180" s="14"/>
      <c r="E180" s="22"/>
      <c r="F180" s="23"/>
      <c r="G180" s="23"/>
      <c r="H180" s="24" t="s">
        <v>235</v>
      </c>
      <c r="I180" s="42">
        <v>1</v>
      </c>
      <c r="J180" s="25">
        <f t="shared" si="23"/>
        <v>105000</v>
      </c>
      <c r="K180" s="26">
        <f t="shared" si="24"/>
        <v>105000</v>
      </c>
    </row>
    <row r="181" spans="1:11" ht="13.2" customHeight="1" x14ac:dyDescent="0.25">
      <c r="A181" s="2"/>
      <c r="B181" s="20" t="s">
        <v>83</v>
      </c>
      <c r="C181" s="21" t="s">
        <v>1175</v>
      </c>
      <c r="D181" s="14"/>
      <c r="E181" s="22"/>
      <c r="F181" s="23"/>
      <c r="G181" s="23"/>
      <c r="H181" s="24" t="s">
        <v>264</v>
      </c>
      <c r="I181" s="61">
        <f>0.8*5</f>
        <v>4</v>
      </c>
      <c r="J181" s="25">
        <f t="shared" si="23"/>
        <v>14700</v>
      </c>
      <c r="K181" s="26">
        <f t="shared" si="24"/>
        <v>58800</v>
      </c>
    </row>
    <row r="182" spans="1:11" ht="13.2" customHeight="1" x14ac:dyDescent="0.25">
      <c r="A182" s="2"/>
      <c r="B182" s="20" t="s">
        <v>110</v>
      </c>
      <c r="C182" s="21" t="s">
        <v>2180</v>
      </c>
      <c r="D182" s="14"/>
      <c r="E182" s="22"/>
      <c r="F182" s="23"/>
      <c r="G182" s="23"/>
      <c r="H182" s="24" t="s">
        <v>203</v>
      </c>
      <c r="I182" s="36">
        <v>2</v>
      </c>
      <c r="J182" s="25">
        <f t="shared" si="23"/>
        <v>56500</v>
      </c>
      <c r="K182" s="26">
        <f t="shared" si="24"/>
        <v>113000</v>
      </c>
    </row>
    <row r="183" spans="1:11" ht="13.2" customHeight="1" x14ac:dyDescent="0.25">
      <c r="A183" s="2"/>
      <c r="B183" s="20" t="s">
        <v>137</v>
      </c>
      <c r="C183" s="21" t="s">
        <v>585</v>
      </c>
      <c r="D183" s="14"/>
      <c r="E183" s="22"/>
      <c r="F183" s="23"/>
      <c r="G183" s="23"/>
      <c r="H183" s="24" t="s">
        <v>203</v>
      </c>
      <c r="I183" s="36">
        <v>5</v>
      </c>
      <c r="J183" s="25">
        <f t="shared" si="23"/>
        <v>3960</v>
      </c>
      <c r="K183" s="26">
        <f t="shared" si="24"/>
        <v>19800</v>
      </c>
    </row>
    <row r="184" spans="1:11" ht="13.2" customHeight="1" x14ac:dyDescent="0.25">
      <c r="A184" s="2"/>
      <c r="B184" s="20" t="s">
        <v>156</v>
      </c>
      <c r="C184" s="21" t="s">
        <v>586</v>
      </c>
      <c r="D184" s="14"/>
      <c r="E184" s="22"/>
      <c r="F184" s="23"/>
      <c r="G184" s="23"/>
      <c r="H184" s="24" t="s">
        <v>203</v>
      </c>
      <c r="I184" s="42">
        <v>5</v>
      </c>
      <c r="J184" s="25">
        <f t="shared" si="23"/>
        <v>3650</v>
      </c>
      <c r="K184" s="26">
        <f t="shared" si="24"/>
        <v>18250</v>
      </c>
    </row>
    <row r="185" spans="1:11" ht="13.2" customHeight="1" x14ac:dyDescent="0.25">
      <c r="A185" s="2"/>
      <c r="B185" s="20" t="s">
        <v>175</v>
      </c>
      <c r="C185" s="21" t="s">
        <v>2188</v>
      </c>
      <c r="D185" s="14"/>
      <c r="E185" s="22"/>
      <c r="F185" s="23"/>
      <c r="G185" s="23"/>
      <c r="H185" s="24" t="s">
        <v>203</v>
      </c>
      <c r="I185" s="42">
        <v>3</v>
      </c>
      <c r="J185" s="25">
        <f t="shared" si="23"/>
        <v>56000</v>
      </c>
      <c r="K185" s="26">
        <f t="shared" si="24"/>
        <v>168000</v>
      </c>
    </row>
    <row r="186" spans="1:11" ht="13.2" customHeight="1" x14ac:dyDescent="0.25">
      <c r="A186" s="2"/>
      <c r="B186" s="20" t="s">
        <v>177</v>
      </c>
      <c r="C186" s="21" t="s">
        <v>2185</v>
      </c>
      <c r="D186" s="14"/>
      <c r="E186" s="22"/>
      <c r="F186" s="23"/>
      <c r="G186" s="23"/>
      <c r="H186" s="24" t="s">
        <v>203</v>
      </c>
      <c r="I186" s="36">
        <v>2</v>
      </c>
      <c r="J186" s="25">
        <f>J172</f>
        <v>44500</v>
      </c>
      <c r="K186" s="26">
        <f t="shared" si="24"/>
        <v>89000</v>
      </c>
    </row>
    <row r="187" spans="1:11" ht="12.9" customHeight="1" x14ac:dyDescent="0.25">
      <c r="A187" s="6"/>
      <c r="B187" s="7"/>
      <c r="C187" s="8"/>
      <c r="D187" s="8"/>
      <c r="E187" s="8"/>
      <c r="F187" s="8"/>
      <c r="G187" s="9"/>
      <c r="H187" s="10" t="s">
        <v>715</v>
      </c>
      <c r="I187" s="11"/>
      <c r="J187" s="11"/>
      <c r="K187" s="27">
        <f>SUM(K178:K186)</f>
        <v>2517850</v>
      </c>
    </row>
    <row r="188" spans="1:11" ht="12.9" customHeight="1" x14ac:dyDescent="0.25">
      <c r="A188" s="6"/>
      <c r="B188" s="5"/>
      <c r="C188" s="3"/>
      <c r="D188" s="3"/>
      <c r="E188" s="3"/>
      <c r="F188" s="3"/>
      <c r="G188" s="4"/>
      <c r="H188" s="12" t="s">
        <v>603</v>
      </c>
      <c r="I188" s="28">
        <f>$K$3</f>
        <v>0.15</v>
      </c>
      <c r="J188" s="13"/>
      <c r="K188" s="29">
        <f>I188*K187</f>
        <v>377677.5</v>
      </c>
    </row>
    <row r="189" spans="1:11" ht="12.9" customHeight="1" x14ac:dyDescent="0.25">
      <c r="A189" s="6"/>
      <c r="B189" s="5"/>
      <c r="C189" s="3"/>
      <c r="D189" s="3"/>
      <c r="E189" s="3"/>
      <c r="F189" s="3"/>
      <c r="G189" s="4"/>
      <c r="H189" s="12" t="s">
        <v>604</v>
      </c>
      <c r="I189" s="14"/>
      <c r="J189" s="14"/>
      <c r="K189" s="29">
        <f>SUM(K187:K188)</f>
        <v>2895527.5</v>
      </c>
    </row>
    <row r="190" spans="1:11" ht="12.9" customHeight="1" thickBot="1" x14ac:dyDescent="0.3">
      <c r="A190" s="15"/>
      <c r="B190" s="16"/>
      <c r="C190" s="17"/>
      <c r="D190" s="17"/>
      <c r="E190" s="17"/>
      <c r="F190" s="17"/>
      <c r="G190" s="18"/>
      <c r="H190" s="46" t="s">
        <v>605</v>
      </c>
      <c r="I190" s="47"/>
      <c r="J190" s="47"/>
      <c r="K190" s="144">
        <f>ROUND(K189,-1)</f>
        <v>2895530</v>
      </c>
    </row>
    <row r="191" spans="1:11" ht="14.1" customHeight="1" x14ac:dyDescent="0.25">
      <c r="A191" s="81">
        <v>15</v>
      </c>
      <c r="B191" s="676" t="s">
        <v>713</v>
      </c>
      <c r="C191" s="677"/>
      <c r="D191" s="137" t="s">
        <v>1172</v>
      </c>
      <c r="E191" s="138"/>
      <c r="F191" s="139"/>
      <c r="G191" s="139"/>
      <c r="H191" s="140"/>
      <c r="I191" s="141"/>
      <c r="J191" s="142"/>
      <c r="K191" s="143"/>
    </row>
    <row r="192" spans="1:11" ht="13.2" customHeight="1" x14ac:dyDescent="0.25">
      <c r="A192" s="2"/>
      <c r="B192" s="20" t="s">
        <v>4</v>
      </c>
      <c r="C192" s="21" t="s">
        <v>973</v>
      </c>
      <c r="D192" s="14"/>
      <c r="E192" s="22"/>
      <c r="F192" s="23"/>
      <c r="G192" s="23"/>
      <c r="H192" s="24" t="s">
        <v>235</v>
      </c>
      <c r="I192" s="45">
        <v>2</v>
      </c>
      <c r="J192" s="25">
        <f>J178</f>
        <v>258000</v>
      </c>
      <c r="K192" s="26">
        <f>I192*J192</f>
        <v>516000</v>
      </c>
    </row>
    <row r="193" spans="1:11" ht="13.2" customHeight="1" x14ac:dyDescent="0.25">
      <c r="A193" s="2"/>
      <c r="B193" s="20" t="s">
        <v>30</v>
      </c>
      <c r="C193" s="21" t="s">
        <v>2187</v>
      </c>
      <c r="D193" s="14"/>
      <c r="E193" s="22"/>
      <c r="F193" s="23"/>
      <c r="G193" s="23"/>
      <c r="H193" s="24" t="s">
        <v>264</v>
      </c>
      <c r="I193" s="61">
        <v>12.5</v>
      </c>
      <c r="J193" s="25">
        <f t="shared" ref="J193:J199" si="25">J179</f>
        <v>110000</v>
      </c>
      <c r="K193" s="26">
        <f t="shared" ref="K193:K200" si="26">I193*J193</f>
        <v>1375000</v>
      </c>
    </row>
    <row r="194" spans="1:11" ht="13.2" customHeight="1" x14ac:dyDescent="0.25">
      <c r="A194" s="2"/>
      <c r="B194" s="20" t="s">
        <v>57</v>
      </c>
      <c r="C194" s="21" t="s">
        <v>974</v>
      </c>
      <c r="D194" s="14"/>
      <c r="E194" s="22"/>
      <c r="F194" s="23"/>
      <c r="G194" s="23"/>
      <c r="H194" s="24" t="s">
        <v>235</v>
      </c>
      <c r="I194" s="42">
        <v>1</v>
      </c>
      <c r="J194" s="25">
        <f t="shared" si="25"/>
        <v>105000</v>
      </c>
      <c r="K194" s="26">
        <f t="shared" si="26"/>
        <v>105000</v>
      </c>
    </row>
    <row r="195" spans="1:11" ht="13.2" customHeight="1" x14ac:dyDescent="0.25">
      <c r="A195" s="2"/>
      <c r="B195" s="20" t="s">
        <v>83</v>
      </c>
      <c r="C195" s="21" t="s">
        <v>1175</v>
      </c>
      <c r="D195" s="14"/>
      <c r="E195" s="22"/>
      <c r="F195" s="23"/>
      <c r="G195" s="23"/>
      <c r="H195" s="24" t="s">
        <v>264</v>
      </c>
      <c r="I195" s="61">
        <f>0.8*5</f>
        <v>4</v>
      </c>
      <c r="J195" s="25">
        <f t="shared" si="25"/>
        <v>14700</v>
      </c>
      <c r="K195" s="26">
        <f t="shared" si="26"/>
        <v>58800</v>
      </c>
    </row>
    <row r="196" spans="1:11" ht="13.2" customHeight="1" x14ac:dyDescent="0.25">
      <c r="A196" s="2"/>
      <c r="B196" s="20" t="s">
        <v>110</v>
      </c>
      <c r="C196" s="21" t="s">
        <v>2180</v>
      </c>
      <c r="D196" s="14"/>
      <c r="E196" s="22"/>
      <c r="F196" s="23"/>
      <c r="G196" s="23"/>
      <c r="H196" s="24" t="s">
        <v>203</v>
      </c>
      <c r="I196" s="36">
        <v>2</v>
      </c>
      <c r="J196" s="25">
        <f>J182</f>
        <v>56500</v>
      </c>
      <c r="K196" s="26">
        <f t="shared" si="26"/>
        <v>113000</v>
      </c>
    </row>
    <row r="197" spans="1:11" ht="13.2" customHeight="1" x14ac:dyDescent="0.25">
      <c r="A197" s="2"/>
      <c r="B197" s="20" t="s">
        <v>137</v>
      </c>
      <c r="C197" s="21" t="s">
        <v>585</v>
      </c>
      <c r="D197" s="14"/>
      <c r="E197" s="22"/>
      <c r="F197" s="23"/>
      <c r="G197" s="23"/>
      <c r="H197" s="24" t="s">
        <v>203</v>
      </c>
      <c r="I197" s="36">
        <v>5</v>
      </c>
      <c r="J197" s="25">
        <f t="shared" si="25"/>
        <v>3960</v>
      </c>
      <c r="K197" s="26">
        <f t="shared" si="26"/>
        <v>19800</v>
      </c>
    </row>
    <row r="198" spans="1:11" ht="13.2" customHeight="1" x14ac:dyDescent="0.25">
      <c r="A198" s="2"/>
      <c r="B198" s="20" t="s">
        <v>156</v>
      </c>
      <c r="C198" s="21" t="s">
        <v>586</v>
      </c>
      <c r="D198" s="14"/>
      <c r="E198" s="22"/>
      <c r="F198" s="23"/>
      <c r="G198" s="23"/>
      <c r="H198" s="24" t="s">
        <v>203</v>
      </c>
      <c r="I198" s="42">
        <v>5</v>
      </c>
      <c r="J198" s="25">
        <f t="shared" si="25"/>
        <v>3650</v>
      </c>
      <c r="K198" s="26">
        <f t="shared" si="26"/>
        <v>18250</v>
      </c>
    </row>
    <row r="199" spans="1:11" ht="13.2" customHeight="1" x14ac:dyDescent="0.25">
      <c r="A199" s="2"/>
      <c r="B199" s="20" t="s">
        <v>175</v>
      </c>
      <c r="C199" s="21" t="s">
        <v>2188</v>
      </c>
      <c r="D199" s="14"/>
      <c r="E199" s="22"/>
      <c r="F199" s="23"/>
      <c r="G199" s="23"/>
      <c r="H199" s="24" t="s">
        <v>203</v>
      </c>
      <c r="I199" s="42">
        <v>3</v>
      </c>
      <c r="J199" s="25">
        <f t="shared" si="25"/>
        <v>56000</v>
      </c>
      <c r="K199" s="26">
        <f t="shared" si="26"/>
        <v>168000</v>
      </c>
    </row>
    <row r="200" spans="1:11" ht="13.2" customHeight="1" x14ac:dyDescent="0.25">
      <c r="A200" s="2"/>
      <c r="B200" s="20" t="s">
        <v>177</v>
      </c>
      <c r="C200" s="21" t="s">
        <v>2185</v>
      </c>
      <c r="D200" s="14"/>
      <c r="E200" s="22"/>
      <c r="F200" s="23"/>
      <c r="G200" s="23"/>
      <c r="H200" s="24" t="s">
        <v>203</v>
      </c>
      <c r="I200" s="36">
        <v>2</v>
      </c>
      <c r="J200" s="25">
        <f>J186</f>
        <v>44500</v>
      </c>
      <c r="K200" s="26">
        <f t="shared" si="26"/>
        <v>89000</v>
      </c>
    </row>
    <row r="201" spans="1:11" ht="12.9" customHeight="1" x14ac:dyDescent="0.25">
      <c r="A201" s="6"/>
      <c r="B201" s="7"/>
      <c r="C201" s="8"/>
      <c r="D201" s="8"/>
      <c r="E201" s="8"/>
      <c r="F201" s="8"/>
      <c r="G201" s="9"/>
      <c r="H201" s="10" t="s">
        <v>715</v>
      </c>
      <c r="I201" s="11"/>
      <c r="J201" s="11"/>
      <c r="K201" s="27">
        <f>SUM(K192:K200)</f>
        <v>2462850</v>
      </c>
    </row>
    <row r="202" spans="1:11" ht="12.9" customHeight="1" x14ac:dyDescent="0.25">
      <c r="A202" s="6"/>
      <c r="B202" s="5"/>
      <c r="C202" s="3"/>
      <c r="D202" s="3"/>
      <c r="E202" s="3"/>
      <c r="F202" s="3"/>
      <c r="G202" s="4"/>
      <c r="H202" s="12" t="s">
        <v>603</v>
      </c>
      <c r="I202" s="28">
        <f>$K$3</f>
        <v>0.15</v>
      </c>
      <c r="J202" s="13"/>
      <c r="K202" s="29">
        <f>I202*K201</f>
        <v>369427.5</v>
      </c>
    </row>
    <row r="203" spans="1:11" ht="12.9" customHeight="1" x14ac:dyDescent="0.25">
      <c r="A203" s="6"/>
      <c r="B203" s="5"/>
      <c r="C203" s="3"/>
      <c r="D203" s="3"/>
      <c r="E203" s="3"/>
      <c r="F203" s="3"/>
      <c r="G203" s="4"/>
      <c r="H203" s="12" t="s">
        <v>604</v>
      </c>
      <c r="I203" s="14"/>
      <c r="J203" s="14"/>
      <c r="K203" s="29">
        <f>SUM(K201:K202)</f>
        <v>2832277.5</v>
      </c>
    </row>
    <row r="204" spans="1:11" ht="12.9" customHeight="1" thickBot="1" x14ac:dyDescent="0.3">
      <c r="A204" s="15"/>
      <c r="B204" s="16"/>
      <c r="C204" s="17"/>
      <c r="D204" s="17"/>
      <c r="E204" s="17"/>
      <c r="F204" s="17"/>
      <c r="G204" s="18"/>
      <c r="H204" s="46" t="s">
        <v>605</v>
      </c>
      <c r="I204" s="47"/>
      <c r="J204" s="47"/>
      <c r="K204" s="144">
        <f>ROUND(K203,-1)</f>
        <v>2832280</v>
      </c>
    </row>
    <row r="205" spans="1:11" ht="14.1" customHeight="1" x14ac:dyDescent="0.25">
      <c r="A205" s="81">
        <v>16</v>
      </c>
      <c r="B205" s="676" t="s">
        <v>713</v>
      </c>
      <c r="C205" s="677"/>
      <c r="D205" s="137" t="s">
        <v>1173</v>
      </c>
      <c r="E205" s="138"/>
      <c r="F205" s="139"/>
      <c r="G205" s="139"/>
      <c r="H205" s="140"/>
      <c r="I205" s="141"/>
      <c r="J205" s="142"/>
      <c r="K205" s="143"/>
    </row>
    <row r="206" spans="1:11" ht="13.2" customHeight="1" x14ac:dyDescent="0.25">
      <c r="A206" s="2"/>
      <c r="B206" s="20" t="s">
        <v>4</v>
      </c>
      <c r="C206" s="21" t="s">
        <v>973</v>
      </c>
      <c r="D206" s="14"/>
      <c r="E206" s="22"/>
      <c r="F206" s="23"/>
      <c r="G206" s="23"/>
      <c r="H206" s="24" t="s">
        <v>235</v>
      </c>
      <c r="I206" s="41">
        <v>2</v>
      </c>
      <c r="J206" s="25">
        <f t="shared" ref="J206:J213" si="27">J192</f>
        <v>258000</v>
      </c>
      <c r="K206" s="26">
        <f>I206*J206</f>
        <v>516000</v>
      </c>
    </row>
    <row r="207" spans="1:11" ht="13.2" customHeight="1" x14ac:dyDescent="0.25">
      <c r="A207" s="2"/>
      <c r="B207" s="20" t="s">
        <v>30</v>
      </c>
      <c r="C207" s="21" t="s">
        <v>2187</v>
      </c>
      <c r="D207" s="14"/>
      <c r="E207" s="22"/>
      <c r="F207" s="23"/>
      <c r="G207" s="23"/>
      <c r="H207" s="24" t="s">
        <v>264</v>
      </c>
      <c r="I207" s="61">
        <v>14</v>
      </c>
      <c r="J207" s="25">
        <f t="shared" si="27"/>
        <v>110000</v>
      </c>
      <c r="K207" s="26">
        <f t="shared" ref="K207:K214" si="28">I207*J207</f>
        <v>1540000</v>
      </c>
    </row>
    <row r="208" spans="1:11" ht="13.2" customHeight="1" x14ac:dyDescent="0.25">
      <c r="A208" s="2"/>
      <c r="B208" s="20" t="s">
        <v>57</v>
      </c>
      <c r="C208" s="21" t="s">
        <v>974</v>
      </c>
      <c r="D208" s="14"/>
      <c r="E208" s="22"/>
      <c r="F208" s="23"/>
      <c r="G208" s="23"/>
      <c r="H208" s="24" t="s">
        <v>235</v>
      </c>
      <c r="I208" s="42">
        <v>1</v>
      </c>
      <c r="J208" s="25">
        <f t="shared" si="27"/>
        <v>105000</v>
      </c>
      <c r="K208" s="26">
        <f t="shared" si="28"/>
        <v>105000</v>
      </c>
    </row>
    <row r="209" spans="1:11" ht="13.2" customHeight="1" x14ac:dyDescent="0.25">
      <c r="A209" s="2"/>
      <c r="B209" s="20" t="s">
        <v>83</v>
      </c>
      <c r="C209" s="21" t="s">
        <v>1175</v>
      </c>
      <c r="D209" s="14"/>
      <c r="E209" s="22"/>
      <c r="F209" s="23"/>
      <c r="G209" s="23"/>
      <c r="H209" s="24" t="s">
        <v>264</v>
      </c>
      <c r="I209" s="61">
        <f>0.8*5</f>
        <v>4</v>
      </c>
      <c r="J209" s="25">
        <f t="shared" si="27"/>
        <v>14700</v>
      </c>
      <c r="K209" s="26">
        <f t="shared" si="28"/>
        <v>58800</v>
      </c>
    </row>
    <row r="210" spans="1:11" ht="13.2" customHeight="1" x14ac:dyDescent="0.25">
      <c r="A210" s="2"/>
      <c r="B210" s="20" t="s">
        <v>110</v>
      </c>
      <c r="C210" s="21" t="s">
        <v>975</v>
      </c>
      <c r="D210" s="14"/>
      <c r="E210" s="22"/>
      <c r="F210" s="23"/>
      <c r="G210" s="23"/>
      <c r="H210" s="24" t="s">
        <v>203</v>
      </c>
      <c r="I210" s="36">
        <v>2</v>
      </c>
      <c r="J210" s="25">
        <f t="shared" si="27"/>
        <v>56500</v>
      </c>
      <c r="K210" s="26">
        <f t="shared" si="28"/>
        <v>113000</v>
      </c>
    </row>
    <row r="211" spans="1:11" ht="13.2" customHeight="1" x14ac:dyDescent="0.25">
      <c r="A211" s="2"/>
      <c r="B211" s="20" t="s">
        <v>137</v>
      </c>
      <c r="C211" s="21" t="s">
        <v>585</v>
      </c>
      <c r="D211" s="14"/>
      <c r="E211" s="22"/>
      <c r="F211" s="23"/>
      <c r="G211" s="23"/>
      <c r="H211" s="24" t="s">
        <v>203</v>
      </c>
      <c r="I211" s="36">
        <v>5</v>
      </c>
      <c r="J211" s="25">
        <f t="shared" si="27"/>
        <v>3960</v>
      </c>
      <c r="K211" s="26">
        <f t="shared" si="28"/>
        <v>19800</v>
      </c>
    </row>
    <row r="212" spans="1:11" ht="13.2" customHeight="1" x14ac:dyDescent="0.25">
      <c r="A212" s="2"/>
      <c r="B212" s="20" t="s">
        <v>156</v>
      </c>
      <c r="C212" s="21" t="s">
        <v>586</v>
      </c>
      <c r="D212" s="14"/>
      <c r="E212" s="22"/>
      <c r="F212" s="23"/>
      <c r="G212" s="23"/>
      <c r="H212" s="24" t="s">
        <v>203</v>
      </c>
      <c r="I212" s="42">
        <v>5</v>
      </c>
      <c r="J212" s="25">
        <f t="shared" si="27"/>
        <v>3650</v>
      </c>
      <c r="K212" s="26">
        <f t="shared" si="28"/>
        <v>18250</v>
      </c>
    </row>
    <row r="213" spans="1:11" ht="13.2" customHeight="1" x14ac:dyDescent="0.25">
      <c r="A213" s="2"/>
      <c r="B213" s="20" t="s">
        <v>175</v>
      </c>
      <c r="C213" s="21" t="s">
        <v>2188</v>
      </c>
      <c r="D213" s="14"/>
      <c r="E213" s="22"/>
      <c r="F213" s="23"/>
      <c r="G213" s="23"/>
      <c r="H213" s="24" t="s">
        <v>203</v>
      </c>
      <c r="I213" s="42">
        <v>3</v>
      </c>
      <c r="J213" s="25">
        <f t="shared" si="27"/>
        <v>56000</v>
      </c>
      <c r="K213" s="26">
        <f t="shared" si="28"/>
        <v>168000</v>
      </c>
    </row>
    <row r="214" spans="1:11" ht="13.2" customHeight="1" x14ac:dyDescent="0.25">
      <c r="A214" s="2"/>
      <c r="B214" s="20" t="s">
        <v>177</v>
      </c>
      <c r="C214" s="21" t="s">
        <v>2189</v>
      </c>
      <c r="D214" s="14"/>
      <c r="E214" s="22"/>
      <c r="F214" s="23"/>
      <c r="G214" s="23"/>
      <c r="H214" s="24" t="s">
        <v>203</v>
      </c>
      <c r="I214" s="36">
        <v>2</v>
      </c>
      <c r="J214" s="25">
        <f>J200</f>
        <v>44500</v>
      </c>
      <c r="K214" s="26">
        <f t="shared" si="28"/>
        <v>89000</v>
      </c>
    </row>
    <row r="215" spans="1:11" ht="12.9" customHeight="1" x14ac:dyDescent="0.25">
      <c r="A215" s="6"/>
      <c r="B215" s="7"/>
      <c r="C215" s="8"/>
      <c r="D215" s="8"/>
      <c r="E215" s="8"/>
      <c r="F215" s="8"/>
      <c r="G215" s="9"/>
      <c r="H215" s="10" t="s">
        <v>715</v>
      </c>
      <c r="I215" s="11"/>
      <c r="J215" s="11"/>
      <c r="K215" s="27">
        <f>SUM(K206:K214)</f>
        <v>2627850</v>
      </c>
    </row>
    <row r="216" spans="1:11" ht="12.9" customHeight="1" x14ac:dyDescent="0.25">
      <c r="A216" s="6"/>
      <c r="B216" s="5"/>
      <c r="C216" s="3"/>
      <c r="D216" s="3"/>
      <c r="E216" s="3"/>
      <c r="F216" s="3"/>
      <c r="G216" s="4"/>
      <c r="H216" s="12" t="s">
        <v>603</v>
      </c>
      <c r="I216" s="28">
        <f>$K$3</f>
        <v>0.15</v>
      </c>
      <c r="J216" s="13"/>
      <c r="K216" s="29">
        <f>I216*K215</f>
        <v>394177.5</v>
      </c>
    </row>
    <row r="217" spans="1:11" ht="12.9" customHeight="1" x14ac:dyDescent="0.25">
      <c r="A217" s="6"/>
      <c r="B217" s="5"/>
      <c r="C217" s="3"/>
      <c r="D217" s="3"/>
      <c r="E217" s="3"/>
      <c r="F217" s="3"/>
      <c r="G217" s="4"/>
      <c r="H217" s="12" t="s">
        <v>604</v>
      </c>
      <c r="I217" s="14"/>
      <c r="J217" s="14"/>
      <c r="K217" s="29">
        <f>SUM(K215:K216)</f>
        <v>3022027.5</v>
      </c>
    </row>
    <row r="218" spans="1:11" ht="12.9" customHeight="1" thickBot="1" x14ac:dyDescent="0.3">
      <c r="A218" s="15"/>
      <c r="B218" s="16"/>
      <c r="C218" s="17"/>
      <c r="D218" s="17"/>
      <c r="E218" s="17"/>
      <c r="F218" s="17"/>
      <c r="G218" s="18"/>
      <c r="H218" s="46" t="s">
        <v>605</v>
      </c>
      <c r="I218" s="47"/>
      <c r="J218" s="47"/>
      <c r="K218" s="144">
        <f>ROUND(K217,-1)</f>
        <v>3022030</v>
      </c>
    </row>
    <row r="219" spans="1:11" ht="14.1" customHeight="1" x14ac:dyDescent="0.25">
      <c r="A219" s="81">
        <v>17</v>
      </c>
      <c r="B219" s="676" t="s">
        <v>713</v>
      </c>
      <c r="C219" s="677"/>
      <c r="D219" s="137" t="s">
        <v>1174</v>
      </c>
      <c r="E219" s="138"/>
      <c r="F219" s="139"/>
      <c r="G219" s="139"/>
      <c r="H219" s="140"/>
      <c r="I219" s="141"/>
      <c r="J219" s="142"/>
      <c r="K219" s="143"/>
    </row>
    <row r="220" spans="1:11" ht="13.2" customHeight="1" x14ac:dyDescent="0.25">
      <c r="A220" s="2"/>
      <c r="B220" s="20" t="s">
        <v>4</v>
      </c>
      <c r="C220" s="21" t="s">
        <v>973</v>
      </c>
      <c r="D220" s="14"/>
      <c r="E220" s="22"/>
      <c r="F220" s="23"/>
      <c r="G220" s="23"/>
      <c r="H220" s="24" t="s">
        <v>235</v>
      </c>
      <c r="I220" s="41">
        <v>2</v>
      </c>
      <c r="J220" s="25">
        <f>J206</f>
        <v>258000</v>
      </c>
      <c r="K220" s="26">
        <f>I220*J220</f>
        <v>516000</v>
      </c>
    </row>
    <row r="221" spans="1:11" ht="13.2" customHeight="1" x14ac:dyDescent="0.25">
      <c r="A221" s="2"/>
      <c r="B221" s="20" t="s">
        <v>30</v>
      </c>
      <c r="C221" s="21" t="s">
        <v>2187</v>
      </c>
      <c r="D221" s="14"/>
      <c r="E221" s="22"/>
      <c r="F221" s="23"/>
      <c r="G221" s="23"/>
      <c r="H221" s="24" t="s">
        <v>264</v>
      </c>
      <c r="I221" s="61">
        <v>13</v>
      </c>
      <c r="J221" s="25">
        <f t="shared" ref="J221:J227" si="29">J207</f>
        <v>110000</v>
      </c>
      <c r="K221" s="26">
        <f t="shared" ref="K221:K228" si="30">I221*J221</f>
        <v>1430000</v>
      </c>
    </row>
    <row r="222" spans="1:11" ht="13.2" customHeight="1" x14ac:dyDescent="0.25">
      <c r="A222" s="2"/>
      <c r="B222" s="20" t="s">
        <v>57</v>
      </c>
      <c r="C222" s="21" t="s">
        <v>974</v>
      </c>
      <c r="D222" s="14"/>
      <c r="E222" s="22"/>
      <c r="F222" s="23"/>
      <c r="G222" s="23"/>
      <c r="H222" s="24" t="s">
        <v>235</v>
      </c>
      <c r="I222" s="42">
        <v>1</v>
      </c>
      <c r="J222" s="25">
        <f t="shared" si="29"/>
        <v>105000</v>
      </c>
      <c r="K222" s="26">
        <f t="shared" si="30"/>
        <v>105000</v>
      </c>
    </row>
    <row r="223" spans="1:11" ht="13.2" customHeight="1" x14ac:dyDescent="0.25">
      <c r="A223" s="2"/>
      <c r="B223" s="20" t="s">
        <v>83</v>
      </c>
      <c r="C223" s="21" t="s">
        <v>1175</v>
      </c>
      <c r="D223" s="14"/>
      <c r="E223" s="22"/>
      <c r="F223" s="23"/>
      <c r="G223" s="23"/>
      <c r="H223" s="24" t="s">
        <v>264</v>
      </c>
      <c r="I223" s="61">
        <v>4</v>
      </c>
      <c r="J223" s="25">
        <f t="shared" si="29"/>
        <v>14700</v>
      </c>
      <c r="K223" s="26">
        <f t="shared" si="30"/>
        <v>58800</v>
      </c>
    </row>
    <row r="224" spans="1:11" ht="13.2" customHeight="1" x14ac:dyDescent="0.25">
      <c r="A224" s="2"/>
      <c r="B224" s="20" t="s">
        <v>110</v>
      </c>
      <c r="C224" s="21" t="s">
        <v>2180</v>
      </c>
      <c r="D224" s="14"/>
      <c r="E224" s="22"/>
      <c r="F224" s="23"/>
      <c r="G224" s="23"/>
      <c r="H224" s="24" t="s">
        <v>203</v>
      </c>
      <c r="I224" s="36">
        <v>2</v>
      </c>
      <c r="J224" s="25">
        <f>J210</f>
        <v>56500</v>
      </c>
      <c r="K224" s="26">
        <f t="shared" si="30"/>
        <v>113000</v>
      </c>
    </row>
    <row r="225" spans="1:11" ht="13.2" customHeight="1" x14ac:dyDescent="0.25">
      <c r="A225" s="2"/>
      <c r="B225" s="20" t="s">
        <v>137</v>
      </c>
      <c r="C225" s="21" t="s">
        <v>585</v>
      </c>
      <c r="D225" s="14"/>
      <c r="E225" s="22"/>
      <c r="F225" s="23"/>
      <c r="G225" s="23"/>
      <c r="H225" s="24" t="s">
        <v>203</v>
      </c>
      <c r="I225" s="36">
        <v>5</v>
      </c>
      <c r="J225" s="25">
        <f t="shared" si="29"/>
        <v>3960</v>
      </c>
      <c r="K225" s="26">
        <f t="shared" si="30"/>
        <v>19800</v>
      </c>
    </row>
    <row r="226" spans="1:11" ht="13.2" customHeight="1" x14ac:dyDescent="0.25">
      <c r="A226" s="2"/>
      <c r="B226" s="20" t="s">
        <v>156</v>
      </c>
      <c r="C226" s="21" t="s">
        <v>586</v>
      </c>
      <c r="D226" s="14"/>
      <c r="E226" s="22"/>
      <c r="F226" s="23"/>
      <c r="G226" s="23"/>
      <c r="H226" s="24" t="s">
        <v>203</v>
      </c>
      <c r="I226" s="42">
        <v>5</v>
      </c>
      <c r="J226" s="25">
        <f t="shared" si="29"/>
        <v>3650</v>
      </c>
      <c r="K226" s="26">
        <f t="shared" si="30"/>
        <v>18250</v>
      </c>
    </row>
    <row r="227" spans="1:11" ht="13.2" customHeight="1" x14ac:dyDescent="0.25">
      <c r="A227" s="2"/>
      <c r="B227" s="20" t="s">
        <v>175</v>
      </c>
      <c r="C227" s="21" t="s">
        <v>2188</v>
      </c>
      <c r="D227" s="14"/>
      <c r="E227" s="22"/>
      <c r="F227" s="23"/>
      <c r="G227" s="23"/>
      <c r="H227" s="24" t="s">
        <v>203</v>
      </c>
      <c r="I227" s="42">
        <v>3</v>
      </c>
      <c r="J227" s="25">
        <f t="shared" si="29"/>
        <v>56000</v>
      </c>
      <c r="K227" s="26">
        <f t="shared" si="30"/>
        <v>168000</v>
      </c>
    </row>
    <row r="228" spans="1:11" ht="13.2" customHeight="1" x14ac:dyDescent="0.25">
      <c r="A228" s="2"/>
      <c r="B228" s="20" t="s">
        <v>177</v>
      </c>
      <c r="C228" s="21" t="s">
        <v>2189</v>
      </c>
      <c r="D228" s="14"/>
      <c r="E228" s="22"/>
      <c r="F228" s="23"/>
      <c r="G228" s="23"/>
      <c r="H228" s="24" t="s">
        <v>203</v>
      </c>
      <c r="I228" s="36">
        <v>2</v>
      </c>
      <c r="J228" s="25">
        <f>J214</f>
        <v>44500</v>
      </c>
      <c r="K228" s="26">
        <f t="shared" si="30"/>
        <v>89000</v>
      </c>
    </row>
    <row r="229" spans="1:11" ht="12.9" customHeight="1" x14ac:dyDescent="0.25">
      <c r="A229" s="6"/>
      <c r="B229" s="7"/>
      <c r="C229" s="8"/>
      <c r="D229" s="8"/>
      <c r="E229" s="8"/>
      <c r="F229" s="8"/>
      <c r="G229" s="9"/>
      <c r="H229" s="10" t="s">
        <v>715</v>
      </c>
      <c r="I229" s="11"/>
      <c r="J229" s="11"/>
      <c r="K229" s="27">
        <f>SUM(K220:K228)</f>
        <v>2517850</v>
      </c>
    </row>
    <row r="230" spans="1:11" ht="12.9" customHeight="1" x14ac:dyDescent="0.25">
      <c r="A230" s="6"/>
      <c r="B230" s="5"/>
      <c r="C230" s="3"/>
      <c r="D230" s="3"/>
      <c r="E230" s="3"/>
      <c r="F230" s="3"/>
      <c r="G230" s="4"/>
      <c r="H230" s="12" t="s">
        <v>603</v>
      </c>
      <c r="I230" s="28">
        <f>$K$3</f>
        <v>0.15</v>
      </c>
      <c r="J230" s="13"/>
      <c r="K230" s="29">
        <f>I230*K229</f>
        <v>377677.5</v>
      </c>
    </row>
    <row r="231" spans="1:11" ht="12.9" customHeight="1" x14ac:dyDescent="0.25">
      <c r="A231" s="6"/>
      <c r="B231" s="5"/>
      <c r="C231" s="3"/>
      <c r="D231" s="3"/>
      <c r="E231" s="3"/>
      <c r="F231" s="3"/>
      <c r="G231" s="4"/>
      <c r="H231" s="12" t="s">
        <v>604</v>
      </c>
      <c r="I231" s="14"/>
      <c r="J231" s="14"/>
      <c r="K231" s="29">
        <f>SUM(K229:K230)</f>
        <v>2895527.5</v>
      </c>
    </row>
    <row r="232" spans="1:11" ht="12.9" customHeight="1" thickBot="1" x14ac:dyDescent="0.3">
      <c r="A232" s="15"/>
      <c r="B232" s="16"/>
      <c r="C232" s="17"/>
      <c r="D232" s="17"/>
      <c r="E232" s="17"/>
      <c r="F232" s="17"/>
      <c r="G232" s="18"/>
      <c r="H232" s="46" t="s">
        <v>605</v>
      </c>
      <c r="I232" s="47"/>
      <c r="J232" s="47"/>
      <c r="K232" s="144">
        <f>ROUND(K231,-1)</f>
        <v>2895530</v>
      </c>
    </row>
    <row r="233" spans="1:11" ht="14.1" customHeight="1" x14ac:dyDescent="0.25">
      <c r="A233" s="81">
        <v>18</v>
      </c>
      <c r="B233" s="676" t="s">
        <v>713</v>
      </c>
      <c r="C233" s="677"/>
      <c r="D233" s="137" t="s">
        <v>1176</v>
      </c>
      <c r="E233" s="138"/>
      <c r="F233" s="139"/>
      <c r="G233" s="139"/>
      <c r="H233" s="140"/>
      <c r="I233" s="141"/>
      <c r="J233" s="142"/>
      <c r="K233" s="143"/>
    </row>
    <row r="234" spans="1:11" ht="13.2" customHeight="1" x14ac:dyDescent="0.25">
      <c r="A234" s="2"/>
      <c r="B234" s="20" t="s">
        <v>4</v>
      </c>
      <c r="C234" s="21" t="s">
        <v>973</v>
      </c>
      <c r="D234" s="14"/>
      <c r="E234" s="22"/>
      <c r="F234" s="23"/>
      <c r="G234" s="23"/>
      <c r="H234" s="24" t="s">
        <v>235</v>
      </c>
      <c r="I234" s="41">
        <v>2</v>
      </c>
      <c r="J234" s="25">
        <f>J220</f>
        <v>258000</v>
      </c>
      <c r="K234" s="26">
        <f>I234*J234</f>
        <v>516000</v>
      </c>
    </row>
    <row r="235" spans="1:11" ht="13.2" customHeight="1" x14ac:dyDescent="0.25">
      <c r="A235" s="2"/>
      <c r="B235" s="20" t="s">
        <v>30</v>
      </c>
      <c r="C235" s="21" t="s">
        <v>2187</v>
      </c>
      <c r="D235" s="14"/>
      <c r="E235" s="22"/>
      <c r="F235" s="23"/>
      <c r="G235" s="23"/>
      <c r="H235" s="24" t="s">
        <v>264</v>
      </c>
      <c r="I235" s="61">
        <v>12.5</v>
      </c>
      <c r="J235" s="25">
        <f t="shared" ref="J235:J241" si="31">J221</f>
        <v>110000</v>
      </c>
      <c r="K235" s="26">
        <f t="shared" ref="K235:K242" si="32">I235*J235</f>
        <v>1375000</v>
      </c>
    </row>
    <row r="236" spans="1:11" ht="13.2" customHeight="1" x14ac:dyDescent="0.25">
      <c r="A236" s="2"/>
      <c r="B236" s="20" t="s">
        <v>57</v>
      </c>
      <c r="C236" s="21" t="s">
        <v>974</v>
      </c>
      <c r="D236" s="14"/>
      <c r="E236" s="22"/>
      <c r="F236" s="23"/>
      <c r="G236" s="23"/>
      <c r="H236" s="24" t="s">
        <v>235</v>
      </c>
      <c r="I236" s="42">
        <v>1</v>
      </c>
      <c r="J236" s="25">
        <f t="shared" si="31"/>
        <v>105000</v>
      </c>
      <c r="K236" s="26">
        <f t="shared" si="32"/>
        <v>105000</v>
      </c>
    </row>
    <row r="237" spans="1:11" ht="13.2" customHeight="1" x14ac:dyDescent="0.25">
      <c r="A237" s="2"/>
      <c r="B237" s="20" t="s">
        <v>83</v>
      </c>
      <c r="C237" s="21" t="s">
        <v>1175</v>
      </c>
      <c r="D237" s="14"/>
      <c r="E237" s="22"/>
      <c r="F237" s="23"/>
      <c r="G237" s="23"/>
      <c r="H237" s="24" t="s">
        <v>264</v>
      </c>
      <c r="I237" s="61">
        <v>4</v>
      </c>
      <c r="J237" s="25">
        <f t="shared" si="31"/>
        <v>14700</v>
      </c>
      <c r="K237" s="26">
        <f t="shared" si="32"/>
        <v>58800</v>
      </c>
    </row>
    <row r="238" spans="1:11" ht="13.2" customHeight="1" x14ac:dyDescent="0.25">
      <c r="A238" s="2"/>
      <c r="B238" s="20" t="s">
        <v>110</v>
      </c>
      <c r="C238" s="21" t="s">
        <v>2180</v>
      </c>
      <c r="D238" s="14"/>
      <c r="E238" s="22"/>
      <c r="F238" s="23"/>
      <c r="G238" s="23"/>
      <c r="H238" s="24" t="s">
        <v>203</v>
      </c>
      <c r="I238" s="36">
        <v>2</v>
      </c>
      <c r="J238" s="25">
        <f t="shared" si="31"/>
        <v>56500</v>
      </c>
      <c r="K238" s="26">
        <f t="shared" si="32"/>
        <v>113000</v>
      </c>
    </row>
    <row r="239" spans="1:11" ht="13.2" customHeight="1" x14ac:dyDescent="0.25">
      <c r="A239" s="2"/>
      <c r="B239" s="20" t="s">
        <v>137</v>
      </c>
      <c r="C239" s="21" t="s">
        <v>585</v>
      </c>
      <c r="D239" s="14"/>
      <c r="E239" s="22"/>
      <c r="F239" s="23"/>
      <c r="G239" s="23"/>
      <c r="H239" s="24" t="s">
        <v>203</v>
      </c>
      <c r="I239" s="36">
        <v>5</v>
      </c>
      <c r="J239" s="25">
        <f t="shared" si="31"/>
        <v>3960</v>
      </c>
      <c r="K239" s="26">
        <f t="shared" si="32"/>
        <v>19800</v>
      </c>
    </row>
    <row r="240" spans="1:11" ht="13.2" customHeight="1" x14ac:dyDescent="0.25">
      <c r="A240" s="2"/>
      <c r="B240" s="20" t="s">
        <v>156</v>
      </c>
      <c r="C240" s="21" t="s">
        <v>586</v>
      </c>
      <c r="D240" s="14"/>
      <c r="E240" s="22"/>
      <c r="F240" s="23"/>
      <c r="G240" s="23"/>
      <c r="H240" s="24" t="s">
        <v>203</v>
      </c>
      <c r="I240" s="42">
        <v>5</v>
      </c>
      <c r="J240" s="25">
        <f t="shared" si="31"/>
        <v>3650</v>
      </c>
      <c r="K240" s="26">
        <f t="shared" si="32"/>
        <v>18250</v>
      </c>
    </row>
    <row r="241" spans="1:11" ht="13.2" customHeight="1" x14ac:dyDescent="0.25">
      <c r="A241" s="2"/>
      <c r="B241" s="20" t="s">
        <v>175</v>
      </c>
      <c r="C241" s="21" t="s">
        <v>2188</v>
      </c>
      <c r="D241" s="14"/>
      <c r="E241" s="22"/>
      <c r="F241" s="23"/>
      <c r="G241" s="23"/>
      <c r="H241" s="24" t="s">
        <v>203</v>
      </c>
      <c r="I241" s="42">
        <v>3</v>
      </c>
      <c r="J241" s="25">
        <f t="shared" si="31"/>
        <v>56000</v>
      </c>
      <c r="K241" s="26">
        <f t="shared" si="32"/>
        <v>168000</v>
      </c>
    </row>
    <row r="242" spans="1:11" ht="13.2" customHeight="1" x14ac:dyDescent="0.25">
      <c r="A242" s="2"/>
      <c r="B242" s="20" t="s">
        <v>177</v>
      </c>
      <c r="C242" s="21" t="s">
        <v>2189</v>
      </c>
      <c r="D242" s="14"/>
      <c r="E242" s="22"/>
      <c r="F242" s="23"/>
      <c r="G242" s="23"/>
      <c r="H242" s="24" t="s">
        <v>203</v>
      </c>
      <c r="I242" s="36">
        <v>2</v>
      </c>
      <c r="J242" s="25">
        <f>J228</f>
        <v>44500</v>
      </c>
      <c r="K242" s="26">
        <f t="shared" si="32"/>
        <v>89000</v>
      </c>
    </row>
    <row r="243" spans="1:11" ht="12.9" customHeight="1" x14ac:dyDescent="0.25">
      <c r="A243" s="6"/>
      <c r="B243" s="7"/>
      <c r="C243" s="8"/>
      <c r="D243" s="8"/>
      <c r="E243" s="8"/>
      <c r="F243" s="8"/>
      <c r="G243" s="9"/>
      <c r="H243" s="10" t="s">
        <v>715</v>
      </c>
      <c r="I243" s="11"/>
      <c r="J243" s="11"/>
      <c r="K243" s="27">
        <f>SUM(K234:K242)</f>
        <v>2462850</v>
      </c>
    </row>
    <row r="244" spans="1:11" ht="12.9" customHeight="1" x14ac:dyDescent="0.25">
      <c r="A244" s="6"/>
      <c r="B244" s="5"/>
      <c r="C244" s="3"/>
      <c r="D244" s="3"/>
      <c r="E244" s="3"/>
      <c r="F244" s="3"/>
      <c r="G244" s="4"/>
      <c r="H244" s="12" t="s">
        <v>603</v>
      </c>
      <c r="I244" s="28">
        <f>$K$3</f>
        <v>0.15</v>
      </c>
      <c r="J244" s="13"/>
      <c r="K244" s="29">
        <f>I244*K243</f>
        <v>369427.5</v>
      </c>
    </row>
    <row r="245" spans="1:11" ht="12.9" customHeight="1" x14ac:dyDescent="0.25">
      <c r="A245" s="6"/>
      <c r="B245" s="5"/>
      <c r="C245" s="3"/>
      <c r="D245" s="3"/>
      <c r="E245" s="3"/>
      <c r="F245" s="3"/>
      <c r="G245" s="4"/>
      <c r="H245" s="12" t="s">
        <v>604</v>
      </c>
      <c r="I245" s="14"/>
      <c r="J245" s="14"/>
      <c r="K245" s="29">
        <f>SUM(K243:K244)</f>
        <v>2832277.5</v>
      </c>
    </row>
    <row r="246" spans="1:11" ht="12.9" customHeight="1" thickBot="1" x14ac:dyDescent="0.3">
      <c r="A246" s="15"/>
      <c r="B246" s="16"/>
      <c r="C246" s="17"/>
      <c r="D246" s="17"/>
      <c r="E246" s="17"/>
      <c r="F246" s="17"/>
      <c r="G246" s="18"/>
      <c r="H246" s="46" t="s">
        <v>605</v>
      </c>
      <c r="I246" s="47"/>
      <c r="J246" s="47"/>
      <c r="K246" s="144">
        <f>ROUND(K245,-1)</f>
        <v>2832280</v>
      </c>
    </row>
    <row r="247" spans="1:11" ht="14.1" customHeight="1" x14ac:dyDescent="0.25">
      <c r="A247" s="81">
        <v>19</v>
      </c>
      <c r="B247" s="676" t="s">
        <v>713</v>
      </c>
      <c r="C247" s="677"/>
      <c r="D247" s="137" t="s">
        <v>1177</v>
      </c>
      <c r="E247" s="138"/>
      <c r="F247" s="139"/>
      <c r="G247" s="139"/>
      <c r="H247" s="140"/>
      <c r="I247" s="141"/>
      <c r="J247" s="142"/>
      <c r="K247" s="143"/>
    </row>
    <row r="248" spans="1:11" ht="13.2" customHeight="1" x14ac:dyDescent="0.25">
      <c r="A248" s="2"/>
      <c r="B248" s="20" t="s">
        <v>4</v>
      </c>
      <c r="C248" s="21" t="s">
        <v>973</v>
      </c>
      <c r="D248" s="14"/>
      <c r="E248" s="22"/>
      <c r="F248" s="23"/>
      <c r="G248" s="23"/>
      <c r="H248" s="24" t="s">
        <v>235</v>
      </c>
      <c r="I248" s="41">
        <v>2</v>
      </c>
      <c r="J248" s="25">
        <f t="shared" ref="J248:J255" si="33">J164</f>
        <v>258000</v>
      </c>
      <c r="K248" s="26">
        <f>I248*J248</f>
        <v>516000</v>
      </c>
    </row>
    <row r="249" spans="1:11" ht="13.2" customHeight="1" x14ac:dyDescent="0.25">
      <c r="A249" s="2"/>
      <c r="B249" s="20" t="s">
        <v>30</v>
      </c>
      <c r="C249" s="21" t="s">
        <v>2186</v>
      </c>
      <c r="D249" s="14"/>
      <c r="E249" s="22"/>
      <c r="F249" s="23"/>
      <c r="G249" s="23"/>
      <c r="H249" s="24" t="s">
        <v>264</v>
      </c>
      <c r="I249" s="61">
        <v>14</v>
      </c>
      <c r="J249" s="25" t="str">
        <f>J152</f>
        <v>PLN</v>
      </c>
      <c r="K249" s="26"/>
    </row>
    <row r="250" spans="1:11" ht="13.2" customHeight="1" x14ac:dyDescent="0.25">
      <c r="A250" s="2"/>
      <c r="B250" s="20" t="s">
        <v>57</v>
      </c>
      <c r="C250" s="21" t="s">
        <v>974</v>
      </c>
      <c r="D250" s="14"/>
      <c r="E250" s="22"/>
      <c r="F250" s="23"/>
      <c r="G250" s="23"/>
      <c r="H250" s="24" t="s">
        <v>235</v>
      </c>
      <c r="I250" s="42">
        <v>1</v>
      </c>
      <c r="J250" s="25">
        <f t="shared" si="33"/>
        <v>105000</v>
      </c>
      <c r="K250" s="26">
        <f t="shared" ref="K250:K256" si="34">I250*J250</f>
        <v>105000</v>
      </c>
    </row>
    <row r="251" spans="1:11" ht="13.2" customHeight="1" x14ac:dyDescent="0.25">
      <c r="A251" s="2"/>
      <c r="B251" s="20" t="s">
        <v>83</v>
      </c>
      <c r="C251" s="21" t="s">
        <v>1175</v>
      </c>
      <c r="D251" s="14"/>
      <c r="E251" s="22"/>
      <c r="F251" s="23"/>
      <c r="G251" s="23"/>
      <c r="H251" s="24" t="s">
        <v>264</v>
      </c>
      <c r="I251" s="61">
        <f>0.8*5</f>
        <v>4</v>
      </c>
      <c r="J251" s="25">
        <f t="shared" si="33"/>
        <v>14700</v>
      </c>
      <c r="K251" s="26">
        <f t="shared" si="34"/>
        <v>58800</v>
      </c>
    </row>
    <row r="252" spans="1:11" ht="13.2" customHeight="1" x14ac:dyDescent="0.25">
      <c r="A252" s="2"/>
      <c r="B252" s="20" t="s">
        <v>110</v>
      </c>
      <c r="C252" s="21" t="s">
        <v>2180</v>
      </c>
      <c r="D252" s="14"/>
      <c r="E252" s="22"/>
      <c r="F252" s="23"/>
      <c r="G252" s="23"/>
      <c r="H252" s="24" t="s">
        <v>203</v>
      </c>
      <c r="I252" s="36">
        <v>2</v>
      </c>
      <c r="J252" s="25">
        <f>J238</f>
        <v>56500</v>
      </c>
      <c r="K252" s="26">
        <f t="shared" si="34"/>
        <v>113000</v>
      </c>
    </row>
    <row r="253" spans="1:11" ht="13.2" customHeight="1" x14ac:dyDescent="0.25">
      <c r="A253" s="2"/>
      <c r="B253" s="20" t="s">
        <v>137</v>
      </c>
      <c r="C253" s="21" t="s">
        <v>585</v>
      </c>
      <c r="D253" s="14"/>
      <c r="E253" s="22"/>
      <c r="F253" s="23"/>
      <c r="G253" s="23"/>
      <c r="H253" s="24" t="s">
        <v>203</v>
      </c>
      <c r="I253" s="36">
        <v>5</v>
      </c>
      <c r="J253" s="25">
        <f t="shared" si="33"/>
        <v>3960</v>
      </c>
      <c r="K253" s="26">
        <f t="shared" si="34"/>
        <v>19800</v>
      </c>
    </row>
    <row r="254" spans="1:11" ht="13.2" customHeight="1" x14ac:dyDescent="0.25">
      <c r="A254" s="2"/>
      <c r="B254" s="20" t="s">
        <v>156</v>
      </c>
      <c r="C254" s="21" t="s">
        <v>586</v>
      </c>
      <c r="D254" s="14"/>
      <c r="E254" s="22"/>
      <c r="F254" s="23"/>
      <c r="G254" s="23"/>
      <c r="H254" s="24" t="s">
        <v>203</v>
      </c>
      <c r="I254" s="42">
        <v>5</v>
      </c>
      <c r="J254" s="25">
        <f t="shared" si="33"/>
        <v>3650</v>
      </c>
      <c r="K254" s="26">
        <f t="shared" si="34"/>
        <v>18250</v>
      </c>
    </row>
    <row r="255" spans="1:11" ht="13.2" customHeight="1" x14ac:dyDescent="0.25">
      <c r="A255" s="2"/>
      <c r="B255" s="20" t="s">
        <v>175</v>
      </c>
      <c r="C255" s="21" t="s">
        <v>2188</v>
      </c>
      <c r="D255" s="14"/>
      <c r="E255" s="22"/>
      <c r="F255" s="23"/>
      <c r="G255" s="23"/>
      <c r="H255" s="24" t="s">
        <v>203</v>
      </c>
      <c r="I255" s="42">
        <v>3</v>
      </c>
      <c r="J255" s="25">
        <f t="shared" si="33"/>
        <v>56000</v>
      </c>
      <c r="K255" s="26">
        <f t="shared" si="34"/>
        <v>168000</v>
      </c>
    </row>
    <row r="256" spans="1:11" ht="13.2" customHeight="1" x14ac:dyDescent="0.25">
      <c r="A256" s="2"/>
      <c r="B256" s="20" t="s">
        <v>177</v>
      </c>
      <c r="C256" s="21" t="s">
        <v>2185</v>
      </c>
      <c r="D256" s="14"/>
      <c r="E256" s="22"/>
      <c r="F256" s="23"/>
      <c r="G256" s="23"/>
      <c r="H256" s="24" t="s">
        <v>203</v>
      </c>
      <c r="I256" s="36">
        <v>2</v>
      </c>
      <c r="J256" s="25">
        <f>J242</f>
        <v>44500</v>
      </c>
      <c r="K256" s="26">
        <f t="shared" si="34"/>
        <v>89000</v>
      </c>
    </row>
    <row r="257" spans="1:11" ht="12.9" customHeight="1" x14ac:dyDescent="0.25">
      <c r="A257" s="6"/>
      <c r="B257" s="7"/>
      <c r="C257" s="8"/>
      <c r="D257" s="8"/>
      <c r="E257" s="8"/>
      <c r="F257" s="8"/>
      <c r="G257" s="9"/>
      <c r="H257" s="10" t="s">
        <v>715</v>
      </c>
      <c r="I257" s="11"/>
      <c r="J257" s="11"/>
      <c r="K257" s="27">
        <f>SUM(K248:K256)</f>
        <v>1087850</v>
      </c>
    </row>
    <row r="258" spans="1:11" ht="12.9" customHeight="1" x14ac:dyDescent="0.25">
      <c r="A258" s="6"/>
      <c r="B258" s="5"/>
      <c r="C258" s="3"/>
      <c r="D258" s="3"/>
      <c r="E258" s="3"/>
      <c r="F258" s="3"/>
      <c r="G258" s="4"/>
      <c r="H258" s="12" t="s">
        <v>603</v>
      </c>
      <c r="I258" s="28">
        <f>$K$3</f>
        <v>0.15</v>
      </c>
      <c r="J258" s="13"/>
      <c r="K258" s="29">
        <f>I258*K257</f>
        <v>163177.5</v>
      </c>
    </row>
    <row r="259" spans="1:11" ht="12.9" customHeight="1" x14ac:dyDescent="0.25">
      <c r="A259" s="6"/>
      <c r="B259" s="5"/>
      <c r="C259" s="3"/>
      <c r="D259" s="3"/>
      <c r="E259" s="3"/>
      <c r="F259" s="3"/>
      <c r="G259" s="4"/>
      <c r="H259" s="12" t="s">
        <v>604</v>
      </c>
      <c r="I259" s="14"/>
      <c r="J259" s="14"/>
      <c r="K259" s="29">
        <f>SUM(K257:K258)</f>
        <v>1251027.5</v>
      </c>
    </row>
    <row r="260" spans="1:11" ht="12.9" customHeight="1" thickBot="1" x14ac:dyDescent="0.3">
      <c r="A260" s="15"/>
      <c r="B260" s="16"/>
      <c r="C260" s="17"/>
      <c r="D260" s="17"/>
      <c r="E260" s="17"/>
      <c r="F260" s="17"/>
      <c r="G260" s="18"/>
      <c r="H260" s="46" t="s">
        <v>605</v>
      </c>
      <c r="I260" s="47"/>
      <c r="J260" s="47"/>
      <c r="K260" s="144">
        <f>ROUND(K259,-1)</f>
        <v>1251030</v>
      </c>
    </row>
    <row r="261" spans="1:11" ht="14.1" customHeight="1" x14ac:dyDescent="0.25">
      <c r="A261" s="81">
        <v>20</v>
      </c>
      <c r="B261" s="676" t="s">
        <v>713</v>
      </c>
      <c r="C261" s="677"/>
      <c r="D261" s="137" t="s">
        <v>1178</v>
      </c>
      <c r="E261" s="138"/>
      <c r="F261" s="139"/>
      <c r="G261" s="139"/>
      <c r="H261" s="140"/>
      <c r="I261" s="141"/>
      <c r="J261" s="142"/>
      <c r="K261" s="143"/>
    </row>
    <row r="262" spans="1:11" ht="13.2" customHeight="1" x14ac:dyDescent="0.25">
      <c r="A262" s="2"/>
      <c r="B262" s="20" t="s">
        <v>4</v>
      </c>
      <c r="C262" s="21" t="s">
        <v>973</v>
      </c>
      <c r="D262" s="14"/>
      <c r="E262" s="22"/>
      <c r="F262" s="23"/>
      <c r="G262" s="23"/>
      <c r="H262" s="24" t="s">
        <v>235</v>
      </c>
      <c r="I262" s="45">
        <v>2</v>
      </c>
      <c r="J262" s="25">
        <f>J248</f>
        <v>258000</v>
      </c>
      <c r="K262" s="26">
        <f>I262*J262</f>
        <v>516000</v>
      </c>
    </row>
    <row r="263" spans="1:11" ht="13.2" customHeight="1" x14ac:dyDescent="0.25">
      <c r="A263" s="2"/>
      <c r="B263" s="20" t="s">
        <v>30</v>
      </c>
      <c r="C263" s="21" t="s">
        <v>2186</v>
      </c>
      <c r="D263" s="14"/>
      <c r="E263" s="22"/>
      <c r="F263" s="23"/>
      <c r="G263" s="23"/>
      <c r="H263" s="24" t="s">
        <v>264</v>
      </c>
      <c r="I263" s="61">
        <v>13</v>
      </c>
      <c r="J263" s="25" t="str">
        <f t="shared" ref="J263:J269" si="35">J249</f>
        <v>PLN</v>
      </c>
      <c r="K263" s="26"/>
    </row>
    <row r="264" spans="1:11" ht="13.2" customHeight="1" x14ac:dyDescent="0.25">
      <c r="A264" s="2"/>
      <c r="B264" s="20" t="s">
        <v>57</v>
      </c>
      <c r="C264" s="21" t="s">
        <v>974</v>
      </c>
      <c r="D264" s="14"/>
      <c r="E264" s="22"/>
      <c r="F264" s="23"/>
      <c r="G264" s="23"/>
      <c r="H264" s="24" t="s">
        <v>235</v>
      </c>
      <c r="I264" s="42">
        <v>1</v>
      </c>
      <c r="J264" s="25">
        <f t="shared" si="35"/>
        <v>105000</v>
      </c>
      <c r="K264" s="26">
        <f t="shared" ref="K264:K270" si="36">I264*J264</f>
        <v>105000</v>
      </c>
    </row>
    <row r="265" spans="1:11" ht="13.2" customHeight="1" x14ac:dyDescent="0.25">
      <c r="A265" s="2"/>
      <c r="B265" s="20" t="s">
        <v>83</v>
      </c>
      <c r="C265" s="21" t="s">
        <v>1175</v>
      </c>
      <c r="D265" s="14"/>
      <c r="E265" s="22"/>
      <c r="F265" s="23"/>
      <c r="G265" s="23"/>
      <c r="H265" s="24" t="s">
        <v>264</v>
      </c>
      <c r="I265" s="61">
        <f>0.8*5</f>
        <v>4</v>
      </c>
      <c r="J265" s="25">
        <f t="shared" si="35"/>
        <v>14700</v>
      </c>
      <c r="K265" s="26">
        <f t="shared" si="36"/>
        <v>58800</v>
      </c>
    </row>
    <row r="266" spans="1:11" ht="13.2" customHeight="1" x14ac:dyDescent="0.25">
      <c r="A266" s="2"/>
      <c r="B266" s="20" t="s">
        <v>110</v>
      </c>
      <c r="C266" s="21" t="s">
        <v>2180</v>
      </c>
      <c r="D266" s="14"/>
      <c r="E266" s="22"/>
      <c r="F266" s="23"/>
      <c r="G266" s="23"/>
      <c r="H266" s="24" t="s">
        <v>203</v>
      </c>
      <c r="I266" s="36">
        <v>2</v>
      </c>
      <c r="J266" s="25">
        <f>J252</f>
        <v>56500</v>
      </c>
      <c r="K266" s="26">
        <f t="shared" si="36"/>
        <v>113000</v>
      </c>
    </row>
    <row r="267" spans="1:11" ht="13.2" customHeight="1" x14ac:dyDescent="0.25">
      <c r="A267" s="2"/>
      <c r="B267" s="20" t="s">
        <v>137</v>
      </c>
      <c r="C267" s="21" t="s">
        <v>585</v>
      </c>
      <c r="D267" s="14"/>
      <c r="E267" s="22"/>
      <c r="F267" s="23"/>
      <c r="G267" s="23"/>
      <c r="H267" s="24" t="s">
        <v>203</v>
      </c>
      <c r="I267" s="36">
        <v>5</v>
      </c>
      <c r="J267" s="25">
        <f t="shared" si="35"/>
        <v>3960</v>
      </c>
      <c r="K267" s="26">
        <f t="shared" si="36"/>
        <v>19800</v>
      </c>
    </row>
    <row r="268" spans="1:11" ht="13.2" customHeight="1" x14ac:dyDescent="0.25">
      <c r="A268" s="2"/>
      <c r="B268" s="20" t="s">
        <v>156</v>
      </c>
      <c r="C268" s="21" t="s">
        <v>586</v>
      </c>
      <c r="D268" s="14"/>
      <c r="E268" s="22"/>
      <c r="F268" s="23"/>
      <c r="G268" s="23"/>
      <c r="H268" s="24" t="s">
        <v>203</v>
      </c>
      <c r="I268" s="42">
        <v>5</v>
      </c>
      <c r="J268" s="25">
        <f t="shared" si="35"/>
        <v>3650</v>
      </c>
      <c r="K268" s="26">
        <f t="shared" si="36"/>
        <v>18250</v>
      </c>
    </row>
    <row r="269" spans="1:11" ht="13.2" customHeight="1" x14ac:dyDescent="0.25">
      <c r="A269" s="2"/>
      <c r="B269" s="20" t="s">
        <v>175</v>
      </c>
      <c r="C269" s="21" t="s">
        <v>2188</v>
      </c>
      <c r="D269" s="14"/>
      <c r="E269" s="22"/>
      <c r="F269" s="23"/>
      <c r="G269" s="23"/>
      <c r="H269" s="24" t="s">
        <v>203</v>
      </c>
      <c r="I269" s="42">
        <v>3</v>
      </c>
      <c r="J269" s="25">
        <f t="shared" si="35"/>
        <v>56000</v>
      </c>
      <c r="K269" s="26">
        <f t="shared" si="36"/>
        <v>168000</v>
      </c>
    </row>
    <row r="270" spans="1:11" ht="13.2" customHeight="1" x14ac:dyDescent="0.25">
      <c r="A270" s="2"/>
      <c r="B270" s="20" t="s">
        <v>177</v>
      </c>
      <c r="C270" s="21" t="s">
        <v>2185</v>
      </c>
      <c r="D270" s="14"/>
      <c r="E270" s="22"/>
      <c r="F270" s="23"/>
      <c r="G270" s="23"/>
      <c r="H270" s="24" t="s">
        <v>203</v>
      </c>
      <c r="I270" s="36">
        <v>2</v>
      </c>
      <c r="J270" s="25">
        <f>J256</f>
        <v>44500</v>
      </c>
      <c r="K270" s="26">
        <f t="shared" si="36"/>
        <v>89000</v>
      </c>
    </row>
    <row r="271" spans="1:11" ht="12.9" customHeight="1" x14ac:dyDescent="0.25">
      <c r="A271" s="6"/>
      <c r="B271" s="7"/>
      <c r="C271" s="8"/>
      <c r="D271" s="8"/>
      <c r="E271" s="8"/>
      <c r="F271" s="8"/>
      <c r="G271" s="9"/>
      <c r="H271" s="10" t="s">
        <v>715</v>
      </c>
      <c r="I271" s="11"/>
      <c r="J271" s="11"/>
      <c r="K271" s="27">
        <f>SUM(K262:K270)</f>
        <v>1087850</v>
      </c>
    </row>
    <row r="272" spans="1:11" ht="12.9" customHeight="1" x14ac:dyDescent="0.25">
      <c r="A272" s="6"/>
      <c r="B272" s="5"/>
      <c r="C272" s="3"/>
      <c r="D272" s="3"/>
      <c r="E272" s="3"/>
      <c r="F272" s="3"/>
      <c r="G272" s="4"/>
      <c r="H272" s="12" t="s">
        <v>603</v>
      </c>
      <c r="I272" s="28">
        <f>$K$3</f>
        <v>0.15</v>
      </c>
      <c r="J272" s="13"/>
      <c r="K272" s="29">
        <f>I272*K271</f>
        <v>163177.5</v>
      </c>
    </row>
    <row r="273" spans="1:11" ht="12.9" customHeight="1" x14ac:dyDescent="0.25">
      <c r="A273" s="6"/>
      <c r="B273" s="5"/>
      <c r="C273" s="3"/>
      <c r="D273" s="3"/>
      <c r="E273" s="3"/>
      <c r="F273" s="3"/>
      <c r="G273" s="4"/>
      <c r="H273" s="12" t="s">
        <v>604</v>
      </c>
      <c r="I273" s="14"/>
      <c r="J273" s="14"/>
      <c r="K273" s="29">
        <f>SUM(K271:K272)</f>
        <v>1251027.5</v>
      </c>
    </row>
    <row r="274" spans="1:11" ht="12.9" customHeight="1" thickBot="1" x14ac:dyDescent="0.3">
      <c r="A274" s="15"/>
      <c r="B274" s="16"/>
      <c r="C274" s="17"/>
      <c r="D274" s="17"/>
      <c r="E274" s="17"/>
      <c r="F274" s="17"/>
      <c r="G274" s="18"/>
      <c r="H274" s="46" t="s">
        <v>605</v>
      </c>
      <c r="I274" s="47"/>
      <c r="J274" s="47"/>
      <c r="K274" s="144">
        <f>ROUND(K273,-1)</f>
        <v>1251030</v>
      </c>
    </row>
    <row r="275" spans="1:11" ht="14.1" customHeight="1" x14ac:dyDescent="0.25">
      <c r="A275" s="81">
        <v>21</v>
      </c>
      <c r="B275" s="676" t="s">
        <v>713</v>
      </c>
      <c r="C275" s="677"/>
      <c r="D275" s="137" t="s">
        <v>1179</v>
      </c>
      <c r="E275" s="138"/>
      <c r="F275" s="139"/>
      <c r="G275" s="139"/>
      <c r="H275" s="140"/>
      <c r="I275" s="141"/>
      <c r="J275" s="142"/>
      <c r="K275" s="143"/>
    </row>
    <row r="276" spans="1:11" ht="13.2" customHeight="1" x14ac:dyDescent="0.25">
      <c r="A276" s="2"/>
      <c r="B276" s="20" t="s">
        <v>4</v>
      </c>
      <c r="C276" s="21" t="s">
        <v>973</v>
      </c>
      <c r="D276" s="14"/>
      <c r="E276" s="22"/>
      <c r="F276" s="23"/>
      <c r="G276" s="23"/>
      <c r="H276" s="24" t="s">
        <v>235</v>
      </c>
      <c r="I276" s="45">
        <v>2</v>
      </c>
      <c r="J276" s="25">
        <f>J262</f>
        <v>258000</v>
      </c>
      <c r="K276" s="26">
        <f>I276*J276</f>
        <v>516000</v>
      </c>
    </row>
    <row r="277" spans="1:11" ht="13.2" customHeight="1" x14ac:dyDescent="0.25">
      <c r="A277" s="2"/>
      <c r="B277" s="20" t="s">
        <v>30</v>
      </c>
      <c r="C277" s="21" t="s">
        <v>2179</v>
      </c>
      <c r="D277" s="14"/>
      <c r="E277" s="22"/>
      <c r="F277" s="23"/>
      <c r="G277" s="23"/>
      <c r="H277" s="24" t="s">
        <v>264</v>
      </c>
      <c r="I277" s="61">
        <v>12.5</v>
      </c>
      <c r="J277" s="25" t="str">
        <f t="shared" ref="J277:J283" si="37">J263</f>
        <v>PLN</v>
      </c>
      <c r="K277" s="26"/>
    </row>
    <row r="278" spans="1:11" ht="13.2" customHeight="1" x14ac:dyDescent="0.25">
      <c r="A278" s="2"/>
      <c r="B278" s="20" t="s">
        <v>57</v>
      </c>
      <c r="C278" s="21" t="s">
        <v>974</v>
      </c>
      <c r="D278" s="14"/>
      <c r="E278" s="22"/>
      <c r="F278" s="23"/>
      <c r="G278" s="23"/>
      <c r="H278" s="24" t="s">
        <v>235</v>
      </c>
      <c r="I278" s="42">
        <v>1</v>
      </c>
      <c r="J278" s="25">
        <f t="shared" si="37"/>
        <v>105000</v>
      </c>
      <c r="K278" s="26">
        <f t="shared" ref="K278:K284" si="38">I278*J278</f>
        <v>105000</v>
      </c>
    </row>
    <row r="279" spans="1:11" ht="13.2" customHeight="1" x14ac:dyDescent="0.25">
      <c r="A279" s="2"/>
      <c r="B279" s="20" t="s">
        <v>83</v>
      </c>
      <c r="C279" s="21" t="s">
        <v>1175</v>
      </c>
      <c r="D279" s="14"/>
      <c r="E279" s="22"/>
      <c r="F279" s="23"/>
      <c r="G279" s="23"/>
      <c r="H279" s="24" t="s">
        <v>264</v>
      </c>
      <c r="I279" s="61">
        <f>0.8*5</f>
        <v>4</v>
      </c>
      <c r="J279" s="25">
        <f t="shared" si="37"/>
        <v>14700</v>
      </c>
      <c r="K279" s="26">
        <f t="shared" si="38"/>
        <v>58800</v>
      </c>
    </row>
    <row r="280" spans="1:11" ht="13.2" customHeight="1" x14ac:dyDescent="0.25">
      <c r="A280" s="2"/>
      <c r="B280" s="20" t="s">
        <v>110</v>
      </c>
      <c r="C280" s="21" t="s">
        <v>2180</v>
      </c>
      <c r="D280" s="14"/>
      <c r="E280" s="22"/>
      <c r="F280" s="23"/>
      <c r="G280" s="23"/>
      <c r="H280" s="24" t="s">
        <v>203</v>
      </c>
      <c r="I280" s="36">
        <v>2</v>
      </c>
      <c r="J280" s="25">
        <f>J266</f>
        <v>56500</v>
      </c>
      <c r="K280" s="26">
        <f t="shared" si="38"/>
        <v>113000</v>
      </c>
    </row>
    <row r="281" spans="1:11" ht="13.2" customHeight="1" x14ac:dyDescent="0.25">
      <c r="A281" s="2"/>
      <c r="B281" s="20" t="s">
        <v>137</v>
      </c>
      <c r="C281" s="21" t="s">
        <v>585</v>
      </c>
      <c r="D281" s="14"/>
      <c r="E281" s="22"/>
      <c r="F281" s="23"/>
      <c r="G281" s="23"/>
      <c r="H281" s="24" t="s">
        <v>203</v>
      </c>
      <c r="I281" s="36">
        <v>5</v>
      </c>
      <c r="J281" s="25">
        <f t="shared" si="37"/>
        <v>3960</v>
      </c>
      <c r="K281" s="26">
        <f t="shared" si="38"/>
        <v>19800</v>
      </c>
    </row>
    <row r="282" spans="1:11" ht="13.2" customHeight="1" x14ac:dyDescent="0.25">
      <c r="A282" s="2"/>
      <c r="B282" s="20" t="s">
        <v>156</v>
      </c>
      <c r="C282" s="21" t="s">
        <v>586</v>
      </c>
      <c r="D282" s="14"/>
      <c r="E282" s="22"/>
      <c r="F282" s="23"/>
      <c r="G282" s="23"/>
      <c r="H282" s="24" t="s">
        <v>203</v>
      </c>
      <c r="I282" s="42">
        <v>5</v>
      </c>
      <c r="J282" s="25">
        <f t="shared" si="37"/>
        <v>3650</v>
      </c>
      <c r="K282" s="26">
        <f t="shared" si="38"/>
        <v>18250</v>
      </c>
    </row>
    <row r="283" spans="1:11" ht="13.2" customHeight="1" x14ac:dyDescent="0.25">
      <c r="A283" s="2"/>
      <c r="B283" s="20" t="s">
        <v>175</v>
      </c>
      <c r="C283" s="21" t="s">
        <v>2188</v>
      </c>
      <c r="D283" s="14"/>
      <c r="E283" s="22"/>
      <c r="F283" s="23"/>
      <c r="G283" s="23"/>
      <c r="H283" s="24" t="s">
        <v>203</v>
      </c>
      <c r="I283" s="42">
        <v>3</v>
      </c>
      <c r="J283" s="25">
        <f t="shared" si="37"/>
        <v>56000</v>
      </c>
      <c r="K283" s="26">
        <f t="shared" si="38"/>
        <v>168000</v>
      </c>
    </row>
    <row r="284" spans="1:11" ht="13.2" customHeight="1" x14ac:dyDescent="0.25">
      <c r="A284" s="2"/>
      <c r="B284" s="20" t="s">
        <v>177</v>
      </c>
      <c r="C284" s="21" t="s">
        <v>2185</v>
      </c>
      <c r="D284" s="14"/>
      <c r="E284" s="22"/>
      <c r="F284" s="23"/>
      <c r="G284" s="23"/>
      <c r="H284" s="24" t="s">
        <v>203</v>
      </c>
      <c r="I284" s="36">
        <v>2</v>
      </c>
      <c r="J284" s="25">
        <f>J270</f>
        <v>44500</v>
      </c>
      <c r="K284" s="26">
        <f t="shared" si="38"/>
        <v>89000</v>
      </c>
    </row>
    <row r="285" spans="1:11" ht="12.9" customHeight="1" x14ac:dyDescent="0.25">
      <c r="A285" s="6"/>
      <c r="B285" s="7"/>
      <c r="C285" s="8"/>
      <c r="D285" s="8"/>
      <c r="E285" s="8"/>
      <c r="F285" s="8"/>
      <c r="G285" s="9"/>
      <c r="H285" s="10" t="s">
        <v>715</v>
      </c>
      <c r="I285" s="11"/>
      <c r="J285" s="11"/>
      <c r="K285" s="27">
        <f>SUM(K276:K284)</f>
        <v>1087850</v>
      </c>
    </row>
    <row r="286" spans="1:11" ht="12.9" customHeight="1" x14ac:dyDescent="0.25">
      <c r="A286" s="6"/>
      <c r="B286" s="5"/>
      <c r="C286" s="3"/>
      <c r="D286" s="3"/>
      <c r="E286" s="3"/>
      <c r="F286" s="3"/>
      <c r="G286" s="4"/>
      <c r="H286" s="12" t="s">
        <v>603</v>
      </c>
      <c r="I286" s="28">
        <f>$K$3</f>
        <v>0.15</v>
      </c>
      <c r="J286" s="13"/>
      <c r="K286" s="29">
        <f>I286*K285</f>
        <v>163177.5</v>
      </c>
    </row>
    <row r="287" spans="1:11" ht="12.9" customHeight="1" x14ac:dyDescent="0.25">
      <c r="A287" s="6"/>
      <c r="B287" s="5"/>
      <c r="C287" s="3"/>
      <c r="D287" s="3"/>
      <c r="E287" s="3"/>
      <c r="F287" s="3"/>
      <c r="G287" s="4"/>
      <c r="H287" s="12" t="s">
        <v>604</v>
      </c>
      <c r="I287" s="14"/>
      <c r="J287" s="14"/>
      <c r="K287" s="29">
        <f>SUM(K285:K286)</f>
        <v>1251027.5</v>
      </c>
    </row>
    <row r="288" spans="1:11" ht="12.9" customHeight="1" thickBot="1" x14ac:dyDescent="0.3">
      <c r="A288" s="15"/>
      <c r="B288" s="16"/>
      <c r="C288" s="17"/>
      <c r="D288" s="17"/>
      <c r="E288" s="17"/>
      <c r="F288" s="17"/>
      <c r="G288" s="18"/>
      <c r="H288" s="46" t="s">
        <v>605</v>
      </c>
      <c r="I288" s="47"/>
      <c r="J288" s="47"/>
      <c r="K288" s="144">
        <f>ROUND(K287,-1)</f>
        <v>1251030</v>
      </c>
    </row>
    <row r="289" spans="1:11" ht="14.1" customHeight="1" x14ac:dyDescent="0.25">
      <c r="A289" s="81">
        <v>22</v>
      </c>
      <c r="B289" s="676" t="s">
        <v>713</v>
      </c>
      <c r="C289" s="677"/>
      <c r="D289" s="137" t="s">
        <v>1180</v>
      </c>
      <c r="E289" s="138"/>
      <c r="F289" s="139"/>
      <c r="G289" s="139"/>
      <c r="H289" s="140"/>
      <c r="I289" s="141"/>
      <c r="J289" s="142"/>
      <c r="K289" s="143"/>
    </row>
    <row r="290" spans="1:11" ht="13.2" customHeight="1" x14ac:dyDescent="0.25">
      <c r="A290" s="2"/>
      <c r="B290" s="20" t="s">
        <v>4</v>
      </c>
      <c r="C290" s="21" t="s">
        <v>973</v>
      </c>
      <c r="D290" s="14"/>
      <c r="E290" s="22"/>
      <c r="F290" s="23"/>
      <c r="G290" s="23"/>
      <c r="H290" s="24" t="s">
        <v>235</v>
      </c>
      <c r="I290" s="41">
        <v>2</v>
      </c>
      <c r="J290" s="25">
        <f t="shared" ref="J290:J297" si="39">J276</f>
        <v>258000</v>
      </c>
      <c r="K290" s="26">
        <f>I290*J290</f>
        <v>516000</v>
      </c>
    </row>
    <row r="291" spans="1:11" ht="13.2" customHeight="1" x14ac:dyDescent="0.25">
      <c r="A291" s="2"/>
      <c r="B291" s="20" t="s">
        <v>30</v>
      </c>
      <c r="C291" s="21" t="s">
        <v>2179</v>
      </c>
      <c r="D291" s="14"/>
      <c r="E291" s="22"/>
      <c r="F291" s="23"/>
      <c r="G291" s="23"/>
      <c r="H291" s="24" t="s">
        <v>264</v>
      </c>
      <c r="I291" s="61">
        <v>14</v>
      </c>
      <c r="J291" s="25" t="str">
        <f t="shared" si="39"/>
        <v>PLN</v>
      </c>
      <c r="K291" s="26"/>
    </row>
    <row r="292" spans="1:11" ht="13.2" customHeight="1" x14ac:dyDescent="0.25">
      <c r="A292" s="2"/>
      <c r="B292" s="20" t="s">
        <v>57</v>
      </c>
      <c r="C292" s="21" t="s">
        <v>974</v>
      </c>
      <c r="D292" s="14"/>
      <c r="E292" s="22"/>
      <c r="F292" s="23"/>
      <c r="G292" s="23"/>
      <c r="H292" s="24" t="s">
        <v>235</v>
      </c>
      <c r="I292" s="42">
        <v>1</v>
      </c>
      <c r="J292" s="25">
        <f t="shared" si="39"/>
        <v>105000</v>
      </c>
      <c r="K292" s="26">
        <f t="shared" ref="K292:K298" si="40">I292*J292</f>
        <v>105000</v>
      </c>
    </row>
    <row r="293" spans="1:11" ht="13.2" customHeight="1" x14ac:dyDescent="0.25">
      <c r="A293" s="2"/>
      <c r="B293" s="20" t="s">
        <v>83</v>
      </c>
      <c r="C293" s="21" t="s">
        <v>1175</v>
      </c>
      <c r="D293" s="14"/>
      <c r="E293" s="22"/>
      <c r="F293" s="23"/>
      <c r="G293" s="23"/>
      <c r="H293" s="24" t="s">
        <v>264</v>
      </c>
      <c r="I293" s="61">
        <f>0.8*5</f>
        <v>4</v>
      </c>
      <c r="J293" s="25">
        <f t="shared" si="39"/>
        <v>14700</v>
      </c>
      <c r="K293" s="26">
        <f t="shared" si="40"/>
        <v>58800</v>
      </c>
    </row>
    <row r="294" spans="1:11" ht="13.2" customHeight="1" x14ac:dyDescent="0.25">
      <c r="A294" s="2"/>
      <c r="B294" s="20" t="s">
        <v>110</v>
      </c>
      <c r="C294" s="21" t="s">
        <v>2180</v>
      </c>
      <c r="D294" s="14"/>
      <c r="E294" s="22"/>
      <c r="F294" s="23"/>
      <c r="G294" s="23"/>
      <c r="H294" s="24" t="s">
        <v>203</v>
      </c>
      <c r="I294" s="36">
        <v>2</v>
      </c>
      <c r="J294" s="25">
        <f>J280</f>
        <v>56500</v>
      </c>
      <c r="K294" s="26">
        <f t="shared" si="40"/>
        <v>113000</v>
      </c>
    </row>
    <row r="295" spans="1:11" ht="13.2" customHeight="1" x14ac:dyDescent="0.25">
      <c r="A295" s="2"/>
      <c r="B295" s="20" t="s">
        <v>137</v>
      </c>
      <c r="C295" s="21" t="s">
        <v>585</v>
      </c>
      <c r="D295" s="14"/>
      <c r="E295" s="22"/>
      <c r="F295" s="23"/>
      <c r="G295" s="23"/>
      <c r="H295" s="24" t="s">
        <v>203</v>
      </c>
      <c r="I295" s="36">
        <v>5</v>
      </c>
      <c r="J295" s="25">
        <f t="shared" si="39"/>
        <v>3960</v>
      </c>
      <c r="K295" s="26">
        <f t="shared" si="40"/>
        <v>19800</v>
      </c>
    </row>
    <row r="296" spans="1:11" ht="13.2" customHeight="1" x14ac:dyDescent="0.25">
      <c r="A296" s="2"/>
      <c r="B296" s="20" t="s">
        <v>156</v>
      </c>
      <c r="C296" s="21" t="s">
        <v>586</v>
      </c>
      <c r="D296" s="14"/>
      <c r="E296" s="22"/>
      <c r="F296" s="23"/>
      <c r="G296" s="23"/>
      <c r="H296" s="24" t="s">
        <v>203</v>
      </c>
      <c r="I296" s="42">
        <v>5</v>
      </c>
      <c r="J296" s="25">
        <f t="shared" si="39"/>
        <v>3650</v>
      </c>
      <c r="K296" s="26">
        <f t="shared" si="40"/>
        <v>18250</v>
      </c>
    </row>
    <row r="297" spans="1:11" ht="13.2" customHeight="1" x14ac:dyDescent="0.25">
      <c r="A297" s="2"/>
      <c r="B297" s="20" t="s">
        <v>175</v>
      </c>
      <c r="C297" s="21" t="s">
        <v>2188</v>
      </c>
      <c r="D297" s="14"/>
      <c r="E297" s="22"/>
      <c r="F297" s="23"/>
      <c r="G297" s="23"/>
      <c r="H297" s="24" t="s">
        <v>203</v>
      </c>
      <c r="I297" s="42">
        <v>3</v>
      </c>
      <c r="J297" s="25">
        <f t="shared" si="39"/>
        <v>56000</v>
      </c>
      <c r="K297" s="26">
        <f t="shared" si="40"/>
        <v>168000</v>
      </c>
    </row>
    <row r="298" spans="1:11" ht="13.2" customHeight="1" x14ac:dyDescent="0.25">
      <c r="A298" s="2"/>
      <c r="B298" s="20" t="s">
        <v>177</v>
      </c>
      <c r="C298" s="21" t="s">
        <v>2189</v>
      </c>
      <c r="D298" s="14"/>
      <c r="E298" s="22"/>
      <c r="F298" s="23"/>
      <c r="G298" s="23"/>
      <c r="H298" s="24" t="s">
        <v>203</v>
      </c>
      <c r="I298" s="36">
        <v>2</v>
      </c>
      <c r="J298" s="25">
        <f>J284</f>
        <v>44500</v>
      </c>
      <c r="K298" s="26">
        <f t="shared" si="40"/>
        <v>89000</v>
      </c>
    </row>
    <row r="299" spans="1:11" ht="12.9" customHeight="1" x14ac:dyDescent="0.25">
      <c r="A299" s="6"/>
      <c r="B299" s="7"/>
      <c r="C299" s="8"/>
      <c r="D299" s="8"/>
      <c r="E299" s="8"/>
      <c r="F299" s="8"/>
      <c r="G299" s="9"/>
      <c r="H299" s="10" t="s">
        <v>715</v>
      </c>
      <c r="I299" s="11"/>
      <c r="J299" s="11"/>
      <c r="K299" s="27">
        <f>SUM(K290:K298)</f>
        <v>1087850</v>
      </c>
    </row>
    <row r="300" spans="1:11" ht="12.9" customHeight="1" x14ac:dyDescent="0.25">
      <c r="A300" s="6"/>
      <c r="B300" s="5"/>
      <c r="C300" s="3"/>
      <c r="D300" s="3"/>
      <c r="E300" s="3"/>
      <c r="F300" s="3"/>
      <c r="G300" s="4"/>
      <c r="H300" s="12" t="s">
        <v>603</v>
      </c>
      <c r="I300" s="28">
        <f>$K$3</f>
        <v>0.15</v>
      </c>
      <c r="J300" s="13"/>
      <c r="K300" s="29">
        <f>I300*K299</f>
        <v>163177.5</v>
      </c>
    </row>
    <row r="301" spans="1:11" ht="12.9" customHeight="1" x14ac:dyDescent="0.25">
      <c r="A301" s="6"/>
      <c r="B301" s="5"/>
      <c r="C301" s="3"/>
      <c r="D301" s="3"/>
      <c r="E301" s="3"/>
      <c r="F301" s="3"/>
      <c r="G301" s="4"/>
      <c r="H301" s="12" t="s">
        <v>604</v>
      </c>
      <c r="I301" s="14"/>
      <c r="J301" s="14"/>
      <c r="K301" s="29">
        <f>SUM(K299:K300)</f>
        <v>1251027.5</v>
      </c>
    </row>
    <row r="302" spans="1:11" ht="12.9" customHeight="1" thickBot="1" x14ac:dyDescent="0.3">
      <c r="A302" s="15"/>
      <c r="B302" s="16"/>
      <c r="C302" s="17"/>
      <c r="D302" s="17"/>
      <c r="E302" s="17"/>
      <c r="F302" s="17"/>
      <c r="G302" s="18"/>
      <c r="H302" s="46" t="s">
        <v>605</v>
      </c>
      <c r="I302" s="47"/>
      <c r="J302" s="47"/>
      <c r="K302" s="144">
        <f>ROUND(K301,-1)</f>
        <v>1251030</v>
      </c>
    </row>
    <row r="303" spans="1:11" ht="14.1" customHeight="1" x14ac:dyDescent="0.25">
      <c r="A303" s="81">
        <v>23</v>
      </c>
      <c r="B303" s="676" t="s">
        <v>713</v>
      </c>
      <c r="C303" s="677"/>
      <c r="D303" s="137" t="s">
        <v>1181</v>
      </c>
      <c r="E303" s="138"/>
      <c r="F303" s="139"/>
      <c r="G303" s="139"/>
      <c r="H303" s="140"/>
      <c r="I303" s="141"/>
      <c r="J303" s="142"/>
      <c r="K303" s="143"/>
    </row>
    <row r="304" spans="1:11" ht="13.2" customHeight="1" x14ac:dyDescent="0.25">
      <c r="A304" s="2"/>
      <c r="B304" s="20" t="s">
        <v>4</v>
      </c>
      <c r="C304" s="21" t="s">
        <v>973</v>
      </c>
      <c r="D304" s="14"/>
      <c r="E304" s="22"/>
      <c r="F304" s="23"/>
      <c r="G304" s="23"/>
      <c r="H304" s="24" t="s">
        <v>235</v>
      </c>
      <c r="I304" s="41">
        <v>2</v>
      </c>
      <c r="J304" s="25">
        <f>J290</f>
        <v>258000</v>
      </c>
      <c r="K304" s="26">
        <f>I304*J304</f>
        <v>516000</v>
      </c>
    </row>
    <row r="305" spans="1:11" ht="13.2" customHeight="1" x14ac:dyDescent="0.25">
      <c r="A305" s="2"/>
      <c r="B305" s="20" t="s">
        <v>30</v>
      </c>
      <c r="C305" s="21" t="s">
        <v>2179</v>
      </c>
      <c r="D305" s="14"/>
      <c r="E305" s="22"/>
      <c r="F305" s="23"/>
      <c r="G305" s="23"/>
      <c r="H305" s="24" t="s">
        <v>264</v>
      </c>
      <c r="I305" s="61">
        <v>13</v>
      </c>
      <c r="J305" s="25" t="str">
        <f t="shared" ref="J305:J311" si="41">J291</f>
        <v>PLN</v>
      </c>
      <c r="K305" s="26"/>
    </row>
    <row r="306" spans="1:11" ht="13.2" customHeight="1" x14ac:dyDescent="0.25">
      <c r="A306" s="2"/>
      <c r="B306" s="20" t="s">
        <v>57</v>
      </c>
      <c r="C306" s="21" t="s">
        <v>974</v>
      </c>
      <c r="D306" s="14"/>
      <c r="E306" s="22"/>
      <c r="F306" s="23"/>
      <c r="G306" s="23"/>
      <c r="H306" s="24" t="s">
        <v>235</v>
      </c>
      <c r="I306" s="42">
        <v>1</v>
      </c>
      <c r="J306" s="25">
        <f t="shared" si="41"/>
        <v>105000</v>
      </c>
      <c r="K306" s="26">
        <f t="shared" ref="K306:K312" si="42">I306*J306</f>
        <v>105000</v>
      </c>
    </row>
    <row r="307" spans="1:11" ht="13.2" customHeight="1" x14ac:dyDescent="0.25">
      <c r="A307" s="2"/>
      <c r="B307" s="20" t="s">
        <v>83</v>
      </c>
      <c r="C307" s="21" t="s">
        <v>1175</v>
      </c>
      <c r="D307" s="14"/>
      <c r="E307" s="22"/>
      <c r="F307" s="23"/>
      <c r="G307" s="23"/>
      <c r="H307" s="24" t="s">
        <v>264</v>
      </c>
      <c r="I307" s="61">
        <v>4</v>
      </c>
      <c r="J307" s="25">
        <f t="shared" si="41"/>
        <v>14700</v>
      </c>
      <c r="K307" s="26">
        <f t="shared" si="42"/>
        <v>58800</v>
      </c>
    </row>
    <row r="308" spans="1:11" ht="13.2" customHeight="1" x14ac:dyDescent="0.25">
      <c r="A308" s="2"/>
      <c r="B308" s="20" t="s">
        <v>110</v>
      </c>
      <c r="C308" s="21" t="s">
        <v>2180</v>
      </c>
      <c r="D308" s="14"/>
      <c r="E308" s="22"/>
      <c r="F308" s="23"/>
      <c r="G308" s="23"/>
      <c r="H308" s="24" t="s">
        <v>203</v>
      </c>
      <c r="I308" s="36">
        <v>2</v>
      </c>
      <c r="J308" s="25">
        <f>J294</f>
        <v>56500</v>
      </c>
      <c r="K308" s="26">
        <f t="shared" si="42"/>
        <v>113000</v>
      </c>
    </row>
    <row r="309" spans="1:11" ht="13.2" customHeight="1" x14ac:dyDescent="0.25">
      <c r="A309" s="2"/>
      <c r="B309" s="20" t="s">
        <v>137</v>
      </c>
      <c r="C309" s="21" t="s">
        <v>585</v>
      </c>
      <c r="D309" s="14"/>
      <c r="E309" s="22"/>
      <c r="F309" s="23"/>
      <c r="G309" s="23"/>
      <c r="H309" s="24" t="s">
        <v>203</v>
      </c>
      <c r="I309" s="36">
        <v>5</v>
      </c>
      <c r="J309" s="25">
        <f t="shared" si="41"/>
        <v>3960</v>
      </c>
      <c r="K309" s="26">
        <f t="shared" si="42"/>
        <v>19800</v>
      </c>
    </row>
    <row r="310" spans="1:11" ht="13.2" customHeight="1" x14ac:dyDescent="0.25">
      <c r="A310" s="2"/>
      <c r="B310" s="20" t="s">
        <v>156</v>
      </c>
      <c r="C310" s="21" t="s">
        <v>586</v>
      </c>
      <c r="D310" s="14"/>
      <c r="E310" s="22"/>
      <c r="F310" s="23"/>
      <c r="G310" s="23"/>
      <c r="H310" s="24" t="s">
        <v>203</v>
      </c>
      <c r="I310" s="42">
        <v>5</v>
      </c>
      <c r="J310" s="25">
        <f t="shared" si="41"/>
        <v>3650</v>
      </c>
      <c r="K310" s="26">
        <f t="shared" si="42"/>
        <v>18250</v>
      </c>
    </row>
    <row r="311" spans="1:11" ht="13.2" customHeight="1" x14ac:dyDescent="0.25">
      <c r="A311" s="2"/>
      <c r="B311" s="20" t="s">
        <v>175</v>
      </c>
      <c r="C311" s="21" t="s">
        <v>2188</v>
      </c>
      <c r="D311" s="14"/>
      <c r="E311" s="22"/>
      <c r="F311" s="23"/>
      <c r="G311" s="23"/>
      <c r="H311" s="24" t="s">
        <v>203</v>
      </c>
      <c r="I311" s="42">
        <v>3</v>
      </c>
      <c r="J311" s="25">
        <f t="shared" si="41"/>
        <v>56000</v>
      </c>
      <c r="K311" s="26">
        <f t="shared" si="42"/>
        <v>168000</v>
      </c>
    </row>
    <row r="312" spans="1:11" ht="13.2" customHeight="1" x14ac:dyDescent="0.25">
      <c r="A312" s="2"/>
      <c r="B312" s="20" t="s">
        <v>177</v>
      </c>
      <c r="C312" s="21" t="s">
        <v>2189</v>
      </c>
      <c r="D312" s="14"/>
      <c r="E312" s="22"/>
      <c r="F312" s="23"/>
      <c r="G312" s="23"/>
      <c r="H312" s="24" t="s">
        <v>203</v>
      </c>
      <c r="I312" s="36">
        <v>2</v>
      </c>
      <c r="J312" s="25">
        <f>J298</f>
        <v>44500</v>
      </c>
      <c r="K312" s="26">
        <f t="shared" si="42"/>
        <v>89000</v>
      </c>
    </row>
    <row r="313" spans="1:11" ht="12.9" customHeight="1" x14ac:dyDescent="0.25">
      <c r="A313" s="6"/>
      <c r="B313" s="7"/>
      <c r="C313" s="8"/>
      <c r="D313" s="8"/>
      <c r="E313" s="8"/>
      <c r="F313" s="8"/>
      <c r="G313" s="9"/>
      <c r="H313" s="10" t="s">
        <v>715</v>
      </c>
      <c r="I313" s="11"/>
      <c r="J313" s="11"/>
      <c r="K313" s="27">
        <f>SUM(K304:K312)</f>
        <v>1087850</v>
      </c>
    </row>
    <row r="314" spans="1:11" ht="12.9" customHeight="1" x14ac:dyDescent="0.25">
      <c r="A314" s="6"/>
      <c r="B314" s="5"/>
      <c r="C314" s="3"/>
      <c r="D314" s="3"/>
      <c r="E314" s="3"/>
      <c r="F314" s="3"/>
      <c r="G314" s="4"/>
      <c r="H314" s="12" t="s">
        <v>603</v>
      </c>
      <c r="I314" s="28">
        <f>$K$3</f>
        <v>0.15</v>
      </c>
      <c r="J314" s="13"/>
      <c r="K314" s="29">
        <f>I314*K313</f>
        <v>163177.5</v>
      </c>
    </row>
    <row r="315" spans="1:11" ht="12.9" customHeight="1" x14ac:dyDescent="0.25">
      <c r="A315" s="6"/>
      <c r="B315" s="5"/>
      <c r="C315" s="3"/>
      <c r="D315" s="3"/>
      <c r="E315" s="3"/>
      <c r="F315" s="3"/>
      <c r="G315" s="4"/>
      <c r="H315" s="12" t="s">
        <v>604</v>
      </c>
      <c r="I315" s="14"/>
      <c r="J315" s="14"/>
      <c r="K315" s="29">
        <f>SUM(K313:K314)</f>
        <v>1251027.5</v>
      </c>
    </row>
    <row r="316" spans="1:11" ht="12.9" customHeight="1" thickBot="1" x14ac:dyDescent="0.3">
      <c r="A316" s="15"/>
      <c r="B316" s="16"/>
      <c r="C316" s="17"/>
      <c r="D316" s="17"/>
      <c r="E316" s="17"/>
      <c r="F316" s="17"/>
      <c r="G316" s="18"/>
      <c r="H316" s="46" t="s">
        <v>605</v>
      </c>
      <c r="I316" s="47"/>
      <c r="J316" s="47"/>
      <c r="K316" s="144">
        <f>ROUND(K315,-1)</f>
        <v>1251030</v>
      </c>
    </row>
    <row r="317" spans="1:11" ht="14.1" customHeight="1" x14ac:dyDescent="0.25">
      <c r="A317" s="81">
        <v>24</v>
      </c>
      <c r="B317" s="676" t="s">
        <v>713</v>
      </c>
      <c r="C317" s="677"/>
      <c r="D317" s="137" t="s">
        <v>1182</v>
      </c>
      <c r="E317" s="138"/>
      <c r="F317" s="139"/>
      <c r="G317" s="139"/>
      <c r="H317" s="140"/>
      <c r="I317" s="141"/>
      <c r="J317" s="142"/>
      <c r="K317" s="143"/>
    </row>
    <row r="318" spans="1:11" ht="13.2" customHeight="1" x14ac:dyDescent="0.25">
      <c r="A318" s="2"/>
      <c r="B318" s="20" t="s">
        <v>4</v>
      </c>
      <c r="C318" s="21" t="s">
        <v>973</v>
      </c>
      <c r="D318" s="14"/>
      <c r="E318" s="22"/>
      <c r="F318" s="23"/>
      <c r="G318" s="23"/>
      <c r="H318" s="24" t="s">
        <v>235</v>
      </c>
      <c r="I318" s="41">
        <v>2</v>
      </c>
      <c r="J318" s="25">
        <f>J304</f>
        <v>258000</v>
      </c>
      <c r="K318" s="26">
        <f>I318*J318</f>
        <v>516000</v>
      </c>
    </row>
    <row r="319" spans="1:11" ht="13.2" customHeight="1" x14ac:dyDescent="0.25">
      <c r="A319" s="2"/>
      <c r="B319" s="20" t="s">
        <v>30</v>
      </c>
      <c r="C319" s="21" t="s">
        <v>2179</v>
      </c>
      <c r="D319" s="14"/>
      <c r="E319" s="22"/>
      <c r="F319" s="23"/>
      <c r="G319" s="23"/>
      <c r="H319" s="24" t="s">
        <v>264</v>
      </c>
      <c r="I319" s="61">
        <v>12.5</v>
      </c>
      <c r="J319" s="25" t="str">
        <f t="shared" ref="J319:J325" si="43">J305</f>
        <v>PLN</v>
      </c>
      <c r="K319" s="26"/>
    </row>
    <row r="320" spans="1:11" ht="13.2" customHeight="1" x14ac:dyDescent="0.25">
      <c r="A320" s="2"/>
      <c r="B320" s="20" t="s">
        <v>57</v>
      </c>
      <c r="C320" s="21" t="s">
        <v>974</v>
      </c>
      <c r="D320" s="14"/>
      <c r="E320" s="22"/>
      <c r="F320" s="23"/>
      <c r="G320" s="23"/>
      <c r="H320" s="24" t="s">
        <v>235</v>
      </c>
      <c r="I320" s="42">
        <v>1</v>
      </c>
      <c r="J320" s="25">
        <f t="shared" si="43"/>
        <v>105000</v>
      </c>
      <c r="K320" s="26">
        <f t="shared" ref="K320:K326" si="44">I320*J320</f>
        <v>105000</v>
      </c>
    </row>
    <row r="321" spans="1:11" ht="13.2" customHeight="1" x14ac:dyDescent="0.25">
      <c r="A321" s="2"/>
      <c r="B321" s="20" t="s">
        <v>83</v>
      </c>
      <c r="C321" s="21" t="s">
        <v>1175</v>
      </c>
      <c r="D321" s="14"/>
      <c r="E321" s="22"/>
      <c r="F321" s="23"/>
      <c r="G321" s="23"/>
      <c r="H321" s="24" t="s">
        <v>264</v>
      </c>
      <c r="I321" s="61">
        <v>4</v>
      </c>
      <c r="J321" s="25">
        <f t="shared" si="43"/>
        <v>14700</v>
      </c>
      <c r="K321" s="26">
        <f t="shared" si="44"/>
        <v>58800</v>
      </c>
    </row>
    <row r="322" spans="1:11" ht="13.2" customHeight="1" x14ac:dyDescent="0.25">
      <c r="A322" s="2"/>
      <c r="B322" s="20" t="s">
        <v>110</v>
      </c>
      <c r="C322" s="21" t="s">
        <v>2180</v>
      </c>
      <c r="D322" s="14"/>
      <c r="E322" s="22"/>
      <c r="F322" s="23"/>
      <c r="G322" s="23"/>
      <c r="H322" s="24" t="s">
        <v>203</v>
      </c>
      <c r="I322" s="36">
        <v>2</v>
      </c>
      <c r="J322" s="25">
        <f>J308</f>
        <v>56500</v>
      </c>
      <c r="K322" s="26">
        <f t="shared" si="44"/>
        <v>113000</v>
      </c>
    </row>
    <row r="323" spans="1:11" ht="13.2" customHeight="1" x14ac:dyDescent="0.25">
      <c r="A323" s="2"/>
      <c r="B323" s="20" t="s">
        <v>137</v>
      </c>
      <c r="C323" s="21" t="s">
        <v>585</v>
      </c>
      <c r="D323" s="14"/>
      <c r="E323" s="22"/>
      <c r="F323" s="23"/>
      <c r="G323" s="23"/>
      <c r="H323" s="24" t="s">
        <v>203</v>
      </c>
      <c r="I323" s="36">
        <v>5</v>
      </c>
      <c r="J323" s="25">
        <f t="shared" si="43"/>
        <v>3960</v>
      </c>
      <c r="K323" s="26">
        <f t="shared" si="44"/>
        <v>19800</v>
      </c>
    </row>
    <row r="324" spans="1:11" ht="13.2" customHeight="1" x14ac:dyDescent="0.25">
      <c r="A324" s="2"/>
      <c r="B324" s="20" t="s">
        <v>156</v>
      </c>
      <c r="C324" s="21" t="s">
        <v>586</v>
      </c>
      <c r="D324" s="14"/>
      <c r="E324" s="22"/>
      <c r="F324" s="23"/>
      <c r="G324" s="23"/>
      <c r="H324" s="24" t="s">
        <v>203</v>
      </c>
      <c r="I324" s="42">
        <v>5</v>
      </c>
      <c r="J324" s="25">
        <f t="shared" si="43"/>
        <v>3650</v>
      </c>
      <c r="K324" s="26">
        <f t="shared" si="44"/>
        <v>18250</v>
      </c>
    </row>
    <row r="325" spans="1:11" ht="13.2" customHeight="1" x14ac:dyDescent="0.25">
      <c r="A325" s="2"/>
      <c r="B325" s="20" t="s">
        <v>175</v>
      </c>
      <c r="C325" s="21" t="s">
        <v>2188</v>
      </c>
      <c r="D325" s="14"/>
      <c r="E325" s="22"/>
      <c r="F325" s="23"/>
      <c r="G325" s="23"/>
      <c r="H325" s="24" t="s">
        <v>203</v>
      </c>
      <c r="I325" s="42">
        <v>3</v>
      </c>
      <c r="J325" s="25">
        <f t="shared" si="43"/>
        <v>56000</v>
      </c>
      <c r="K325" s="26">
        <f t="shared" si="44"/>
        <v>168000</v>
      </c>
    </row>
    <row r="326" spans="1:11" ht="13.2" customHeight="1" x14ac:dyDescent="0.25">
      <c r="A326" s="2"/>
      <c r="B326" s="20" t="s">
        <v>177</v>
      </c>
      <c r="C326" s="21" t="s">
        <v>2189</v>
      </c>
      <c r="D326" s="14"/>
      <c r="E326" s="22"/>
      <c r="F326" s="23"/>
      <c r="G326" s="23"/>
      <c r="H326" s="24" t="s">
        <v>203</v>
      </c>
      <c r="I326" s="36">
        <v>2</v>
      </c>
      <c r="J326" s="25">
        <f>J312</f>
        <v>44500</v>
      </c>
      <c r="K326" s="26">
        <f t="shared" si="44"/>
        <v>89000</v>
      </c>
    </row>
    <row r="327" spans="1:11" ht="12.9" customHeight="1" x14ac:dyDescent="0.25">
      <c r="A327" s="6"/>
      <c r="B327" s="7"/>
      <c r="C327" s="8"/>
      <c r="D327" s="8"/>
      <c r="E327" s="8"/>
      <c r="F327" s="8"/>
      <c r="G327" s="9"/>
      <c r="H327" s="10" t="s">
        <v>715</v>
      </c>
      <c r="I327" s="11"/>
      <c r="J327" s="11"/>
      <c r="K327" s="27">
        <f>SUM(K318:K326)</f>
        <v>1087850</v>
      </c>
    </row>
    <row r="328" spans="1:11" ht="12.9" customHeight="1" x14ac:dyDescent="0.25">
      <c r="A328" s="6"/>
      <c r="B328" s="5"/>
      <c r="C328" s="3"/>
      <c r="D328" s="3"/>
      <c r="E328" s="3"/>
      <c r="F328" s="3"/>
      <c r="G328" s="4"/>
      <c r="H328" s="12" t="s">
        <v>603</v>
      </c>
      <c r="I328" s="28">
        <f>$K$3</f>
        <v>0.15</v>
      </c>
      <c r="J328" s="13"/>
      <c r="K328" s="29">
        <f>I328*K327</f>
        <v>163177.5</v>
      </c>
    </row>
    <row r="329" spans="1:11" ht="12.9" customHeight="1" x14ac:dyDescent="0.25">
      <c r="A329" s="6"/>
      <c r="B329" s="5"/>
      <c r="C329" s="3"/>
      <c r="D329" s="3"/>
      <c r="E329" s="3"/>
      <c r="F329" s="3"/>
      <c r="G329" s="4"/>
      <c r="H329" s="12" t="s">
        <v>604</v>
      </c>
      <c r="I329" s="14"/>
      <c r="J329" s="14"/>
      <c r="K329" s="29">
        <f>SUM(K327:K328)</f>
        <v>1251027.5</v>
      </c>
    </row>
    <row r="330" spans="1:11" ht="12.9" customHeight="1" thickBot="1" x14ac:dyDescent="0.3">
      <c r="A330" s="15"/>
      <c r="B330" s="16"/>
      <c r="C330" s="17"/>
      <c r="D330" s="17"/>
      <c r="E330" s="17"/>
      <c r="F330" s="17"/>
      <c r="G330" s="18"/>
      <c r="H330" s="46" t="s">
        <v>605</v>
      </c>
      <c r="I330" s="47"/>
      <c r="J330" s="47"/>
      <c r="K330" s="144">
        <f>ROUND(K329,-1)</f>
        <v>1251030</v>
      </c>
    </row>
    <row r="331" spans="1:11" ht="14.1" customHeight="1" x14ac:dyDescent="0.25">
      <c r="A331" s="81">
        <v>25</v>
      </c>
      <c r="B331" s="676" t="s">
        <v>713</v>
      </c>
      <c r="C331" s="677"/>
      <c r="D331" s="137" t="s">
        <v>1439</v>
      </c>
      <c r="E331" s="138"/>
      <c r="F331" s="139"/>
      <c r="G331" s="139"/>
      <c r="H331" s="140"/>
      <c r="I331" s="141"/>
      <c r="J331" s="142"/>
      <c r="K331" s="143"/>
    </row>
    <row r="332" spans="1:11" ht="13.2" customHeight="1" x14ac:dyDescent="0.25">
      <c r="A332" s="2"/>
      <c r="B332" s="20" t="s">
        <v>4</v>
      </c>
      <c r="C332" s="21" t="s">
        <v>561</v>
      </c>
      <c r="D332" s="14"/>
      <c r="E332" s="22"/>
      <c r="F332" s="23"/>
      <c r="G332" s="23"/>
      <c r="H332" s="24" t="s">
        <v>203</v>
      </c>
      <c r="I332" s="41">
        <v>2</v>
      </c>
      <c r="J332" s="25">
        <f>'Harga Satuan Dasar mat'!G688</f>
        <v>56000</v>
      </c>
      <c r="K332" s="26">
        <f t="shared" ref="K332:K334" si="45">I332*J332</f>
        <v>112000</v>
      </c>
    </row>
    <row r="333" spans="1:11" ht="13.2" customHeight="1" x14ac:dyDescent="0.25">
      <c r="A333" s="2"/>
      <c r="B333" s="20" t="s">
        <v>30</v>
      </c>
      <c r="C333" s="21" t="s">
        <v>1437</v>
      </c>
      <c r="D333" s="14"/>
      <c r="E333" s="22"/>
      <c r="F333" s="23"/>
      <c r="G333" s="23"/>
      <c r="H333" s="24" t="s">
        <v>264</v>
      </c>
      <c r="I333" s="61">
        <v>9</v>
      </c>
      <c r="J333" s="25">
        <f>J61</f>
        <v>110000</v>
      </c>
      <c r="K333" s="26">
        <f t="shared" si="45"/>
        <v>990000</v>
      </c>
    </row>
    <row r="334" spans="1:11" ht="13.2" customHeight="1" x14ac:dyDescent="0.25">
      <c r="A334" s="2"/>
      <c r="B334" s="20" t="s">
        <v>57</v>
      </c>
      <c r="C334" s="21" t="s">
        <v>1438</v>
      </c>
      <c r="D334" s="14"/>
      <c r="E334" s="22"/>
      <c r="F334" s="23"/>
      <c r="G334" s="23"/>
      <c r="H334" s="24" t="s">
        <v>203</v>
      </c>
      <c r="I334" s="68">
        <v>1</v>
      </c>
      <c r="J334" s="25">
        <f>'Harga Satuan Dasar mat'!G466</f>
        <v>320000</v>
      </c>
      <c r="K334" s="26">
        <f t="shared" si="45"/>
        <v>320000</v>
      </c>
    </row>
    <row r="335" spans="1:11" ht="12.9" customHeight="1" x14ac:dyDescent="0.25">
      <c r="A335" s="6"/>
      <c r="B335" s="7"/>
      <c r="C335" s="8"/>
      <c r="D335" s="8"/>
      <c r="E335" s="8"/>
      <c r="F335" s="8"/>
      <c r="G335" s="9"/>
      <c r="H335" s="10" t="s">
        <v>715</v>
      </c>
      <c r="I335" s="11"/>
      <c r="J335" s="11"/>
      <c r="K335" s="27">
        <f>SUM(K332:K334)</f>
        <v>1422000</v>
      </c>
    </row>
    <row r="336" spans="1:11" ht="12.9" customHeight="1" x14ac:dyDescent="0.25">
      <c r="A336" s="6"/>
      <c r="B336" s="5"/>
      <c r="C336" s="3"/>
      <c r="D336" s="3"/>
      <c r="E336" s="3"/>
      <c r="F336" s="3"/>
      <c r="G336" s="4"/>
      <c r="H336" s="12" t="s">
        <v>603</v>
      </c>
      <c r="I336" s="28">
        <f>I160</f>
        <v>0.15</v>
      </c>
      <c r="J336" s="13"/>
      <c r="K336" s="29">
        <f>I336*K335</f>
        <v>213300</v>
      </c>
    </row>
    <row r="337" spans="1:11" ht="12.9" customHeight="1" x14ac:dyDescent="0.25">
      <c r="A337" s="6"/>
      <c r="B337" s="5"/>
      <c r="C337" s="3"/>
      <c r="D337" s="3"/>
      <c r="E337" s="3"/>
      <c r="F337" s="3"/>
      <c r="G337" s="4"/>
      <c r="H337" s="12" t="s">
        <v>604</v>
      </c>
      <c r="I337" s="14"/>
      <c r="J337" s="14"/>
      <c r="K337" s="29">
        <f>SUM(K335:K336)</f>
        <v>1635300</v>
      </c>
    </row>
    <row r="338" spans="1:11" ht="12.9" customHeight="1" thickBot="1" x14ac:dyDescent="0.3">
      <c r="A338" s="15"/>
      <c r="B338" s="16"/>
      <c r="C338" s="17"/>
      <c r="D338" s="17"/>
      <c r="E338" s="17"/>
      <c r="F338" s="17"/>
      <c r="G338" s="18"/>
      <c r="H338" s="46" t="s">
        <v>605</v>
      </c>
      <c r="I338" s="47"/>
      <c r="J338" s="47"/>
      <c r="K338" s="144">
        <f>ROUND(K337,-1)</f>
        <v>1635300</v>
      </c>
    </row>
    <row r="339" spans="1:11" ht="14.1" customHeight="1" x14ac:dyDescent="0.25">
      <c r="A339" s="81">
        <v>26</v>
      </c>
      <c r="B339" s="705" t="s">
        <v>713</v>
      </c>
      <c r="C339" s="706"/>
      <c r="D339" s="82" t="s">
        <v>1908</v>
      </c>
      <c r="E339" s="83"/>
      <c r="F339" s="84"/>
      <c r="G339" s="85"/>
      <c r="H339" s="140"/>
      <c r="I339" s="141"/>
      <c r="J339" s="142"/>
      <c r="K339" s="143"/>
    </row>
    <row r="340" spans="1:11" ht="13.2" customHeight="1" x14ac:dyDescent="0.25">
      <c r="A340" s="2"/>
      <c r="B340" s="20" t="s">
        <v>4</v>
      </c>
      <c r="C340" s="21" t="s">
        <v>1904</v>
      </c>
      <c r="D340" s="14"/>
      <c r="E340" s="22"/>
      <c r="F340" s="23"/>
      <c r="G340" s="136"/>
      <c r="H340" s="24" t="s">
        <v>264</v>
      </c>
      <c r="I340" s="61">
        <v>18</v>
      </c>
      <c r="J340" s="25">
        <f>'Harga Satuan Dasar mat'!G370</f>
        <v>13400</v>
      </c>
      <c r="K340" s="26">
        <f t="shared" ref="K340:K345" si="46">I340*J340</f>
        <v>241200</v>
      </c>
    </row>
    <row r="341" spans="1:11" ht="13.2" customHeight="1" x14ac:dyDescent="0.25">
      <c r="A341" s="2"/>
      <c r="B341" s="20" t="s">
        <v>30</v>
      </c>
      <c r="C341" s="21" t="s">
        <v>1905</v>
      </c>
      <c r="D341" s="14"/>
      <c r="E341" s="22"/>
      <c r="F341" s="23"/>
      <c r="G341" s="136"/>
      <c r="H341" s="24" t="s">
        <v>264</v>
      </c>
      <c r="I341" s="39">
        <v>5</v>
      </c>
      <c r="J341" s="25">
        <f>'Harga Satuan Dasar mat'!G731</f>
        <v>14700</v>
      </c>
      <c r="K341" s="26">
        <f t="shared" si="46"/>
        <v>73500</v>
      </c>
    </row>
    <row r="342" spans="1:11" ht="13.2" customHeight="1" x14ac:dyDescent="0.25">
      <c r="A342" s="2"/>
      <c r="B342" s="20" t="s">
        <v>57</v>
      </c>
      <c r="C342" s="21" t="s">
        <v>585</v>
      </c>
      <c r="D342" s="14"/>
      <c r="E342" s="22"/>
      <c r="F342" s="23"/>
      <c r="G342" s="136"/>
      <c r="H342" s="24" t="s">
        <v>203</v>
      </c>
      <c r="I342" s="36">
        <v>5</v>
      </c>
      <c r="J342" s="25">
        <f>'Harga Satuan Dasar mat'!G732</f>
        <v>3960</v>
      </c>
      <c r="K342" s="26">
        <f t="shared" si="46"/>
        <v>19800</v>
      </c>
    </row>
    <row r="343" spans="1:11" ht="13.2" customHeight="1" x14ac:dyDescent="0.25">
      <c r="A343" s="2"/>
      <c r="B343" s="20" t="s">
        <v>83</v>
      </c>
      <c r="C343" s="21" t="s">
        <v>1906</v>
      </c>
      <c r="D343" s="14"/>
      <c r="E343" s="22"/>
      <c r="F343" s="23"/>
      <c r="G343" s="136"/>
      <c r="H343" s="24" t="s">
        <v>203</v>
      </c>
      <c r="I343" s="36">
        <v>6</v>
      </c>
      <c r="J343" s="25">
        <f>'Harga Satuan Dasar mat'!G733</f>
        <v>3650</v>
      </c>
      <c r="K343" s="26">
        <f t="shared" si="46"/>
        <v>21900</v>
      </c>
    </row>
    <row r="344" spans="1:11" ht="13.2" customHeight="1" x14ac:dyDescent="0.25">
      <c r="A344" s="2"/>
      <c r="B344" s="20" t="s">
        <v>110</v>
      </c>
      <c r="C344" s="21" t="s">
        <v>1907</v>
      </c>
      <c r="D344" s="14"/>
      <c r="E344" s="22"/>
      <c r="F344" s="23"/>
      <c r="G344" s="136"/>
      <c r="H344" s="24" t="s">
        <v>203</v>
      </c>
      <c r="I344" s="36">
        <v>1</v>
      </c>
      <c r="J344" s="25">
        <f>'Harga Satuan Dasar mat'!G466</f>
        <v>320000</v>
      </c>
      <c r="K344" s="26">
        <f t="shared" si="46"/>
        <v>320000</v>
      </c>
    </row>
    <row r="345" spans="1:11" ht="13.2" customHeight="1" x14ac:dyDescent="0.25">
      <c r="A345" s="2"/>
      <c r="B345" s="20" t="s">
        <v>137</v>
      </c>
      <c r="C345" s="21" t="s">
        <v>1909</v>
      </c>
      <c r="D345" s="14"/>
      <c r="E345" s="22"/>
      <c r="F345" s="23"/>
      <c r="G345" s="136"/>
      <c r="H345" s="24" t="s">
        <v>203</v>
      </c>
      <c r="I345" s="36">
        <v>1</v>
      </c>
      <c r="J345" s="25">
        <f>'Harga Satuan Dasar mat'!G602</f>
        <v>17188</v>
      </c>
      <c r="K345" s="26">
        <f t="shared" si="46"/>
        <v>17188</v>
      </c>
    </row>
    <row r="346" spans="1:11" ht="12.9" customHeight="1" x14ac:dyDescent="0.25">
      <c r="A346" s="6"/>
      <c r="B346" s="7"/>
      <c r="C346" s="8"/>
      <c r="D346" s="8"/>
      <c r="E346" s="8"/>
      <c r="F346" s="8"/>
      <c r="G346" s="9"/>
      <c r="H346" s="10" t="s">
        <v>715</v>
      </c>
      <c r="I346" s="11"/>
      <c r="J346" s="11"/>
      <c r="K346" s="27">
        <f>SUM(K340:K345)</f>
        <v>693588</v>
      </c>
    </row>
    <row r="347" spans="1:11" ht="12.9" customHeight="1" x14ac:dyDescent="0.25">
      <c r="A347" s="6"/>
      <c r="B347" s="5"/>
      <c r="C347" s="3"/>
      <c r="D347" s="3"/>
      <c r="E347" s="3"/>
      <c r="F347" s="3"/>
      <c r="G347" s="4"/>
      <c r="H347" s="12" t="s">
        <v>603</v>
      </c>
      <c r="I347" s="28">
        <f>I336</f>
        <v>0.15</v>
      </c>
      <c r="J347" s="13"/>
      <c r="K347" s="29">
        <f>I347*K346</f>
        <v>104038.2</v>
      </c>
    </row>
    <row r="348" spans="1:11" ht="12.9" customHeight="1" x14ac:dyDescent="0.25">
      <c r="A348" s="6"/>
      <c r="B348" s="5"/>
      <c r="C348" s="3"/>
      <c r="D348" s="3"/>
      <c r="E348" s="3"/>
      <c r="F348" s="3"/>
      <c r="G348" s="4"/>
      <c r="H348" s="12" t="s">
        <v>604</v>
      </c>
      <c r="I348" s="14"/>
      <c r="J348" s="14"/>
      <c r="K348" s="29">
        <f>SUM(K346:K347)</f>
        <v>797626.2</v>
      </c>
    </row>
    <row r="349" spans="1:11" ht="12.9" customHeight="1" thickBot="1" x14ac:dyDescent="0.3">
      <c r="A349" s="15"/>
      <c r="B349" s="16"/>
      <c r="C349" s="17"/>
      <c r="D349" s="17"/>
      <c r="E349" s="17"/>
      <c r="F349" s="17"/>
      <c r="G349" s="18"/>
      <c r="H349" s="46" t="s">
        <v>605</v>
      </c>
      <c r="I349" s="47"/>
      <c r="J349" s="47"/>
      <c r="K349" s="144">
        <f>ROUND(K348,-1)</f>
        <v>797630</v>
      </c>
    </row>
    <row r="350" spans="1:11" ht="14.1" customHeight="1" x14ac:dyDescent="0.25">
      <c r="A350" s="81">
        <v>27</v>
      </c>
      <c r="B350" s="705" t="s">
        <v>713</v>
      </c>
      <c r="C350" s="706"/>
      <c r="D350" s="82" t="s">
        <v>1913</v>
      </c>
      <c r="E350" s="83"/>
      <c r="F350" s="84"/>
      <c r="G350" s="85"/>
      <c r="H350" s="140"/>
      <c r="I350" s="141"/>
      <c r="J350" s="142"/>
      <c r="K350" s="143"/>
    </row>
    <row r="351" spans="1:11" ht="13.2" customHeight="1" x14ac:dyDescent="0.25">
      <c r="A351" s="2"/>
      <c r="B351" s="20" t="s">
        <v>4</v>
      </c>
      <c r="C351" s="21" t="s">
        <v>1904</v>
      </c>
      <c r="D351" s="14"/>
      <c r="E351" s="22"/>
      <c r="F351" s="23"/>
      <c r="G351" s="136"/>
      <c r="H351" s="24" t="s">
        <v>264</v>
      </c>
      <c r="I351" s="61">
        <v>17</v>
      </c>
      <c r="J351" s="25">
        <f>J340</f>
        <v>13400</v>
      </c>
      <c r="K351" s="26">
        <f t="shared" ref="K351:K356" si="47">I351*J351</f>
        <v>227800</v>
      </c>
    </row>
    <row r="352" spans="1:11" ht="13.2" customHeight="1" x14ac:dyDescent="0.25">
      <c r="A352" s="2"/>
      <c r="B352" s="20" t="s">
        <v>30</v>
      </c>
      <c r="C352" s="21" t="s">
        <v>1905</v>
      </c>
      <c r="D352" s="14"/>
      <c r="E352" s="22"/>
      <c r="F352" s="23"/>
      <c r="G352" s="136"/>
      <c r="H352" s="24" t="s">
        <v>264</v>
      </c>
      <c r="I352" s="39">
        <v>5</v>
      </c>
      <c r="J352" s="25">
        <f t="shared" ref="J352:J356" si="48">J341</f>
        <v>14700</v>
      </c>
      <c r="K352" s="26">
        <f t="shared" si="47"/>
        <v>73500</v>
      </c>
    </row>
    <row r="353" spans="1:11" ht="13.2" customHeight="1" x14ac:dyDescent="0.25">
      <c r="A353" s="2"/>
      <c r="B353" s="20" t="s">
        <v>57</v>
      </c>
      <c r="C353" s="21" t="s">
        <v>585</v>
      </c>
      <c r="D353" s="14"/>
      <c r="E353" s="22"/>
      <c r="F353" s="23"/>
      <c r="G353" s="136"/>
      <c r="H353" s="24" t="s">
        <v>203</v>
      </c>
      <c r="I353" s="36">
        <v>5</v>
      </c>
      <c r="J353" s="25">
        <f t="shared" si="48"/>
        <v>3960</v>
      </c>
      <c r="K353" s="26">
        <f t="shared" si="47"/>
        <v>19800</v>
      </c>
    </row>
    <row r="354" spans="1:11" ht="13.2" customHeight="1" x14ac:dyDescent="0.25">
      <c r="A354" s="2"/>
      <c r="B354" s="20" t="s">
        <v>83</v>
      </c>
      <c r="C354" s="21" t="s">
        <v>1906</v>
      </c>
      <c r="D354" s="14"/>
      <c r="E354" s="22"/>
      <c r="F354" s="23"/>
      <c r="G354" s="136"/>
      <c r="H354" s="24" t="s">
        <v>203</v>
      </c>
      <c r="I354" s="36">
        <v>6</v>
      </c>
      <c r="J354" s="25">
        <f t="shared" si="48"/>
        <v>3650</v>
      </c>
      <c r="K354" s="26">
        <f t="shared" si="47"/>
        <v>21900</v>
      </c>
    </row>
    <row r="355" spans="1:11" ht="13.2" customHeight="1" x14ac:dyDescent="0.25">
      <c r="A355" s="2"/>
      <c r="B355" s="20" t="s">
        <v>110</v>
      </c>
      <c r="C355" s="21" t="s">
        <v>1907</v>
      </c>
      <c r="D355" s="14"/>
      <c r="E355" s="22"/>
      <c r="F355" s="23"/>
      <c r="G355" s="136"/>
      <c r="H355" s="24" t="s">
        <v>203</v>
      </c>
      <c r="I355" s="36">
        <v>1</v>
      </c>
      <c r="J355" s="25">
        <f t="shared" si="48"/>
        <v>320000</v>
      </c>
      <c r="K355" s="26">
        <f t="shared" si="47"/>
        <v>320000</v>
      </c>
    </row>
    <row r="356" spans="1:11" ht="13.2" customHeight="1" x14ac:dyDescent="0.25">
      <c r="A356" s="2"/>
      <c r="B356" s="20" t="s">
        <v>137</v>
      </c>
      <c r="C356" s="21" t="s">
        <v>1909</v>
      </c>
      <c r="D356" s="14"/>
      <c r="E356" s="22"/>
      <c r="F356" s="23"/>
      <c r="G356" s="136"/>
      <c r="H356" s="24" t="s">
        <v>203</v>
      </c>
      <c r="I356" s="36">
        <v>1</v>
      </c>
      <c r="J356" s="25">
        <f t="shared" si="48"/>
        <v>17188</v>
      </c>
      <c r="K356" s="26">
        <f t="shared" si="47"/>
        <v>17188</v>
      </c>
    </row>
    <row r="357" spans="1:11" ht="12.9" customHeight="1" x14ac:dyDescent="0.25">
      <c r="A357" s="6"/>
      <c r="B357" s="7"/>
      <c r="C357" s="8"/>
      <c r="D357" s="8"/>
      <c r="E357" s="8"/>
      <c r="F357" s="8"/>
      <c r="G357" s="9"/>
      <c r="H357" s="10" t="s">
        <v>715</v>
      </c>
      <c r="I357" s="11"/>
      <c r="J357" s="11"/>
      <c r="K357" s="27">
        <f>SUM(K351:K356)</f>
        <v>680188</v>
      </c>
    </row>
    <row r="358" spans="1:11" ht="12.9" customHeight="1" x14ac:dyDescent="0.25">
      <c r="A358" s="6"/>
      <c r="B358" s="5"/>
      <c r="C358" s="3"/>
      <c r="D358" s="3"/>
      <c r="E358" s="3"/>
      <c r="F358" s="3"/>
      <c r="G358" s="4"/>
      <c r="H358" s="12" t="s">
        <v>603</v>
      </c>
      <c r="I358" s="28">
        <f>I347</f>
        <v>0.15</v>
      </c>
      <c r="J358" s="13"/>
      <c r="K358" s="29">
        <f>I358*K357</f>
        <v>102028.2</v>
      </c>
    </row>
    <row r="359" spans="1:11" ht="12.9" customHeight="1" x14ac:dyDescent="0.25">
      <c r="A359" s="6"/>
      <c r="B359" s="5"/>
      <c r="C359" s="3"/>
      <c r="D359" s="3"/>
      <c r="E359" s="3"/>
      <c r="F359" s="3"/>
      <c r="G359" s="4"/>
      <c r="H359" s="12" t="s">
        <v>604</v>
      </c>
      <c r="I359" s="14"/>
      <c r="J359" s="14"/>
      <c r="K359" s="29">
        <f>SUM(K357:K358)</f>
        <v>782216.2</v>
      </c>
    </row>
    <row r="360" spans="1:11" ht="12.9" customHeight="1" thickBot="1" x14ac:dyDescent="0.3">
      <c r="A360" s="15"/>
      <c r="B360" s="16"/>
      <c r="C360" s="17"/>
      <c r="D360" s="17"/>
      <c r="E360" s="17"/>
      <c r="F360" s="17"/>
      <c r="G360" s="18"/>
      <c r="H360" s="46" t="s">
        <v>605</v>
      </c>
      <c r="I360" s="47"/>
      <c r="J360" s="47"/>
      <c r="K360" s="144">
        <f>ROUND(K359,-1)</f>
        <v>782220</v>
      </c>
    </row>
    <row r="361" spans="1:11" ht="14.1" customHeight="1" x14ac:dyDescent="0.25">
      <c r="A361" s="81">
        <v>28</v>
      </c>
      <c r="B361" s="705" t="s">
        <v>713</v>
      </c>
      <c r="C361" s="706"/>
      <c r="D361" s="82" t="s">
        <v>1914</v>
      </c>
      <c r="E361" s="83"/>
      <c r="F361" s="84"/>
      <c r="G361" s="85"/>
      <c r="H361" s="140"/>
      <c r="I361" s="141"/>
      <c r="J361" s="142"/>
      <c r="K361" s="143"/>
    </row>
    <row r="362" spans="1:11" ht="13.2" customHeight="1" x14ac:dyDescent="0.25">
      <c r="A362" s="2"/>
      <c r="B362" s="20" t="s">
        <v>4</v>
      </c>
      <c r="C362" s="21" t="s">
        <v>1904</v>
      </c>
      <c r="D362" s="14"/>
      <c r="E362" s="22"/>
      <c r="F362" s="23"/>
      <c r="G362" s="136"/>
      <c r="H362" s="24" t="s">
        <v>264</v>
      </c>
      <c r="I362" s="61">
        <v>16</v>
      </c>
      <c r="J362" s="25">
        <f>J351</f>
        <v>13400</v>
      </c>
      <c r="K362" s="26">
        <f t="shared" ref="K362:K367" si="49">I362*J362</f>
        <v>214400</v>
      </c>
    </row>
    <row r="363" spans="1:11" ht="13.2" customHeight="1" x14ac:dyDescent="0.25">
      <c r="A363" s="2"/>
      <c r="B363" s="20" t="s">
        <v>30</v>
      </c>
      <c r="C363" s="21" t="s">
        <v>1905</v>
      </c>
      <c r="D363" s="14"/>
      <c r="E363" s="22"/>
      <c r="F363" s="23"/>
      <c r="G363" s="136"/>
      <c r="H363" s="24" t="s">
        <v>264</v>
      </c>
      <c r="I363" s="39">
        <v>5</v>
      </c>
      <c r="J363" s="25">
        <f t="shared" ref="J363:J367" si="50">J352</f>
        <v>14700</v>
      </c>
      <c r="K363" s="26">
        <f t="shared" si="49"/>
        <v>73500</v>
      </c>
    </row>
    <row r="364" spans="1:11" ht="13.2" customHeight="1" x14ac:dyDescent="0.25">
      <c r="A364" s="2"/>
      <c r="B364" s="20" t="s">
        <v>57</v>
      </c>
      <c r="C364" s="21" t="s">
        <v>585</v>
      </c>
      <c r="D364" s="14"/>
      <c r="E364" s="22"/>
      <c r="F364" s="23"/>
      <c r="G364" s="136"/>
      <c r="H364" s="24" t="s">
        <v>203</v>
      </c>
      <c r="I364" s="36">
        <v>5</v>
      </c>
      <c r="J364" s="25">
        <f t="shared" si="50"/>
        <v>3960</v>
      </c>
      <c r="K364" s="26">
        <f t="shared" si="49"/>
        <v>19800</v>
      </c>
    </row>
    <row r="365" spans="1:11" ht="13.2" customHeight="1" x14ac:dyDescent="0.25">
      <c r="A365" s="2"/>
      <c r="B365" s="20" t="s">
        <v>83</v>
      </c>
      <c r="C365" s="21" t="s">
        <v>1906</v>
      </c>
      <c r="D365" s="14"/>
      <c r="E365" s="22"/>
      <c r="F365" s="23"/>
      <c r="G365" s="136"/>
      <c r="H365" s="24" t="s">
        <v>203</v>
      </c>
      <c r="I365" s="36">
        <v>6</v>
      </c>
      <c r="J365" s="25">
        <f t="shared" si="50"/>
        <v>3650</v>
      </c>
      <c r="K365" s="26">
        <f t="shared" si="49"/>
        <v>21900</v>
      </c>
    </row>
    <row r="366" spans="1:11" ht="13.2" customHeight="1" x14ac:dyDescent="0.25">
      <c r="A366" s="2"/>
      <c r="B366" s="20" t="s">
        <v>110</v>
      </c>
      <c r="C366" s="21" t="s">
        <v>1907</v>
      </c>
      <c r="D366" s="14"/>
      <c r="E366" s="22"/>
      <c r="F366" s="23"/>
      <c r="G366" s="136"/>
      <c r="H366" s="24" t="s">
        <v>203</v>
      </c>
      <c r="I366" s="36">
        <v>1</v>
      </c>
      <c r="J366" s="25">
        <f t="shared" si="50"/>
        <v>320000</v>
      </c>
      <c r="K366" s="26">
        <f t="shared" si="49"/>
        <v>320000</v>
      </c>
    </row>
    <row r="367" spans="1:11" ht="13.2" customHeight="1" x14ac:dyDescent="0.25">
      <c r="A367" s="2"/>
      <c r="B367" s="20" t="s">
        <v>137</v>
      </c>
      <c r="C367" s="21" t="s">
        <v>1909</v>
      </c>
      <c r="D367" s="14"/>
      <c r="E367" s="22"/>
      <c r="F367" s="23"/>
      <c r="G367" s="136"/>
      <c r="H367" s="24" t="s">
        <v>203</v>
      </c>
      <c r="I367" s="36">
        <v>1</v>
      </c>
      <c r="J367" s="25">
        <f t="shared" si="50"/>
        <v>17188</v>
      </c>
      <c r="K367" s="26">
        <f t="shared" si="49"/>
        <v>17188</v>
      </c>
    </row>
    <row r="368" spans="1:11" ht="12.9" customHeight="1" x14ac:dyDescent="0.25">
      <c r="A368" s="6"/>
      <c r="B368" s="7"/>
      <c r="C368" s="8"/>
      <c r="D368" s="8"/>
      <c r="E368" s="8"/>
      <c r="F368" s="8"/>
      <c r="G368" s="9"/>
      <c r="H368" s="10" t="s">
        <v>715</v>
      </c>
      <c r="I368" s="11"/>
      <c r="J368" s="11"/>
      <c r="K368" s="27">
        <f>SUM(K362:K367)</f>
        <v>666788</v>
      </c>
    </row>
    <row r="369" spans="1:11" ht="12.9" customHeight="1" x14ac:dyDescent="0.25">
      <c r="A369" s="6"/>
      <c r="B369" s="5"/>
      <c r="C369" s="3"/>
      <c r="D369" s="3"/>
      <c r="E369" s="3"/>
      <c r="F369" s="3"/>
      <c r="G369" s="4"/>
      <c r="H369" s="12" t="s">
        <v>603</v>
      </c>
      <c r="I369" s="28">
        <f>I358</f>
        <v>0.15</v>
      </c>
      <c r="J369" s="13"/>
      <c r="K369" s="29">
        <f>I369*K368</f>
        <v>100018.2</v>
      </c>
    </row>
    <row r="370" spans="1:11" ht="12.9" customHeight="1" x14ac:dyDescent="0.25">
      <c r="A370" s="6"/>
      <c r="B370" s="5"/>
      <c r="C370" s="3"/>
      <c r="D370" s="3"/>
      <c r="E370" s="3"/>
      <c r="F370" s="3"/>
      <c r="G370" s="4"/>
      <c r="H370" s="12" t="s">
        <v>604</v>
      </c>
      <c r="I370" s="14"/>
      <c r="J370" s="14"/>
      <c r="K370" s="29">
        <f>SUM(K368:K369)</f>
        <v>766806.2</v>
      </c>
    </row>
    <row r="371" spans="1:11" ht="12.9" customHeight="1" thickBot="1" x14ac:dyDescent="0.3">
      <c r="A371" s="15"/>
      <c r="B371" s="16"/>
      <c r="C371" s="17"/>
      <c r="D371" s="17"/>
      <c r="E371" s="17"/>
      <c r="F371" s="17"/>
      <c r="G371" s="18"/>
      <c r="H371" s="46" t="s">
        <v>605</v>
      </c>
      <c r="I371" s="47"/>
      <c r="J371" s="47"/>
      <c r="K371" s="144">
        <f>ROUND(K370,-1)</f>
        <v>766810</v>
      </c>
    </row>
    <row r="372" spans="1:11" ht="14.1" customHeight="1" x14ac:dyDescent="0.25">
      <c r="A372" s="81">
        <v>29</v>
      </c>
      <c r="B372" s="676" t="s">
        <v>713</v>
      </c>
      <c r="C372" s="677"/>
      <c r="D372" s="137" t="s">
        <v>1195</v>
      </c>
      <c r="E372" s="138"/>
      <c r="F372" s="139"/>
      <c r="G372" s="139"/>
      <c r="H372" s="140"/>
      <c r="I372" s="141"/>
      <c r="J372" s="142"/>
      <c r="K372" s="143"/>
    </row>
    <row r="373" spans="1:11" ht="13.2" customHeight="1" x14ac:dyDescent="0.25">
      <c r="A373" s="2"/>
      <c r="B373" s="20" t="s">
        <v>4</v>
      </c>
      <c r="C373" s="21" t="s">
        <v>1169</v>
      </c>
      <c r="D373" s="14"/>
      <c r="E373" s="22"/>
      <c r="F373" s="23"/>
      <c r="G373" s="23"/>
      <c r="H373" s="24" t="s">
        <v>235</v>
      </c>
      <c r="I373" s="41">
        <v>1</v>
      </c>
      <c r="J373" s="25">
        <f>J151</f>
        <v>258000</v>
      </c>
      <c r="K373" s="26">
        <f t="shared" ref="K373:K377" si="51">I373*J373</f>
        <v>258000</v>
      </c>
    </row>
    <row r="374" spans="1:11" ht="13.2" customHeight="1" x14ac:dyDescent="0.25">
      <c r="A374" s="2"/>
      <c r="B374" s="20" t="s">
        <v>30</v>
      </c>
      <c r="C374" s="21" t="s">
        <v>2190</v>
      </c>
      <c r="D374" s="14"/>
      <c r="E374" s="22"/>
      <c r="F374" s="23"/>
      <c r="G374" s="23"/>
      <c r="H374" s="24" t="s">
        <v>264</v>
      </c>
      <c r="I374" s="39">
        <v>2</v>
      </c>
      <c r="J374" s="25">
        <f>J74</f>
        <v>110000</v>
      </c>
      <c r="K374" s="26">
        <f t="shared" si="51"/>
        <v>220000</v>
      </c>
    </row>
    <row r="375" spans="1:11" ht="13.2" customHeight="1" x14ac:dyDescent="0.25">
      <c r="A375" s="2"/>
      <c r="B375" s="20" t="s">
        <v>57</v>
      </c>
      <c r="C375" s="21" t="s">
        <v>1196</v>
      </c>
      <c r="D375" s="14"/>
      <c r="E375" s="22"/>
      <c r="F375" s="23"/>
      <c r="G375" s="23"/>
      <c r="H375" s="24" t="s">
        <v>235</v>
      </c>
      <c r="I375" s="42">
        <v>1</v>
      </c>
      <c r="J375" s="25">
        <f>'Harga Satuan Dasar mat'!G272</f>
        <v>30000</v>
      </c>
      <c r="K375" s="26">
        <f t="shared" si="51"/>
        <v>30000</v>
      </c>
    </row>
    <row r="376" spans="1:11" ht="13.2" customHeight="1" x14ac:dyDescent="0.25">
      <c r="A376" s="2"/>
      <c r="B376" s="20" t="s">
        <v>83</v>
      </c>
      <c r="C376" s="21" t="s">
        <v>2180</v>
      </c>
      <c r="D376" s="14"/>
      <c r="E376" s="22"/>
      <c r="F376" s="23"/>
      <c r="G376" s="23"/>
      <c r="H376" s="24" t="s">
        <v>203</v>
      </c>
      <c r="I376" s="61">
        <v>4</v>
      </c>
      <c r="J376" s="25">
        <f>J294</f>
        <v>56500</v>
      </c>
      <c r="K376" s="26">
        <f t="shared" si="51"/>
        <v>226000</v>
      </c>
    </row>
    <row r="377" spans="1:11" ht="13.2" customHeight="1" x14ac:dyDescent="0.25">
      <c r="A377" s="2"/>
      <c r="B377" s="20" t="s">
        <v>110</v>
      </c>
      <c r="C377" s="21" t="s">
        <v>2188</v>
      </c>
      <c r="D377" s="14"/>
      <c r="E377" s="22"/>
      <c r="F377" s="23"/>
      <c r="G377" s="23"/>
      <c r="H377" s="24" t="s">
        <v>203</v>
      </c>
      <c r="I377" s="36">
        <v>1</v>
      </c>
      <c r="J377" s="25">
        <f>J325</f>
        <v>56000</v>
      </c>
      <c r="K377" s="26">
        <f t="shared" si="51"/>
        <v>56000</v>
      </c>
    </row>
    <row r="378" spans="1:11" ht="12.9" customHeight="1" x14ac:dyDescent="0.25">
      <c r="A378" s="6"/>
      <c r="B378" s="7"/>
      <c r="C378" s="8"/>
      <c r="D378" s="8"/>
      <c r="E378" s="8"/>
      <c r="F378" s="8"/>
      <c r="G378" s="9"/>
      <c r="H378" s="10" t="s">
        <v>715</v>
      </c>
      <c r="I378" s="11"/>
      <c r="J378" s="11"/>
      <c r="K378" s="27">
        <f>SUM(K373:K377)</f>
        <v>790000</v>
      </c>
    </row>
    <row r="379" spans="1:11" ht="12.9" customHeight="1" x14ac:dyDescent="0.25">
      <c r="A379" s="6"/>
      <c r="B379" s="5"/>
      <c r="C379" s="3"/>
      <c r="D379" s="3"/>
      <c r="E379" s="3"/>
      <c r="F379" s="3"/>
      <c r="G379" s="4"/>
      <c r="H379" s="12" t="s">
        <v>603</v>
      </c>
      <c r="I379" s="28">
        <f>I336</f>
        <v>0.15</v>
      </c>
      <c r="J379" s="13"/>
      <c r="K379" s="29">
        <f>I379*K378</f>
        <v>118500</v>
      </c>
    </row>
    <row r="380" spans="1:11" ht="12.9" customHeight="1" x14ac:dyDescent="0.25">
      <c r="A380" s="6"/>
      <c r="B380" s="5"/>
      <c r="C380" s="3"/>
      <c r="D380" s="3"/>
      <c r="E380" s="3"/>
      <c r="F380" s="3"/>
      <c r="G380" s="4"/>
      <c r="H380" s="12" t="s">
        <v>604</v>
      </c>
      <c r="I380" s="14"/>
      <c r="J380" s="14"/>
      <c r="K380" s="29">
        <f>SUM(K378:K379)</f>
        <v>908500</v>
      </c>
    </row>
    <row r="381" spans="1:11" ht="12.9" customHeight="1" thickBot="1" x14ac:dyDescent="0.3">
      <c r="A381" s="15"/>
      <c r="B381" s="16"/>
      <c r="C381" s="17"/>
      <c r="D381" s="17"/>
      <c r="E381" s="17"/>
      <c r="F381" s="17"/>
      <c r="G381" s="18"/>
      <c r="H381" s="46" t="s">
        <v>605</v>
      </c>
      <c r="I381" s="47"/>
      <c r="J381" s="47"/>
      <c r="K381" s="144">
        <f>ROUND(K380,-1)</f>
        <v>908500</v>
      </c>
    </row>
    <row r="382" spans="1:11" ht="14.1" customHeight="1" x14ac:dyDescent="0.25">
      <c r="A382" s="81">
        <v>30</v>
      </c>
      <c r="B382" s="676" t="s">
        <v>713</v>
      </c>
      <c r="C382" s="677"/>
      <c r="D382" s="137" t="s">
        <v>1197</v>
      </c>
      <c r="E382" s="138"/>
      <c r="F382" s="139"/>
      <c r="G382" s="139"/>
      <c r="H382" s="140"/>
      <c r="I382" s="141"/>
      <c r="J382" s="142"/>
      <c r="K382" s="143"/>
    </row>
    <row r="383" spans="1:11" ht="13.2" customHeight="1" x14ac:dyDescent="0.25">
      <c r="A383" s="2"/>
      <c r="B383" s="20" t="s">
        <v>4</v>
      </c>
      <c r="C383" s="21" t="s">
        <v>1169</v>
      </c>
      <c r="D383" s="14"/>
      <c r="E383" s="22"/>
      <c r="F383" s="23"/>
      <c r="G383" s="23"/>
      <c r="H383" s="24" t="s">
        <v>235</v>
      </c>
      <c r="I383" s="41">
        <v>1</v>
      </c>
      <c r="J383" s="25">
        <f>J373</f>
        <v>258000</v>
      </c>
      <c r="K383" s="26">
        <f t="shared" ref="K383:K387" si="52">I383*J383</f>
        <v>258000</v>
      </c>
    </row>
    <row r="384" spans="1:11" ht="13.2" customHeight="1" x14ac:dyDescent="0.25">
      <c r="A384" s="2"/>
      <c r="B384" s="20" t="s">
        <v>30</v>
      </c>
      <c r="C384" s="21" t="s">
        <v>2191</v>
      </c>
      <c r="D384" s="14"/>
      <c r="E384" s="22"/>
      <c r="F384" s="23"/>
      <c r="G384" s="23"/>
      <c r="H384" s="24" t="s">
        <v>264</v>
      </c>
      <c r="I384" s="39">
        <v>2</v>
      </c>
      <c r="J384" s="162" t="s">
        <v>1469</v>
      </c>
      <c r="K384" s="26"/>
    </row>
    <row r="385" spans="1:11" ht="13.2" customHeight="1" x14ac:dyDescent="0.25">
      <c r="A385" s="2"/>
      <c r="B385" s="20" t="s">
        <v>57</v>
      </c>
      <c r="C385" s="21" t="s">
        <v>1196</v>
      </c>
      <c r="D385" s="14"/>
      <c r="E385" s="22"/>
      <c r="F385" s="23"/>
      <c r="G385" s="23"/>
      <c r="H385" s="24" t="s">
        <v>235</v>
      </c>
      <c r="I385" s="42">
        <v>1</v>
      </c>
      <c r="J385" s="25">
        <f>J375</f>
        <v>30000</v>
      </c>
      <c r="K385" s="26">
        <f t="shared" si="52"/>
        <v>30000</v>
      </c>
    </row>
    <row r="386" spans="1:11" ht="13.2" customHeight="1" x14ac:dyDescent="0.25">
      <c r="A386" s="2"/>
      <c r="B386" s="20" t="s">
        <v>83</v>
      </c>
      <c r="C386" s="21" t="s">
        <v>2180</v>
      </c>
      <c r="D386" s="14"/>
      <c r="E386" s="22"/>
      <c r="F386" s="23"/>
      <c r="G386" s="23"/>
      <c r="H386" s="24" t="s">
        <v>203</v>
      </c>
      <c r="I386" s="61">
        <v>4</v>
      </c>
      <c r="J386" s="25">
        <f>J376</f>
        <v>56500</v>
      </c>
      <c r="K386" s="26">
        <f t="shared" si="52"/>
        <v>226000</v>
      </c>
    </row>
    <row r="387" spans="1:11" ht="13.2" customHeight="1" x14ac:dyDescent="0.25">
      <c r="A387" s="2"/>
      <c r="B387" s="20" t="s">
        <v>110</v>
      </c>
      <c r="C387" s="21" t="s">
        <v>2188</v>
      </c>
      <c r="D387" s="14"/>
      <c r="E387" s="22"/>
      <c r="F387" s="23"/>
      <c r="G387" s="23"/>
      <c r="H387" s="24" t="s">
        <v>203</v>
      </c>
      <c r="I387" s="36">
        <v>1</v>
      </c>
      <c r="J387" s="25">
        <f>J377</f>
        <v>56000</v>
      </c>
      <c r="K387" s="26">
        <f t="shared" si="52"/>
        <v>56000</v>
      </c>
    </row>
    <row r="388" spans="1:11" ht="12.9" customHeight="1" x14ac:dyDescent="0.25">
      <c r="A388" s="6"/>
      <c r="B388" s="7"/>
      <c r="C388" s="8"/>
      <c r="D388" s="8"/>
      <c r="E388" s="8"/>
      <c r="F388" s="8"/>
      <c r="G388" s="9"/>
      <c r="H388" s="10" t="s">
        <v>715</v>
      </c>
      <c r="I388" s="11"/>
      <c r="J388" s="11"/>
      <c r="K388" s="27">
        <f>SUM(K383:K387)</f>
        <v>570000</v>
      </c>
    </row>
    <row r="389" spans="1:11" ht="12.9" customHeight="1" x14ac:dyDescent="0.25">
      <c r="A389" s="6"/>
      <c r="B389" s="5"/>
      <c r="C389" s="3"/>
      <c r="D389" s="3"/>
      <c r="E389" s="3"/>
      <c r="F389" s="3"/>
      <c r="G389" s="4"/>
      <c r="H389" s="12" t="s">
        <v>603</v>
      </c>
      <c r="I389" s="28">
        <f>I379</f>
        <v>0.15</v>
      </c>
      <c r="J389" s="13"/>
      <c r="K389" s="29">
        <f>I389*K388</f>
        <v>85500</v>
      </c>
    </row>
    <row r="390" spans="1:11" ht="12.9" customHeight="1" x14ac:dyDescent="0.25">
      <c r="A390" s="6"/>
      <c r="B390" s="5"/>
      <c r="C390" s="3"/>
      <c r="D390" s="3"/>
      <c r="E390" s="3"/>
      <c r="F390" s="3"/>
      <c r="G390" s="4"/>
      <c r="H390" s="12" t="s">
        <v>604</v>
      </c>
      <c r="I390" s="14"/>
      <c r="J390" s="14"/>
      <c r="K390" s="29">
        <f>SUM(K388:K389)</f>
        <v>655500</v>
      </c>
    </row>
    <row r="391" spans="1:11" ht="12.9" customHeight="1" thickBot="1" x14ac:dyDescent="0.3">
      <c r="A391" s="15"/>
      <c r="B391" s="16"/>
      <c r="C391" s="17"/>
      <c r="D391" s="17"/>
      <c r="E391" s="17"/>
      <c r="F391" s="17"/>
      <c r="G391" s="18"/>
      <c r="H391" s="46" t="s">
        <v>605</v>
      </c>
      <c r="I391" s="47"/>
      <c r="J391" s="47"/>
      <c r="K391" s="144">
        <f>ROUND(K390,-1)</f>
        <v>655500</v>
      </c>
    </row>
    <row r="392" spans="1:11" ht="14.1" customHeight="1" x14ac:dyDescent="0.25">
      <c r="A392" s="81">
        <v>31</v>
      </c>
      <c r="B392" s="676" t="s">
        <v>713</v>
      </c>
      <c r="C392" s="677"/>
      <c r="D392" s="137" t="s">
        <v>1199</v>
      </c>
      <c r="E392" s="138"/>
      <c r="F392" s="139"/>
      <c r="G392" s="139"/>
      <c r="H392" s="140"/>
      <c r="I392" s="141"/>
      <c r="J392" s="142"/>
      <c r="K392" s="143"/>
    </row>
    <row r="393" spans="1:11" ht="13.2" customHeight="1" x14ac:dyDescent="0.25">
      <c r="A393" s="2"/>
      <c r="B393" s="20" t="s">
        <v>4</v>
      </c>
      <c r="C393" s="21" t="s">
        <v>1169</v>
      </c>
      <c r="D393" s="14"/>
      <c r="E393" s="22"/>
      <c r="F393" s="23"/>
      <c r="G393" s="23"/>
      <c r="H393" s="24" t="s">
        <v>235</v>
      </c>
      <c r="I393" s="41">
        <v>1</v>
      </c>
      <c r="J393" s="25">
        <f>J383</f>
        <v>258000</v>
      </c>
      <c r="K393" s="26">
        <f>I393*J393</f>
        <v>258000</v>
      </c>
    </row>
    <row r="394" spans="1:11" ht="13.2" customHeight="1" x14ac:dyDescent="0.25">
      <c r="A394" s="2"/>
      <c r="B394" s="20" t="s">
        <v>30</v>
      </c>
      <c r="C394" s="21" t="s">
        <v>2182</v>
      </c>
      <c r="D394" s="14"/>
      <c r="E394" s="22"/>
      <c r="F394" s="23"/>
      <c r="G394" s="23"/>
      <c r="H394" s="24" t="s">
        <v>264</v>
      </c>
      <c r="I394" s="39">
        <v>8</v>
      </c>
      <c r="J394" s="25">
        <f>J74</f>
        <v>110000</v>
      </c>
      <c r="K394" s="26">
        <f t="shared" ref="K394:K400" si="53">I394*J394</f>
        <v>880000</v>
      </c>
    </row>
    <row r="395" spans="1:11" ht="13.2" customHeight="1" x14ac:dyDescent="0.25">
      <c r="A395" s="2"/>
      <c r="B395" s="20" t="s">
        <v>57</v>
      </c>
      <c r="C395" s="21" t="s">
        <v>1206</v>
      </c>
      <c r="D395" s="14"/>
      <c r="E395" s="22"/>
      <c r="F395" s="23"/>
      <c r="G395" s="23"/>
      <c r="H395" s="24" t="s">
        <v>235</v>
      </c>
      <c r="I395" s="42">
        <v>1</v>
      </c>
      <c r="J395" s="25">
        <f>'Harga Satuan Dasar mat'!G276</f>
        <v>82500</v>
      </c>
      <c r="K395" s="26">
        <f t="shared" si="53"/>
        <v>82500</v>
      </c>
    </row>
    <row r="396" spans="1:11" ht="13.2" customHeight="1" x14ac:dyDescent="0.25">
      <c r="A396" s="2"/>
      <c r="B396" s="20" t="s">
        <v>83</v>
      </c>
      <c r="C396" s="21" t="s">
        <v>1205</v>
      </c>
      <c r="D396" s="14"/>
      <c r="E396" s="22"/>
      <c r="F396" s="23"/>
      <c r="G396" s="23"/>
      <c r="H396" s="24" t="s">
        <v>264</v>
      </c>
      <c r="I396" s="61">
        <v>2.5</v>
      </c>
      <c r="J396" s="25">
        <f>J115</f>
        <v>14700</v>
      </c>
      <c r="K396" s="26">
        <f t="shared" si="53"/>
        <v>36750</v>
      </c>
    </row>
    <row r="397" spans="1:11" ht="13.2" customHeight="1" x14ac:dyDescent="0.25">
      <c r="A397" s="2"/>
      <c r="B397" s="20" t="s">
        <v>110</v>
      </c>
      <c r="C397" s="21" t="s">
        <v>2180</v>
      </c>
      <c r="D397" s="14"/>
      <c r="E397" s="22"/>
      <c r="F397" s="23"/>
      <c r="G397" s="23"/>
      <c r="H397" s="24" t="s">
        <v>203</v>
      </c>
      <c r="I397" s="36">
        <v>1</v>
      </c>
      <c r="J397" s="25">
        <f>J142</f>
        <v>56500</v>
      </c>
      <c r="K397" s="26">
        <f t="shared" si="53"/>
        <v>56500</v>
      </c>
    </row>
    <row r="398" spans="1:11" ht="13.2" customHeight="1" x14ac:dyDescent="0.25">
      <c r="A398" s="2"/>
      <c r="B398" s="20" t="s">
        <v>137</v>
      </c>
      <c r="C398" s="21" t="s">
        <v>585</v>
      </c>
      <c r="D398" s="14"/>
      <c r="E398" s="22"/>
      <c r="F398" s="23"/>
      <c r="G398" s="23"/>
      <c r="H398" s="24" t="s">
        <v>203</v>
      </c>
      <c r="I398" s="36">
        <v>3</v>
      </c>
      <c r="J398" s="25">
        <f>J156</f>
        <v>3960</v>
      </c>
      <c r="K398" s="26">
        <f t="shared" si="53"/>
        <v>11880</v>
      </c>
    </row>
    <row r="399" spans="1:11" ht="13.2" customHeight="1" x14ac:dyDescent="0.25">
      <c r="A399" s="2"/>
      <c r="B399" s="20" t="s">
        <v>156</v>
      </c>
      <c r="C399" s="21" t="s">
        <v>586</v>
      </c>
      <c r="D399" s="14"/>
      <c r="E399" s="22"/>
      <c r="F399" s="23"/>
      <c r="G399" s="23"/>
      <c r="H399" s="24" t="s">
        <v>203</v>
      </c>
      <c r="I399" s="42">
        <v>3</v>
      </c>
      <c r="J399" s="25">
        <f>J157</f>
        <v>3650</v>
      </c>
      <c r="K399" s="26">
        <f t="shared" si="53"/>
        <v>10950</v>
      </c>
    </row>
    <row r="400" spans="1:11" ht="13.2" customHeight="1" x14ac:dyDescent="0.25">
      <c r="A400" s="2"/>
      <c r="B400" s="20" t="s">
        <v>175</v>
      </c>
      <c r="C400" s="21" t="s">
        <v>2181</v>
      </c>
      <c r="D400" s="14"/>
      <c r="E400" s="22"/>
      <c r="F400" s="23"/>
      <c r="G400" s="23"/>
      <c r="H400" s="24" t="s">
        <v>203</v>
      </c>
      <c r="I400" s="36">
        <v>1</v>
      </c>
      <c r="J400" s="25">
        <f>'Harga Satuan Dasar mat'!G654</f>
        <v>76500</v>
      </c>
      <c r="K400" s="26">
        <f t="shared" si="53"/>
        <v>76500</v>
      </c>
    </row>
    <row r="401" spans="1:11" ht="12.9" customHeight="1" x14ac:dyDescent="0.25">
      <c r="A401" s="6"/>
      <c r="B401" s="7"/>
      <c r="C401" s="8"/>
      <c r="D401" s="8"/>
      <c r="E401" s="8"/>
      <c r="F401" s="8"/>
      <c r="G401" s="9"/>
      <c r="H401" s="10" t="s">
        <v>715</v>
      </c>
      <c r="I401" s="11"/>
      <c r="J401" s="11"/>
      <c r="K401" s="27">
        <f>SUM(K393:K400)</f>
        <v>1413080</v>
      </c>
    </row>
    <row r="402" spans="1:11" ht="12.9" customHeight="1" x14ac:dyDescent="0.25">
      <c r="A402" s="6"/>
      <c r="B402" s="5"/>
      <c r="C402" s="3"/>
      <c r="D402" s="3"/>
      <c r="E402" s="3"/>
      <c r="F402" s="3"/>
      <c r="G402" s="4"/>
      <c r="H402" s="12" t="s">
        <v>603</v>
      </c>
      <c r="I402" s="28">
        <f>I389</f>
        <v>0.15</v>
      </c>
      <c r="J402" s="13"/>
      <c r="K402" s="29">
        <f>I402*K401</f>
        <v>211962</v>
      </c>
    </row>
    <row r="403" spans="1:11" ht="12.9" customHeight="1" x14ac:dyDescent="0.25">
      <c r="A403" s="6"/>
      <c r="B403" s="5"/>
      <c r="C403" s="3"/>
      <c r="D403" s="3"/>
      <c r="E403" s="3"/>
      <c r="F403" s="3"/>
      <c r="G403" s="4"/>
      <c r="H403" s="12" t="s">
        <v>604</v>
      </c>
      <c r="I403" s="14"/>
      <c r="J403" s="14"/>
      <c r="K403" s="29">
        <f>SUM(K401:K402)</f>
        <v>1625042</v>
      </c>
    </row>
    <row r="404" spans="1:11" ht="12.9" customHeight="1" thickBot="1" x14ac:dyDescent="0.3">
      <c r="A404" s="15"/>
      <c r="B404" s="16"/>
      <c r="C404" s="17"/>
      <c r="D404" s="17"/>
      <c r="E404" s="17"/>
      <c r="F404" s="17"/>
      <c r="G404" s="18"/>
      <c r="H404" s="46" t="s">
        <v>605</v>
      </c>
      <c r="I404" s="47"/>
      <c r="J404" s="47"/>
      <c r="K404" s="144">
        <f>ROUND(K403,-1)</f>
        <v>1625040</v>
      </c>
    </row>
    <row r="405" spans="1:11" ht="14.1" customHeight="1" x14ac:dyDescent="0.25">
      <c r="A405" s="81">
        <v>32</v>
      </c>
      <c r="B405" s="676" t="s">
        <v>713</v>
      </c>
      <c r="C405" s="677"/>
      <c r="D405" s="137" t="s">
        <v>1200</v>
      </c>
      <c r="E405" s="138"/>
      <c r="F405" s="139"/>
      <c r="G405" s="139"/>
      <c r="H405" s="140"/>
      <c r="I405" s="141"/>
      <c r="J405" s="142"/>
      <c r="K405" s="143"/>
    </row>
    <row r="406" spans="1:11" ht="13.2" customHeight="1" x14ac:dyDescent="0.25">
      <c r="A406" s="2"/>
      <c r="B406" s="20" t="s">
        <v>4</v>
      </c>
      <c r="C406" s="21" t="s">
        <v>1198</v>
      </c>
      <c r="D406" s="14"/>
      <c r="E406" s="22"/>
      <c r="F406" s="23"/>
      <c r="G406" s="23"/>
      <c r="H406" s="24" t="s">
        <v>235</v>
      </c>
      <c r="I406" s="41">
        <v>1</v>
      </c>
      <c r="J406" s="25">
        <f>J393</f>
        <v>258000</v>
      </c>
      <c r="K406" s="26">
        <f>I406*J406</f>
        <v>258000</v>
      </c>
    </row>
    <row r="407" spans="1:11" ht="13.2" customHeight="1" x14ac:dyDescent="0.25">
      <c r="A407" s="2"/>
      <c r="B407" s="20" t="s">
        <v>30</v>
      </c>
      <c r="C407" s="21" t="s">
        <v>2182</v>
      </c>
      <c r="D407" s="14"/>
      <c r="E407" s="22"/>
      <c r="F407" s="23"/>
      <c r="G407" s="23"/>
      <c r="H407" s="24" t="s">
        <v>264</v>
      </c>
      <c r="I407" s="39">
        <v>10</v>
      </c>
      <c r="J407" s="25">
        <f t="shared" ref="J407:J413" si="54">J394</f>
        <v>110000</v>
      </c>
      <c r="K407" s="26">
        <f t="shared" ref="K407:K413" si="55">I407*J407</f>
        <v>1100000</v>
      </c>
    </row>
    <row r="408" spans="1:11" ht="13.2" customHeight="1" x14ac:dyDescent="0.25">
      <c r="A408" s="2"/>
      <c r="B408" s="20" t="s">
        <v>57</v>
      </c>
      <c r="C408" s="21" t="s">
        <v>1203</v>
      </c>
      <c r="D408" s="14"/>
      <c r="E408" s="22"/>
      <c r="F408" s="23"/>
      <c r="G408" s="23"/>
      <c r="H408" s="24" t="s">
        <v>235</v>
      </c>
      <c r="I408" s="42">
        <v>1</v>
      </c>
      <c r="J408" s="25">
        <f>'Harga Satuan Dasar mat'!G278</f>
        <v>105000</v>
      </c>
      <c r="K408" s="26">
        <f t="shared" si="55"/>
        <v>105000</v>
      </c>
    </row>
    <row r="409" spans="1:11" ht="13.2" customHeight="1" x14ac:dyDescent="0.25">
      <c r="A409" s="2"/>
      <c r="B409" s="20" t="s">
        <v>83</v>
      </c>
      <c r="C409" s="21" t="s">
        <v>1204</v>
      </c>
      <c r="D409" s="14"/>
      <c r="E409" s="22"/>
      <c r="F409" s="23"/>
      <c r="G409" s="23"/>
      <c r="H409" s="24" t="s">
        <v>264</v>
      </c>
      <c r="I409" s="61">
        <v>3.5</v>
      </c>
      <c r="J409" s="25">
        <f t="shared" si="54"/>
        <v>14700</v>
      </c>
      <c r="K409" s="26">
        <f t="shared" si="55"/>
        <v>51450</v>
      </c>
    </row>
    <row r="410" spans="1:11" ht="13.2" customHeight="1" x14ac:dyDescent="0.25">
      <c r="A410" s="2"/>
      <c r="B410" s="20" t="s">
        <v>110</v>
      </c>
      <c r="C410" s="21" t="s">
        <v>2184</v>
      </c>
      <c r="D410" s="14"/>
      <c r="E410" s="22"/>
      <c r="F410" s="23"/>
      <c r="G410" s="23"/>
      <c r="H410" s="24" t="s">
        <v>203</v>
      </c>
      <c r="I410" s="36">
        <v>1</v>
      </c>
      <c r="J410" s="25">
        <f>J397</f>
        <v>56500</v>
      </c>
      <c r="K410" s="26">
        <f t="shared" si="55"/>
        <v>56500</v>
      </c>
    </row>
    <row r="411" spans="1:11" ht="13.2" customHeight="1" x14ac:dyDescent="0.25">
      <c r="A411" s="2"/>
      <c r="B411" s="20" t="s">
        <v>137</v>
      </c>
      <c r="C411" s="21" t="s">
        <v>585</v>
      </c>
      <c r="D411" s="14"/>
      <c r="E411" s="22"/>
      <c r="F411" s="23"/>
      <c r="G411" s="23"/>
      <c r="H411" s="24" t="s">
        <v>203</v>
      </c>
      <c r="I411" s="36">
        <v>4</v>
      </c>
      <c r="J411" s="25">
        <f t="shared" si="54"/>
        <v>3960</v>
      </c>
      <c r="K411" s="26">
        <f t="shared" si="55"/>
        <v>15840</v>
      </c>
    </row>
    <row r="412" spans="1:11" ht="13.2" customHeight="1" x14ac:dyDescent="0.25">
      <c r="A412" s="2"/>
      <c r="B412" s="20" t="s">
        <v>156</v>
      </c>
      <c r="C412" s="21" t="s">
        <v>586</v>
      </c>
      <c r="D412" s="14"/>
      <c r="E412" s="22"/>
      <c r="F412" s="23"/>
      <c r="G412" s="23"/>
      <c r="H412" s="24" t="s">
        <v>203</v>
      </c>
      <c r="I412" s="42">
        <v>4</v>
      </c>
      <c r="J412" s="25">
        <f t="shared" si="54"/>
        <v>3650</v>
      </c>
      <c r="K412" s="26">
        <f t="shared" si="55"/>
        <v>14600</v>
      </c>
    </row>
    <row r="413" spans="1:11" ht="13.2" customHeight="1" x14ac:dyDescent="0.25">
      <c r="A413" s="2"/>
      <c r="B413" s="20" t="s">
        <v>175</v>
      </c>
      <c r="C413" s="21" t="s">
        <v>2181</v>
      </c>
      <c r="D413" s="14"/>
      <c r="E413" s="22"/>
      <c r="F413" s="23"/>
      <c r="G413" s="23"/>
      <c r="H413" s="24" t="s">
        <v>203</v>
      </c>
      <c r="I413" s="36">
        <v>1</v>
      </c>
      <c r="J413" s="25">
        <f t="shared" si="54"/>
        <v>76500</v>
      </c>
      <c r="K413" s="26">
        <f t="shared" si="55"/>
        <v>76500</v>
      </c>
    </row>
    <row r="414" spans="1:11" ht="12.9" customHeight="1" x14ac:dyDescent="0.25">
      <c r="A414" s="6"/>
      <c r="B414" s="7"/>
      <c r="C414" s="8"/>
      <c r="D414" s="8"/>
      <c r="E414" s="8"/>
      <c r="F414" s="8"/>
      <c r="G414" s="9"/>
      <c r="H414" s="10" t="s">
        <v>715</v>
      </c>
      <c r="I414" s="11"/>
      <c r="J414" s="11"/>
      <c r="K414" s="27">
        <f>SUM(K406:K413)</f>
        <v>1677890</v>
      </c>
    </row>
    <row r="415" spans="1:11" ht="12.9" customHeight="1" x14ac:dyDescent="0.25">
      <c r="A415" s="6"/>
      <c r="B415" s="5"/>
      <c r="C415" s="3"/>
      <c r="D415" s="3"/>
      <c r="E415" s="3"/>
      <c r="F415" s="3"/>
      <c r="G415" s="4"/>
      <c r="H415" s="12" t="s">
        <v>603</v>
      </c>
      <c r="I415" s="28">
        <f>I402</f>
        <v>0.15</v>
      </c>
      <c r="J415" s="13"/>
      <c r="K415" s="29">
        <f>I415*K414</f>
        <v>251683.5</v>
      </c>
    </row>
    <row r="416" spans="1:11" ht="12.9" customHeight="1" x14ac:dyDescent="0.25">
      <c r="A416" s="6"/>
      <c r="B416" s="5"/>
      <c r="C416" s="3"/>
      <c r="D416" s="3"/>
      <c r="E416" s="3"/>
      <c r="F416" s="3"/>
      <c r="G416" s="4"/>
      <c r="H416" s="12" t="s">
        <v>604</v>
      </c>
      <c r="I416" s="14"/>
      <c r="J416" s="14"/>
      <c r="K416" s="29">
        <f>SUM(K414:K415)</f>
        <v>1929573.5</v>
      </c>
    </row>
    <row r="417" spans="1:11" ht="12.9" customHeight="1" thickBot="1" x14ac:dyDescent="0.3">
      <c r="A417" s="15"/>
      <c r="B417" s="16"/>
      <c r="C417" s="17"/>
      <c r="D417" s="17"/>
      <c r="E417" s="17"/>
      <c r="F417" s="17"/>
      <c r="G417" s="18"/>
      <c r="H417" s="46" t="s">
        <v>605</v>
      </c>
      <c r="I417" s="47"/>
      <c r="J417" s="47"/>
      <c r="K417" s="144">
        <f>ROUND(K416,-1)</f>
        <v>1929570</v>
      </c>
    </row>
    <row r="418" spans="1:11" ht="14.1" customHeight="1" x14ac:dyDescent="0.25">
      <c r="A418" s="81">
        <v>33</v>
      </c>
      <c r="B418" s="676" t="s">
        <v>713</v>
      </c>
      <c r="C418" s="677"/>
      <c r="D418" s="137" t="s">
        <v>1201</v>
      </c>
      <c r="E418" s="138"/>
      <c r="F418" s="139"/>
      <c r="G418" s="139"/>
      <c r="H418" s="140"/>
      <c r="I418" s="141"/>
      <c r="J418" s="142"/>
      <c r="K418" s="143"/>
    </row>
    <row r="419" spans="1:11" ht="13.2" customHeight="1" x14ac:dyDescent="0.25">
      <c r="A419" s="2"/>
      <c r="B419" s="20" t="s">
        <v>4</v>
      </c>
      <c r="C419" s="21" t="s">
        <v>1198</v>
      </c>
      <c r="D419" s="14"/>
      <c r="E419" s="22"/>
      <c r="F419" s="23"/>
      <c r="G419" s="23"/>
      <c r="H419" s="24" t="s">
        <v>235</v>
      </c>
      <c r="I419" s="41">
        <v>1</v>
      </c>
      <c r="J419" s="25">
        <f>J406</f>
        <v>258000</v>
      </c>
      <c r="K419" s="26">
        <f>I419*J419</f>
        <v>258000</v>
      </c>
    </row>
    <row r="420" spans="1:11" ht="13.2" customHeight="1" x14ac:dyDescent="0.25">
      <c r="A420" s="2"/>
      <c r="B420" s="20" t="s">
        <v>30</v>
      </c>
      <c r="C420" s="21" t="s">
        <v>2182</v>
      </c>
      <c r="D420" s="14"/>
      <c r="E420" s="22"/>
      <c r="F420" s="23"/>
      <c r="G420" s="23"/>
      <c r="H420" s="24" t="s">
        <v>264</v>
      </c>
      <c r="I420" s="39">
        <v>6</v>
      </c>
      <c r="J420" s="25">
        <f t="shared" ref="J420:J426" si="56">J407</f>
        <v>110000</v>
      </c>
      <c r="K420" s="26">
        <f t="shared" ref="K420:K426" si="57">I420*J420</f>
        <v>660000</v>
      </c>
    </row>
    <row r="421" spans="1:11" ht="13.2" customHeight="1" x14ac:dyDescent="0.25">
      <c r="A421" s="2"/>
      <c r="B421" s="20" t="s">
        <v>57</v>
      </c>
      <c r="C421" s="21" t="s">
        <v>1202</v>
      </c>
      <c r="D421" s="14"/>
      <c r="E421" s="22"/>
      <c r="F421" s="23"/>
      <c r="G421" s="23"/>
      <c r="H421" s="24" t="s">
        <v>235</v>
      </c>
      <c r="I421" s="42">
        <v>1</v>
      </c>
      <c r="J421" s="25">
        <f>'Harga Satuan Dasar mat'!G274</f>
        <v>55000</v>
      </c>
      <c r="K421" s="26">
        <f t="shared" si="57"/>
        <v>55000</v>
      </c>
    </row>
    <row r="422" spans="1:11" ht="13.2" customHeight="1" x14ac:dyDescent="0.25">
      <c r="A422" s="2"/>
      <c r="B422" s="20" t="s">
        <v>83</v>
      </c>
      <c r="C422" s="21" t="s">
        <v>1205</v>
      </c>
      <c r="D422" s="14"/>
      <c r="E422" s="22"/>
      <c r="F422" s="23"/>
      <c r="G422" s="23"/>
      <c r="H422" s="24" t="s">
        <v>264</v>
      </c>
      <c r="I422" s="61">
        <v>2.5</v>
      </c>
      <c r="J422" s="25">
        <f t="shared" si="56"/>
        <v>14700</v>
      </c>
      <c r="K422" s="26">
        <f t="shared" si="57"/>
        <v>36750</v>
      </c>
    </row>
    <row r="423" spans="1:11" ht="13.2" customHeight="1" x14ac:dyDescent="0.25">
      <c r="A423" s="2"/>
      <c r="B423" s="20" t="s">
        <v>110</v>
      </c>
      <c r="C423" s="21" t="s">
        <v>2180</v>
      </c>
      <c r="D423" s="14"/>
      <c r="E423" s="22"/>
      <c r="F423" s="23"/>
      <c r="G423" s="23"/>
      <c r="H423" s="24" t="s">
        <v>203</v>
      </c>
      <c r="I423" s="36">
        <v>1</v>
      </c>
      <c r="J423" s="25">
        <f t="shared" si="56"/>
        <v>56500</v>
      </c>
      <c r="K423" s="26">
        <f t="shared" si="57"/>
        <v>56500</v>
      </c>
    </row>
    <row r="424" spans="1:11" ht="13.2" customHeight="1" x14ac:dyDescent="0.25">
      <c r="A424" s="2"/>
      <c r="B424" s="20" t="s">
        <v>137</v>
      </c>
      <c r="C424" s="21" t="s">
        <v>585</v>
      </c>
      <c r="D424" s="14"/>
      <c r="E424" s="22"/>
      <c r="F424" s="23"/>
      <c r="G424" s="23"/>
      <c r="H424" s="24" t="s">
        <v>203</v>
      </c>
      <c r="I424" s="36">
        <v>3</v>
      </c>
      <c r="J424" s="25">
        <f t="shared" si="56"/>
        <v>3960</v>
      </c>
      <c r="K424" s="26">
        <f t="shared" si="57"/>
        <v>11880</v>
      </c>
    </row>
    <row r="425" spans="1:11" ht="13.2" customHeight="1" x14ac:dyDescent="0.25">
      <c r="A425" s="2"/>
      <c r="B425" s="20" t="s">
        <v>156</v>
      </c>
      <c r="C425" s="21" t="s">
        <v>586</v>
      </c>
      <c r="D425" s="14"/>
      <c r="E425" s="22"/>
      <c r="F425" s="23"/>
      <c r="G425" s="23"/>
      <c r="H425" s="24" t="s">
        <v>203</v>
      </c>
      <c r="I425" s="42">
        <v>3</v>
      </c>
      <c r="J425" s="25">
        <f t="shared" si="56"/>
        <v>3650</v>
      </c>
      <c r="K425" s="26">
        <f t="shared" si="57"/>
        <v>10950</v>
      </c>
    </row>
    <row r="426" spans="1:11" ht="13.2" customHeight="1" x14ac:dyDescent="0.25">
      <c r="A426" s="2"/>
      <c r="B426" s="20" t="s">
        <v>175</v>
      </c>
      <c r="C426" s="21" t="s">
        <v>2192</v>
      </c>
      <c r="D426" s="14"/>
      <c r="E426" s="22"/>
      <c r="F426" s="23"/>
      <c r="G426" s="23"/>
      <c r="H426" s="24" t="s">
        <v>203</v>
      </c>
      <c r="I426" s="36">
        <v>1</v>
      </c>
      <c r="J426" s="25">
        <f t="shared" si="56"/>
        <v>76500</v>
      </c>
      <c r="K426" s="26">
        <f t="shared" si="57"/>
        <v>76500</v>
      </c>
    </row>
    <row r="427" spans="1:11" ht="12.9" customHeight="1" x14ac:dyDescent="0.25">
      <c r="A427" s="6"/>
      <c r="B427" s="7"/>
      <c r="C427" s="8"/>
      <c r="D427" s="8"/>
      <c r="E427" s="8"/>
      <c r="F427" s="8"/>
      <c r="G427" s="9"/>
      <c r="H427" s="10" t="s">
        <v>715</v>
      </c>
      <c r="I427" s="11"/>
      <c r="J427" s="11"/>
      <c r="K427" s="27">
        <f>SUM(K419:K426)</f>
        <v>1165580</v>
      </c>
    </row>
    <row r="428" spans="1:11" ht="12.9" customHeight="1" x14ac:dyDescent="0.25">
      <c r="A428" s="6"/>
      <c r="B428" s="5"/>
      <c r="C428" s="3"/>
      <c r="D428" s="3"/>
      <c r="E428" s="3"/>
      <c r="F428" s="3"/>
      <c r="G428" s="4"/>
      <c r="H428" s="12" t="s">
        <v>603</v>
      </c>
      <c r="I428" s="28">
        <f>I415</f>
        <v>0.15</v>
      </c>
      <c r="J428" s="13"/>
      <c r="K428" s="29">
        <f>I428*K427</f>
        <v>174837</v>
      </c>
    </row>
    <row r="429" spans="1:11" ht="12.9" customHeight="1" x14ac:dyDescent="0.25">
      <c r="A429" s="6"/>
      <c r="B429" s="5"/>
      <c r="C429" s="3"/>
      <c r="D429" s="3"/>
      <c r="E429" s="3"/>
      <c r="F429" s="3"/>
      <c r="G429" s="4"/>
      <c r="H429" s="12" t="s">
        <v>604</v>
      </c>
      <c r="I429" s="14"/>
      <c r="J429" s="14"/>
      <c r="K429" s="29">
        <f>SUM(K427:K428)</f>
        <v>1340417</v>
      </c>
    </row>
    <row r="430" spans="1:11" ht="12.9" customHeight="1" thickBot="1" x14ac:dyDescent="0.3">
      <c r="A430" s="15"/>
      <c r="B430" s="16"/>
      <c r="C430" s="17"/>
      <c r="D430" s="17"/>
      <c r="E430" s="17"/>
      <c r="F430" s="17"/>
      <c r="G430" s="18"/>
      <c r="H430" s="46" t="s">
        <v>605</v>
      </c>
      <c r="I430" s="47"/>
      <c r="J430" s="47"/>
      <c r="K430" s="144">
        <f>ROUND(K429,-1)</f>
        <v>1340420</v>
      </c>
    </row>
    <row r="431" spans="1:11" ht="14.1" customHeight="1" x14ac:dyDescent="0.25">
      <c r="A431" s="81">
        <v>34</v>
      </c>
      <c r="B431" s="676" t="s">
        <v>713</v>
      </c>
      <c r="C431" s="677"/>
      <c r="D431" s="137" t="s">
        <v>1207</v>
      </c>
      <c r="E431" s="138"/>
      <c r="F431" s="139"/>
      <c r="G431" s="139"/>
      <c r="H431" s="140"/>
      <c r="I431" s="141"/>
      <c r="J431" s="142"/>
      <c r="K431" s="143"/>
    </row>
    <row r="432" spans="1:11" ht="13.2" customHeight="1" x14ac:dyDescent="0.25">
      <c r="A432" s="2"/>
      <c r="B432" s="20" t="s">
        <v>4</v>
      </c>
      <c r="C432" s="21" t="s">
        <v>1198</v>
      </c>
      <c r="D432" s="14"/>
      <c r="E432" s="22"/>
      <c r="F432" s="23"/>
      <c r="G432" s="23"/>
      <c r="H432" s="24" t="s">
        <v>235</v>
      </c>
      <c r="I432" s="41">
        <v>1</v>
      </c>
      <c r="J432" s="25">
        <f>J419</f>
        <v>258000</v>
      </c>
      <c r="K432" s="26">
        <f>I432*J432</f>
        <v>258000</v>
      </c>
    </row>
    <row r="433" spans="1:11" ht="13.2" customHeight="1" x14ac:dyDescent="0.25">
      <c r="A433" s="2"/>
      <c r="B433" s="20" t="s">
        <v>30</v>
      </c>
      <c r="C433" s="62" t="s">
        <v>2179</v>
      </c>
      <c r="D433" s="14"/>
      <c r="E433" s="22"/>
      <c r="F433" s="23"/>
      <c r="G433" s="23"/>
      <c r="H433" s="24" t="s">
        <v>264</v>
      </c>
      <c r="I433" s="39">
        <v>8</v>
      </c>
      <c r="J433" s="162" t="s">
        <v>1469</v>
      </c>
      <c r="K433" s="26"/>
    </row>
    <row r="434" spans="1:11" ht="13.2" customHeight="1" x14ac:dyDescent="0.25">
      <c r="A434" s="2"/>
      <c r="B434" s="20" t="s">
        <v>57</v>
      </c>
      <c r="C434" s="21" t="s">
        <v>1206</v>
      </c>
      <c r="D434" s="14"/>
      <c r="E434" s="22"/>
      <c r="F434" s="23"/>
      <c r="G434" s="23"/>
      <c r="H434" s="24" t="s">
        <v>235</v>
      </c>
      <c r="I434" s="42">
        <v>1</v>
      </c>
      <c r="J434" s="25">
        <f>J395</f>
        <v>82500</v>
      </c>
      <c r="K434" s="26">
        <f t="shared" ref="K434:K439" si="58">I434*J434</f>
        <v>82500</v>
      </c>
    </row>
    <row r="435" spans="1:11" ht="13.2" customHeight="1" x14ac:dyDescent="0.25">
      <c r="A435" s="2"/>
      <c r="B435" s="20" t="s">
        <v>83</v>
      </c>
      <c r="C435" s="21" t="s">
        <v>1205</v>
      </c>
      <c r="D435" s="14"/>
      <c r="E435" s="22"/>
      <c r="F435" s="23"/>
      <c r="G435" s="23"/>
      <c r="H435" s="24" t="s">
        <v>264</v>
      </c>
      <c r="I435" s="61">
        <v>3</v>
      </c>
      <c r="J435" s="25">
        <f>J422</f>
        <v>14700</v>
      </c>
      <c r="K435" s="26">
        <f t="shared" si="58"/>
        <v>44100</v>
      </c>
    </row>
    <row r="436" spans="1:11" ht="13.2" customHeight="1" x14ac:dyDescent="0.25">
      <c r="A436" s="2"/>
      <c r="B436" s="20" t="s">
        <v>110</v>
      </c>
      <c r="C436" s="21" t="s">
        <v>2180</v>
      </c>
      <c r="D436" s="14"/>
      <c r="E436" s="22"/>
      <c r="F436" s="23"/>
      <c r="G436" s="23"/>
      <c r="H436" s="24" t="s">
        <v>203</v>
      </c>
      <c r="I436" s="36">
        <v>1</v>
      </c>
      <c r="J436" s="25">
        <f>J423</f>
        <v>56500</v>
      </c>
      <c r="K436" s="26">
        <f t="shared" si="58"/>
        <v>56500</v>
      </c>
    </row>
    <row r="437" spans="1:11" ht="13.2" customHeight="1" x14ac:dyDescent="0.25">
      <c r="A437" s="2"/>
      <c r="B437" s="20" t="s">
        <v>137</v>
      </c>
      <c r="C437" s="21" t="s">
        <v>585</v>
      </c>
      <c r="D437" s="14"/>
      <c r="E437" s="22"/>
      <c r="F437" s="23"/>
      <c r="G437" s="23"/>
      <c r="H437" s="24" t="s">
        <v>203</v>
      </c>
      <c r="I437" s="36">
        <v>3</v>
      </c>
      <c r="J437" s="25">
        <f>J424</f>
        <v>3960</v>
      </c>
      <c r="K437" s="26">
        <f t="shared" si="58"/>
        <v>11880</v>
      </c>
    </row>
    <row r="438" spans="1:11" ht="13.2" customHeight="1" x14ac:dyDescent="0.25">
      <c r="A438" s="2"/>
      <c r="B438" s="20" t="s">
        <v>156</v>
      </c>
      <c r="C438" s="21" t="s">
        <v>586</v>
      </c>
      <c r="D438" s="14"/>
      <c r="E438" s="22"/>
      <c r="F438" s="23"/>
      <c r="G438" s="23"/>
      <c r="H438" s="24" t="s">
        <v>203</v>
      </c>
      <c r="I438" s="42">
        <v>3</v>
      </c>
      <c r="J438" s="25">
        <f>J425</f>
        <v>3650</v>
      </c>
      <c r="K438" s="26">
        <f t="shared" si="58"/>
        <v>10950</v>
      </c>
    </row>
    <row r="439" spans="1:11" ht="13.2" customHeight="1" x14ac:dyDescent="0.25">
      <c r="A439" s="2"/>
      <c r="B439" s="20" t="s">
        <v>175</v>
      </c>
      <c r="C439" s="21" t="s">
        <v>2181</v>
      </c>
      <c r="D439" s="14"/>
      <c r="E439" s="22"/>
      <c r="F439" s="23"/>
      <c r="G439" s="23"/>
      <c r="H439" s="24" t="s">
        <v>203</v>
      </c>
      <c r="I439" s="36">
        <v>1</v>
      </c>
      <c r="J439" s="25">
        <f>J426</f>
        <v>76500</v>
      </c>
      <c r="K439" s="26">
        <f t="shared" si="58"/>
        <v>76500</v>
      </c>
    </row>
    <row r="440" spans="1:11" ht="12.9" customHeight="1" x14ac:dyDescent="0.25">
      <c r="A440" s="6"/>
      <c r="B440" s="7"/>
      <c r="C440" s="8"/>
      <c r="D440" s="8"/>
      <c r="E440" s="8"/>
      <c r="F440" s="8"/>
      <c r="G440" s="9"/>
      <c r="H440" s="10" t="s">
        <v>715</v>
      </c>
      <c r="I440" s="11"/>
      <c r="J440" s="11"/>
      <c r="K440" s="27">
        <f>SUM(K432:K439)</f>
        <v>540430</v>
      </c>
    </row>
    <row r="441" spans="1:11" ht="12.9" customHeight="1" x14ac:dyDescent="0.25">
      <c r="A441" s="6"/>
      <c r="B441" s="5"/>
      <c r="C441" s="3"/>
      <c r="D441" s="3"/>
      <c r="E441" s="3"/>
      <c r="F441" s="3"/>
      <c r="G441" s="4"/>
      <c r="H441" s="12" t="s">
        <v>603</v>
      </c>
      <c r="I441" s="28">
        <f>I428</f>
        <v>0.15</v>
      </c>
      <c r="J441" s="13"/>
      <c r="K441" s="29">
        <f>I441*K440</f>
        <v>81064.5</v>
      </c>
    </row>
    <row r="442" spans="1:11" ht="12.9" customHeight="1" x14ac:dyDescent="0.25">
      <c r="A442" s="6"/>
      <c r="B442" s="5"/>
      <c r="C442" s="3"/>
      <c r="D442" s="3"/>
      <c r="E442" s="3"/>
      <c r="F442" s="3"/>
      <c r="G442" s="4"/>
      <c r="H442" s="12" t="s">
        <v>604</v>
      </c>
      <c r="I442" s="14"/>
      <c r="J442" s="14"/>
      <c r="K442" s="29">
        <f>SUM(K440:K441)</f>
        <v>621494.5</v>
      </c>
    </row>
    <row r="443" spans="1:11" ht="12.9" customHeight="1" thickBot="1" x14ac:dyDescent="0.3">
      <c r="A443" s="15"/>
      <c r="B443" s="16"/>
      <c r="C443" s="17"/>
      <c r="D443" s="17"/>
      <c r="E443" s="17"/>
      <c r="F443" s="17"/>
      <c r="G443" s="18"/>
      <c r="H443" s="46" t="s">
        <v>605</v>
      </c>
      <c r="I443" s="47"/>
      <c r="J443" s="47"/>
      <c r="K443" s="144">
        <f>ROUND(K442,-1)</f>
        <v>621490</v>
      </c>
    </row>
    <row r="444" spans="1:11" ht="14.1" customHeight="1" x14ac:dyDescent="0.25">
      <c r="A444" s="81">
        <v>35</v>
      </c>
      <c r="B444" s="676" t="s">
        <v>713</v>
      </c>
      <c r="C444" s="677"/>
      <c r="D444" s="137" t="s">
        <v>1208</v>
      </c>
      <c r="E444" s="138"/>
      <c r="F444" s="139"/>
      <c r="G444" s="139"/>
      <c r="H444" s="140"/>
      <c r="I444" s="141"/>
      <c r="J444" s="142"/>
      <c r="K444" s="143"/>
    </row>
    <row r="445" spans="1:11" ht="13.2" customHeight="1" x14ac:dyDescent="0.25">
      <c r="A445" s="2"/>
      <c r="B445" s="20" t="s">
        <v>4</v>
      </c>
      <c r="C445" s="21" t="s">
        <v>1198</v>
      </c>
      <c r="D445" s="14"/>
      <c r="E445" s="22"/>
      <c r="F445" s="23"/>
      <c r="G445" s="23"/>
      <c r="H445" s="24" t="s">
        <v>235</v>
      </c>
      <c r="I445" s="41">
        <v>1</v>
      </c>
      <c r="J445" s="25">
        <f>J432</f>
        <v>258000</v>
      </c>
      <c r="K445" s="26">
        <f>I445*J445</f>
        <v>258000</v>
      </c>
    </row>
    <row r="446" spans="1:11" ht="13.2" customHeight="1" x14ac:dyDescent="0.25">
      <c r="A446" s="2"/>
      <c r="B446" s="20" t="s">
        <v>30</v>
      </c>
      <c r="C446" s="62" t="s">
        <v>2179</v>
      </c>
      <c r="D446" s="14"/>
      <c r="E446" s="22"/>
      <c r="F446" s="23"/>
      <c r="G446" s="23"/>
      <c r="H446" s="24" t="s">
        <v>264</v>
      </c>
      <c r="I446" s="39">
        <v>10</v>
      </c>
      <c r="J446" s="162" t="s">
        <v>1469</v>
      </c>
      <c r="K446" s="26"/>
    </row>
    <row r="447" spans="1:11" ht="13.2" customHeight="1" x14ac:dyDescent="0.25">
      <c r="A447" s="2"/>
      <c r="B447" s="20" t="s">
        <v>57</v>
      </c>
      <c r="C447" s="21" t="s">
        <v>1203</v>
      </c>
      <c r="D447" s="14"/>
      <c r="E447" s="22"/>
      <c r="F447" s="23"/>
      <c r="G447" s="23"/>
      <c r="H447" s="24" t="s">
        <v>235</v>
      </c>
      <c r="I447" s="42">
        <v>1</v>
      </c>
      <c r="J447" s="25">
        <f>'Harga Satuan Dasar mat'!G278</f>
        <v>105000</v>
      </c>
      <c r="K447" s="26">
        <f t="shared" ref="K447:K452" si="59">I447*J447</f>
        <v>105000</v>
      </c>
    </row>
    <row r="448" spans="1:11" ht="13.2" customHeight="1" x14ac:dyDescent="0.25">
      <c r="A448" s="2"/>
      <c r="B448" s="20" t="s">
        <v>83</v>
      </c>
      <c r="C448" s="21" t="s">
        <v>1204</v>
      </c>
      <c r="D448" s="14"/>
      <c r="E448" s="22"/>
      <c r="F448" s="23"/>
      <c r="G448" s="23"/>
      <c r="H448" s="24" t="s">
        <v>264</v>
      </c>
      <c r="I448" s="61">
        <v>3.5</v>
      </c>
      <c r="J448" s="25">
        <f>J435</f>
        <v>14700</v>
      </c>
      <c r="K448" s="26">
        <f t="shared" si="59"/>
        <v>51450</v>
      </c>
    </row>
    <row r="449" spans="1:11" ht="13.2" customHeight="1" x14ac:dyDescent="0.25">
      <c r="A449" s="2"/>
      <c r="B449" s="20" t="s">
        <v>110</v>
      </c>
      <c r="C449" s="21" t="s">
        <v>2180</v>
      </c>
      <c r="D449" s="14"/>
      <c r="E449" s="22"/>
      <c r="F449" s="23"/>
      <c r="G449" s="23"/>
      <c r="H449" s="24" t="s">
        <v>203</v>
      </c>
      <c r="I449" s="36">
        <v>1</v>
      </c>
      <c r="J449" s="25">
        <f>J436</f>
        <v>56500</v>
      </c>
      <c r="K449" s="26">
        <f t="shared" si="59"/>
        <v>56500</v>
      </c>
    </row>
    <row r="450" spans="1:11" ht="13.2" customHeight="1" x14ac:dyDescent="0.25">
      <c r="A450" s="2"/>
      <c r="B450" s="20" t="s">
        <v>137</v>
      </c>
      <c r="C450" s="21" t="s">
        <v>585</v>
      </c>
      <c r="D450" s="14"/>
      <c r="E450" s="22"/>
      <c r="F450" s="23"/>
      <c r="G450" s="23"/>
      <c r="H450" s="24" t="s">
        <v>203</v>
      </c>
      <c r="I450" s="36">
        <v>4</v>
      </c>
      <c r="J450" s="25">
        <f t="shared" ref="J450:J452" si="60">J437</f>
        <v>3960</v>
      </c>
      <c r="K450" s="26">
        <f t="shared" si="59"/>
        <v>15840</v>
      </c>
    </row>
    <row r="451" spans="1:11" ht="13.2" customHeight="1" x14ac:dyDescent="0.25">
      <c r="A451" s="2"/>
      <c r="B451" s="20" t="s">
        <v>156</v>
      </c>
      <c r="C451" s="21" t="s">
        <v>586</v>
      </c>
      <c r="D451" s="14"/>
      <c r="E451" s="22"/>
      <c r="F451" s="23"/>
      <c r="G451" s="23"/>
      <c r="H451" s="24" t="s">
        <v>203</v>
      </c>
      <c r="I451" s="42">
        <v>4</v>
      </c>
      <c r="J451" s="25">
        <f t="shared" si="60"/>
        <v>3650</v>
      </c>
      <c r="K451" s="26">
        <f t="shared" si="59"/>
        <v>14600</v>
      </c>
    </row>
    <row r="452" spans="1:11" ht="13.2" customHeight="1" x14ac:dyDescent="0.25">
      <c r="A452" s="2"/>
      <c r="B452" s="20" t="s">
        <v>175</v>
      </c>
      <c r="C452" s="21" t="s">
        <v>2181</v>
      </c>
      <c r="D452" s="14"/>
      <c r="E452" s="22"/>
      <c r="F452" s="23"/>
      <c r="G452" s="23"/>
      <c r="H452" s="24" t="s">
        <v>203</v>
      </c>
      <c r="I452" s="36">
        <v>1</v>
      </c>
      <c r="J452" s="25">
        <f t="shared" si="60"/>
        <v>76500</v>
      </c>
      <c r="K452" s="26">
        <f t="shared" si="59"/>
        <v>76500</v>
      </c>
    </row>
    <row r="453" spans="1:11" ht="12.9" customHeight="1" x14ac:dyDescent="0.25">
      <c r="A453" s="6"/>
      <c r="B453" s="7"/>
      <c r="C453" s="8"/>
      <c r="D453" s="8"/>
      <c r="E453" s="8"/>
      <c r="F453" s="8"/>
      <c r="G453" s="9"/>
      <c r="H453" s="10" t="s">
        <v>715</v>
      </c>
      <c r="I453" s="11"/>
      <c r="J453" s="11"/>
      <c r="K453" s="27">
        <f>SUM(K445:K452)</f>
        <v>577890</v>
      </c>
    </row>
    <row r="454" spans="1:11" ht="12.9" customHeight="1" x14ac:dyDescent="0.25">
      <c r="A454" s="6"/>
      <c r="B454" s="5"/>
      <c r="C454" s="3"/>
      <c r="D454" s="3"/>
      <c r="E454" s="3"/>
      <c r="F454" s="3"/>
      <c r="G454" s="4"/>
      <c r="H454" s="12" t="s">
        <v>603</v>
      </c>
      <c r="I454" s="28">
        <f>I441</f>
        <v>0.15</v>
      </c>
      <c r="J454" s="13"/>
      <c r="K454" s="29">
        <f>I454*K453</f>
        <v>86683.5</v>
      </c>
    </row>
    <row r="455" spans="1:11" ht="12.9" customHeight="1" x14ac:dyDescent="0.25">
      <c r="A455" s="6"/>
      <c r="B455" s="5"/>
      <c r="C455" s="3"/>
      <c r="D455" s="3"/>
      <c r="E455" s="3"/>
      <c r="F455" s="3"/>
      <c r="G455" s="4"/>
      <c r="H455" s="12" t="s">
        <v>604</v>
      </c>
      <c r="I455" s="14"/>
      <c r="J455" s="14"/>
      <c r="K455" s="29">
        <f>SUM(K453:K454)</f>
        <v>664573.5</v>
      </c>
    </row>
    <row r="456" spans="1:11" ht="12.9" customHeight="1" thickBot="1" x14ac:dyDescent="0.3">
      <c r="A456" s="15"/>
      <c r="B456" s="16"/>
      <c r="C456" s="17"/>
      <c r="D456" s="17"/>
      <c r="E456" s="17"/>
      <c r="F456" s="17"/>
      <c r="G456" s="18"/>
      <c r="H456" s="46" t="s">
        <v>605</v>
      </c>
      <c r="I456" s="47"/>
      <c r="J456" s="47"/>
      <c r="K456" s="144">
        <f>ROUND(K455,-1)</f>
        <v>664570</v>
      </c>
    </row>
    <row r="457" spans="1:11" ht="14.1" customHeight="1" x14ac:dyDescent="0.25">
      <c r="A457" s="81">
        <v>36</v>
      </c>
      <c r="B457" s="676" t="s">
        <v>713</v>
      </c>
      <c r="C457" s="677"/>
      <c r="D457" s="137" t="s">
        <v>1209</v>
      </c>
      <c r="E457" s="138"/>
      <c r="F457" s="139"/>
      <c r="G457" s="139"/>
      <c r="H457" s="140"/>
      <c r="I457" s="141"/>
      <c r="J457" s="142"/>
      <c r="K457" s="143"/>
    </row>
    <row r="458" spans="1:11" ht="13.2" customHeight="1" x14ac:dyDescent="0.25">
      <c r="A458" s="2"/>
      <c r="B458" s="20" t="s">
        <v>4</v>
      </c>
      <c r="C458" s="21" t="s">
        <v>1198</v>
      </c>
      <c r="D458" s="14"/>
      <c r="E458" s="22"/>
      <c r="F458" s="23"/>
      <c r="G458" s="23"/>
      <c r="H458" s="24" t="s">
        <v>235</v>
      </c>
      <c r="I458" s="41">
        <v>1</v>
      </c>
      <c r="J458" s="25">
        <f>J445</f>
        <v>258000</v>
      </c>
      <c r="K458" s="26">
        <f>I458*J458</f>
        <v>258000</v>
      </c>
    </row>
    <row r="459" spans="1:11" ht="13.2" customHeight="1" x14ac:dyDescent="0.25">
      <c r="A459" s="2"/>
      <c r="B459" s="20" t="s">
        <v>30</v>
      </c>
      <c r="C459" s="62" t="s">
        <v>2179</v>
      </c>
      <c r="D459" s="14"/>
      <c r="E459" s="22"/>
      <c r="F459" s="23"/>
      <c r="G459" s="23"/>
      <c r="H459" s="24" t="s">
        <v>264</v>
      </c>
      <c r="I459" s="39">
        <v>6</v>
      </c>
      <c r="J459" s="162" t="s">
        <v>1469</v>
      </c>
      <c r="K459" s="26"/>
    </row>
    <row r="460" spans="1:11" ht="13.2" customHeight="1" x14ac:dyDescent="0.25">
      <c r="A460" s="2"/>
      <c r="B460" s="20" t="s">
        <v>57</v>
      </c>
      <c r="C460" s="21" t="s">
        <v>1202</v>
      </c>
      <c r="D460" s="14"/>
      <c r="E460" s="22"/>
      <c r="F460" s="23"/>
      <c r="G460" s="23"/>
      <c r="H460" s="24" t="s">
        <v>235</v>
      </c>
      <c r="I460" s="42">
        <v>1</v>
      </c>
      <c r="J460" s="25">
        <f>J421</f>
        <v>55000</v>
      </c>
      <c r="K460" s="26">
        <f t="shared" ref="K460:K465" si="61">I460*J460</f>
        <v>55000</v>
      </c>
    </row>
    <row r="461" spans="1:11" ht="13.2" customHeight="1" x14ac:dyDescent="0.25">
      <c r="A461" s="2"/>
      <c r="B461" s="20" t="s">
        <v>83</v>
      </c>
      <c r="C461" s="21" t="s">
        <v>1205</v>
      </c>
      <c r="D461" s="14"/>
      <c r="E461" s="22"/>
      <c r="F461" s="23"/>
      <c r="G461" s="23"/>
      <c r="H461" s="24" t="s">
        <v>264</v>
      </c>
      <c r="I461" s="61">
        <v>2.5</v>
      </c>
      <c r="J461" s="25">
        <f t="shared" ref="J461:J465" si="62">J448</f>
        <v>14700</v>
      </c>
      <c r="K461" s="26">
        <f t="shared" si="61"/>
        <v>36750</v>
      </c>
    </row>
    <row r="462" spans="1:11" ht="13.2" customHeight="1" x14ac:dyDescent="0.25">
      <c r="A462" s="2"/>
      <c r="B462" s="20" t="s">
        <v>110</v>
      </c>
      <c r="C462" s="21" t="s">
        <v>2180</v>
      </c>
      <c r="D462" s="14"/>
      <c r="E462" s="22"/>
      <c r="F462" s="23"/>
      <c r="G462" s="23"/>
      <c r="H462" s="24" t="s">
        <v>203</v>
      </c>
      <c r="I462" s="36">
        <v>1</v>
      </c>
      <c r="J462" s="25">
        <f>J449</f>
        <v>56500</v>
      </c>
      <c r="K462" s="26">
        <f t="shared" si="61"/>
        <v>56500</v>
      </c>
    </row>
    <row r="463" spans="1:11" ht="13.2" customHeight="1" x14ac:dyDescent="0.25">
      <c r="A463" s="2"/>
      <c r="B463" s="20" t="s">
        <v>137</v>
      </c>
      <c r="C463" s="21" t="s">
        <v>585</v>
      </c>
      <c r="D463" s="14"/>
      <c r="E463" s="22"/>
      <c r="F463" s="23"/>
      <c r="G463" s="23"/>
      <c r="H463" s="24" t="s">
        <v>203</v>
      </c>
      <c r="I463" s="36">
        <v>3</v>
      </c>
      <c r="J463" s="25">
        <f t="shared" si="62"/>
        <v>3960</v>
      </c>
      <c r="K463" s="26">
        <f t="shared" si="61"/>
        <v>11880</v>
      </c>
    </row>
    <row r="464" spans="1:11" ht="13.2" customHeight="1" x14ac:dyDescent="0.25">
      <c r="A464" s="2"/>
      <c r="B464" s="20" t="s">
        <v>156</v>
      </c>
      <c r="C464" s="21" t="s">
        <v>586</v>
      </c>
      <c r="D464" s="14"/>
      <c r="E464" s="22"/>
      <c r="F464" s="23"/>
      <c r="G464" s="23"/>
      <c r="H464" s="24" t="s">
        <v>203</v>
      </c>
      <c r="I464" s="42">
        <v>3</v>
      </c>
      <c r="J464" s="25">
        <f t="shared" si="62"/>
        <v>3650</v>
      </c>
      <c r="K464" s="26">
        <f t="shared" si="61"/>
        <v>10950</v>
      </c>
    </row>
    <row r="465" spans="1:11" ht="13.2" customHeight="1" x14ac:dyDescent="0.25">
      <c r="A465" s="2"/>
      <c r="B465" s="20" t="s">
        <v>175</v>
      </c>
      <c r="C465" s="21" t="s">
        <v>2181</v>
      </c>
      <c r="D465" s="14"/>
      <c r="E465" s="22"/>
      <c r="F465" s="23"/>
      <c r="G465" s="23"/>
      <c r="H465" s="24" t="s">
        <v>203</v>
      </c>
      <c r="I465" s="36">
        <v>1</v>
      </c>
      <c r="J465" s="25">
        <f t="shared" si="62"/>
        <v>76500</v>
      </c>
      <c r="K465" s="26">
        <f t="shared" si="61"/>
        <v>76500</v>
      </c>
    </row>
    <row r="466" spans="1:11" ht="12.9" customHeight="1" x14ac:dyDescent="0.25">
      <c r="A466" s="6"/>
      <c r="B466" s="7"/>
      <c r="C466" s="8"/>
      <c r="D466" s="8"/>
      <c r="E466" s="8"/>
      <c r="F466" s="8"/>
      <c r="G466" s="9"/>
      <c r="H466" s="10" t="s">
        <v>715</v>
      </c>
      <c r="I466" s="11"/>
      <c r="J466" s="11"/>
      <c r="K466" s="27">
        <f>SUM(K458:K465)</f>
        <v>505580</v>
      </c>
    </row>
    <row r="467" spans="1:11" ht="12.9" customHeight="1" x14ac:dyDescent="0.25">
      <c r="A467" s="6"/>
      <c r="B467" s="5"/>
      <c r="C467" s="3"/>
      <c r="D467" s="3"/>
      <c r="E467" s="3"/>
      <c r="F467" s="3"/>
      <c r="G467" s="4"/>
      <c r="H467" s="12" t="s">
        <v>603</v>
      </c>
      <c r="I467" s="28">
        <f>I454</f>
        <v>0.15</v>
      </c>
      <c r="J467" s="13"/>
      <c r="K467" s="29">
        <f>I467*K466</f>
        <v>75837</v>
      </c>
    </row>
    <row r="468" spans="1:11" ht="12.9" customHeight="1" x14ac:dyDescent="0.25">
      <c r="A468" s="6"/>
      <c r="B468" s="5"/>
      <c r="C468" s="3"/>
      <c r="D468" s="3"/>
      <c r="E468" s="3"/>
      <c r="F468" s="3"/>
      <c r="G468" s="4"/>
      <c r="H468" s="12" t="s">
        <v>604</v>
      </c>
      <c r="I468" s="14"/>
      <c r="J468" s="14"/>
      <c r="K468" s="29">
        <f>SUM(K466:K467)</f>
        <v>581417</v>
      </c>
    </row>
    <row r="469" spans="1:11" ht="12.9" customHeight="1" thickBot="1" x14ac:dyDescent="0.3">
      <c r="A469" s="15"/>
      <c r="B469" s="16"/>
      <c r="C469" s="17"/>
      <c r="D469" s="17"/>
      <c r="E469" s="17"/>
      <c r="F469" s="17"/>
      <c r="G469" s="18"/>
      <c r="H469" s="46" t="s">
        <v>605</v>
      </c>
      <c r="I469" s="47"/>
      <c r="J469" s="47"/>
      <c r="K469" s="144">
        <f>ROUND(K468,-1)</f>
        <v>581420</v>
      </c>
    </row>
  </sheetData>
  <mergeCells count="45">
    <mergeCell ref="B98:C98"/>
    <mergeCell ref="B7:C7"/>
    <mergeCell ref="B59:C59"/>
    <mergeCell ref="A1:K1"/>
    <mergeCell ref="A2:K2"/>
    <mergeCell ref="A4:A6"/>
    <mergeCell ref="B4:G6"/>
    <mergeCell ref="H4:H6"/>
    <mergeCell ref="I4:I6"/>
    <mergeCell ref="J4:K4"/>
    <mergeCell ref="J5:J6"/>
    <mergeCell ref="K5:K6"/>
    <mergeCell ref="B382:C382"/>
    <mergeCell ref="B444:C444"/>
    <mergeCell ref="B392:C392"/>
    <mergeCell ref="B405:C405"/>
    <mergeCell ref="B418:C418"/>
    <mergeCell ref="B431:C431"/>
    <mergeCell ref="B177:C177"/>
    <mergeCell ref="B191:C191"/>
    <mergeCell ref="B331:C331"/>
    <mergeCell ref="B372:C372"/>
    <mergeCell ref="B350:C350"/>
    <mergeCell ref="B361:C361"/>
    <mergeCell ref="B219:C219"/>
    <mergeCell ref="B233:C233"/>
    <mergeCell ref="B247:C247"/>
    <mergeCell ref="B261:C261"/>
    <mergeCell ref="B275:C275"/>
    <mergeCell ref="B457:C457"/>
    <mergeCell ref="B339:C339"/>
    <mergeCell ref="B20:C20"/>
    <mergeCell ref="B33:C33"/>
    <mergeCell ref="B46:C46"/>
    <mergeCell ref="B72:C72"/>
    <mergeCell ref="B85:C85"/>
    <mergeCell ref="B111:C111"/>
    <mergeCell ref="B124:C124"/>
    <mergeCell ref="B137:C137"/>
    <mergeCell ref="B150:C150"/>
    <mergeCell ref="B289:C289"/>
    <mergeCell ref="B303:C303"/>
    <mergeCell ref="B317:C317"/>
    <mergeCell ref="B205:C205"/>
    <mergeCell ref="B163:C163"/>
  </mergeCells>
  <pageMargins left="0.47244094488188981" right="0.11811023622047245" top="0.35433070866141736" bottom="0.15748031496062992" header="0.31496062992125984" footer="0.31496062992125984"/>
  <pageSetup paperSize="9" scale="87" orientation="portrait" verticalDpi="0" r:id="rId1"/>
  <rowBreaks count="7" manualBreakCount="7">
    <brk id="58" max="16383" man="1"/>
    <brk id="123" max="16383" man="1"/>
    <brk id="190" max="16383" man="1"/>
    <brk id="246" max="16383" man="1"/>
    <brk id="302" max="16383" man="1"/>
    <brk id="360" max="10" man="1"/>
    <brk id="417" max="1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176D-5A42-447A-96EF-460D64E16708}">
  <sheetPr>
    <tabColor rgb="FFFFC000"/>
  </sheetPr>
  <dimension ref="A1:K163"/>
  <sheetViews>
    <sheetView topLeftCell="A125" zoomScaleNormal="100" zoomScaleSheetLayoutView="100" workbookViewId="0">
      <selection activeCell="I173" sqref="I173"/>
    </sheetView>
  </sheetViews>
  <sheetFormatPr defaultRowHeight="13.8" x14ac:dyDescent="0.25"/>
  <cols>
    <col min="1" max="1" width="4.59765625" customWidth="1"/>
    <col min="2" max="2" width="3.8984375" customWidth="1"/>
    <col min="3" max="3" width="5.69921875" customWidth="1"/>
    <col min="5" max="5" width="13.09765625" customWidth="1"/>
    <col min="7" max="7" width="16.69921875" customWidth="1"/>
    <col min="8" max="8" width="8.5" customWidth="1"/>
    <col min="9" max="9" width="8.19921875" customWidth="1"/>
    <col min="10" max="10" width="9.59765625" customWidth="1"/>
    <col min="11" max="11" width="11.5" customWidth="1"/>
    <col min="15" max="15" width="6.59765625" customWidth="1"/>
    <col min="16" max="16" width="5.3984375" customWidth="1"/>
    <col min="18" max="18" width="2.5" customWidth="1"/>
    <col min="19" max="19" width="5.3984375" customWidth="1"/>
    <col min="21" max="21" width="2.5" customWidth="1"/>
    <col min="22" max="22" width="5.3984375" customWidth="1"/>
    <col min="24" max="24" width="2.5" customWidth="1"/>
    <col min="25" max="25" width="5.3984375" customWidth="1"/>
    <col min="27" max="27" width="2.5" customWidth="1"/>
    <col min="28" max="28" width="5.3984375" customWidth="1"/>
    <col min="30" max="30" width="2.5" customWidth="1"/>
    <col min="31" max="31" width="5.3984375" customWidth="1"/>
    <col min="33" max="33" width="5.8984375" customWidth="1"/>
  </cols>
  <sheetData>
    <row r="1" spans="1:11" ht="14.4" x14ac:dyDescent="0.3">
      <c r="A1" s="678" t="s">
        <v>711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 x14ac:dyDescent="0.3">
      <c r="A2" s="678" t="s">
        <v>1638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 thickBot="1" x14ac:dyDescent="0.3">
      <c r="A3" s="1"/>
      <c r="B3" s="1"/>
      <c r="C3" s="1"/>
      <c r="D3" s="1"/>
      <c r="E3" s="1"/>
      <c r="F3" s="1"/>
      <c r="G3" s="1"/>
      <c r="H3" s="1"/>
      <c r="I3" s="1"/>
      <c r="J3" s="19" t="s">
        <v>708</v>
      </c>
      <c r="K3" s="291">
        <v>0.15</v>
      </c>
    </row>
    <row r="4" spans="1:11" x14ac:dyDescent="0.25">
      <c r="A4" s="679" t="s">
        <v>0</v>
      </c>
      <c r="B4" s="682" t="s">
        <v>597</v>
      </c>
      <c r="C4" s="683"/>
      <c r="D4" s="683"/>
      <c r="E4" s="683"/>
      <c r="F4" s="683"/>
      <c r="G4" s="684"/>
      <c r="H4" s="691" t="s">
        <v>2</v>
      </c>
      <c r="I4" s="691" t="s">
        <v>3</v>
      </c>
      <c r="J4" s="694" t="s">
        <v>712</v>
      </c>
      <c r="K4" s="695"/>
    </row>
    <row r="5" spans="1:11" x14ac:dyDescent="0.25">
      <c r="A5" s="680"/>
      <c r="B5" s="685"/>
      <c r="C5" s="686"/>
      <c r="D5" s="686"/>
      <c r="E5" s="686"/>
      <c r="F5" s="686"/>
      <c r="G5" s="687"/>
      <c r="H5" s="692"/>
      <c r="I5" s="692"/>
      <c r="J5" s="696" t="s">
        <v>598</v>
      </c>
      <c r="K5" s="697" t="s">
        <v>617</v>
      </c>
    </row>
    <row r="6" spans="1:11" ht="14.4" thickBot="1" x14ac:dyDescent="0.3">
      <c r="A6" s="681"/>
      <c r="B6" s="688"/>
      <c r="C6" s="689"/>
      <c r="D6" s="689"/>
      <c r="E6" s="689"/>
      <c r="F6" s="689"/>
      <c r="G6" s="690"/>
      <c r="H6" s="693"/>
      <c r="I6" s="693"/>
      <c r="J6" s="693"/>
      <c r="K6" s="698"/>
    </row>
    <row r="7" spans="1:11" x14ac:dyDescent="0.25">
      <c r="A7" s="104">
        <v>1</v>
      </c>
      <c r="B7" s="105" t="s">
        <v>1845</v>
      </c>
      <c r="C7" s="106"/>
      <c r="D7" s="106"/>
      <c r="E7" s="106"/>
      <c r="F7" s="106"/>
      <c r="G7" s="106"/>
      <c r="H7" s="24" t="s">
        <v>596</v>
      </c>
      <c r="I7" s="107">
        <v>1</v>
      </c>
      <c r="J7" s="112">
        <f>'Harga Satuan Dasar mat'!G762</f>
        <v>341500</v>
      </c>
      <c r="K7" s="111">
        <f>I7*J7</f>
        <v>341500</v>
      </c>
    </row>
    <row r="8" spans="1:11" x14ac:dyDescent="0.25">
      <c r="A8" s="108">
        <v>2</v>
      </c>
      <c r="B8" s="109" t="s">
        <v>1846</v>
      </c>
      <c r="C8" s="52"/>
      <c r="D8" s="52"/>
      <c r="E8" s="52"/>
      <c r="F8" s="52"/>
      <c r="G8" s="52"/>
      <c r="H8" s="24" t="s">
        <v>596</v>
      </c>
      <c r="I8" s="43">
        <v>1</v>
      </c>
      <c r="J8" s="113">
        <f>'Harga Satuan Dasar mat'!G763</f>
        <v>519500</v>
      </c>
      <c r="K8" s="110">
        <f>I8*J8</f>
        <v>519500</v>
      </c>
    </row>
    <row r="9" spans="1:11" ht="14.1" customHeight="1" x14ac:dyDescent="0.25">
      <c r="A9" s="81">
        <v>3</v>
      </c>
      <c r="B9" s="676" t="s">
        <v>1832</v>
      </c>
      <c r="C9" s="677"/>
      <c r="D9" s="149" t="s">
        <v>1833</v>
      </c>
      <c r="E9" s="138"/>
      <c r="F9" s="139"/>
      <c r="G9" s="139"/>
      <c r="H9" s="140"/>
      <c r="I9" s="141"/>
      <c r="J9" s="142"/>
      <c r="K9" s="143"/>
    </row>
    <row r="10" spans="1:11" ht="13.2" customHeight="1" x14ac:dyDescent="0.25">
      <c r="A10" s="2"/>
      <c r="B10" s="20" t="s">
        <v>4</v>
      </c>
      <c r="C10" s="21" t="s">
        <v>599</v>
      </c>
      <c r="D10" s="14"/>
      <c r="E10" s="22"/>
      <c r="F10" s="23"/>
      <c r="G10" s="23"/>
      <c r="H10" s="24" t="s">
        <v>600</v>
      </c>
      <c r="I10" s="63">
        <v>8.3000000000000007</v>
      </c>
      <c r="J10" s="25">
        <f>'Harga Satuan Dasar mat'!G760</f>
        <v>51500</v>
      </c>
      <c r="K10" s="89">
        <f>I10*J10</f>
        <v>427450.00000000006</v>
      </c>
    </row>
    <row r="11" spans="1:11" ht="13.2" customHeight="1" x14ac:dyDescent="0.25">
      <c r="A11" s="2"/>
      <c r="B11" s="20" t="s">
        <v>30</v>
      </c>
      <c r="C11" s="21" t="s">
        <v>601</v>
      </c>
      <c r="D11" s="14"/>
      <c r="E11" s="22"/>
      <c r="F11" s="23"/>
      <c r="G11" s="23"/>
      <c r="H11" s="24" t="s">
        <v>596</v>
      </c>
      <c r="I11" s="63">
        <v>0.83</v>
      </c>
      <c r="J11" s="25">
        <f>'Harga Satuan Dasar mat'!G761</f>
        <v>595000</v>
      </c>
      <c r="K11" s="89">
        <f t="shared" ref="K11:K12" si="0">I11*J11</f>
        <v>493850</v>
      </c>
    </row>
    <row r="12" spans="1:11" ht="13.2" customHeight="1" x14ac:dyDescent="0.25">
      <c r="A12" s="2"/>
      <c r="B12" s="20" t="s">
        <v>57</v>
      </c>
      <c r="C12" s="21" t="s">
        <v>602</v>
      </c>
      <c r="D12" s="14"/>
      <c r="E12" s="22"/>
      <c r="F12" s="23"/>
      <c r="G12" s="23"/>
      <c r="H12" s="24" t="s">
        <v>596</v>
      </c>
      <c r="I12" s="64">
        <v>0.54</v>
      </c>
      <c r="J12" s="25">
        <f>'Harga Satuan Dasar mat'!G764</f>
        <v>445500</v>
      </c>
      <c r="K12" s="89">
        <f t="shared" si="0"/>
        <v>240570.00000000003</v>
      </c>
    </row>
    <row r="13" spans="1:11" ht="15" customHeight="1" thickBot="1" x14ac:dyDescent="0.3">
      <c r="A13" s="15"/>
      <c r="B13" s="16"/>
      <c r="C13" s="17"/>
      <c r="D13" s="17"/>
      <c r="E13" s="17"/>
      <c r="F13" s="17"/>
      <c r="G13" s="18"/>
      <c r="H13" s="46" t="s">
        <v>715</v>
      </c>
      <c r="I13" s="47"/>
      <c r="J13" s="47"/>
      <c r="K13" s="150">
        <f>SUM(K10:K12)</f>
        <v>1161870</v>
      </c>
    </row>
    <row r="14" spans="1:11" ht="14.1" customHeight="1" x14ac:dyDescent="0.25">
      <c r="A14" s="81">
        <v>4</v>
      </c>
      <c r="B14" s="705" t="s">
        <v>1834</v>
      </c>
      <c r="C14" s="706"/>
      <c r="D14" s="82" t="s">
        <v>1839</v>
      </c>
      <c r="E14" s="83"/>
      <c r="F14" s="84"/>
      <c r="G14" s="85"/>
      <c r="H14" s="86" t="s">
        <v>596</v>
      </c>
      <c r="I14" s="91">
        <v>0.55770742681062502</v>
      </c>
      <c r="J14" s="92">
        <f>K7</f>
        <v>341500</v>
      </c>
      <c r="K14" s="87">
        <f>I14*J14</f>
        <v>190457.08625582844</v>
      </c>
    </row>
    <row r="15" spans="1:11" ht="12.9" customHeight="1" x14ac:dyDescent="0.25">
      <c r="A15" s="6"/>
      <c r="B15" s="5"/>
      <c r="C15" s="3"/>
      <c r="D15" s="3"/>
      <c r="E15" s="3"/>
      <c r="F15" s="3"/>
      <c r="G15" s="4"/>
      <c r="H15" s="12" t="s">
        <v>603</v>
      </c>
      <c r="I15" s="37">
        <f>K3</f>
        <v>0.15</v>
      </c>
      <c r="J15" s="13"/>
      <c r="K15" s="90">
        <f>K14*I15</f>
        <v>28568.562938374267</v>
      </c>
    </row>
    <row r="16" spans="1:11" ht="12.9" customHeight="1" x14ac:dyDescent="0.25">
      <c r="A16" s="6"/>
      <c r="B16" s="5"/>
      <c r="C16" s="3"/>
      <c r="D16" s="3"/>
      <c r="E16" s="3"/>
      <c r="F16" s="3"/>
      <c r="G16" s="4"/>
      <c r="H16" s="12" t="s">
        <v>604</v>
      </c>
      <c r="I16" s="14"/>
      <c r="J16" s="14"/>
      <c r="K16" s="90">
        <f>K14+K15</f>
        <v>219025.64919420271</v>
      </c>
    </row>
    <row r="17" spans="1:11" ht="12.9" customHeight="1" thickBot="1" x14ac:dyDescent="0.3">
      <c r="A17" s="15"/>
      <c r="B17" s="16"/>
      <c r="C17" s="17"/>
      <c r="D17" s="17"/>
      <c r="E17" s="17"/>
      <c r="F17" s="17"/>
      <c r="G17" s="18"/>
      <c r="H17" s="46" t="s">
        <v>605</v>
      </c>
      <c r="I17" s="47"/>
      <c r="J17" s="47"/>
      <c r="K17" s="150">
        <f>ROUND(K16,-1)</f>
        <v>219030</v>
      </c>
    </row>
    <row r="18" spans="1:11" ht="14.1" customHeight="1" x14ac:dyDescent="0.25">
      <c r="A18" s="81">
        <v>5</v>
      </c>
      <c r="B18" s="705" t="s">
        <v>1834</v>
      </c>
      <c r="C18" s="706"/>
      <c r="D18" s="82" t="s">
        <v>1840</v>
      </c>
      <c r="E18" s="83"/>
      <c r="F18" s="84"/>
      <c r="G18" s="85"/>
      <c r="H18" s="86" t="s">
        <v>596</v>
      </c>
      <c r="I18" s="91">
        <v>0.36502757815614989</v>
      </c>
      <c r="J18" s="92">
        <f>J14</f>
        <v>341500</v>
      </c>
      <c r="K18" s="87">
        <f>I18*J18</f>
        <v>124656.91794032519</v>
      </c>
    </row>
    <row r="19" spans="1:11" ht="12.9" customHeight="1" x14ac:dyDescent="0.25">
      <c r="A19" s="6"/>
      <c r="B19" s="5"/>
      <c r="C19" s="3"/>
      <c r="D19" s="3"/>
      <c r="E19" s="3"/>
      <c r="F19" s="3"/>
      <c r="G19" s="4"/>
      <c r="H19" s="12" t="s">
        <v>603</v>
      </c>
      <c r="I19" s="37">
        <f>K3</f>
        <v>0.15</v>
      </c>
      <c r="J19" s="13"/>
      <c r="K19" s="90">
        <f>K18*I19</f>
        <v>18698.537691048779</v>
      </c>
    </row>
    <row r="20" spans="1:11" ht="12.9" customHeight="1" x14ac:dyDescent="0.25">
      <c r="A20" s="6"/>
      <c r="B20" s="5"/>
      <c r="C20" s="3"/>
      <c r="D20" s="3"/>
      <c r="E20" s="3"/>
      <c r="F20" s="3"/>
      <c r="G20" s="4"/>
      <c r="H20" s="12" t="s">
        <v>604</v>
      </c>
      <c r="I20" s="14"/>
      <c r="J20" s="14"/>
      <c r="K20" s="90">
        <f>K18+K19</f>
        <v>143355.45563137397</v>
      </c>
    </row>
    <row r="21" spans="1:11" ht="12.9" customHeight="1" thickBot="1" x14ac:dyDescent="0.3">
      <c r="A21" s="15"/>
      <c r="B21" s="16"/>
      <c r="C21" s="17"/>
      <c r="D21" s="17"/>
      <c r="E21" s="17"/>
      <c r="F21" s="17"/>
      <c r="G21" s="18"/>
      <c r="H21" s="46" t="s">
        <v>605</v>
      </c>
      <c r="I21" s="47"/>
      <c r="J21" s="47"/>
      <c r="K21" s="150">
        <f>ROUND(K20,-1)</f>
        <v>143360</v>
      </c>
    </row>
    <row r="22" spans="1:11" ht="14.1" customHeight="1" x14ac:dyDescent="0.25">
      <c r="A22" s="81">
        <v>6</v>
      </c>
      <c r="B22" s="705" t="s">
        <v>1834</v>
      </c>
      <c r="C22" s="706"/>
      <c r="D22" s="82" t="s">
        <v>1842</v>
      </c>
      <c r="E22" s="83"/>
      <c r="F22" s="84"/>
      <c r="G22" s="85"/>
      <c r="H22" s="86" t="s">
        <v>596</v>
      </c>
      <c r="I22" s="91">
        <v>0.33694853368259992</v>
      </c>
      <c r="J22" s="92">
        <f>J18</f>
        <v>341500</v>
      </c>
      <c r="K22" s="87">
        <f>I22*J22</f>
        <v>115067.92425260787</v>
      </c>
    </row>
    <row r="23" spans="1:11" ht="12.9" customHeight="1" x14ac:dyDescent="0.25">
      <c r="A23" s="6"/>
      <c r="B23" s="5"/>
      <c r="C23" s="3"/>
      <c r="D23" s="3"/>
      <c r="E23" s="3"/>
      <c r="F23" s="3"/>
      <c r="G23" s="4"/>
      <c r="H23" s="12" t="s">
        <v>603</v>
      </c>
      <c r="I23" s="28">
        <f>I19</f>
        <v>0.15</v>
      </c>
      <c r="J23" s="13"/>
      <c r="K23" s="90">
        <f>K22*I23</f>
        <v>17260.18863789118</v>
      </c>
    </row>
    <row r="24" spans="1:11" ht="12.9" customHeight="1" x14ac:dyDescent="0.25">
      <c r="A24" s="6"/>
      <c r="B24" s="5"/>
      <c r="C24" s="3"/>
      <c r="D24" s="3"/>
      <c r="E24" s="3"/>
      <c r="F24" s="3"/>
      <c r="G24" s="4"/>
      <c r="H24" s="12" t="s">
        <v>604</v>
      </c>
      <c r="I24" s="14"/>
      <c r="J24" s="14"/>
      <c r="K24" s="90">
        <f>K22+K23</f>
        <v>132328.11289049906</v>
      </c>
    </row>
    <row r="25" spans="1:11" ht="12.9" customHeight="1" thickBot="1" x14ac:dyDescent="0.3">
      <c r="A25" s="15"/>
      <c r="B25" s="16"/>
      <c r="C25" s="17"/>
      <c r="D25" s="17"/>
      <c r="E25" s="17"/>
      <c r="F25" s="17"/>
      <c r="G25" s="18"/>
      <c r="H25" s="46" t="s">
        <v>605</v>
      </c>
      <c r="I25" s="47"/>
      <c r="J25" s="47"/>
      <c r="K25" s="150">
        <f>ROUND(K24,-1)</f>
        <v>132330</v>
      </c>
    </row>
    <row r="26" spans="1:11" ht="14.1" customHeight="1" x14ac:dyDescent="0.25">
      <c r="A26" s="81">
        <v>7</v>
      </c>
      <c r="B26" s="705" t="s">
        <v>1834</v>
      </c>
      <c r="C26" s="706"/>
      <c r="D26" s="82" t="s">
        <v>1841</v>
      </c>
      <c r="E26" s="83"/>
      <c r="F26" s="84"/>
      <c r="G26" s="85"/>
      <c r="H26" s="86" t="s">
        <v>596</v>
      </c>
      <c r="I26" s="91">
        <v>0.22047218377065003</v>
      </c>
      <c r="J26" s="92">
        <f>J22</f>
        <v>341500</v>
      </c>
      <c r="K26" s="87">
        <f>I26*J26</f>
        <v>75291.250757676986</v>
      </c>
    </row>
    <row r="27" spans="1:11" ht="12.9" customHeight="1" x14ac:dyDescent="0.25">
      <c r="A27" s="6"/>
      <c r="B27" s="5"/>
      <c r="C27" s="3"/>
      <c r="D27" s="3"/>
      <c r="E27" s="3"/>
      <c r="F27" s="3"/>
      <c r="G27" s="4"/>
      <c r="H27" s="12" t="s">
        <v>603</v>
      </c>
      <c r="I27" s="28">
        <f>I23</f>
        <v>0.15</v>
      </c>
      <c r="J27" s="13"/>
      <c r="K27" s="90">
        <f>K26*I27</f>
        <v>11293.687613651548</v>
      </c>
    </row>
    <row r="28" spans="1:11" ht="12.9" customHeight="1" x14ac:dyDescent="0.25">
      <c r="A28" s="6"/>
      <c r="B28" s="5"/>
      <c r="C28" s="3"/>
      <c r="D28" s="3"/>
      <c r="E28" s="3"/>
      <c r="F28" s="3"/>
      <c r="G28" s="4"/>
      <c r="H28" s="12" t="s">
        <v>604</v>
      </c>
      <c r="I28" s="14"/>
      <c r="J28" s="14"/>
      <c r="K28" s="90">
        <f>K26+K27</f>
        <v>86584.938371328535</v>
      </c>
    </row>
    <row r="29" spans="1:11" ht="12.9" customHeight="1" thickBot="1" x14ac:dyDescent="0.3">
      <c r="A29" s="15"/>
      <c r="B29" s="16"/>
      <c r="C29" s="17"/>
      <c r="D29" s="17"/>
      <c r="E29" s="17"/>
      <c r="F29" s="17"/>
      <c r="G29" s="18"/>
      <c r="H29" s="46" t="s">
        <v>605</v>
      </c>
      <c r="I29" s="47"/>
      <c r="J29" s="47"/>
      <c r="K29" s="150">
        <f>ROUND(K28,-1)</f>
        <v>86580</v>
      </c>
    </row>
    <row r="30" spans="1:11" ht="14.1" customHeight="1" x14ac:dyDescent="0.25">
      <c r="A30" s="81">
        <v>8</v>
      </c>
      <c r="B30" s="705" t="s">
        <v>1834</v>
      </c>
      <c r="C30" s="706"/>
      <c r="D30" s="82" t="s">
        <v>1843</v>
      </c>
      <c r="E30" s="83"/>
      <c r="F30" s="84"/>
      <c r="G30" s="85"/>
      <c r="H30" s="86" t="s">
        <v>596</v>
      </c>
      <c r="I30" s="91">
        <v>0.15709182681376246</v>
      </c>
      <c r="J30" s="92">
        <f>J26</f>
        <v>341500</v>
      </c>
      <c r="K30" s="87">
        <f>I30*J30</f>
        <v>53646.858856899882</v>
      </c>
    </row>
    <row r="31" spans="1:11" ht="12.9" customHeight="1" x14ac:dyDescent="0.25">
      <c r="A31" s="6"/>
      <c r="B31" s="5"/>
      <c r="C31" s="3"/>
      <c r="D31" s="3"/>
      <c r="E31" s="3"/>
      <c r="F31" s="3"/>
      <c r="G31" s="4"/>
      <c r="H31" s="12" t="s">
        <v>603</v>
      </c>
      <c r="I31" s="28">
        <f>I27</f>
        <v>0.15</v>
      </c>
      <c r="J31" s="13"/>
      <c r="K31" s="90">
        <f>K30*I31</f>
        <v>8047.0288285349816</v>
      </c>
    </row>
    <row r="32" spans="1:11" ht="12.9" customHeight="1" x14ac:dyDescent="0.25">
      <c r="A32" s="6"/>
      <c r="B32" s="5"/>
      <c r="C32" s="3"/>
      <c r="D32" s="3"/>
      <c r="E32" s="3"/>
      <c r="F32" s="3"/>
      <c r="G32" s="4"/>
      <c r="H32" s="12" t="s">
        <v>604</v>
      </c>
      <c r="I32" s="14"/>
      <c r="J32" s="14"/>
      <c r="K32" s="90">
        <f>K30+K31</f>
        <v>61693.887685434864</v>
      </c>
    </row>
    <row r="33" spans="1:11" ht="12.9" customHeight="1" thickBot="1" x14ac:dyDescent="0.3">
      <c r="A33" s="15"/>
      <c r="B33" s="16"/>
      <c r="C33" s="17"/>
      <c r="D33" s="17"/>
      <c r="E33" s="17"/>
      <c r="F33" s="17"/>
      <c r="G33" s="18"/>
      <c r="H33" s="46" t="s">
        <v>605</v>
      </c>
      <c r="I33" s="47"/>
      <c r="J33" s="47"/>
      <c r="K33" s="150">
        <f>ROUND(K32,-1)</f>
        <v>61690</v>
      </c>
    </row>
    <row r="34" spans="1:11" ht="14.1" customHeight="1" x14ac:dyDescent="0.25">
      <c r="A34" s="81">
        <v>9</v>
      </c>
      <c r="B34" s="705" t="s">
        <v>1834</v>
      </c>
      <c r="C34" s="706"/>
      <c r="D34" s="82" t="s">
        <v>1844</v>
      </c>
      <c r="E34" s="83"/>
      <c r="F34" s="84"/>
      <c r="G34" s="85"/>
      <c r="H34" s="86" t="s">
        <v>596</v>
      </c>
      <c r="I34" s="91">
        <v>0.12852967648398747</v>
      </c>
      <c r="J34" s="92">
        <f>J30</f>
        <v>341500</v>
      </c>
      <c r="K34" s="87">
        <f>I34*J34</f>
        <v>43892.884519281724</v>
      </c>
    </row>
    <row r="35" spans="1:11" ht="12.9" customHeight="1" x14ac:dyDescent="0.25">
      <c r="A35" s="6"/>
      <c r="B35" s="5"/>
      <c r="C35" s="3"/>
      <c r="D35" s="3"/>
      <c r="E35" s="3"/>
      <c r="F35" s="3"/>
      <c r="G35" s="4"/>
      <c r="H35" s="12" t="s">
        <v>603</v>
      </c>
      <c r="I35" s="28">
        <f>I31</f>
        <v>0.15</v>
      </c>
      <c r="J35" s="13"/>
      <c r="K35" s="90">
        <f>K34*I35</f>
        <v>6583.9326778922587</v>
      </c>
    </row>
    <row r="36" spans="1:11" ht="12.9" customHeight="1" x14ac:dyDescent="0.25">
      <c r="A36" s="6"/>
      <c r="B36" s="5"/>
      <c r="C36" s="3"/>
      <c r="D36" s="3"/>
      <c r="E36" s="3"/>
      <c r="F36" s="3"/>
      <c r="G36" s="4"/>
      <c r="H36" s="12" t="s">
        <v>604</v>
      </c>
      <c r="I36" s="14"/>
      <c r="J36" s="14"/>
      <c r="K36" s="90">
        <f>K34+K35</f>
        <v>50476.817197173979</v>
      </c>
    </row>
    <row r="37" spans="1:11" ht="12.9" customHeight="1" thickBot="1" x14ac:dyDescent="0.3">
      <c r="A37" s="15"/>
      <c r="B37" s="16"/>
      <c r="C37" s="17"/>
      <c r="D37" s="17"/>
      <c r="E37" s="17"/>
      <c r="F37" s="17"/>
      <c r="G37" s="18"/>
      <c r="H37" s="46" t="s">
        <v>605</v>
      </c>
      <c r="I37" s="47"/>
      <c r="J37" s="47"/>
      <c r="K37" s="150">
        <f>ROUND(K36,-1)</f>
        <v>50480</v>
      </c>
    </row>
    <row r="38" spans="1:11" ht="14.1" customHeight="1" x14ac:dyDescent="0.25">
      <c r="A38" s="81">
        <v>10</v>
      </c>
      <c r="B38" s="707" t="s">
        <v>1834</v>
      </c>
      <c r="C38" s="708"/>
      <c r="D38" s="93" t="s">
        <v>1847</v>
      </c>
      <c r="E38" s="94"/>
      <c r="F38" s="95"/>
      <c r="G38" s="96"/>
      <c r="H38" s="86" t="s">
        <v>596</v>
      </c>
      <c r="I38" s="91">
        <v>0.55770742681062502</v>
      </c>
      <c r="J38" s="92">
        <f>K8</f>
        <v>519500</v>
      </c>
      <c r="K38" s="87">
        <f>I38*J38</f>
        <v>289729.0082281197</v>
      </c>
    </row>
    <row r="39" spans="1:11" ht="12.9" customHeight="1" x14ac:dyDescent="0.25">
      <c r="A39" s="6"/>
      <c r="B39" s="97"/>
      <c r="C39" s="98"/>
      <c r="D39" s="98"/>
      <c r="E39" s="98"/>
      <c r="F39" s="98"/>
      <c r="G39" s="99"/>
      <c r="H39" s="12" t="s">
        <v>603</v>
      </c>
      <c r="I39" s="37">
        <f>I35</f>
        <v>0.15</v>
      </c>
      <c r="J39" s="13"/>
      <c r="K39" s="90">
        <f>K38*I39</f>
        <v>43459.351234217953</v>
      </c>
    </row>
    <row r="40" spans="1:11" ht="12.9" customHeight="1" x14ac:dyDescent="0.25">
      <c r="A40" s="6"/>
      <c r="B40" s="97"/>
      <c r="C40" s="98"/>
      <c r="D40" s="98"/>
      <c r="E40" s="98"/>
      <c r="F40" s="98"/>
      <c r="G40" s="99"/>
      <c r="H40" s="12" t="s">
        <v>604</v>
      </c>
      <c r="I40" s="14"/>
      <c r="J40" s="14"/>
      <c r="K40" s="90">
        <f>K38+K39</f>
        <v>333188.35946233763</v>
      </c>
    </row>
    <row r="41" spans="1:11" ht="12.9" customHeight="1" thickBot="1" x14ac:dyDescent="0.3">
      <c r="A41" s="15"/>
      <c r="B41" s="100"/>
      <c r="C41" s="101"/>
      <c r="D41" s="101"/>
      <c r="E41" s="101"/>
      <c r="F41" s="101"/>
      <c r="G41" s="102"/>
      <c r="H41" s="46" t="s">
        <v>605</v>
      </c>
      <c r="I41" s="47"/>
      <c r="J41" s="47"/>
      <c r="K41" s="150">
        <f>ROUND(K40,-1)</f>
        <v>333190</v>
      </c>
    </row>
    <row r="42" spans="1:11" ht="14.1" customHeight="1" x14ac:dyDescent="0.25">
      <c r="A42" s="81">
        <v>11</v>
      </c>
      <c r="B42" s="707" t="s">
        <v>1834</v>
      </c>
      <c r="C42" s="708"/>
      <c r="D42" s="93" t="s">
        <v>1848</v>
      </c>
      <c r="E42" s="94"/>
      <c r="F42" s="95"/>
      <c r="G42" s="96"/>
      <c r="H42" s="86" t="s">
        <v>596</v>
      </c>
      <c r="I42" s="91">
        <v>0.36502757815614989</v>
      </c>
      <c r="J42" s="92">
        <f>J38</f>
        <v>519500</v>
      </c>
      <c r="K42" s="87">
        <f>I42*J42</f>
        <v>189631.82685211988</v>
      </c>
    </row>
    <row r="43" spans="1:11" ht="12.9" customHeight="1" x14ac:dyDescent="0.25">
      <c r="A43" s="6"/>
      <c r="B43" s="97"/>
      <c r="C43" s="98"/>
      <c r="D43" s="98"/>
      <c r="E43" s="98"/>
      <c r="F43" s="98"/>
      <c r="G43" s="99"/>
      <c r="H43" s="12" t="s">
        <v>603</v>
      </c>
      <c r="I43" s="37">
        <f>I39</f>
        <v>0.15</v>
      </c>
      <c r="J43" s="13"/>
      <c r="K43" s="90">
        <f>K42*I43</f>
        <v>28444.774027817981</v>
      </c>
    </row>
    <row r="44" spans="1:11" ht="12.9" customHeight="1" x14ac:dyDescent="0.25">
      <c r="A44" s="6"/>
      <c r="B44" s="97"/>
      <c r="C44" s="98"/>
      <c r="D44" s="98"/>
      <c r="E44" s="98"/>
      <c r="F44" s="98"/>
      <c r="G44" s="99"/>
      <c r="H44" s="12" t="s">
        <v>604</v>
      </c>
      <c r="I44" s="14"/>
      <c r="J44" s="14"/>
      <c r="K44" s="90">
        <f>K42+K43</f>
        <v>218076.60087993785</v>
      </c>
    </row>
    <row r="45" spans="1:11" ht="12.9" customHeight="1" thickBot="1" x14ac:dyDescent="0.3">
      <c r="A45" s="15"/>
      <c r="B45" s="100"/>
      <c r="C45" s="101"/>
      <c r="D45" s="101"/>
      <c r="E45" s="101"/>
      <c r="F45" s="101"/>
      <c r="G45" s="102"/>
      <c r="H45" s="46" t="s">
        <v>605</v>
      </c>
      <c r="I45" s="47"/>
      <c r="J45" s="47"/>
      <c r="K45" s="150">
        <f>ROUND(K44,-1)</f>
        <v>218080</v>
      </c>
    </row>
    <row r="46" spans="1:11" ht="14.1" customHeight="1" x14ac:dyDescent="0.25">
      <c r="A46" s="81">
        <v>12</v>
      </c>
      <c r="B46" s="707" t="s">
        <v>1834</v>
      </c>
      <c r="C46" s="708"/>
      <c r="D46" s="93" t="s">
        <v>1849</v>
      </c>
      <c r="E46" s="94"/>
      <c r="F46" s="95"/>
      <c r="G46" s="96"/>
      <c r="H46" s="86" t="s">
        <v>596</v>
      </c>
      <c r="I46" s="91">
        <v>0.33694853368259992</v>
      </c>
      <c r="J46" s="92">
        <f>J42</f>
        <v>519500</v>
      </c>
      <c r="K46" s="87">
        <f>I46*J46</f>
        <v>175044.76324811066</v>
      </c>
    </row>
    <row r="47" spans="1:11" ht="12.9" customHeight="1" x14ac:dyDescent="0.25">
      <c r="A47" s="6"/>
      <c r="B47" s="97"/>
      <c r="C47" s="98"/>
      <c r="D47" s="98"/>
      <c r="E47" s="98"/>
      <c r="F47" s="98"/>
      <c r="G47" s="99"/>
      <c r="H47" s="12" t="s">
        <v>603</v>
      </c>
      <c r="I47" s="28">
        <f>I43</f>
        <v>0.15</v>
      </c>
      <c r="J47" s="13"/>
      <c r="K47" s="90">
        <f>K46*I47</f>
        <v>26256.714487216599</v>
      </c>
    </row>
    <row r="48" spans="1:11" ht="12.9" customHeight="1" x14ac:dyDescent="0.25">
      <c r="A48" s="6"/>
      <c r="B48" s="97"/>
      <c r="C48" s="98"/>
      <c r="D48" s="98"/>
      <c r="E48" s="98"/>
      <c r="F48" s="98"/>
      <c r="G48" s="99"/>
      <c r="H48" s="12" t="s">
        <v>604</v>
      </c>
      <c r="I48" s="14"/>
      <c r="J48" s="14"/>
      <c r="K48" s="90">
        <f>K46+K47</f>
        <v>201301.47773532727</v>
      </c>
    </row>
    <row r="49" spans="1:11" ht="12.9" customHeight="1" thickBot="1" x14ac:dyDescent="0.3">
      <c r="A49" s="15"/>
      <c r="B49" s="100"/>
      <c r="C49" s="101"/>
      <c r="D49" s="101"/>
      <c r="E49" s="101"/>
      <c r="F49" s="101"/>
      <c r="G49" s="102"/>
      <c r="H49" s="46" t="s">
        <v>605</v>
      </c>
      <c r="I49" s="47"/>
      <c r="J49" s="47"/>
      <c r="K49" s="150">
        <f>ROUND(K48,-1)</f>
        <v>201300</v>
      </c>
    </row>
    <row r="50" spans="1:11" ht="14.1" customHeight="1" x14ac:dyDescent="0.25">
      <c r="A50" s="81">
        <v>13</v>
      </c>
      <c r="B50" s="707" t="s">
        <v>1834</v>
      </c>
      <c r="C50" s="708"/>
      <c r="D50" s="93" t="s">
        <v>1850</v>
      </c>
      <c r="E50" s="94"/>
      <c r="F50" s="95"/>
      <c r="G50" s="96"/>
      <c r="H50" s="86" t="s">
        <v>596</v>
      </c>
      <c r="I50" s="91">
        <v>0.22047218377065003</v>
      </c>
      <c r="J50" s="92">
        <f>J46</f>
        <v>519500</v>
      </c>
      <c r="K50" s="87">
        <f>I50*J50</f>
        <v>114535.2994688527</v>
      </c>
    </row>
    <row r="51" spans="1:11" ht="12.9" customHeight="1" x14ac:dyDescent="0.25">
      <c r="A51" s="6"/>
      <c r="B51" s="97"/>
      <c r="C51" s="98"/>
      <c r="D51" s="98"/>
      <c r="E51" s="98"/>
      <c r="F51" s="98"/>
      <c r="G51" s="99"/>
      <c r="H51" s="12" t="s">
        <v>603</v>
      </c>
      <c r="I51" s="28">
        <f>I47</f>
        <v>0.15</v>
      </c>
      <c r="J51" s="13"/>
      <c r="K51" s="90">
        <f>K50*I51</f>
        <v>17180.294920327902</v>
      </c>
    </row>
    <row r="52" spans="1:11" ht="12.9" customHeight="1" x14ac:dyDescent="0.25">
      <c r="A52" s="6"/>
      <c r="B52" s="97"/>
      <c r="C52" s="98"/>
      <c r="D52" s="98"/>
      <c r="E52" s="98"/>
      <c r="F52" s="98"/>
      <c r="G52" s="99"/>
      <c r="H52" s="12" t="s">
        <v>604</v>
      </c>
      <c r="I52" s="14"/>
      <c r="J52" s="14"/>
      <c r="K52" s="90">
        <f>K50+K51</f>
        <v>131715.59438918059</v>
      </c>
    </row>
    <row r="53" spans="1:11" ht="12.9" customHeight="1" thickBot="1" x14ac:dyDescent="0.3">
      <c r="A53" s="15"/>
      <c r="B53" s="100"/>
      <c r="C53" s="101"/>
      <c r="D53" s="101"/>
      <c r="E53" s="101"/>
      <c r="F53" s="101"/>
      <c r="G53" s="102"/>
      <c r="H53" s="46" t="s">
        <v>605</v>
      </c>
      <c r="I53" s="47"/>
      <c r="J53" s="47"/>
      <c r="K53" s="150">
        <f>ROUND(K52,-1)</f>
        <v>131720</v>
      </c>
    </row>
    <row r="54" spans="1:11" ht="14.1" customHeight="1" x14ac:dyDescent="0.25">
      <c r="A54" s="81">
        <v>14</v>
      </c>
      <c r="B54" s="707" t="s">
        <v>1834</v>
      </c>
      <c r="C54" s="708"/>
      <c r="D54" s="93" t="s">
        <v>1851</v>
      </c>
      <c r="E54" s="94"/>
      <c r="F54" s="95"/>
      <c r="G54" s="96"/>
      <c r="H54" s="86" t="s">
        <v>596</v>
      </c>
      <c r="I54" s="91">
        <v>0.15709182681376246</v>
      </c>
      <c r="J54" s="92">
        <f>J50</f>
        <v>519500</v>
      </c>
      <c r="K54" s="87">
        <f>I54*J54</f>
        <v>81609.204029749599</v>
      </c>
    </row>
    <row r="55" spans="1:11" ht="12.9" customHeight="1" x14ac:dyDescent="0.25">
      <c r="A55" s="6"/>
      <c r="B55" s="97"/>
      <c r="C55" s="98"/>
      <c r="D55" s="98"/>
      <c r="E55" s="98"/>
      <c r="F55" s="98"/>
      <c r="G55" s="99"/>
      <c r="H55" s="12" t="s">
        <v>603</v>
      </c>
      <c r="I55" s="28">
        <f>I51</f>
        <v>0.15</v>
      </c>
      <c r="J55" s="13"/>
      <c r="K55" s="90">
        <f>K54*I55</f>
        <v>12241.38060446244</v>
      </c>
    </row>
    <row r="56" spans="1:11" ht="12.9" customHeight="1" x14ac:dyDescent="0.25">
      <c r="A56" s="6"/>
      <c r="B56" s="97"/>
      <c r="C56" s="98"/>
      <c r="D56" s="98"/>
      <c r="E56" s="98"/>
      <c r="F56" s="98"/>
      <c r="G56" s="99"/>
      <c r="H56" s="12" t="s">
        <v>604</v>
      </c>
      <c r="I56" s="14"/>
      <c r="J56" s="14"/>
      <c r="K56" s="90">
        <f>K54+K55</f>
        <v>93850.584634212035</v>
      </c>
    </row>
    <row r="57" spans="1:11" ht="12.9" customHeight="1" thickBot="1" x14ac:dyDescent="0.3">
      <c r="A57" s="15"/>
      <c r="B57" s="100"/>
      <c r="C57" s="101"/>
      <c r="D57" s="101"/>
      <c r="E57" s="101"/>
      <c r="F57" s="101"/>
      <c r="G57" s="102"/>
      <c r="H57" s="46" t="s">
        <v>605</v>
      </c>
      <c r="I57" s="47"/>
      <c r="J57" s="47"/>
      <c r="K57" s="150">
        <f>ROUND(K56,-1)</f>
        <v>93850</v>
      </c>
    </row>
    <row r="58" spans="1:11" ht="14.1" customHeight="1" x14ac:dyDescent="0.25">
      <c r="A58" s="81">
        <v>15</v>
      </c>
      <c r="B58" s="707" t="s">
        <v>1834</v>
      </c>
      <c r="C58" s="708"/>
      <c r="D58" s="93" t="s">
        <v>1852</v>
      </c>
      <c r="E58" s="94"/>
      <c r="F58" s="95"/>
      <c r="G58" s="96"/>
      <c r="H58" s="86" t="s">
        <v>596</v>
      </c>
      <c r="I58" s="91">
        <v>0.12852967648398747</v>
      </c>
      <c r="J58" s="92">
        <f>J54</f>
        <v>519500</v>
      </c>
      <c r="K58" s="87">
        <f>I58*J58</f>
        <v>66771.166933431494</v>
      </c>
    </row>
    <row r="59" spans="1:11" ht="12.9" customHeight="1" x14ac:dyDescent="0.25">
      <c r="A59" s="6"/>
      <c r="B59" s="97"/>
      <c r="C59" s="98"/>
      <c r="D59" s="98"/>
      <c r="E59" s="98"/>
      <c r="F59" s="98"/>
      <c r="G59" s="99"/>
      <c r="H59" s="12" t="s">
        <v>603</v>
      </c>
      <c r="I59" s="28">
        <f>I55</f>
        <v>0.15</v>
      </c>
      <c r="J59" s="13"/>
      <c r="K59" s="90">
        <f>K58*I59</f>
        <v>10015.675040014723</v>
      </c>
    </row>
    <row r="60" spans="1:11" ht="12.9" customHeight="1" x14ac:dyDescent="0.25">
      <c r="A60" s="6"/>
      <c r="B60" s="97"/>
      <c r="C60" s="98"/>
      <c r="D60" s="98"/>
      <c r="E60" s="98"/>
      <c r="F60" s="98"/>
      <c r="G60" s="99"/>
      <c r="H60" s="12" t="s">
        <v>604</v>
      </c>
      <c r="I60" s="14"/>
      <c r="J60" s="14"/>
      <c r="K60" s="90">
        <f>K58+K59</f>
        <v>76786.841973446222</v>
      </c>
    </row>
    <row r="61" spans="1:11" ht="12.9" customHeight="1" thickBot="1" x14ac:dyDescent="0.3">
      <c r="A61" s="15"/>
      <c r="B61" s="100"/>
      <c r="C61" s="101"/>
      <c r="D61" s="101"/>
      <c r="E61" s="101"/>
      <c r="F61" s="101"/>
      <c r="G61" s="102"/>
      <c r="H61" s="46" t="s">
        <v>605</v>
      </c>
      <c r="I61" s="47"/>
      <c r="J61" s="47"/>
      <c r="K61" s="150">
        <f>ROUND(K60,-1)</f>
        <v>76790</v>
      </c>
    </row>
    <row r="62" spans="1:11" ht="14.1" customHeight="1" x14ac:dyDescent="0.25">
      <c r="A62" s="81">
        <v>16</v>
      </c>
      <c r="B62" s="705" t="s">
        <v>1834</v>
      </c>
      <c r="C62" s="706"/>
      <c r="D62" s="82" t="s">
        <v>2010</v>
      </c>
      <c r="E62" s="83"/>
      <c r="F62" s="84"/>
      <c r="G62" s="85"/>
      <c r="H62" s="86" t="s">
        <v>596</v>
      </c>
      <c r="I62" s="91">
        <v>0.55770742681062502</v>
      </c>
      <c r="J62" s="92">
        <f>K13</f>
        <v>1161870</v>
      </c>
      <c r="K62" s="87">
        <f>I62*J62</f>
        <v>647983.52798846085</v>
      </c>
    </row>
    <row r="63" spans="1:11" ht="12.9" customHeight="1" x14ac:dyDescent="0.25">
      <c r="A63" s="6"/>
      <c r="B63" s="5"/>
      <c r="C63" s="3"/>
      <c r="D63" s="3"/>
      <c r="E63" s="3"/>
      <c r="F63" s="3"/>
      <c r="G63" s="4"/>
      <c r="H63" s="12" t="s">
        <v>603</v>
      </c>
      <c r="I63" s="37">
        <f>I59</f>
        <v>0.15</v>
      </c>
      <c r="J63" s="13"/>
      <c r="K63" s="90">
        <f>K62*I63</f>
        <v>97197.529198269127</v>
      </c>
    </row>
    <row r="64" spans="1:11" ht="12.9" customHeight="1" x14ac:dyDescent="0.25">
      <c r="A64" s="6"/>
      <c r="B64" s="5"/>
      <c r="C64" s="3"/>
      <c r="D64" s="3"/>
      <c r="E64" s="3"/>
      <c r="F64" s="3"/>
      <c r="G64" s="4"/>
      <c r="H64" s="12" t="s">
        <v>604</v>
      </c>
      <c r="I64" s="14"/>
      <c r="J64" s="14"/>
      <c r="K64" s="90">
        <f>K62+K63</f>
        <v>745181.05718672997</v>
      </c>
    </row>
    <row r="65" spans="1:11" ht="12.9" customHeight="1" thickBot="1" x14ac:dyDescent="0.3">
      <c r="A65" s="15"/>
      <c r="B65" s="16"/>
      <c r="C65" s="17"/>
      <c r="D65" s="17"/>
      <c r="E65" s="17"/>
      <c r="F65" s="17"/>
      <c r="G65" s="18"/>
      <c r="H65" s="46" t="s">
        <v>605</v>
      </c>
      <c r="I65" s="47"/>
      <c r="J65" s="47"/>
      <c r="K65" s="150">
        <f>ROUND(K64,-1)</f>
        <v>745180</v>
      </c>
    </row>
    <row r="66" spans="1:11" ht="14.1" customHeight="1" x14ac:dyDescent="0.25">
      <c r="A66" s="81">
        <v>17</v>
      </c>
      <c r="B66" s="705" t="s">
        <v>1834</v>
      </c>
      <c r="C66" s="706"/>
      <c r="D66" s="82" t="s">
        <v>2011</v>
      </c>
      <c r="E66" s="83"/>
      <c r="F66" s="84"/>
      <c r="G66" s="85"/>
      <c r="H66" s="86" t="s">
        <v>596</v>
      </c>
      <c r="I66" s="91">
        <v>0.36502757815614989</v>
      </c>
      <c r="J66" s="92">
        <f>J62</f>
        <v>1161870</v>
      </c>
      <c r="K66" s="87">
        <f>I66*J66</f>
        <v>424114.59223228588</v>
      </c>
    </row>
    <row r="67" spans="1:11" ht="12.9" customHeight="1" x14ac:dyDescent="0.25">
      <c r="A67" s="6"/>
      <c r="B67" s="5"/>
      <c r="C67" s="3"/>
      <c r="D67" s="3"/>
      <c r="E67" s="3"/>
      <c r="F67" s="3"/>
      <c r="G67" s="4"/>
      <c r="H67" s="12" t="s">
        <v>603</v>
      </c>
      <c r="I67" s="37">
        <f>I63</f>
        <v>0.15</v>
      </c>
      <c r="J67" s="13"/>
      <c r="K67" s="90">
        <f>K66*I67</f>
        <v>63617.188834842877</v>
      </c>
    </row>
    <row r="68" spans="1:11" ht="12.9" customHeight="1" x14ac:dyDescent="0.25">
      <c r="A68" s="6"/>
      <c r="B68" s="5"/>
      <c r="C68" s="3"/>
      <c r="D68" s="3"/>
      <c r="E68" s="3"/>
      <c r="F68" s="3"/>
      <c r="G68" s="4"/>
      <c r="H68" s="12" t="s">
        <v>604</v>
      </c>
      <c r="I68" s="14"/>
      <c r="J68" s="14"/>
      <c r="K68" s="90">
        <f>K66+K67</f>
        <v>487731.78106712876</v>
      </c>
    </row>
    <row r="69" spans="1:11" ht="12.9" customHeight="1" thickBot="1" x14ac:dyDescent="0.3">
      <c r="A69" s="15"/>
      <c r="B69" s="16"/>
      <c r="C69" s="17"/>
      <c r="D69" s="17"/>
      <c r="E69" s="17"/>
      <c r="F69" s="17"/>
      <c r="G69" s="18"/>
      <c r="H69" s="46" t="s">
        <v>605</v>
      </c>
      <c r="I69" s="47"/>
      <c r="J69" s="47"/>
      <c r="K69" s="150">
        <f>ROUND(K68,-1)</f>
        <v>487730</v>
      </c>
    </row>
    <row r="70" spans="1:11" ht="14.1" customHeight="1" x14ac:dyDescent="0.25">
      <c r="A70" s="81">
        <v>18</v>
      </c>
      <c r="B70" s="705" t="s">
        <v>1834</v>
      </c>
      <c r="C70" s="706"/>
      <c r="D70" s="82" t="s">
        <v>2012</v>
      </c>
      <c r="E70" s="83"/>
      <c r="F70" s="84"/>
      <c r="G70" s="85"/>
      <c r="H70" s="86" t="s">
        <v>596</v>
      </c>
      <c r="I70" s="91">
        <v>0.33694853368259992</v>
      </c>
      <c r="J70" s="92">
        <f>J66</f>
        <v>1161870</v>
      </c>
      <c r="K70" s="87">
        <f>I70*J70</f>
        <v>391490.39282980235</v>
      </c>
    </row>
    <row r="71" spans="1:11" ht="12.9" customHeight="1" x14ac:dyDescent="0.25">
      <c r="A71" s="6"/>
      <c r="B71" s="5"/>
      <c r="C71" s="3"/>
      <c r="D71" s="3"/>
      <c r="E71" s="3"/>
      <c r="F71" s="3"/>
      <c r="G71" s="4"/>
      <c r="H71" s="12" t="s">
        <v>603</v>
      </c>
      <c r="I71" s="28">
        <f>I67</f>
        <v>0.15</v>
      </c>
      <c r="J71" s="13"/>
      <c r="K71" s="90">
        <f>K70*I71</f>
        <v>58723.558924470351</v>
      </c>
    </row>
    <row r="72" spans="1:11" ht="12.9" customHeight="1" x14ac:dyDescent="0.25">
      <c r="A72" s="6"/>
      <c r="B72" s="5"/>
      <c r="C72" s="3"/>
      <c r="D72" s="3"/>
      <c r="E72" s="3"/>
      <c r="F72" s="3"/>
      <c r="G72" s="4"/>
      <c r="H72" s="12" t="s">
        <v>604</v>
      </c>
      <c r="I72" s="14"/>
      <c r="J72" s="14"/>
      <c r="K72" s="90">
        <f>K70+K71</f>
        <v>450213.95175427268</v>
      </c>
    </row>
    <row r="73" spans="1:11" ht="12.9" customHeight="1" thickBot="1" x14ac:dyDescent="0.3">
      <c r="A73" s="15"/>
      <c r="B73" s="16"/>
      <c r="C73" s="17"/>
      <c r="D73" s="17"/>
      <c r="E73" s="17"/>
      <c r="F73" s="17"/>
      <c r="G73" s="18"/>
      <c r="H73" s="46" t="s">
        <v>605</v>
      </c>
      <c r="I73" s="47"/>
      <c r="J73" s="47"/>
      <c r="K73" s="150">
        <f>ROUND(K72,-1)</f>
        <v>450210</v>
      </c>
    </row>
    <row r="74" spans="1:11" ht="14.1" customHeight="1" x14ac:dyDescent="0.25">
      <c r="A74" s="81">
        <v>19</v>
      </c>
      <c r="B74" s="705" t="s">
        <v>1834</v>
      </c>
      <c r="C74" s="706"/>
      <c r="D74" s="82" t="s">
        <v>2013</v>
      </c>
      <c r="E74" s="83"/>
      <c r="F74" s="84"/>
      <c r="G74" s="85"/>
      <c r="H74" s="86" t="s">
        <v>596</v>
      </c>
      <c r="I74" s="91">
        <v>0.22047218377065003</v>
      </c>
      <c r="J74" s="92">
        <f>J70</f>
        <v>1161870</v>
      </c>
      <c r="K74" s="87">
        <f>I74*J74</f>
        <v>256160.01615760516</v>
      </c>
    </row>
    <row r="75" spans="1:11" ht="12.9" customHeight="1" x14ac:dyDescent="0.25">
      <c r="A75" s="6"/>
      <c r="B75" s="5"/>
      <c r="C75" s="3"/>
      <c r="D75" s="3"/>
      <c r="E75" s="3"/>
      <c r="F75" s="3"/>
      <c r="G75" s="4"/>
      <c r="H75" s="12" t="s">
        <v>603</v>
      </c>
      <c r="I75" s="28">
        <f>I71</f>
        <v>0.15</v>
      </c>
      <c r="J75" s="13"/>
      <c r="K75" s="90">
        <f>K74*I75</f>
        <v>38424.00242364077</v>
      </c>
    </row>
    <row r="76" spans="1:11" ht="12.9" customHeight="1" x14ac:dyDescent="0.25">
      <c r="A76" s="6"/>
      <c r="B76" s="5"/>
      <c r="C76" s="3"/>
      <c r="D76" s="3"/>
      <c r="E76" s="3"/>
      <c r="F76" s="3"/>
      <c r="G76" s="4"/>
      <c r="H76" s="12" t="s">
        <v>604</v>
      </c>
      <c r="I76" s="14"/>
      <c r="J76" s="14"/>
      <c r="K76" s="90">
        <f>K74+K75</f>
        <v>294584.01858124591</v>
      </c>
    </row>
    <row r="77" spans="1:11" ht="12.9" customHeight="1" thickBot="1" x14ac:dyDescent="0.3">
      <c r="A77" s="15"/>
      <c r="B77" s="16"/>
      <c r="C77" s="17"/>
      <c r="D77" s="17"/>
      <c r="E77" s="17"/>
      <c r="F77" s="17"/>
      <c r="G77" s="18"/>
      <c r="H77" s="46" t="s">
        <v>605</v>
      </c>
      <c r="I77" s="47"/>
      <c r="J77" s="47"/>
      <c r="K77" s="150">
        <f>ROUND(K76,-1)</f>
        <v>294580</v>
      </c>
    </row>
    <row r="78" spans="1:11" ht="14.1" customHeight="1" x14ac:dyDescent="0.25">
      <c r="A78" s="81">
        <v>20</v>
      </c>
      <c r="B78" s="705" t="s">
        <v>1834</v>
      </c>
      <c r="C78" s="706"/>
      <c r="D78" s="82" t="s">
        <v>2014</v>
      </c>
      <c r="E78" s="83"/>
      <c r="F78" s="84"/>
      <c r="G78" s="85"/>
      <c r="H78" s="86" t="s">
        <v>596</v>
      </c>
      <c r="I78" s="91">
        <v>0.15709182681376246</v>
      </c>
      <c r="J78" s="92">
        <f>J74</f>
        <v>1161870</v>
      </c>
      <c r="K78" s="87">
        <f>I78*J78</f>
        <v>182520.28082010619</v>
      </c>
    </row>
    <row r="79" spans="1:11" ht="12.9" customHeight="1" x14ac:dyDescent="0.25">
      <c r="A79" s="6"/>
      <c r="B79" s="5"/>
      <c r="C79" s="3"/>
      <c r="D79" s="3"/>
      <c r="E79" s="3"/>
      <c r="F79" s="3"/>
      <c r="G79" s="4"/>
      <c r="H79" s="12" t="s">
        <v>603</v>
      </c>
      <c r="I79" s="28">
        <f>I75</f>
        <v>0.15</v>
      </c>
      <c r="J79" s="13"/>
      <c r="K79" s="90">
        <f>K78*I79</f>
        <v>27378.042123015926</v>
      </c>
    </row>
    <row r="80" spans="1:11" ht="12.9" customHeight="1" x14ac:dyDescent="0.25">
      <c r="A80" s="6"/>
      <c r="B80" s="5"/>
      <c r="C80" s="3"/>
      <c r="D80" s="3"/>
      <c r="E80" s="3"/>
      <c r="F80" s="3"/>
      <c r="G80" s="4"/>
      <c r="H80" s="12" t="s">
        <v>604</v>
      </c>
      <c r="I80" s="14"/>
      <c r="J80" s="14"/>
      <c r="K80" s="90">
        <f>K78+K79</f>
        <v>209898.32294312213</v>
      </c>
    </row>
    <row r="81" spans="1:11" ht="12.9" customHeight="1" thickBot="1" x14ac:dyDescent="0.3">
      <c r="A81" s="15"/>
      <c r="B81" s="16"/>
      <c r="C81" s="17"/>
      <c r="D81" s="17"/>
      <c r="E81" s="17"/>
      <c r="F81" s="17"/>
      <c r="G81" s="18"/>
      <c r="H81" s="46" t="s">
        <v>605</v>
      </c>
      <c r="I81" s="47"/>
      <c r="J81" s="47"/>
      <c r="K81" s="150">
        <f>ROUND(K80,-1)</f>
        <v>209900</v>
      </c>
    </row>
    <row r="82" spans="1:11" ht="14.1" customHeight="1" x14ac:dyDescent="0.25">
      <c r="A82" s="81">
        <v>21</v>
      </c>
      <c r="B82" s="705" t="s">
        <v>1834</v>
      </c>
      <c r="C82" s="706"/>
      <c r="D82" s="82" t="s">
        <v>2015</v>
      </c>
      <c r="E82" s="83"/>
      <c r="F82" s="84"/>
      <c r="G82" s="85"/>
      <c r="H82" s="86" t="s">
        <v>596</v>
      </c>
      <c r="I82" s="91">
        <v>0.12852967648398747</v>
      </c>
      <c r="J82" s="92">
        <f>J78</f>
        <v>1161870</v>
      </c>
      <c r="K82" s="87">
        <f>I82*J82</f>
        <v>149334.77521645054</v>
      </c>
    </row>
    <row r="83" spans="1:11" ht="12.9" customHeight="1" x14ac:dyDescent="0.25">
      <c r="A83" s="6"/>
      <c r="B83" s="5"/>
      <c r="C83" s="3"/>
      <c r="D83" s="3"/>
      <c r="E83" s="3"/>
      <c r="F83" s="3"/>
      <c r="G83" s="4"/>
      <c r="H83" s="12" t="s">
        <v>603</v>
      </c>
      <c r="I83" s="28">
        <f>I79</f>
        <v>0.15</v>
      </c>
      <c r="J83" s="13"/>
      <c r="K83" s="90">
        <f>K82*I83</f>
        <v>22400.21628246758</v>
      </c>
    </row>
    <row r="84" spans="1:11" ht="12.9" customHeight="1" x14ac:dyDescent="0.25">
      <c r="A84" s="6"/>
      <c r="B84" s="5"/>
      <c r="C84" s="3"/>
      <c r="D84" s="3"/>
      <c r="E84" s="3"/>
      <c r="F84" s="3"/>
      <c r="G84" s="4"/>
      <c r="H84" s="12" t="s">
        <v>604</v>
      </c>
      <c r="I84" s="14"/>
      <c r="J84" s="14"/>
      <c r="K84" s="90">
        <f>K82+K83</f>
        <v>171734.99149891813</v>
      </c>
    </row>
    <row r="85" spans="1:11" ht="12.9" customHeight="1" thickBot="1" x14ac:dyDescent="0.3">
      <c r="A85" s="15"/>
      <c r="B85" s="16"/>
      <c r="C85" s="17"/>
      <c r="D85" s="17"/>
      <c r="E85" s="17"/>
      <c r="F85" s="17"/>
      <c r="G85" s="18"/>
      <c r="H85" s="46" t="s">
        <v>605</v>
      </c>
      <c r="I85" s="47"/>
      <c r="J85" s="47"/>
      <c r="K85" s="150">
        <f>ROUND(K84,-1)</f>
        <v>171730</v>
      </c>
    </row>
    <row r="86" spans="1:11" ht="14.1" customHeight="1" x14ac:dyDescent="0.25">
      <c r="A86" s="103">
        <v>22</v>
      </c>
      <c r="B86" s="707" t="s">
        <v>1834</v>
      </c>
      <c r="C86" s="708"/>
      <c r="D86" s="93" t="s">
        <v>1835</v>
      </c>
      <c r="E86" s="94"/>
      <c r="F86" s="95"/>
      <c r="G86" s="96"/>
      <c r="H86" s="86" t="s">
        <v>596</v>
      </c>
      <c r="I86" s="91">
        <v>0.24</v>
      </c>
      <c r="J86" s="92">
        <f>J82</f>
        <v>1161870</v>
      </c>
      <c r="K86" s="87">
        <f>I86*J86</f>
        <v>278848.8</v>
      </c>
    </row>
    <row r="87" spans="1:11" ht="12.9" customHeight="1" x14ac:dyDescent="0.25">
      <c r="A87" s="6"/>
      <c r="B87" s="97"/>
      <c r="C87" s="98"/>
      <c r="D87" s="98" t="s">
        <v>1836</v>
      </c>
      <c r="E87" s="98"/>
      <c r="F87" s="98"/>
      <c r="G87" s="99"/>
      <c r="H87" s="12" t="s">
        <v>603</v>
      </c>
      <c r="I87" s="28">
        <f>I83</f>
        <v>0.15</v>
      </c>
      <c r="J87" s="13"/>
      <c r="K87" s="90">
        <f>K86*I87</f>
        <v>41827.32</v>
      </c>
    </row>
    <row r="88" spans="1:11" ht="12.9" customHeight="1" x14ac:dyDescent="0.25">
      <c r="A88" s="6"/>
      <c r="B88" s="97"/>
      <c r="C88" s="98"/>
      <c r="D88" s="98"/>
      <c r="E88" s="98"/>
      <c r="F88" s="98"/>
      <c r="G88" s="99"/>
      <c r="H88" s="12" t="s">
        <v>604</v>
      </c>
      <c r="I88" s="14"/>
      <c r="J88" s="14"/>
      <c r="K88" s="90">
        <f>K86+K87</f>
        <v>320676.12</v>
      </c>
    </row>
    <row r="89" spans="1:11" ht="12.9" customHeight="1" thickBot="1" x14ac:dyDescent="0.3">
      <c r="A89" s="15"/>
      <c r="B89" s="100"/>
      <c r="C89" s="101"/>
      <c r="D89" s="101"/>
      <c r="E89" s="101"/>
      <c r="F89" s="101"/>
      <c r="G89" s="102"/>
      <c r="H89" s="46" t="s">
        <v>605</v>
      </c>
      <c r="I89" s="47"/>
      <c r="J89" s="47"/>
      <c r="K89" s="150">
        <f>ROUND(K88,-1)</f>
        <v>320680</v>
      </c>
    </row>
    <row r="90" spans="1:11" ht="14.1" customHeight="1" x14ac:dyDescent="0.25">
      <c r="A90" s="81">
        <v>23</v>
      </c>
      <c r="B90" s="707" t="s">
        <v>1834</v>
      </c>
      <c r="C90" s="708"/>
      <c r="D90" s="93" t="s">
        <v>1837</v>
      </c>
      <c r="E90" s="94"/>
      <c r="F90" s="95"/>
      <c r="G90" s="96"/>
      <c r="H90" s="86" t="s">
        <v>596</v>
      </c>
      <c r="I90" s="91">
        <v>0.5</v>
      </c>
      <c r="J90" s="92">
        <f>J86</f>
        <v>1161870</v>
      </c>
      <c r="K90" s="87">
        <f>I90*J90</f>
        <v>580935</v>
      </c>
    </row>
    <row r="91" spans="1:11" ht="12.9" customHeight="1" x14ac:dyDescent="0.25">
      <c r="A91" s="6"/>
      <c r="B91" s="97"/>
      <c r="C91" s="98"/>
      <c r="D91" s="98" t="s">
        <v>1838</v>
      </c>
      <c r="E91" s="98"/>
      <c r="F91" s="98"/>
      <c r="G91" s="99"/>
      <c r="H91" s="12" t="s">
        <v>603</v>
      </c>
      <c r="I91" s="28">
        <f>I87</f>
        <v>0.15</v>
      </c>
      <c r="J91" s="13"/>
      <c r="K91" s="90">
        <f>K90*I91</f>
        <v>87140.25</v>
      </c>
    </row>
    <row r="92" spans="1:11" ht="12.9" customHeight="1" x14ac:dyDescent="0.25">
      <c r="A92" s="6"/>
      <c r="B92" s="97"/>
      <c r="C92" s="98"/>
      <c r="D92" s="98"/>
      <c r="E92" s="98"/>
      <c r="F92" s="98"/>
      <c r="G92" s="99"/>
      <c r="H92" s="12" t="s">
        <v>604</v>
      </c>
      <c r="I92" s="14"/>
      <c r="J92" s="14"/>
      <c r="K92" s="90">
        <f>K90+K91</f>
        <v>668075.25</v>
      </c>
    </row>
    <row r="93" spans="1:11" ht="12.9" customHeight="1" thickBot="1" x14ac:dyDescent="0.3">
      <c r="A93" s="15"/>
      <c r="B93" s="100"/>
      <c r="C93" s="101"/>
      <c r="D93" s="101"/>
      <c r="E93" s="101"/>
      <c r="F93" s="101"/>
      <c r="G93" s="102"/>
      <c r="H93" s="46" t="s">
        <v>605</v>
      </c>
      <c r="I93" s="47"/>
      <c r="J93" s="47"/>
      <c r="K93" s="150">
        <f>ROUND(K92,-1)</f>
        <v>668080</v>
      </c>
    </row>
    <row r="94" spans="1:11" ht="14.1" customHeight="1" x14ac:dyDescent="0.25">
      <c r="A94" s="81">
        <v>24</v>
      </c>
      <c r="B94" s="676" t="s">
        <v>1857</v>
      </c>
      <c r="C94" s="677"/>
      <c r="D94" s="149" t="s">
        <v>1858</v>
      </c>
      <c r="E94" s="138"/>
      <c r="F94" s="139"/>
      <c r="G94" s="139"/>
      <c r="H94" s="140"/>
      <c r="I94" s="141"/>
      <c r="J94" s="142"/>
      <c r="K94" s="143"/>
    </row>
    <row r="95" spans="1:11" ht="13.2" customHeight="1" x14ac:dyDescent="0.25">
      <c r="A95" s="2"/>
      <c r="B95" s="70" t="s">
        <v>4</v>
      </c>
      <c r="C95" s="21" t="s">
        <v>1645</v>
      </c>
      <c r="D95" s="14"/>
      <c r="E95" s="22"/>
      <c r="F95" s="23"/>
      <c r="G95" s="23"/>
      <c r="H95" s="24" t="s">
        <v>1854</v>
      </c>
      <c r="I95" s="115">
        <v>0.1</v>
      </c>
      <c r="J95" s="25">
        <f>'Harga Satuan Dasar mat'!G769</f>
        <v>89500</v>
      </c>
      <c r="K95" s="89">
        <f>I95*J95</f>
        <v>8950</v>
      </c>
    </row>
    <row r="96" spans="1:11" ht="13.2" customHeight="1" x14ac:dyDescent="0.25">
      <c r="A96" s="2"/>
      <c r="B96" s="70" t="s">
        <v>30</v>
      </c>
      <c r="C96" s="21" t="s">
        <v>1646</v>
      </c>
      <c r="D96" s="14"/>
      <c r="E96" s="22"/>
      <c r="F96" s="23"/>
      <c r="G96" s="23"/>
      <c r="H96" s="24" t="s">
        <v>1855</v>
      </c>
      <c r="I96" s="116">
        <v>0.05</v>
      </c>
      <c r="J96" s="25">
        <f>'Harga Satuan Dasar mat'!G770</f>
        <v>54500</v>
      </c>
      <c r="K96" s="89">
        <f t="shared" ref="K96:K98" si="1">I96*J96</f>
        <v>2725</v>
      </c>
    </row>
    <row r="97" spans="1:11" ht="13.2" customHeight="1" x14ac:dyDescent="0.25">
      <c r="A97" s="2"/>
      <c r="B97" s="70" t="s">
        <v>57</v>
      </c>
      <c r="C97" s="21" t="s">
        <v>1647</v>
      </c>
      <c r="D97" s="14"/>
      <c r="E97" s="22"/>
      <c r="F97" s="23"/>
      <c r="G97" s="23"/>
      <c r="H97" s="24" t="s">
        <v>1854</v>
      </c>
      <c r="I97" s="116">
        <v>0.15</v>
      </c>
      <c r="J97" s="25">
        <f>'Harga Satuan Dasar mat'!G771</f>
        <v>143500</v>
      </c>
      <c r="K97" s="89">
        <f t="shared" si="1"/>
        <v>21525</v>
      </c>
    </row>
    <row r="98" spans="1:11" ht="13.2" customHeight="1" x14ac:dyDescent="0.25">
      <c r="A98" s="2"/>
      <c r="B98" s="70" t="s">
        <v>83</v>
      </c>
      <c r="C98" s="21" t="s">
        <v>1648</v>
      </c>
      <c r="D98" s="14"/>
      <c r="E98" s="22"/>
      <c r="F98" s="23"/>
      <c r="G98" s="23"/>
      <c r="H98" s="24" t="s">
        <v>1856</v>
      </c>
      <c r="I98" s="116">
        <v>0.1</v>
      </c>
      <c r="J98" s="48">
        <f>'Harga Satuan Dasar mat'!G772</f>
        <v>12300</v>
      </c>
      <c r="K98" s="89">
        <f t="shared" si="1"/>
        <v>1230</v>
      </c>
    </row>
    <row r="99" spans="1:11" ht="15" customHeight="1" thickBot="1" x14ac:dyDescent="0.3">
      <c r="A99" s="15"/>
      <c r="B99" s="16"/>
      <c r="C99" s="17"/>
      <c r="D99" s="17"/>
      <c r="E99" s="17"/>
      <c r="F99" s="17"/>
      <c r="G99" s="18"/>
      <c r="H99" s="156" t="s">
        <v>715</v>
      </c>
      <c r="I99" s="157"/>
      <c r="J99" s="157"/>
      <c r="K99" s="158">
        <f>SUM(K95:K98)</f>
        <v>34430</v>
      </c>
    </row>
    <row r="100" spans="1:11" ht="14.1" customHeight="1" x14ac:dyDescent="0.25">
      <c r="A100" s="81">
        <v>25</v>
      </c>
      <c r="B100" s="705" t="s">
        <v>1834</v>
      </c>
      <c r="C100" s="706"/>
      <c r="D100" s="82" t="s">
        <v>1810</v>
      </c>
      <c r="E100" s="83"/>
      <c r="F100" s="84"/>
      <c r="G100" s="85"/>
      <c r="H100" s="86"/>
      <c r="I100" s="91"/>
      <c r="J100" s="92"/>
      <c r="K100" s="87"/>
    </row>
    <row r="101" spans="1:11" ht="13.2" customHeight="1" x14ac:dyDescent="0.25">
      <c r="A101" s="2"/>
      <c r="B101" s="70"/>
      <c r="C101" s="21" t="s">
        <v>1862</v>
      </c>
      <c r="D101" s="14"/>
      <c r="E101" s="22"/>
      <c r="F101" s="23"/>
      <c r="G101" s="23"/>
      <c r="H101" s="24"/>
      <c r="I101" s="115"/>
      <c r="J101" s="25"/>
      <c r="K101" s="89"/>
    </row>
    <row r="102" spans="1:11" ht="13.2" customHeight="1" x14ac:dyDescent="0.25">
      <c r="A102" s="2"/>
      <c r="B102" s="70" t="s">
        <v>4</v>
      </c>
      <c r="C102" s="21" t="s">
        <v>1859</v>
      </c>
      <c r="D102" s="14"/>
      <c r="E102" s="22"/>
      <c r="F102" s="21" t="s">
        <v>1864</v>
      </c>
      <c r="G102" s="23"/>
      <c r="H102" s="24" t="s">
        <v>1863</v>
      </c>
      <c r="I102" s="117">
        <v>2.0375459999999999</v>
      </c>
      <c r="J102" s="118">
        <f>K99</f>
        <v>34430</v>
      </c>
      <c r="K102" s="89">
        <f t="shared" ref="K102:K104" si="2">I102*J102</f>
        <v>70152.708780000001</v>
      </c>
    </row>
    <row r="103" spans="1:11" ht="13.2" customHeight="1" x14ac:dyDescent="0.25">
      <c r="A103" s="2"/>
      <c r="B103" s="70" t="s">
        <v>30</v>
      </c>
      <c r="C103" s="21" t="s">
        <v>1860</v>
      </c>
      <c r="D103" s="14"/>
      <c r="E103" s="22"/>
      <c r="F103" s="21" t="s">
        <v>1865</v>
      </c>
      <c r="G103" s="23"/>
      <c r="H103" s="24" t="s">
        <v>1863</v>
      </c>
      <c r="I103" s="117">
        <v>4.1981800000000007</v>
      </c>
      <c r="J103" s="118">
        <f>K99</f>
        <v>34430</v>
      </c>
      <c r="K103" s="89">
        <f t="shared" si="2"/>
        <v>144543.33740000002</v>
      </c>
    </row>
    <row r="104" spans="1:11" ht="13.2" customHeight="1" thickBot="1" x14ac:dyDescent="0.3">
      <c r="A104" s="2"/>
      <c r="B104" s="119" t="s">
        <v>57</v>
      </c>
      <c r="C104" s="71" t="s">
        <v>1861</v>
      </c>
      <c r="D104" s="72"/>
      <c r="E104" s="73"/>
      <c r="F104" s="71" t="s">
        <v>1866</v>
      </c>
      <c r="G104" s="74"/>
      <c r="H104" s="24" t="s">
        <v>1863</v>
      </c>
      <c r="I104" s="129">
        <v>3.6614786400000003</v>
      </c>
      <c r="J104" s="120">
        <f>K99</f>
        <v>34430</v>
      </c>
      <c r="K104" s="114">
        <f t="shared" si="2"/>
        <v>126064.70957520002</v>
      </c>
    </row>
    <row r="105" spans="1:11" ht="13.2" customHeight="1" x14ac:dyDescent="0.25">
      <c r="A105" s="2"/>
      <c r="B105" s="121"/>
      <c r="C105" s="122"/>
      <c r="D105" s="82"/>
      <c r="E105" s="123"/>
      <c r="F105" s="124"/>
      <c r="G105" s="124"/>
      <c r="H105" s="128" t="s">
        <v>715</v>
      </c>
      <c r="I105" s="125"/>
      <c r="J105" s="126"/>
      <c r="K105" s="127">
        <f>SUM(K102:K104)</f>
        <v>340760.75575520005</v>
      </c>
    </row>
    <row r="106" spans="1:11" ht="12.9" customHeight="1" x14ac:dyDescent="0.25">
      <c r="A106" s="6"/>
      <c r="B106" s="5"/>
      <c r="C106" s="3"/>
      <c r="D106" s="3"/>
      <c r="E106" s="3"/>
      <c r="F106" s="3"/>
      <c r="G106" s="4"/>
      <c r="H106" s="12" t="s">
        <v>603</v>
      </c>
      <c r="I106" s="28">
        <f>I97</f>
        <v>0.15</v>
      </c>
      <c r="J106" s="13"/>
      <c r="K106" s="88">
        <f>I106*K105</f>
        <v>51114.113363280005</v>
      </c>
    </row>
    <row r="107" spans="1:11" ht="12.9" customHeight="1" x14ac:dyDescent="0.25">
      <c r="A107" s="6"/>
      <c r="B107" s="5"/>
      <c r="C107" s="3"/>
      <c r="D107" s="3"/>
      <c r="E107" s="3"/>
      <c r="F107" s="3"/>
      <c r="G107" s="4"/>
      <c r="H107" s="12" t="s">
        <v>604</v>
      </c>
      <c r="I107" s="14"/>
      <c r="J107" s="14"/>
      <c r="K107" s="88">
        <f>SUM(K105:K106)</f>
        <v>391874.86911848007</v>
      </c>
    </row>
    <row r="108" spans="1:11" ht="12.9" customHeight="1" thickBot="1" x14ac:dyDescent="0.3">
      <c r="A108" s="15"/>
      <c r="B108" s="16"/>
      <c r="C108" s="17"/>
      <c r="D108" s="17"/>
      <c r="E108" s="17"/>
      <c r="F108" s="17"/>
      <c r="G108" s="18"/>
      <c r="H108" s="46" t="s">
        <v>605</v>
      </c>
      <c r="I108" s="47"/>
      <c r="J108" s="47"/>
      <c r="K108" s="159">
        <f>ROUND(K107,-1)</f>
        <v>391870</v>
      </c>
    </row>
    <row r="109" spans="1:11" ht="14.1" customHeight="1" x14ac:dyDescent="0.25">
      <c r="A109" s="81">
        <v>26</v>
      </c>
      <c r="B109" s="705" t="s">
        <v>1834</v>
      </c>
      <c r="C109" s="706"/>
      <c r="D109" s="82" t="s">
        <v>1811</v>
      </c>
      <c r="E109" s="83"/>
      <c r="F109" s="84"/>
      <c r="G109" s="85"/>
      <c r="H109" s="86"/>
      <c r="I109" s="91"/>
      <c r="J109" s="92"/>
      <c r="K109" s="87"/>
    </row>
    <row r="110" spans="1:11" ht="13.2" customHeight="1" x14ac:dyDescent="0.25">
      <c r="A110" s="2"/>
      <c r="B110" s="70"/>
      <c r="C110" s="21" t="s">
        <v>1862</v>
      </c>
      <c r="D110" s="14"/>
      <c r="E110" s="22"/>
      <c r="F110" s="23"/>
      <c r="G110" s="23"/>
      <c r="H110" s="24"/>
      <c r="I110" s="115"/>
      <c r="J110" s="25"/>
      <c r="K110" s="89"/>
    </row>
    <row r="111" spans="1:11" ht="13.2" customHeight="1" x14ac:dyDescent="0.25">
      <c r="A111" s="2"/>
      <c r="B111" s="70" t="s">
        <v>4</v>
      </c>
      <c r="C111" s="21" t="s">
        <v>1859</v>
      </c>
      <c r="D111" s="14"/>
      <c r="E111" s="22"/>
      <c r="F111" s="21" t="s">
        <v>1869</v>
      </c>
      <c r="G111" s="23"/>
      <c r="H111" s="24" t="s">
        <v>1863</v>
      </c>
      <c r="I111" s="117">
        <v>1.08016</v>
      </c>
      <c r="J111" s="118">
        <f>K99</f>
        <v>34430</v>
      </c>
      <c r="K111" s="89">
        <f t="shared" ref="K111:K113" si="3">I111*J111</f>
        <v>37189.908799999997</v>
      </c>
    </row>
    <row r="112" spans="1:11" ht="13.2" customHeight="1" x14ac:dyDescent="0.25">
      <c r="A112" s="2"/>
      <c r="B112" s="70" t="s">
        <v>30</v>
      </c>
      <c r="C112" s="21" t="s">
        <v>1860</v>
      </c>
      <c r="D112" s="14"/>
      <c r="E112" s="22"/>
      <c r="F112" s="21" t="s">
        <v>1867</v>
      </c>
      <c r="G112" s="23"/>
      <c r="H112" s="24" t="s">
        <v>1863</v>
      </c>
      <c r="I112" s="117">
        <v>3.3974800000000007</v>
      </c>
      <c r="J112" s="118">
        <f>K99</f>
        <v>34430</v>
      </c>
      <c r="K112" s="89">
        <f t="shared" si="3"/>
        <v>116975.23640000002</v>
      </c>
    </row>
    <row r="113" spans="1:11" ht="13.2" customHeight="1" thickBot="1" x14ac:dyDescent="0.3">
      <c r="A113" s="2"/>
      <c r="B113" s="119" t="s">
        <v>57</v>
      </c>
      <c r="C113" s="71" t="s">
        <v>1861</v>
      </c>
      <c r="D113" s="72"/>
      <c r="E113" s="73"/>
      <c r="F113" s="71" t="s">
        <v>1868</v>
      </c>
      <c r="G113" s="74"/>
      <c r="H113" s="24" t="s">
        <v>1863</v>
      </c>
      <c r="I113" s="129">
        <v>3.2577876800000007</v>
      </c>
      <c r="J113" s="120">
        <f>K99</f>
        <v>34430</v>
      </c>
      <c r="K113" s="114">
        <f t="shared" si="3"/>
        <v>112165.62982240002</v>
      </c>
    </row>
    <row r="114" spans="1:11" ht="13.2" customHeight="1" x14ac:dyDescent="0.25">
      <c r="A114" s="2"/>
      <c r="B114" s="121"/>
      <c r="C114" s="122"/>
      <c r="D114" s="82"/>
      <c r="E114" s="123"/>
      <c r="F114" s="124"/>
      <c r="G114" s="124"/>
      <c r="H114" s="128" t="s">
        <v>715</v>
      </c>
      <c r="I114" s="125"/>
      <c r="J114" s="126"/>
      <c r="K114" s="127">
        <f>SUM(K111:K113)</f>
        <v>266330.77502240008</v>
      </c>
    </row>
    <row r="115" spans="1:11" ht="12.9" customHeight="1" x14ac:dyDescent="0.25">
      <c r="A115" s="6"/>
      <c r="B115" s="5"/>
      <c r="C115" s="3"/>
      <c r="D115" s="3"/>
      <c r="E115" s="3"/>
      <c r="F115" s="3"/>
      <c r="G115" s="4"/>
      <c r="H115" s="12" t="s">
        <v>603</v>
      </c>
      <c r="I115" s="28">
        <f>I106</f>
        <v>0.15</v>
      </c>
      <c r="J115" s="13"/>
      <c r="K115" s="88">
        <f>I115*K114</f>
        <v>39949.616253360007</v>
      </c>
    </row>
    <row r="116" spans="1:11" ht="12.9" customHeight="1" x14ac:dyDescent="0.25">
      <c r="A116" s="6"/>
      <c r="B116" s="5"/>
      <c r="C116" s="3"/>
      <c r="D116" s="3"/>
      <c r="E116" s="3"/>
      <c r="F116" s="3"/>
      <c r="G116" s="4"/>
      <c r="H116" s="12" t="s">
        <v>604</v>
      </c>
      <c r="I116" s="14"/>
      <c r="J116" s="14"/>
      <c r="K116" s="88">
        <f>SUM(K114:K115)</f>
        <v>306280.39127576008</v>
      </c>
    </row>
    <row r="117" spans="1:11" ht="12.9" customHeight="1" thickBot="1" x14ac:dyDescent="0.3">
      <c r="A117" s="15"/>
      <c r="B117" s="16"/>
      <c r="C117" s="17"/>
      <c r="D117" s="17"/>
      <c r="E117" s="17"/>
      <c r="F117" s="17"/>
      <c r="G117" s="18"/>
      <c r="H117" s="46" t="s">
        <v>605</v>
      </c>
      <c r="I117" s="47"/>
      <c r="J117" s="47"/>
      <c r="K117" s="159">
        <f>ROUND(K116,-1)</f>
        <v>306280</v>
      </c>
    </row>
    <row r="118" spans="1:11" ht="14.1" customHeight="1" x14ac:dyDescent="0.25">
      <c r="A118" s="81">
        <v>27</v>
      </c>
      <c r="B118" s="705" t="s">
        <v>1834</v>
      </c>
      <c r="C118" s="706"/>
      <c r="D118" s="82" t="s">
        <v>1812</v>
      </c>
      <c r="E118" s="83"/>
      <c r="F118" s="84"/>
      <c r="G118" s="85"/>
      <c r="H118" s="86"/>
      <c r="I118" s="91"/>
      <c r="J118" s="92"/>
      <c r="K118" s="87"/>
    </row>
    <row r="119" spans="1:11" ht="13.2" customHeight="1" x14ac:dyDescent="0.25">
      <c r="A119" s="2"/>
      <c r="B119" s="70"/>
      <c r="C119" s="21" t="s">
        <v>1862</v>
      </c>
      <c r="D119" s="14"/>
      <c r="E119" s="22"/>
      <c r="F119" s="23"/>
      <c r="G119" s="23"/>
      <c r="H119" s="24"/>
      <c r="I119" s="115"/>
      <c r="J119" s="25"/>
      <c r="K119" s="89"/>
    </row>
    <row r="120" spans="1:11" ht="13.2" customHeight="1" x14ac:dyDescent="0.25">
      <c r="A120" s="2"/>
      <c r="B120" s="70" t="s">
        <v>4</v>
      </c>
      <c r="C120" s="21" t="s">
        <v>1859</v>
      </c>
      <c r="D120" s="14"/>
      <c r="E120" s="22"/>
      <c r="F120" s="21" t="s">
        <v>1869</v>
      </c>
      <c r="G120" s="23"/>
      <c r="H120" s="24" t="s">
        <v>1863</v>
      </c>
      <c r="I120" s="117">
        <v>1.08016</v>
      </c>
      <c r="J120" s="118">
        <f>K99</f>
        <v>34430</v>
      </c>
      <c r="K120" s="89">
        <f t="shared" ref="K120:K122" si="4">I120*J120</f>
        <v>37189.908799999997</v>
      </c>
    </row>
    <row r="121" spans="1:11" ht="13.2" customHeight="1" x14ac:dyDescent="0.25">
      <c r="A121" s="2"/>
      <c r="B121" s="70" t="s">
        <v>30</v>
      </c>
      <c r="C121" s="21" t="s">
        <v>1860</v>
      </c>
      <c r="D121" s="14"/>
      <c r="E121" s="22"/>
      <c r="F121" s="21" t="s">
        <v>1870</v>
      </c>
      <c r="G121" s="23"/>
      <c r="H121" s="24" t="s">
        <v>1863</v>
      </c>
      <c r="I121" s="117">
        <v>2.7179840000000004</v>
      </c>
      <c r="J121" s="118">
        <f>K99</f>
        <v>34430</v>
      </c>
      <c r="K121" s="89">
        <f t="shared" si="4"/>
        <v>93580.18912000001</v>
      </c>
    </row>
    <row r="122" spans="1:11" ht="13.2" customHeight="1" thickBot="1" x14ac:dyDescent="0.3">
      <c r="A122" s="2"/>
      <c r="B122" s="119" t="s">
        <v>57</v>
      </c>
      <c r="C122" s="71" t="s">
        <v>1861</v>
      </c>
      <c r="D122" s="72"/>
      <c r="E122" s="73"/>
      <c r="F122" s="71" t="s">
        <v>1871</v>
      </c>
      <c r="G122" s="74"/>
      <c r="H122" s="24" t="s">
        <v>1863</v>
      </c>
      <c r="I122" s="129">
        <v>3.3585440000000006</v>
      </c>
      <c r="J122" s="120">
        <f>K99</f>
        <v>34430</v>
      </c>
      <c r="K122" s="114">
        <f t="shared" si="4"/>
        <v>115634.66992000001</v>
      </c>
    </row>
    <row r="123" spans="1:11" ht="13.2" customHeight="1" x14ac:dyDescent="0.25">
      <c r="A123" s="2"/>
      <c r="B123" s="121"/>
      <c r="C123" s="122"/>
      <c r="D123" s="82"/>
      <c r="E123" s="123"/>
      <c r="F123" s="124"/>
      <c r="G123" s="124"/>
      <c r="H123" s="128" t="s">
        <v>715</v>
      </c>
      <c r="I123" s="125"/>
      <c r="J123" s="126"/>
      <c r="K123" s="127">
        <f>SUM(K120:K122)</f>
        <v>246404.76784000001</v>
      </c>
    </row>
    <row r="124" spans="1:11" ht="12.9" customHeight="1" x14ac:dyDescent="0.25">
      <c r="A124" s="6"/>
      <c r="B124" s="5"/>
      <c r="C124" s="3"/>
      <c r="D124" s="3"/>
      <c r="E124" s="3"/>
      <c r="F124" s="3"/>
      <c r="G124" s="4"/>
      <c r="H124" s="12" t="s">
        <v>603</v>
      </c>
      <c r="I124" s="28">
        <f>I115</f>
        <v>0.15</v>
      </c>
      <c r="J124" s="13"/>
      <c r="K124" s="88">
        <f>I124*K123</f>
        <v>36960.715175999998</v>
      </c>
    </row>
    <row r="125" spans="1:11" ht="12.9" customHeight="1" x14ac:dyDescent="0.25">
      <c r="A125" s="6"/>
      <c r="B125" s="5"/>
      <c r="C125" s="3"/>
      <c r="D125" s="3"/>
      <c r="E125" s="3"/>
      <c r="F125" s="3"/>
      <c r="G125" s="4"/>
      <c r="H125" s="12" t="s">
        <v>604</v>
      </c>
      <c r="I125" s="14"/>
      <c r="J125" s="14"/>
      <c r="K125" s="88">
        <f>SUM(K123:K124)</f>
        <v>283365.48301600001</v>
      </c>
    </row>
    <row r="126" spans="1:11" ht="12.9" customHeight="1" thickBot="1" x14ac:dyDescent="0.3">
      <c r="A126" s="15"/>
      <c r="B126" s="16"/>
      <c r="C126" s="17"/>
      <c r="D126" s="17"/>
      <c r="E126" s="17"/>
      <c r="F126" s="17"/>
      <c r="G126" s="18"/>
      <c r="H126" s="46" t="s">
        <v>605</v>
      </c>
      <c r="I126" s="47"/>
      <c r="J126" s="47"/>
      <c r="K126" s="159">
        <f>ROUND(K125,-1)</f>
        <v>283370</v>
      </c>
    </row>
    <row r="127" spans="1:11" ht="14.1" customHeight="1" x14ac:dyDescent="0.25">
      <c r="A127" s="81">
        <v>28</v>
      </c>
      <c r="B127" s="705" t="s">
        <v>1834</v>
      </c>
      <c r="C127" s="706"/>
      <c r="D127" s="82" t="s">
        <v>1813</v>
      </c>
      <c r="E127" s="83"/>
      <c r="F127" s="84"/>
      <c r="G127" s="85"/>
      <c r="H127" s="86"/>
      <c r="I127" s="91"/>
      <c r="J127" s="92"/>
      <c r="K127" s="87"/>
    </row>
    <row r="128" spans="1:11" ht="13.2" customHeight="1" x14ac:dyDescent="0.25">
      <c r="A128" s="2"/>
      <c r="B128" s="70"/>
      <c r="C128" s="21" t="s">
        <v>1862</v>
      </c>
      <c r="D128" s="14"/>
      <c r="E128" s="22"/>
      <c r="F128" s="23"/>
      <c r="G128" s="23"/>
      <c r="H128" s="24"/>
      <c r="I128" s="115"/>
      <c r="J128" s="25"/>
      <c r="K128" s="89"/>
    </row>
    <row r="129" spans="1:11" ht="13.2" customHeight="1" x14ac:dyDescent="0.25">
      <c r="A129" s="2"/>
      <c r="B129" s="70" t="s">
        <v>4</v>
      </c>
      <c r="C129" s="21" t="s">
        <v>1859</v>
      </c>
      <c r="D129" s="14"/>
      <c r="E129" s="22"/>
      <c r="F129" s="21" t="s">
        <v>1872</v>
      </c>
      <c r="G129" s="23"/>
      <c r="H129" s="24" t="s">
        <v>1863</v>
      </c>
      <c r="I129" s="117">
        <v>0.87920000000000009</v>
      </c>
      <c r="J129" s="118">
        <f>J120</f>
        <v>34430</v>
      </c>
      <c r="K129" s="89">
        <f t="shared" ref="K129:K131" si="5">I129*J129</f>
        <v>30270.856000000003</v>
      </c>
    </row>
    <row r="130" spans="1:11" ht="13.2" customHeight="1" x14ac:dyDescent="0.25">
      <c r="A130" s="2"/>
      <c r="B130" s="70" t="s">
        <v>30</v>
      </c>
      <c r="C130" s="21" t="s">
        <v>1860</v>
      </c>
      <c r="D130" s="14"/>
      <c r="E130" s="22"/>
      <c r="F130" s="21" t="s">
        <v>1873</v>
      </c>
      <c r="G130" s="23"/>
      <c r="H130" s="24" t="s">
        <v>1863</v>
      </c>
      <c r="I130" s="117">
        <v>2.3964479999999999</v>
      </c>
      <c r="J130" s="118">
        <f t="shared" ref="J130:J131" si="6">J121</f>
        <v>34430</v>
      </c>
      <c r="K130" s="89">
        <f t="shared" si="5"/>
        <v>82509.704639999996</v>
      </c>
    </row>
    <row r="131" spans="1:11" ht="13.2" customHeight="1" thickBot="1" x14ac:dyDescent="0.3">
      <c r="A131" s="2"/>
      <c r="B131" s="119" t="s">
        <v>57</v>
      </c>
      <c r="C131" s="71" t="s">
        <v>1861</v>
      </c>
      <c r="D131" s="72"/>
      <c r="E131" s="73"/>
      <c r="F131" s="71" t="s">
        <v>1874</v>
      </c>
      <c r="G131" s="74"/>
      <c r="H131" s="24" t="s">
        <v>1863</v>
      </c>
      <c r="I131" s="129">
        <v>2.7179840000000004</v>
      </c>
      <c r="J131" s="118">
        <f t="shared" si="6"/>
        <v>34430</v>
      </c>
      <c r="K131" s="114">
        <f t="shared" si="5"/>
        <v>93580.18912000001</v>
      </c>
    </row>
    <row r="132" spans="1:11" ht="13.2" customHeight="1" x14ac:dyDescent="0.25">
      <c r="A132" s="2"/>
      <c r="B132" s="121"/>
      <c r="C132" s="122"/>
      <c r="D132" s="82"/>
      <c r="E132" s="123"/>
      <c r="F132" s="124"/>
      <c r="G132" s="124"/>
      <c r="H132" s="128" t="s">
        <v>715</v>
      </c>
      <c r="I132" s="125"/>
      <c r="J132" s="126"/>
      <c r="K132" s="127">
        <f>SUM(K129:K131)</f>
        <v>206360.74976000001</v>
      </c>
    </row>
    <row r="133" spans="1:11" ht="12.9" customHeight="1" x14ac:dyDescent="0.25">
      <c r="A133" s="6"/>
      <c r="B133" s="5"/>
      <c r="C133" s="3"/>
      <c r="D133" s="3"/>
      <c r="E133" s="3"/>
      <c r="F133" s="3"/>
      <c r="G133" s="4"/>
      <c r="H133" s="12" t="s">
        <v>603</v>
      </c>
      <c r="I133" s="28">
        <f>I124</f>
        <v>0.15</v>
      </c>
      <c r="J133" s="13"/>
      <c r="K133" s="88">
        <f>I133*K132</f>
        <v>30954.112463999998</v>
      </c>
    </row>
    <row r="134" spans="1:11" ht="12.9" customHeight="1" x14ac:dyDescent="0.25">
      <c r="A134" s="6"/>
      <c r="B134" s="5"/>
      <c r="C134" s="3"/>
      <c r="D134" s="3"/>
      <c r="E134" s="3"/>
      <c r="F134" s="3"/>
      <c r="G134" s="4"/>
      <c r="H134" s="12" t="s">
        <v>604</v>
      </c>
      <c r="I134" s="14"/>
      <c r="J134" s="14"/>
      <c r="K134" s="88">
        <f>SUM(K132:K133)</f>
        <v>237314.86222400001</v>
      </c>
    </row>
    <row r="135" spans="1:11" ht="12.9" customHeight="1" thickBot="1" x14ac:dyDescent="0.3">
      <c r="A135" s="15"/>
      <c r="B135" s="16"/>
      <c r="C135" s="17"/>
      <c r="D135" s="17"/>
      <c r="E135" s="17"/>
      <c r="F135" s="17"/>
      <c r="G135" s="18"/>
      <c r="H135" s="46" t="s">
        <v>605</v>
      </c>
      <c r="I135" s="47"/>
      <c r="J135" s="47"/>
      <c r="K135" s="159">
        <f>ROUND(K134,-1)</f>
        <v>237310</v>
      </c>
    </row>
    <row r="136" spans="1:11" ht="14.1" customHeight="1" x14ac:dyDescent="0.25">
      <c r="A136" s="81">
        <v>29</v>
      </c>
      <c r="B136" s="705" t="s">
        <v>1834</v>
      </c>
      <c r="C136" s="706"/>
      <c r="D136" s="82" t="s">
        <v>1814</v>
      </c>
      <c r="E136" s="83"/>
      <c r="F136" s="84"/>
      <c r="G136" s="85"/>
      <c r="H136" s="86"/>
      <c r="I136" s="91"/>
      <c r="J136" s="92"/>
      <c r="K136" s="87"/>
    </row>
    <row r="137" spans="1:11" ht="13.2" customHeight="1" x14ac:dyDescent="0.25">
      <c r="A137" s="2"/>
      <c r="B137" s="70"/>
      <c r="C137" s="21" t="s">
        <v>1862</v>
      </c>
      <c r="D137" s="14"/>
      <c r="E137" s="22"/>
      <c r="F137" s="23"/>
      <c r="G137" s="23"/>
      <c r="H137" s="24"/>
      <c r="I137" s="115"/>
      <c r="J137" s="25"/>
      <c r="K137" s="89"/>
    </row>
    <row r="138" spans="1:11" ht="13.2" customHeight="1" x14ac:dyDescent="0.25">
      <c r="A138" s="2"/>
      <c r="B138" s="70" t="s">
        <v>4</v>
      </c>
      <c r="C138" s="21" t="s">
        <v>1859</v>
      </c>
      <c r="D138" s="14"/>
      <c r="E138" s="22"/>
      <c r="F138" s="21" t="s">
        <v>1875</v>
      </c>
      <c r="G138" s="23"/>
      <c r="H138" s="24" t="s">
        <v>1863</v>
      </c>
      <c r="I138" s="117">
        <v>0.89804000000000006</v>
      </c>
      <c r="J138" s="118">
        <f>J129</f>
        <v>34430</v>
      </c>
      <c r="K138" s="89">
        <f t="shared" ref="K138:K140" si="7">I138*J138</f>
        <v>30919.517200000002</v>
      </c>
    </row>
    <row r="139" spans="1:11" ht="13.2" customHeight="1" x14ac:dyDescent="0.25">
      <c r="A139" s="2"/>
      <c r="B139" s="70" t="s">
        <v>30</v>
      </c>
      <c r="C139" s="21" t="s">
        <v>1860</v>
      </c>
      <c r="D139" s="14"/>
      <c r="E139" s="22"/>
      <c r="F139" s="21" t="s">
        <v>1876</v>
      </c>
      <c r="G139" s="23"/>
      <c r="H139" s="24" t="s">
        <v>1863</v>
      </c>
      <c r="I139" s="117">
        <v>1.2968200000000003</v>
      </c>
      <c r="J139" s="118">
        <f t="shared" ref="J139:J140" si="8">J130</f>
        <v>34430</v>
      </c>
      <c r="K139" s="89">
        <f t="shared" si="7"/>
        <v>44649.512600000009</v>
      </c>
    </row>
    <row r="140" spans="1:11" ht="13.2" customHeight="1" thickBot="1" x14ac:dyDescent="0.3">
      <c r="A140" s="2"/>
      <c r="B140" s="119" t="s">
        <v>57</v>
      </c>
      <c r="C140" s="71" t="s">
        <v>1861</v>
      </c>
      <c r="D140" s="72"/>
      <c r="E140" s="73"/>
      <c r="F140" s="71" t="s">
        <v>1877</v>
      </c>
      <c r="G140" s="74"/>
      <c r="H140" s="24" t="s">
        <v>1863</v>
      </c>
      <c r="I140" s="129">
        <v>2.4959005919999999</v>
      </c>
      <c r="J140" s="118">
        <f t="shared" si="8"/>
        <v>34430</v>
      </c>
      <c r="K140" s="114">
        <f t="shared" si="7"/>
        <v>85933.857382560003</v>
      </c>
    </row>
    <row r="141" spans="1:11" ht="13.2" customHeight="1" x14ac:dyDescent="0.25">
      <c r="A141" s="2"/>
      <c r="B141" s="121"/>
      <c r="C141" s="122"/>
      <c r="D141" s="82"/>
      <c r="E141" s="123"/>
      <c r="F141" s="124"/>
      <c r="G141" s="124"/>
      <c r="H141" s="128" t="s">
        <v>715</v>
      </c>
      <c r="I141" s="125"/>
      <c r="J141" s="126"/>
      <c r="K141" s="127">
        <f>SUM(K138:K140)</f>
        <v>161502.88718256002</v>
      </c>
    </row>
    <row r="142" spans="1:11" ht="12.9" customHeight="1" x14ac:dyDescent="0.25">
      <c r="A142" s="6"/>
      <c r="B142" s="5"/>
      <c r="C142" s="3"/>
      <c r="D142" s="3"/>
      <c r="E142" s="3"/>
      <c r="F142" s="3"/>
      <c r="G142" s="4"/>
      <c r="H142" s="12" t="s">
        <v>603</v>
      </c>
      <c r="I142" s="28">
        <f>I133</f>
        <v>0.15</v>
      </c>
      <c r="J142" s="13"/>
      <c r="K142" s="88">
        <f>I142*K141</f>
        <v>24225.433077384001</v>
      </c>
    </row>
    <row r="143" spans="1:11" ht="12.9" customHeight="1" x14ac:dyDescent="0.25">
      <c r="A143" s="6"/>
      <c r="B143" s="5"/>
      <c r="C143" s="3"/>
      <c r="D143" s="3"/>
      <c r="E143" s="3"/>
      <c r="F143" s="3"/>
      <c r="G143" s="4"/>
      <c r="H143" s="12" t="s">
        <v>604</v>
      </c>
      <c r="I143" s="14"/>
      <c r="J143" s="14"/>
      <c r="K143" s="88">
        <f>SUM(K141:K142)</f>
        <v>185728.32025994401</v>
      </c>
    </row>
    <row r="144" spans="1:11" ht="12.9" customHeight="1" thickBot="1" x14ac:dyDescent="0.3">
      <c r="A144" s="15"/>
      <c r="B144" s="16"/>
      <c r="C144" s="17"/>
      <c r="D144" s="17"/>
      <c r="E144" s="17"/>
      <c r="F144" s="17"/>
      <c r="G144" s="18"/>
      <c r="H144" s="46" t="s">
        <v>605</v>
      </c>
      <c r="I144" s="47"/>
      <c r="J144" s="47"/>
      <c r="K144" s="159">
        <f>ROUND(K143,-1)</f>
        <v>185730</v>
      </c>
    </row>
    <row r="145" spans="1:11" ht="14.1" customHeight="1" x14ac:dyDescent="0.25">
      <c r="A145" s="81">
        <v>30</v>
      </c>
      <c r="B145" s="705" t="s">
        <v>1834</v>
      </c>
      <c r="C145" s="706"/>
      <c r="D145" s="82" t="s">
        <v>1815</v>
      </c>
      <c r="E145" s="83"/>
      <c r="F145" s="84"/>
      <c r="G145" s="85"/>
      <c r="H145" s="86"/>
      <c r="I145" s="91"/>
      <c r="J145" s="92"/>
      <c r="K145" s="87"/>
    </row>
    <row r="146" spans="1:11" ht="13.2" customHeight="1" x14ac:dyDescent="0.25">
      <c r="A146" s="2"/>
      <c r="B146" s="70"/>
      <c r="C146" s="21" t="s">
        <v>1862</v>
      </c>
      <c r="D146" s="14"/>
      <c r="E146" s="22"/>
      <c r="F146" s="23"/>
      <c r="G146" s="23"/>
      <c r="H146" s="24"/>
      <c r="I146" s="115"/>
      <c r="J146" s="25"/>
      <c r="K146" s="89"/>
    </row>
    <row r="147" spans="1:11" ht="13.2" customHeight="1" x14ac:dyDescent="0.25">
      <c r="A147" s="2"/>
      <c r="B147" s="70" t="s">
        <v>4</v>
      </c>
      <c r="C147" s="21" t="s">
        <v>1859</v>
      </c>
      <c r="D147" s="14"/>
      <c r="E147" s="22"/>
      <c r="F147" s="21" t="s">
        <v>1878</v>
      </c>
      <c r="G147" s="23"/>
      <c r="H147" s="24" t="s">
        <v>1863</v>
      </c>
      <c r="I147" s="117">
        <v>0.71843200000000007</v>
      </c>
      <c r="J147" s="118">
        <f>J138</f>
        <v>34430</v>
      </c>
      <c r="K147" s="89">
        <f t="shared" ref="K147:K149" si="9">I147*J147</f>
        <v>24735.613760000004</v>
      </c>
    </row>
    <row r="148" spans="1:11" ht="13.2" customHeight="1" x14ac:dyDescent="0.25">
      <c r="A148" s="2"/>
      <c r="B148" s="70" t="s">
        <v>30</v>
      </c>
      <c r="C148" s="21" t="s">
        <v>1860</v>
      </c>
      <c r="D148" s="14"/>
      <c r="E148" s="22"/>
      <c r="F148" s="21" t="s">
        <v>1879</v>
      </c>
      <c r="G148" s="23"/>
      <c r="H148" s="24" t="s">
        <v>1863</v>
      </c>
      <c r="I148" s="117">
        <v>0.87794400000000006</v>
      </c>
      <c r="J148" s="118">
        <f t="shared" ref="J148:J149" si="10">J139</f>
        <v>34430</v>
      </c>
      <c r="K148" s="89">
        <f t="shared" si="9"/>
        <v>30227.611920000003</v>
      </c>
    </row>
    <row r="149" spans="1:11" ht="13.2" customHeight="1" thickBot="1" x14ac:dyDescent="0.3">
      <c r="A149" s="2"/>
      <c r="B149" s="119" t="s">
        <v>57</v>
      </c>
      <c r="C149" s="71" t="s">
        <v>1861</v>
      </c>
      <c r="D149" s="72"/>
      <c r="E149" s="73"/>
      <c r="F149" s="71" t="s">
        <v>1880</v>
      </c>
      <c r="G149" s="74"/>
      <c r="H149" s="24" t="s">
        <v>1863</v>
      </c>
      <c r="I149" s="129">
        <v>2.096892</v>
      </c>
      <c r="J149" s="118">
        <f t="shared" si="10"/>
        <v>34430</v>
      </c>
      <c r="K149" s="114">
        <f t="shared" si="9"/>
        <v>72195.991559999995</v>
      </c>
    </row>
    <row r="150" spans="1:11" ht="13.2" customHeight="1" x14ac:dyDescent="0.25">
      <c r="A150" s="2"/>
      <c r="B150" s="121"/>
      <c r="C150" s="122"/>
      <c r="D150" s="82"/>
      <c r="E150" s="123"/>
      <c r="F150" s="124"/>
      <c r="G150" s="124"/>
      <c r="H150" s="128" t="s">
        <v>715</v>
      </c>
      <c r="I150" s="125"/>
      <c r="J150" s="126"/>
      <c r="K150" s="127">
        <f>SUM(K147:K149)</f>
        <v>127159.21724</v>
      </c>
    </row>
    <row r="151" spans="1:11" ht="12.9" customHeight="1" x14ac:dyDescent="0.25">
      <c r="A151" s="6"/>
      <c r="B151" s="5"/>
      <c r="C151" s="3"/>
      <c r="D151" s="3"/>
      <c r="E151" s="3"/>
      <c r="F151" s="3"/>
      <c r="G151" s="4"/>
      <c r="H151" s="12" t="s">
        <v>603</v>
      </c>
      <c r="I151" s="28">
        <f>I142</f>
        <v>0.15</v>
      </c>
      <c r="J151" s="13"/>
      <c r="K151" s="88">
        <f>I151*K150</f>
        <v>19073.882586</v>
      </c>
    </row>
    <row r="152" spans="1:11" ht="12.9" customHeight="1" x14ac:dyDescent="0.25">
      <c r="A152" s="6"/>
      <c r="B152" s="5"/>
      <c r="C152" s="3"/>
      <c r="D152" s="3"/>
      <c r="E152" s="3"/>
      <c r="F152" s="3"/>
      <c r="G152" s="4"/>
      <c r="H152" s="12" t="s">
        <v>604</v>
      </c>
      <c r="I152" s="14"/>
      <c r="J152" s="14"/>
      <c r="K152" s="88">
        <f>SUM(K150:K151)</f>
        <v>146233.09982599999</v>
      </c>
    </row>
    <row r="153" spans="1:11" ht="12.9" customHeight="1" thickBot="1" x14ac:dyDescent="0.3">
      <c r="A153" s="15"/>
      <c r="B153" s="16"/>
      <c r="C153" s="17"/>
      <c r="D153" s="17"/>
      <c r="E153" s="17"/>
      <c r="F153" s="17"/>
      <c r="G153" s="18"/>
      <c r="H153" s="46" t="s">
        <v>605</v>
      </c>
      <c r="I153" s="47"/>
      <c r="J153" s="47"/>
      <c r="K153" s="159">
        <f>ROUND(K152,-1)</f>
        <v>146230</v>
      </c>
    </row>
    <row r="154" spans="1:11" ht="14.1" customHeight="1" x14ac:dyDescent="0.25">
      <c r="A154" s="103">
        <v>31</v>
      </c>
      <c r="B154" s="705" t="s">
        <v>1477</v>
      </c>
      <c r="C154" s="706"/>
      <c r="D154" s="82" t="s">
        <v>1885</v>
      </c>
      <c r="E154" s="83"/>
      <c r="F154" s="84"/>
      <c r="G154" s="85"/>
      <c r="H154" s="86"/>
      <c r="I154" s="91"/>
      <c r="J154" s="92"/>
      <c r="K154" s="87"/>
    </row>
    <row r="155" spans="1:11" ht="13.2" customHeight="1" x14ac:dyDescent="0.25">
      <c r="A155" s="2"/>
      <c r="B155" s="119" t="s">
        <v>4</v>
      </c>
      <c r="C155" s="71" t="s">
        <v>1882</v>
      </c>
      <c r="D155" s="72"/>
      <c r="E155" s="73"/>
      <c r="F155" s="71" t="s">
        <v>1881</v>
      </c>
      <c r="G155" s="74"/>
      <c r="H155" s="75" t="s">
        <v>1863</v>
      </c>
      <c r="I155" s="130">
        <v>3.36</v>
      </c>
      <c r="J155" s="131">
        <f>J148</f>
        <v>34430</v>
      </c>
      <c r="K155" s="114">
        <f t="shared" ref="K155:K160" si="11">I155*J155</f>
        <v>115684.8</v>
      </c>
    </row>
    <row r="156" spans="1:11" ht="12.9" customHeight="1" x14ac:dyDescent="0.25">
      <c r="A156" s="6"/>
      <c r="B156" s="5"/>
      <c r="C156" s="31" t="s">
        <v>1887</v>
      </c>
      <c r="D156" s="3"/>
      <c r="E156" s="3"/>
      <c r="F156" s="3"/>
      <c r="G156" s="4"/>
      <c r="H156" s="132" t="s">
        <v>603</v>
      </c>
      <c r="I156" s="133">
        <f>I151</f>
        <v>0.15</v>
      </c>
      <c r="J156" s="134"/>
      <c r="K156" s="88">
        <f>I156*K155</f>
        <v>17352.72</v>
      </c>
    </row>
    <row r="157" spans="1:11" ht="12.9" customHeight="1" x14ac:dyDescent="0.25">
      <c r="A157" s="6"/>
      <c r="B157" s="5"/>
      <c r="C157" s="3"/>
      <c r="D157" s="3"/>
      <c r="E157" s="3"/>
      <c r="F157" s="3"/>
      <c r="G157" s="4"/>
      <c r="H157" s="132" t="s">
        <v>604</v>
      </c>
      <c r="I157" s="132"/>
      <c r="J157" s="132"/>
      <c r="K157" s="88">
        <f>SUM(K155:K156)</f>
        <v>133037.52000000002</v>
      </c>
    </row>
    <row r="158" spans="1:11" ht="12.9" customHeight="1" thickBot="1" x14ac:dyDescent="0.3">
      <c r="A158" s="15"/>
      <c r="B158" s="16"/>
      <c r="C158" s="17"/>
      <c r="D158" s="17"/>
      <c r="E158" s="17"/>
      <c r="F158" s="17"/>
      <c r="G158" s="18"/>
      <c r="H158" s="160" t="s">
        <v>605</v>
      </c>
      <c r="I158" s="160"/>
      <c r="J158" s="160"/>
      <c r="K158" s="159">
        <f>ROUND(K157,-1)</f>
        <v>133040</v>
      </c>
    </row>
    <row r="159" spans="1:11" ht="14.1" customHeight="1" x14ac:dyDescent="0.25">
      <c r="A159" s="103">
        <v>32</v>
      </c>
      <c r="B159" s="705" t="s">
        <v>1477</v>
      </c>
      <c r="C159" s="706"/>
      <c r="D159" s="82" t="s">
        <v>1886</v>
      </c>
      <c r="E159" s="83"/>
      <c r="F159" s="84"/>
      <c r="G159" s="85"/>
      <c r="H159" s="86"/>
      <c r="I159" s="91"/>
      <c r="J159" s="92"/>
      <c r="K159" s="87"/>
    </row>
    <row r="160" spans="1:11" ht="13.2" customHeight="1" x14ac:dyDescent="0.25">
      <c r="A160" s="2"/>
      <c r="B160" s="119" t="s">
        <v>30</v>
      </c>
      <c r="C160" s="71" t="s">
        <v>1883</v>
      </c>
      <c r="D160" s="72"/>
      <c r="E160" s="73"/>
      <c r="F160" s="71" t="s">
        <v>1884</v>
      </c>
      <c r="G160" s="74"/>
      <c r="H160" s="24" t="s">
        <v>1863</v>
      </c>
      <c r="I160" s="135">
        <v>2.3759999999999999</v>
      </c>
      <c r="J160" s="118">
        <f>J149</f>
        <v>34430</v>
      </c>
      <c r="K160" s="89">
        <f t="shared" si="11"/>
        <v>81805.679999999993</v>
      </c>
    </row>
    <row r="161" spans="1:11" ht="12.9" customHeight="1" x14ac:dyDescent="0.25">
      <c r="A161" s="6"/>
      <c r="B161" s="5"/>
      <c r="C161" s="31" t="s">
        <v>1887</v>
      </c>
      <c r="D161" s="3"/>
      <c r="E161" s="3"/>
      <c r="F161" s="3"/>
      <c r="G161" s="4"/>
      <c r="H161" s="132" t="s">
        <v>603</v>
      </c>
      <c r="I161" s="133">
        <f>I156</f>
        <v>0.15</v>
      </c>
      <c r="J161" s="134"/>
      <c r="K161" s="88">
        <f>I161*K160</f>
        <v>12270.851999999999</v>
      </c>
    </row>
    <row r="162" spans="1:11" ht="12.9" customHeight="1" x14ac:dyDescent="0.25">
      <c r="A162" s="6"/>
      <c r="B162" s="5"/>
      <c r="C162" s="3"/>
      <c r="D162" s="3"/>
      <c r="E162" s="3"/>
      <c r="F162" s="3"/>
      <c r="G162" s="4"/>
      <c r="H162" s="132" t="s">
        <v>604</v>
      </c>
      <c r="I162" s="132"/>
      <c r="J162" s="132"/>
      <c r="K162" s="88">
        <f>SUM(K160:K161)</f>
        <v>94076.531999999992</v>
      </c>
    </row>
    <row r="163" spans="1:11" ht="12.9" customHeight="1" thickBot="1" x14ac:dyDescent="0.3">
      <c r="A163" s="15"/>
      <c r="B163" s="16"/>
      <c r="C163" s="17"/>
      <c r="D163" s="17"/>
      <c r="E163" s="17"/>
      <c r="F163" s="17"/>
      <c r="G163" s="18"/>
      <c r="H163" s="160" t="s">
        <v>605</v>
      </c>
      <c r="I163" s="160"/>
      <c r="J163" s="160"/>
      <c r="K163" s="159">
        <f>ROUND(K162,-1)</f>
        <v>94080</v>
      </c>
    </row>
  </sheetData>
  <mergeCells count="39">
    <mergeCell ref="B159:C159"/>
    <mergeCell ref="B30:C30"/>
    <mergeCell ref="A1:K1"/>
    <mergeCell ref="A2:K2"/>
    <mergeCell ref="A4:A6"/>
    <mergeCell ref="B4:G6"/>
    <mergeCell ref="H4:H6"/>
    <mergeCell ref="I4:I6"/>
    <mergeCell ref="J4:K4"/>
    <mergeCell ref="J5:J6"/>
    <mergeCell ref="K5:K6"/>
    <mergeCell ref="B9:C9"/>
    <mergeCell ref="B14:C14"/>
    <mergeCell ref="B18:C18"/>
    <mergeCell ref="B22:C22"/>
    <mergeCell ref="B26:C26"/>
    <mergeCell ref="B78:C78"/>
    <mergeCell ref="B34:C34"/>
    <mergeCell ref="B38:C38"/>
    <mergeCell ref="B42:C42"/>
    <mergeCell ref="B46:C46"/>
    <mergeCell ref="B50:C50"/>
    <mergeCell ref="B54:C54"/>
    <mergeCell ref="B58:C58"/>
    <mergeCell ref="B62:C62"/>
    <mergeCell ref="B66:C66"/>
    <mergeCell ref="B70:C70"/>
    <mergeCell ref="B74:C74"/>
    <mergeCell ref="B154:C154"/>
    <mergeCell ref="B82:C82"/>
    <mergeCell ref="B86:C86"/>
    <mergeCell ref="B90:C90"/>
    <mergeCell ref="B94:C94"/>
    <mergeCell ref="B100:C100"/>
    <mergeCell ref="B109:C109"/>
    <mergeCell ref="B118:C118"/>
    <mergeCell ref="B127:C127"/>
    <mergeCell ref="B136:C136"/>
    <mergeCell ref="B145:C145"/>
  </mergeCells>
  <phoneticPr fontId="10" type="noConversion"/>
  <pageMargins left="0.51181102362204722" right="0.11811023622047245" top="0.35433070866141736" bottom="0.15748031496062992" header="0.31496062992125984" footer="0.31496062992125984"/>
  <pageSetup paperSize="9" scale="88" orientation="portrait" verticalDpi="0" r:id="rId1"/>
  <rowBreaks count="2" manualBreakCount="2">
    <brk id="61" max="10" man="1"/>
    <brk id="126" max="10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6CC8-28A7-40B4-884E-DDF4F4F17D76}">
  <sheetPr>
    <tabColor rgb="FFFFFF00"/>
  </sheetPr>
  <dimension ref="A1:H831"/>
  <sheetViews>
    <sheetView topLeftCell="A786" zoomScale="81" zoomScaleNormal="81" zoomScaleSheetLayoutView="100" workbookViewId="0">
      <selection activeCell="G832" sqref="G832"/>
    </sheetView>
  </sheetViews>
  <sheetFormatPr defaultColWidth="8.69921875" defaultRowHeight="13.2" x14ac:dyDescent="0.25"/>
  <cols>
    <col min="1" max="1" width="4.8984375" style="163" bestFit="1" customWidth="1"/>
    <col min="2" max="2" width="3.59765625" style="163" customWidth="1"/>
    <col min="3" max="3" width="8.69921875" style="163"/>
    <col min="4" max="4" width="49.8984375" style="163" customWidth="1"/>
    <col min="5" max="5" width="8.5" style="163" customWidth="1"/>
    <col min="6" max="6" width="7.09765625" style="163" customWidth="1"/>
    <col min="7" max="7" width="12.5" style="163" customWidth="1"/>
    <col min="8" max="16384" width="8.69921875" style="163"/>
  </cols>
  <sheetData>
    <row r="1" spans="1:8" s="210" customFormat="1" ht="13.8" x14ac:dyDescent="0.25">
      <c r="A1" s="209" t="s">
        <v>2264</v>
      </c>
      <c r="H1" s="211"/>
    </row>
    <row r="2" spans="1:8" ht="16.2" customHeight="1" x14ac:dyDescent="0.25">
      <c r="A2" s="719"/>
      <c r="B2" s="719"/>
      <c r="C2" s="719"/>
      <c r="D2" s="719"/>
      <c r="E2" s="719"/>
      <c r="F2" s="719"/>
      <c r="G2" s="719"/>
    </row>
    <row r="3" spans="1:8" s="210" customFormat="1" ht="13.8" x14ac:dyDescent="0.25">
      <c r="A3" s="721" t="s">
        <v>1584</v>
      </c>
      <c r="B3" s="721"/>
      <c r="C3" s="721"/>
      <c r="D3" s="721"/>
      <c r="E3" s="721"/>
      <c r="F3" s="721"/>
      <c r="G3" s="721"/>
      <c r="H3" s="211"/>
    </row>
    <row r="4" spans="1:8" s="210" customFormat="1" ht="13.8" x14ac:dyDescent="0.25">
      <c r="A4" s="722" t="s">
        <v>2265</v>
      </c>
      <c r="B4" s="722"/>
      <c r="C4" s="722"/>
      <c r="D4" s="722"/>
      <c r="E4" s="722"/>
      <c r="F4" s="722"/>
      <c r="G4" s="722"/>
      <c r="H4" s="212"/>
    </row>
    <row r="5" spans="1:8" s="210" customFormat="1" ht="13.8" x14ac:dyDescent="0.25">
      <c r="A5" s="722" t="s">
        <v>2266</v>
      </c>
      <c r="B5" s="722"/>
      <c r="C5" s="722"/>
      <c r="D5" s="722"/>
      <c r="E5" s="722"/>
      <c r="F5" s="722"/>
      <c r="G5" s="722"/>
      <c r="H5" s="213"/>
    </row>
    <row r="6" spans="1:8" ht="5.4" customHeight="1" x14ac:dyDescent="0.25">
      <c r="A6" s="719"/>
      <c r="B6" s="719"/>
      <c r="C6" s="719"/>
      <c r="D6" s="719"/>
      <c r="E6" s="719"/>
      <c r="F6" s="719"/>
      <c r="G6" s="719"/>
    </row>
    <row r="7" spans="1:8" ht="72.599999999999994" customHeight="1" x14ac:dyDescent="0.25">
      <c r="A7" s="720" t="s">
        <v>2268</v>
      </c>
      <c r="B7" s="720"/>
      <c r="C7" s="720"/>
      <c r="D7" s="720"/>
      <c r="E7" s="720"/>
      <c r="F7" s="720"/>
      <c r="G7" s="720"/>
    </row>
    <row r="8" spans="1:8" ht="19.2" customHeight="1" thickBot="1" x14ac:dyDescent="0.3">
      <c r="G8" s="164"/>
    </row>
    <row r="9" spans="1:8" ht="16.2" customHeight="1" x14ac:dyDescent="0.25">
      <c r="A9" s="709" t="s">
        <v>0</v>
      </c>
      <c r="B9" s="711" t="s">
        <v>1</v>
      </c>
      <c r="C9" s="712"/>
      <c r="D9" s="713"/>
      <c r="E9" s="717" t="s">
        <v>2</v>
      </c>
      <c r="F9" s="711" t="s">
        <v>3</v>
      </c>
      <c r="G9" s="165" t="s">
        <v>617</v>
      </c>
      <c r="H9" s="163" t="s">
        <v>2263</v>
      </c>
    </row>
    <row r="10" spans="1:8" ht="16.2" customHeight="1" thickBot="1" x14ac:dyDescent="0.3">
      <c r="A10" s="710"/>
      <c r="B10" s="714"/>
      <c r="C10" s="715"/>
      <c r="D10" s="716"/>
      <c r="E10" s="718"/>
      <c r="F10" s="714"/>
      <c r="G10" s="166" t="s">
        <v>640</v>
      </c>
    </row>
    <row r="11" spans="1:8" x14ac:dyDescent="0.25">
      <c r="A11" s="167"/>
      <c r="B11" s="168"/>
      <c r="C11" s="169"/>
      <c r="D11" s="170"/>
      <c r="E11" s="171"/>
      <c r="F11" s="171"/>
      <c r="G11" s="172"/>
    </row>
    <row r="12" spans="1:8" x14ac:dyDescent="0.25">
      <c r="A12" s="173" t="s">
        <v>4</v>
      </c>
      <c r="B12" s="174" t="s">
        <v>1583</v>
      </c>
      <c r="C12" s="175"/>
      <c r="D12" s="176"/>
      <c r="E12" s="177"/>
      <c r="F12" s="177"/>
      <c r="G12" s="178"/>
    </row>
    <row r="13" spans="1:8" x14ac:dyDescent="0.25">
      <c r="A13" s="179"/>
      <c r="B13" s="180">
        <v>1</v>
      </c>
      <c r="C13" s="181" t="s">
        <v>5</v>
      </c>
      <c r="D13" s="176"/>
      <c r="E13" s="182" t="s">
        <v>203</v>
      </c>
      <c r="F13" s="182">
        <v>1</v>
      </c>
      <c r="G13" s="292">
        <v>48000</v>
      </c>
    </row>
    <row r="14" spans="1:8" x14ac:dyDescent="0.25">
      <c r="A14" s="179"/>
      <c r="B14" s="180">
        <v>2</v>
      </c>
      <c r="C14" s="181" t="s">
        <v>6</v>
      </c>
      <c r="D14" s="176"/>
      <c r="E14" s="182" t="s">
        <v>203</v>
      </c>
      <c r="F14" s="182">
        <v>1</v>
      </c>
      <c r="G14" s="292">
        <v>55500</v>
      </c>
    </row>
    <row r="15" spans="1:8" x14ac:dyDescent="0.25">
      <c r="A15" s="179"/>
      <c r="B15" s="180">
        <v>3</v>
      </c>
      <c r="C15" s="181" t="s">
        <v>7</v>
      </c>
      <c r="D15" s="176"/>
      <c r="E15" s="182" t="s">
        <v>203</v>
      </c>
      <c r="F15" s="182">
        <v>1</v>
      </c>
      <c r="G15" s="292">
        <v>60250</v>
      </c>
    </row>
    <row r="16" spans="1:8" x14ac:dyDescent="0.25">
      <c r="A16" s="179"/>
      <c r="B16" s="180">
        <v>4</v>
      </c>
      <c r="C16" s="181" t="s">
        <v>8</v>
      </c>
      <c r="D16" s="176"/>
      <c r="E16" s="182" t="s">
        <v>203</v>
      </c>
      <c r="F16" s="182">
        <v>1</v>
      </c>
      <c r="G16" s="292">
        <v>65250</v>
      </c>
    </row>
    <row r="17" spans="1:7" x14ac:dyDescent="0.25">
      <c r="A17" s="179"/>
      <c r="B17" s="180">
        <v>5</v>
      </c>
      <c r="C17" s="181" t="s">
        <v>9</v>
      </c>
      <c r="D17" s="176"/>
      <c r="E17" s="182" t="s">
        <v>203</v>
      </c>
      <c r="F17" s="182">
        <v>1</v>
      </c>
      <c r="G17" s="292">
        <v>70000</v>
      </c>
    </row>
    <row r="18" spans="1:7" x14ac:dyDescent="0.25">
      <c r="A18" s="179"/>
      <c r="B18" s="180">
        <v>6</v>
      </c>
      <c r="C18" s="181" t="s">
        <v>10</v>
      </c>
      <c r="D18" s="176"/>
      <c r="E18" s="182" t="s">
        <v>203</v>
      </c>
      <c r="F18" s="182">
        <v>1</v>
      </c>
      <c r="G18" s="292">
        <v>75000</v>
      </c>
    </row>
    <row r="19" spans="1:7" x14ac:dyDescent="0.25">
      <c r="A19" s="179"/>
      <c r="B19" s="180">
        <v>7</v>
      </c>
      <c r="C19" s="181" t="s">
        <v>11</v>
      </c>
      <c r="D19" s="176"/>
      <c r="E19" s="182" t="s">
        <v>203</v>
      </c>
      <c r="F19" s="182">
        <v>1</v>
      </c>
      <c r="G19" s="292">
        <v>80000</v>
      </c>
    </row>
    <row r="20" spans="1:7" x14ac:dyDescent="0.25">
      <c r="A20" s="179"/>
      <c r="B20" s="180">
        <v>8</v>
      </c>
      <c r="C20" s="181" t="s">
        <v>12</v>
      </c>
      <c r="D20" s="176"/>
      <c r="E20" s="182" t="s">
        <v>203</v>
      </c>
      <c r="F20" s="182">
        <v>1</v>
      </c>
      <c r="G20" s="292">
        <v>85000</v>
      </c>
    </row>
    <row r="21" spans="1:7" x14ac:dyDescent="0.25">
      <c r="A21" s="179"/>
      <c r="B21" s="180">
        <v>9</v>
      </c>
      <c r="C21" s="181" t="s">
        <v>13</v>
      </c>
      <c r="D21" s="176"/>
      <c r="E21" s="182" t="s">
        <v>203</v>
      </c>
      <c r="F21" s="182">
        <v>1</v>
      </c>
      <c r="G21" s="292">
        <v>90250</v>
      </c>
    </row>
    <row r="22" spans="1:7" x14ac:dyDescent="0.25">
      <c r="A22" s="179"/>
      <c r="B22" s="180">
        <v>10</v>
      </c>
      <c r="C22" s="181" t="s">
        <v>14</v>
      </c>
      <c r="D22" s="176"/>
      <c r="E22" s="182" t="s">
        <v>203</v>
      </c>
      <c r="F22" s="182">
        <v>1</v>
      </c>
      <c r="G22" s="292">
        <v>95500</v>
      </c>
    </row>
    <row r="23" spans="1:7" x14ac:dyDescent="0.25">
      <c r="A23" s="179"/>
      <c r="B23" s="180">
        <v>11</v>
      </c>
      <c r="C23" s="181" t="s">
        <v>15</v>
      </c>
      <c r="D23" s="176"/>
      <c r="E23" s="182" t="s">
        <v>203</v>
      </c>
      <c r="F23" s="182">
        <v>1</v>
      </c>
      <c r="G23" s="292">
        <v>100250</v>
      </c>
    </row>
    <row r="24" spans="1:7" x14ac:dyDescent="0.25">
      <c r="A24" s="179"/>
      <c r="B24" s="180">
        <v>12</v>
      </c>
      <c r="C24" s="181" t="s">
        <v>16</v>
      </c>
      <c r="D24" s="176"/>
      <c r="E24" s="182" t="s">
        <v>203</v>
      </c>
      <c r="F24" s="182">
        <v>1</v>
      </c>
      <c r="G24" s="292">
        <v>105500</v>
      </c>
    </row>
    <row r="25" spans="1:7" x14ac:dyDescent="0.25">
      <c r="A25" s="179"/>
      <c r="B25" s="180">
        <v>13</v>
      </c>
      <c r="C25" s="181" t="s">
        <v>17</v>
      </c>
      <c r="D25" s="176"/>
      <c r="E25" s="182" t="s">
        <v>203</v>
      </c>
      <c r="F25" s="182">
        <v>1</v>
      </c>
      <c r="G25" s="292">
        <v>110000</v>
      </c>
    </row>
    <row r="26" spans="1:7" x14ac:dyDescent="0.25">
      <c r="A26" s="179"/>
      <c r="B26" s="180">
        <v>14</v>
      </c>
      <c r="C26" s="181" t="s">
        <v>18</v>
      </c>
      <c r="D26" s="176"/>
      <c r="E26" s="182" t="s">
        <v>203</v>
      </c>
      <c r="F26" s="182">
        <v>1</v>
      </c>
      <c r="G26" s="292">
        <v>115000</v>
      </c>
    </row>
    <row r="27" spans="1:7" x14ac:dyDescent="0.25">
      <c r="A27" s="179"/>
      <c r="B27" s="180">
        <v>15</v>
      </c>
      <c r="C27" s="181" t="s">
        <v>19</v>
      </c>
      <c r="D27" s="176"/>
      <c r="E27" s="182" t="s">
        <v>203</v>
      </c>
      <c r="F27" s="182">
        <v>1</v>
      </c>
      <c r="G27" s="292">
        <v>118500</v>
      </c>
    </row>
    <row r="28" spans="1:7" x14ac:dyDescent="0.25">
      <c r="A28" s="179"/>
      <c r="B28" s="180">
        <v>16</v>
      </c>
      <c r="C28" s="181" t="s">
        <v>20</v>
      </c>
      <c r="D28" s="176"/>
      <c r="E28" s="182" t="s">
        <v>203</v>
      </c>
      <c r="F28" s="182">
        <v>1</v>
      </c>
      <c r="G28" s="292">
        <v>122500</v>
      </c>
    </row>
    <row r="29" spans="1:7" x14ac:dyDescent="0.25">
      <c r="A29" s="179"/>
      <c r="B29" s="180">
        <v>17</v>
      </c>
      <c r="C29" s="181" t="s">
        <v>21</v>
      </c>
      <c r="D29" s="176"/>
      <c r="E29" s="182" t="s">
        <v>203</v>
      </c>
      <c r="F29" s="182">
        <v>1</v>
      </c>
      <c r="G29" s="292">
        <v>127000</v>
      </c>
    </row>
    <row r="30" spans="1:7" x14ac:dyDescent="0.25">
      <c r="A30" s="179"/>
      <c r="B30" s="180">
        <v>18</v>
      </c>
      <c r="C30" s="181" t="s">
        <v>22</v>
      </c>
      <c r="D30" s="176"/>
      <c r="E30" s="182" t="s">
        <v>203</v>
      </c>
      <c r="F30" s="182">
        <v>1</v>
      </c>
      <c r="G30" s="292">
        <v>132500</v>
      </c>
    </row>
    <row r="31" spans="1:7" x14ac:dyDescent="0.25">
      <c r="A31" s="179"/>
      <c r="B31" s="180">
        <v>19</v>
      </c>
      <c r="C31" s="181" t="s">
        <v>23</v>
      </c>
      <c r="D31" s="176"/>
      <c r="E31" s="182" t="s">
        <v>203</v>
      </c>
      <c r="F31" s="182">
        <v>1</v>
      </c>
      <c r="G31" s="292">
        <v>139500</v>
      </c>
    </row>
    <row r="32" spans="1:7" x14ac:dyDescent="0.25">
      <c r="A32" s="179"/>
      <c r="B32" s="180">
        <v>20</v>
      </c>
      <c r="C32" s="181" t="s">
        <v>24</v>
      </c>
      <c r="D32" s="176"/>
      <c r="E32" s="182" t="s">
        <v>203</v>
      </c>
      <c r="F32" s="182">
        <v>1</v>
      </c>
      <c r="G32" s="292">
        <v>143500</v>
      </c>
    </row>
    <row r="33" spans="1:7" x14ac:dyDescent="0.25">
      <c r="A33" s="179"/>
      <c r="B33" s="180">
        <v>21</v>
      </c>
      <c r="C33" s="181" t="s">
        <v>25</v>
      </c>
      <c r="D33" s="176"/>
      <c r="E33" s="182" t="s">
        <v>203</v>
      </c>
      <c r="F33" s="182">
        <v>1</v>
      </c>
      <c r="G33" s="292">
        <v>147500</v>
      </c>
    </row>
    <row r="34" spans="1:7" x14ac:dyDescent="0.25">
      <c r="A34" s="179"/>
      <c r="B34" s="180">
        <v>22</v>
      </c>
      <c r="C34" s="181" t="s">
        <v>26</v>
      </c>
      <c r="D34" s="176"/>
      <c r="E34" s="182" t="s">
        <v>203</v>
      </c>
      <c r="F34" s="182">
        <v>1</v>
      </c>
      <c r="G34" s="292">
        <v>152000</v>
      </c>
    </row>
    <row r="35" spans="1:7" x14ac:dyDescent="0.25">
      <c r="A35" s="179"/>
      <c r="B35" s="180">
        <v>23</v>
      </c>
      <c r="C35" s="181" t="s">
        <v>27</v>
      </c>
      <c r="D35" s="176"/>
      <c r="E35" s="182" t="s">
        <v>203</v>
      </c>
      <c r="F35" s="182">
        <v>1</v>
      </c>
      <c r="G35" s="292">
        <v>157500</v>
      </c>
    </row>
    <row r="36" spans="1:7" x14ac:dyDescent="0.25">
      <c r="A36" s="179"/>
      <c r="B36" s="180">
        <v>24</v>
      </c>
      <c r="C36" s="181" t="s">
        <v>28</v>
      </c>
      <c r="D36" s="176"/>
      <c r="E36" s="182" t="s">
        <v>203</v>
      </c>
      <c r="F36" s="182">
        <v>1</v>
      </c>
      <c r="G36" s="292">
        <v>164500</v>
      </c>
    </row>
    <row r="37" spans="1:7" x14ac:dyDescent="0.25">
      <c r="A37" s="179"/>
      <c r="B37" s="180">
        <v>25</v>
      </c>
      <c r="C37" s="181" t="s">
        <v>29</v>
      </c>
      <c r="D37" s="176"/>
      <c r="E37" s="182" t="s">
        <v>203</v>
      </c>
      <c r="F37" s="182">
        <v>1</v>
      </c>
      <c r="G37" s="292">
        <v>168500</v>
      </c>
    </row>
    <row r="38" spans="1:7" x14ac:dyDescent="0.25">
      <c r="A38" s="183" t="s">
        <v>30</v>
      </c>
      <c r="B38" s="184" t="s">
        <v>31</v>
      </c>
      <c r="C38" s="185"/>
      <c r="D38" s="186"/>
      <c r="E38" s="187"/>
      <c r="F38" s="187"/>
      <c r="G38" s="292"/>
    </row>
    <row r="39" spans="1:7" x14ac:dyDescent="0.25">
      <c r="A39" s="188"/>
      <c r="B39" s="180">
        <v>1</v>
      </c>
      <c r="C39" s="189" t="s">
        <v>32</v>
      </c>
      <c r="D39" s="176"/>
      <c r="E39" s="182" t="s">
        <v>203</v>
      </c>
      <c r="F39" s="182">
        <v>1</v>
      </c>
      <c r="G39" s="292">
        <v>58000</v>
      </c>
    </row>
    <row r="40" spans="1:7" x14ac:dyDescent="0.25">
      <c r="A40" s="188"/>
      <c r="B40" s="180">
        <v>2</v>
      </c>
      <c r="C40" s="189" t="s">
        <v>33</v>
      </c>
      <c r="D40" s="176"/>
      <c r="E40" s="182" t="s">
        <v>203</v>
      </c>
      <c r="F40" s="182">
        <v>1</v>
      </c>
      <c r="G40" s="292">
        <v>68000</v>
      </c>
    </row>
    <row r="41" spans="1:7" x14ac:dyDescent="0.25">
      <c r="A41" s="188"/>
      <c r="B41" s="180">
        <v>3</v>
      </c>
      <c r="C41" s="189" t="s">
        <v>34</v>
      </c>
      <c r="D41" s="176"/>
      <c r="E41" s="182" t="s">
        <v>203</v>
      </c>
      <c r="F41" s="182">
        <v>1</v>
      </c>
      <c r="G41" s="292">
        <v>75250</v>
      </c>
    </row>
    <row r="42" spans="1:7" x14ac:dyDescent="0.25">
      <c r="A42" s="188"/>
      <c r="B42" s="180">
        <v>4</v>
      </c>
      <c r="C42" s="189" t="s">
        <v>35</v>
      </c>
      <c r="D42" s="176"/>
      <c r="E42" s="182" t="s">
        <v>203</v>
      </c>
      <c r="F42" s="182">
        <v>1</v>
      </c>
      <c r="G42" s="292">
        <v>82750</v>
      </c>
    </row>
    <row r="43" spans="1:7" x14ac:dyDescent="0.25">
      <c r="A43" s="188"/>
      <c r="B43" s="180">
        <v>5</v>
      </c>
      <c r="C43" s="189" t="s">
        <v>36</v>
      </c>
      <c r="D43" s="176"/>
      <c r="E43" s="182" t="s">
        <v>203</v>
      </c>
      <c r="F43" s="182">
        <v>1</v>
      </c>
      <c r="G43" s="292">
        <v>90000</v>
      </c>
    </row>
    <row r="44" spans="1:7" x14ac:dyDescent="0.25">
      <c r="A44" s="188"/>
      <c r="B44" s="180">
        <v>6</v>
      </c>
      <c r="C44" s="189" t="s">
        <v>37</v>
      </c>
      <c r="D44" s="176"/>
      <c r="E44" s="182" t="s">
        <v>203</v>
      </c>
      <c r="F44" s="182">
        <v>1</v>
      </c>
      <c r="G44" s="292">
        <v>97500</v>
      </c>
    </row>
    <row r="45" spans="1:7" x14ac:dyDescent="0.25">
      <c r="A45" s="188"/>
      <c r="B45" s="180">
        <v>7</v>
      </c>
      <c r="C45" s="189" t="s">
        <v>38</v>
      </c>
      <c r="D45" s="176"/>
      <c r="E45" s="182" t="s">
        <v>203</v>
      </c>
      <c r="F45" s="182">
        <v>1</v>
      </c>
      <c r="G45" s="292">
        <v>105000</v>
      </c>
    </row>
    <row r="46" spans="1:7" x14ac:dyDescent="0.25">
      <c r="A46" s="188"/>
      <c r="B46" s="180">
        <v>8</v>
      </c>
      <c r="C46" s="189" t="s">
        <v>39</v>
      </c>
      <c r="D46" s="176"/>
      <c r="E46" s="182" t="s">
        <v>203</v>
      </c>
      <c r="F46" s="182">
        <v>1</v>
      </c>
      <c r="G46" s="292">
        <v>112500</v>
      </c>
    </row>
    <row r="47" spans="1:7" x14ac:dyDescent="0.25">
      <c r="A47" s="188"/>
      <c r="B47" s="180">
        <v>9</v>
      </c>
      <c r="C47" s="189" t="s">
        <v>40</v>
      </c>
      <c r="D47" s="176"/>
      <c r="E47" s="182" t="s">
        <v>203</v>
      </c>
      <c r="F47" s="182">
        <v>1</v>
      </c>
      <c r="G47" s="292">
        <v>120250</v>
      </c>
    </row>
    <row r="48" spans="1:7" x14ac:dyDescent="0.25">
      <c r="A48" s="188"/>
      <c r="B48" s="180">
        <v>10</v>
      </c>
      <c r="C48" s="189" t="s">
        <v>41</v>
      </c>
      <c r="D48" s="176"/>
      <c r="E48" s="182" t="s">
        <v>203</v>
      </c>
      <c r="F48" s="182">
        <v>1</v>
      </c>
      <c r="G48" s="292">
        <v>128000</v>
      </c>
    </row>
    <row r="49" spans="1:7" x14ac:dyDescent="0.25">
      <c r="A49" s="188"/>
      <c r="B49" s="180">
        <v>11</v>
      </c>
      <c r="C49" s="189" t="s">
        <v>42</v>
      </c>
      <c r="D49" s="176"/>
      <c r="E49" s="182" t="s">
        <v>203</v>
      </c>
      <c r="F49" s="182">
        <v>1</v>
      </c>
      <c r="G49" s="292">
        <v>135250</v>
      </c>
    </row>
    <row r="50" spans="1:7" x14ac:dyDescent="0.25">
      <c r="A50" s="188"/>
      <c r="B50" s="180">
        <v>12</v>
      </c>
      <c r="C50" s="189" t="s">
        <v>43</v>
      </c>
      <c r="D50" s="176"/>
      <c r="E50" s="182" t="s">
        <v>203</v>
      </c>
      <c r="F50" s="182">
        <v>1</v>
      </c>
      <c r="G50" s="292">
        <v>143000</v>
      </c>
    </row>
    <row r="51" spans="1:7" x14ac:dyDescent="0.25">
      <c r="A51" s="188"/>
      <c r="B51" s="180">
        <v>13</v>
      </c>
      <c r="C51" s="189" t="s">
        <v>44</v>
      </c>
      <c r="D51" s="176"/>
      <c r="E51" s="182" t="s">
        <v>203</v>
      </c>
      <c r="F51" s="182">
        <v>1</v>
      </c>
      <c r="G51" s="292">
        <v>150000</v>
      </c>
    </row>
    <row r="52" spans="1:7" x14ac:dyDescent="0.25">
      <c r="A52" s="188"/>
      <c r="B52" s="180">
        <v>14</v>
      </c>
      <c r="C52" s="189" t="s">
        <v>45</v>
      </c>
      <c r="D52" s="176"/>
      <c r="E52" s="182" t="s">
        <v>203</v>
      </c>
      <c r="F52" s="182">
        <v>1</v>
      </c>
      <c r="G52" s="292">
        <v>157500</v>
      </c>
    </row>
    <row r="53" spans="1:7" x14ac:dyDescent="0.25">
      <c r="A53" s="188"/>
      <c r="B53" s="180">
        <v>15</v>
      </c>
      <c r="C53" s="189" t="s">
        <v>46</v>
      </c>
      <c r="D53" s="176"/>
      <c r="E53" s="182" t="s">
        <v>203</v>
      </c>
      <c r="F53" s="182">
        <v>1</v>
      </c>
      <c r="G53" s="292">
        <v>163500</v>
      </c>
    </row>
    <row r="54" spans="1:7" x14ac:dyDescent="0.25">
      <c r="A54" s="188"/>
      <c r="B54" s="180">
        <v>16</v>
      </c>
      <c r="C54" s="189" t="s">
        <v>47</v>
      </c>
      <c r="D54" s="176"/>
      <c r="E54" s="182" t="s">
        <v>203</v>
      </c>
      <c r="F54" s="182">
        <v>1</v>
      </c>
      <c r="G54" s="292">
        <v>170000</v>
      </c>
    </row>
    <row r="55" spans="1:7" x14ac:dyDescent="0.25">
      <c r="A55" s="188"/>
      <c r="B55" s="180">
        <v>17</v>
      </c>
      <c r="C55" s="189" t="s">
        <v>48</v>
      </c>
      <c r="D55" s="176"/>
      <c r="E55" s="182" t="s">
        <v>203</v>
      </c>
      <c r="F55" s="182">
        <v>1</v>
      </c>
      <c r="G55" s="292">
        <v>177000</v>
      </c>
    </row>
    <row r="56" spans="1:7" x14ac:dyDescent="0.25">
      <c r="A56" s="188"/>
      <c r="B56" s="180">
        <v>18</v>
      </c>
      <c r="C56" s="189" t="s">
        <v>49</v>
      </c>
      <c r="D56" s="176"/>
      <c r="E56" s="182" t="s">
        <v>203</v>
      </c>
      <c r="F56" s="182">
        <v>1</v>
      </c>
      <c r="G56" s="292">
        <v>185000</v>
      </c>
    </row>
    <row r="57" spans="1:7" x14ac:dyDescent="0.25">
      <c r="A57" s="188"/>
      <c r="B57" s="180">
        <v>19</v>
      </c>
      <c r="C57" s="189" t="s">
        <v>50</v>
      </c>
      <c r="D57" s="176"/>
      <c r="E57" s="182" t="s">
        <v>203</v>
      </c>
      <c r="F57" s="182">
        <v>1</v>
      </c>
      <c r="G57" s="292">
        <v>194500</v>
      </c>
    </row>
    <row r="58" spans="1:7" x14ac:dyDescent="0.25">
      <c r="A58" s="188"/>
      <c r="B58" s="180">
        <v>20</v>
      </c>
      <c r="C58" s="189" t="s">
        <v>51</v>
      </c>
      <c r="D58" s="176"/>
      <c r="E58" s="182" t="s">
        <v>203</v>
      </c>
      <c r="F58" s="182">
        <v>1</v>
      </c>
      <c r="G58" s="292">
        <v>201000</v>
      </c>
    </row>
    <row r="59" spans="1:7" x14ac:dyDescent="0.25">
      <c r="A59" s="188"/>
      <c r="B59" s="180">
        <v>21</v>
      </c>
      <c r="C59" s="189" t="s">
        <v>52</v>
      </c>
      <c r="D59" s="176"/>
      <c r="E59" s="182" t="s">
        <v>203</v>
      </c>
      <c r="F59" s="182">
        <v>1</v>
      </c>
      <c r="G59" s="292">
        <v>207500</v>
      </c>
    </row>
    <row r="60" spans="1:7" x14ac:dyDescent="0.25">
      <c r="A60" s="188"/>
      <c r="B60" s="180">
        <v>22</v>
      </c>
      <c r="C60" s="189" t="s">
        <v>53</v>
      </c>
      <c r="D60" s="176"/>
      <c r="E60" s="182" t="s">
        <v>203</v>
      </c>
      <c r="F60" s="182">
        <v>1</v>
      </c>
      <c r="G60" s="292">
        <v>214500</v>
      </c>
    </row>
    <row r="61" spans="1:7" x14ac:dyDescent="0.25">
      <c r="A61" s="188"/>
      <c r="B61" s="180">
        <v>23</v>
      </c>
      <c r="C61" s="189" t="s">
        <v>54</v>
      </c>
      <c r="D61" s="176"/>
      <c r="E61" s="182" t="s">
        <v>203</v>
      </c>
      <c r="F61" s="182">
        <v>1</v>
      </c>
      <c r="G61" s="292">
        <v>222500</v>
      </c>
    </row>
    <row r="62" spans="1:7" x14ac:dyDescent="0.25">
      <c r="A62" s="188"/>
      <c r="B62" s="180">
        <v>24</v>
      </c>
      <c r="C62" s="189" t="s">
        <v>55</v>
      </c>
      <c r="D62" s="176"/>
      <c r="E62" s="182" t="s">
        <v>203</v>
      </c>
      <c r="F62" s="182">
        <v>1</v>
      </c>
      <c r="G62" s="292">
        <v>232000</v>
      </c>
    </row>
    <row r="63" spans="1:7" x14ac:dyDescent="0.25">
      <c r="A63" s="188"/>
      <c r="B63" s="180">
        <v>25</v>
      </c>
      <c r="C63" s="189" t="s">
        <v>56</v>
      </c>
      <c r="D63" s="176"/>
      <c r="E63" s="182" t="s">
        <v>203</v>
      </c>
      <c r="F63" s="182">
        <v>1</v>
      </c>
      <c r="G63" s="292">
        <v>238500</v>
      </c>
    </row>
    <row r="64" spans="1:7" x14ac:dyDescent="0.25">
      <c r="A64" s="183" t="s">
        <v>57</v>
      </c>
      <c r="B64" s="184" t="s">
        <v>717</v>
      </c>
      <c r="C64" s="185"/>
      <c r="D64" s="186"/>
      <c r="E64" s="187"/>
      <c r="F64" s="187"/>
      <c r="G64" s="292"/>
    </row>
    <row r="65" spans="1:7" x14ac:dyDescent="0.25">
      <c r="A65" s="188"/>
      <c r="B65" s="180">
        <v>1</v>
      </c>
      <c r="C65" s="189" t="s">
        <v>58</v>
      </c>
      <c r="D65" s="176"/>
      <c r="E65" s="182" t="s">
        <v>203</v>
      </c>
      <c r="F65" s="182">
        <v>1</v>
      </c>
      <c r="G65" s="292">
        <v>77000</v>
      </c>
    </row>
    <row r="66" spans="1:7" x14ac:dyDescent="0.25">
      <c r="A66" s="188"/>
      <c r="B66" s="180">
        <v>2</v>
      </c>
      <c r="C66" s="189" t="s">
        <v>59</v>
      </c>
      <c r="D66" s="176"/>
      <c r="E66" s="182" t="s">
        <v>203</v>
      </c>
      <c r="F66" s="182">
        <v>1</v>
      </c>
      <c r="G66" s="292">
        <v>88000</v>
      </c>
    </row>
    <row r="67" spans="1:7" x14ac:dyDescent="0.25">
      <c r="A67" s="188"/>
      <c r="B67" s="180">
        <v>3</v>
      </c>
      <c r="C67" s="189" t="s">
        <v>60</v>
      </c>
      <c r="D67" s="176"/>
      <c r="E67" s="182" t="s">
        <v>203</v>
      </c>
      <c r="F67" s="182">
        <v>1</v>
      </c>
      <c r="G67" s="292">
        <v>96250</v>
      </c>
    </row>
    <row r="68" spans="1:7" x14ac:dyDescent="0.25">
      <c r="A68" s="188"/>
      <c r="B68" s="180">
        <v>4</v>
      </c>
      <c r="C68" s="189" t="s">
        <v>61</v>
      </c>
      <c r="D68" s="176"/>
      <c r="E68" s="182" t="s">
        <v>203</v>
      </c>
      <c r="F68" s="182">
        <v>1</v>
      </c>
      <c r="G68" s="292">
        <v>104750</v>
      </c>
    </row>
    <row r="69" spans="1:7" x14ac:dyDescent="0.25">
      <c r="A69" s="188"/>
      <c r="B69" s="180">
        <v>5</v>
      </c>
      <c r="C69" s="189" t="s">
        <v>62</v>
      </c>
      <c r="D69" s="176"/>
      <c r="E69" s="182" t="s">
        <v>203</v>
      </c>
      <c r="F69" s="182">
        <v>1</v>
      </c>
      <c r="G69" s="292">
        <v>113000</v>
      </c>
    </row>
    <row r="70" spans="1:7" x14ac:dyDescent="0.25">
      <c r="A70" s="188"/>
      <c r="B70" s="180">
        <v>6</v>
      </c>
      <c r="C70" s="189" t="s">
        <v>63</v>
      </c>
      <c r="D70" s="176"/>
      <c r="E70" s="182" t="s">
        <v>203</v>
      </c>
      <c r="F70" s="182">
        <v>1</v>
      </c>
      <c r="G70" s="292">
        <v>121500</v>
      </c>
    </row>
    <row r="71" spans="1:7" x14ac:dyDescent="0.25">
      <c r="A71" s="188"/>
      <c r="B71" s="180">
        <v>7</v>
      </c>
      <c r="C71" s="189" t="s">
        <v>64</v>
      </c>
      <c r="D71" s="176"/>
      <c r="E71" s="182" t="s">
        <v>203</v>
      </c>
      <c r="F71" s="182">
        <v>1</v>
      </c>
      <c r="G71" s="292">
        <v>130000</v>
      </c>
    </row>
    <row r="72" spans="1:7" x14ac:dyDescent="0.25">
      <c r="A72" s="188"/>
      <c r="B72" s="180">
        <v>8</v>
      </c>
      <c r="C72" s="189" t="s">
        <v>65</v>
      </c>
      <c r="D72" s="176"/>
      <c r="E72" s="182" t="s">
        <v>203</v>
      </c>
      <c r="F72" s="182">
        <v>1</v>
      </c>
      <c r="G72" s="292">
        <v>138500</v>
      </c>
    </row>
    <row r="73" spans="1:7" x14ac:dyDescent="0.25">
      <c r="A73" s="188"/>
      <c r="B73" s="180">
        <v>9</v>
      </c>
      <c r="C73" s="189" t="s">
        <v>66</v>
      </c>
      <c r="D73" s="176"/>
      <c r="E73" s="182" t="s">
        <v>203</v>
      </c>
      <c r="F73" s="182">
        <v>1</v>
      </c>
      <c r="G73" s="292">
        <v>147250</v>
      </c>
    </row>
    <row r="74" spans="1:7" x14ac:dyDescent="0.25">
      <c r="A74" s="188"/>
      <c r="B74" s="180">
        <v>10</v>
      </c>
      <c r="C74" s="189" t="s">
        <v>67</v>
      </c>
      <c r="D74" s="176"/>
      <c r="E74" s="182" t="s">
        <v>203</v>
      </c>
      <c r="F74" s="182">
        <v>1</v>
      </c>
      <c r="G74" s="292">
        <v>156000</v>
      </c>
    </row>
    <row r="75" spans="1:7" x14ac:dyDescent="0.25">
      <c r="A75" s="188"/>
      <c r="B75" s="180">
        <v>11</v>
      </c>
      <c r="C75" s="189" t="s">
        <v>68</v>
      </c>
      <c r="D75" s="176"/>
      <c r="E75" s="182" t="s">
        <v>203</v>
      </c>
      <c r="F75" s="182">
        <v>1</v>
      </c>
      <c r="G75" s="292">
        <v>164250</v>
      </c>
    </row>
    <row r="76" spans="1:7" x14ac:dyDescent="0.25">
      <c r="A76" s="188"/>
      <c r="B76" s="180">
        <v>12</v>
      </c>
      <c r="C76" s="189" t="s">
        <v>69</v>
      </c>
      <c r="D76" s="176"/>
      <c r="E76" s="182" t="s">
        <v>203</v>
      </c>
      <c r="F76" s="182">
        <v>1</v>
      </c>
      <c r="G76" s="292">
        <v>173000</v>
      </c>
    </row>
    <row r="77" spans="1:7" x14ac:dyDescent="0.25">
      <c r="A77" s="188"/>
      <c r="B77" s="180">
        <v>13</v>
      </c>
      <c r="C77" s="189" t="s">
        <v>70</v>
      </c>
      <c r="D77" s="176"/>
      <c r="E77" s="182" t="s">
        <v>203</v>
      </c>
      <c r="F77" s="182">
        <v>1</v>
      </c>
      <c r="G77" s="292">
        <v>181000</v>
      </c>
    </row>
    <row r="78" spans="1:7" x14ac:dyDescent="0.25">
      <c r="A78" s="188"/>
      <c r="B78" s="180">
        <v>14</v>
      </c>
      <c r="C78" s="189" t="s">
        <v>71</v>
      </c>
      <c r="D78" s="176"/>
      <c r="E78" s="182" t="s">
        <v>203</v>
      </c>
      <c r="F78" s="182">
        <v>1</v>
      </c>
      <c r="G78" s="292">
        <v>189500</v>
      </c>
    </row>
    <row r="79" spans="1:7" x14ac:dyDescent="0.25">
      <c r="A79" s="188"/>
      <c r="B79" s="180">
        <v>15</v>
      </c>
      <c r="C79" s="189" t="s">
        <v>72</v>
      </c>
      <c r="D79" s="176"/>
      <c r="E79" s="182" t="s">
        <v>203</v>
      </c>
      <c r="F79" s="182">
        <v>1</v>
      </c>
      <c r="G79" s="292">
        <v>196500</v>
      </c>
    </row>
    <row r="80" spans="1:7" x14ac:dyDescent="0.25">
      <c r="A80" s="188"/>
      <c r="B80" s="180">
        <v>16</v>
      </c>
      <c r="C80" s="189" t="s">
        <v>73</v>
      </c>
      <c r="D80" s="176"/>
      <c r="E80" s="182" t="s">
        <v>203</v>
      </c>
      <c r="F80" s="182">
        <v>1</v>
      </c>
      <c r="G80" s="292">
        <v>204000</v>
      </c>
    </row>
    <row r="81" spans="1:7" x14ac:dyDescent="0.25">
      <c r="A81" s="188"/>
      <c r="B81" s="180">
        <v>17</v>
      </c>
      <c r="C81" s="189" t="s">
        <v>74</v>
      </c>
      <c r="D81" s="176"/>
      <c r="E81" s="182" t="s">
        <v>203</v>
      </c>
      <c r="F81" s="182">
        <v>1</v>
      </c>
      <c r="G81" s="292">
        <v>212000</v>
      </c>
    </row>
    <row r="82" spans="1:7" x14ac:dyDescent="0.25">
      <c r="A82" s="188"/>
      <c r="B82" s="180">
        <v>18</v>
      </c>
      <c r="C82" s="189" t="s">
        <v>75</v>
      </c>
      <c r="D82" s="176"/>
      <c r="E82" s="182" t="s">
        <v>203</v>
      </c>
      <c r="F82" s="182">
        <v>1</v>
      </c>
      <c r="G82" s="292">
        <v>221000</v>
      </c>
    </row>
    <row r="83" spans="1:7" x14ac:dyDescent="0.25">
      <c r="A83" s="188"/>
      <c r="B83" s="180">
        <v>19</v>
      </c>
      <c r="C83" s="189" t="s">
        <v>76</v>
      </c>
      <c r="D83" s="176"/>
      <c r="E83" s="182" t="s">
        <v>203</v>
      </c>
      <c r="F83" s="182">
        <v>1</v>
      </c>
      <c r="G83" s="292">
        <v>231500</v>
      </c>
    </row>
    <row r="84" spans="1:7" x14ac:dyDescent="0.25">
      <c r="A84" s="188"/>
      <c r="B84" s="180">
        <v>20</v>
      </c>
      <c r="C84" s="189" t="s">
        <v>77</v>
      </c>
      <c r="D84" s="176"/>
      <c r="E84" s="182" t="s">
        <v>203</v>
      </c>
      <c r="F84" s="182">
        <v>1</v>
      </c>
      <c r="G84" s="292">
        <v>239000</v>
      </c>
    </row>
    <row r="85" spans="1:7" x14ac:dyDescent="0.25">
      <c r="A85" s="188"/>
      <c r="B85" s="180">
        <v>21</v>
      </c>
      <c r="C85" s="189" t="s">
        <v>78</v>
      </c>
      <c r="D85" s="176"/>
      <c r="E85" s="182" t="s">
        <v>203</v>
      </c>
      <c r="F85" s="182">
        <v>1</v>
      </c>
      <c r="G85" s="292">
        <v>246500</v>
      </c>
    </row>
    <row r="86" spans="1:7" x14ac:dyDescent="0.25">
      <c r="A86" s="188"/>
      <c r="B86" s="180">
        <v>22</v>
      </c>
      <c r="C86" s="189" t="s">
        <v>79</v>
      </c>
      <c r="D86" s="176"/>
      <c r="E86" s="182" t="s">
        <v>203</v>
      </c>
      <c r="F86" s="182">
        <v>1</v>
      </c>
      <c r="G86" s="292">
        <v>254500</v>
      </c>
    </row>
    <row r="87" spans="1:7" x14ac:dyDescent="0.25">
      <c r="A87" s="188"/>
      <c r="B87" s="180">
        <v>23</v>
      </c>
      <c r="C87" s="189" t="s">
        <v>80</v>
      </c>
      <c r="D87" s="176"/>
      <c r="E87" s="182" t="s">
        <v>203</v>
      </c>
      <c r="F87" s="182">
        <v>1</v>
      </c>
      <c r="G87" s="292">
        <v>263500</v>
      </c>
    </row>
    <row r="88" spans="1:7" x14ac:dyDescent="0.25">
      <c r="A88" s="188"/>
      <c r="B88" s="180">
        <v>24</v>
      </c>
      <c r="C88" s="189" t="s">
        <v>81</v>
      </c>
      <c r="D88" s="176"/>
      <c r="E88" s="182" t="s">
        <v>203</v>
      </c>
      <c r="F88" s="182">
        <v>1</v>
      </c>
      <c r="G88" s="292">
        <v>274000</v>
      </c>
    </row>
    <row r="89" spans="1:7" x14ac:dyDescent="0.25">
      <c r="A89" s="188"/>
      <c r="B89" s="180">
        <v>25</v>
      </c>
      <c r="C89" s="189" t="s">
        <v>82</v>
      </c>
      <c r="D89" s="176"/>
      <c r="E89" s="182" t="s">
        <v>203</v>
      </c>
      <c r="F89" s="182">
        <v>1</v>
      </c>
      <c r="G89" s="292">
        <v>281500</v>
      </c>
    </row>
    <row r="90" spans="1:7" x14ac:dyDescent="0.25">
      <c r="A90" s="183" t="s">
        <v>83</v>
      </c>
      <c r="B90" s="184" t="s">
        <v>84</v>
      </c>
      <c r="C90" s="185"/>
      <c r="D90" s="186"/>
      <c r="E90" s="187"/>
      <c r="F90" s="187"/>
      <c r="G90" s="292"/>
    </row>
    <row r="91" spans="1:7" x14ac:dyDescent="0.25">
      <c r="A91" s="188"/>
      <c r="B91" s="180">
        <v>1</v>
      </c>
      <c r="C91" s="189" t="s">
        <v>85</v>
      </c>
      <c r="D91" s="176"/>
      <c r="E91" s="182" t="s">
        <v>203</v>
      </c>
      <c r="F91" s="182">
        <v>1</v>
      </c>
      <c r="G91" s="292">
        <v>96000</v>
      </c>
    </row>
    <row r="92" spans="1:7" x14ac:dyDescent="0.25">
      <c r="A92" s="188"/>
      <c r="B92" s="180">
        <v>2</v>
      </c>
      <c r="C92" s="189" t="s">
        <v>86</v>
      </c>
      <c r="D92" s="176"/>
      <c r="E92" s="182" t="s">
        <v>203</v>
      </c>
      <c r="F92" s="182">
        <v>1</v>
      </c>
      <c r="G92" s="292">
        <v>108000</v>
      </c>
    </row>
    <row r="93" spans="1:7" x14ac:dyDescent="0.25">
      <c r="A93" s="188"/>
      <c r="B93" s="180">
        <v>3</v>
      </c>
      <c r="C93" s="189" t="s">
        <v>87</v>
      </c>
      <c r="D93" s="176"/>
      <c r="E93" s="182" t="s">
        <v>203</v>
      </c>
      <c r="F93" s="182">
        <v>1</v>
      </c>
      <c r="G93" s="292">
        <v>117250</v>
      </c>
    </row>
    <row r="94" spans="1:7" x14ac:dyDescent="0.25">
      <c r="A94" s="188"/>
      <c r="B94" s="180">
        <v>4</v>
      </c>
      <c r="C94" s="189" t="s">
        <v>88</v>
      </c>
      <c r="D94" s="176"/>
      <c r="E94" s="182" t="s">
        <v>203</v>
      </c>
      <c r="F94" s="182">
        <v>1</v>
      </c>
      <c r="G94" s="292">
        <v>126750</v>
      </c>
    </row>
    <row r="95" spans="1:7" x14ac:dyDescent="0.25">
      <c r="A95" s="188"/>
      <c r="B95" s="180">
        <v>5</v>
      </c>
      <c r="C95" s="189" t="s">
        <v>89</v>
      </c>
      <c r="D95" s="176"/>
      <c r="E95" s="182" t="s">
        <v>203</v>
      </c>
      <c r="F95" s="182">
        <v>1</v>
      </c>
      <c r="G95" s="292">
        <v>136000</v>
      </c>
    </row>
    <row r="96" spans="1:7" x14ac:dyDescent="0.25">
      <c r="A96" s="188"/>
      <c r="B96" s="180">
        <v>6</v>
      </c>
      <c r="C96" s="189" t="s">
        <v>90</v>
      </c>
      <c r="D96" s="176"/>
      <c r="E96" s="182" t="s">
        <v>203</v>
      </c>
      <c r="F96" s="182">
        <v>1</v>
      </c>
      <c r="G96" s="292">
        <v>145500</v>
      </c>
    </row>
    <row r="97" spans="1:7" x14ac:dyDescent="0.25">
      <c r="A97" s="188"/>
      <c r="B97" s="180">
        <v>7</v>
      </c>
      <c r="C97" s="189" t="s">
        <v>91</v>
      </c>
      <c r="D97" s="176"/>
      <c r="E97" s="182" t="s">
        <v>203</v>
      </c>
      <c r="F97" s="182">
        <v>1</v>
      </c>
      <c r="G97" s="292">
        <v>155000</v>
      </c>
    </row>
    <row r="98" spans="1:7" x14ac:dyDescent="0.25">
      <c r="A98" s="188"/>
      <c r="B98" s="180">
        <v>8</v>
      </c>
      <c r="C98" s="189" t="s">
        <v>92</v>
      </c>
      <c r="D98" s="176"/>
      <c r="E98" s="182" t="s">
        <v>203</v>
      </c>
      <c r="F98" s="182">
        <v>1</v>
      </c>
      <c r="G98" s="292">
        <v>164500</v>
      </c>
    </row>
    <row r="99" spans="1:7" x14ac:dyDescent="0.25">
      <c r="A99" s="188"/>
      <c r="B99" s="180">
        <v>9</v>
      </c>
      <c r="C99" s="189" t="s">
        <v>93</v>
      </c>
      <c r="D99" s="176"/>
      <c r="E99" s="182" t="s">
        <v>203</v>
      </c>
      <c r="F99" s="182">
        <v>1</v>
      </c>
      <c r="G99" s="292">
        <v>174250</v>
      </c>
    </row>
    <row r="100" spans="1:7" x14ac:dyDescent="0.25">
      <c r="A100" s="188"/>
      <c r="B100" s="180">
        <v>10</v>
      </c>
      <c r="C100" s="189" t="s">
        <v>94</v>
      </c>
      <c r="D100" s="176"/>
      <c r="E100" s="182" t="s">
        <v>203</v>
      </c>
      <c r="F100" s="182">
        <v>1</v>
      </c>
      <c r="G100" s="292">
        <v>184000</v>
      </c>
    </row>
    <row r="101" spans="1:7" x14ac:dyDescent="0.25">
      <c r="A101" s="188"/>
      <c r="B101" s="180">
        <v>11</v>
      </c>
      <c r="C101" s="189" t="s">
        <v>95</v>
      </c>
      <c r="D101" s="176"/>
      <c r="E101" s="182" t="s">
        <v>203</v>
      </c>
      <c r="F101" s="182">
        <v>1</v>
      </c>
      <c r="G101" s="292">
        <v>193250</v>
      </c>
    </row>
    <row r="102" spans="1:7" x14ac:dyDescent="0.25">
      <c r="A102" s="188"/>
      <c r="B102" s="180">
        <v>12</v>
      </c>
      <c r="C102" s="189" t="s">
        <v>96</v>
      </c>
      <c r="D102" s="176"/>
      <c r="E102" s="182" t="s">
        <v>203</v>
      </c>
      <c r="F102" s="182">
        <v>1</v>
      </c>
      <c r="G102" s="292">
        <v>203000</v>
      </c>
    </row>
    <row r="103" spans="1:7" x14ac:dyDescent="0.25">
      <c r="A103" s="188"/>
      <c r="B103" s="180">
        <v>13</v>
      </c>
      <c r="C103" s="189" t="s">
        <v>97</v>
      </c>
      <c r="D103" s="176"/>
      <c r="E103" s="182" t="s">
        <v>203</v>
      </c>
      <c r="F103" s="182">
        <v>1</v>
      </c>
      <c r="G103" s="292">
        <v>212000</v>
      </c>
    </row>
    <row r="104" spans="1:7" x14ac:dyDescent="0.25">
      <c r="A104" s="188"/>
      <c r="B104" s="180">
        <v>14</v>
      </c>
      <c r="C104" s="189" t="s">
        <v>98</v>
      </c>
      <c r="D104" s="176"/>
      <c r="E104" s="182" t="s">
        <v>203</v>
      </c>
      <c r="F104" s="182">
        <v>1</v>
      </c>
      <c r="G104" s="292">
        <v>221500</v>
      </c>
    </row>
    <row r="105" spans="1:7" x14ac:dyDescent="0.25">
      <c r="A105" s="188"/>
      <c r="B105" s="180">
        <v>15</v>
      </c>
      <c r="C105" s="189" t="s">
        <v>99</v>
      </c>
      <c r="D105" s="176"/>
      <c r="E105" s="182" t="s">
        <v>203</v>
      </c>
      <c r="F105" s="182">
        <v>1</v>
      </c>
      <c r="G105" s="292">
        <v>229500</v>
      </c>
    </row>
    <row r="106" spans="1:7" x14ac:dyDescent="0.25">
      <c r="A106" s="188"/>
      <c r="B106" s="180">
        <v>16</v>
      </c>
      <c r="C106" s="189" t="s">
        <v>100</v>
      </c>
      <c r="D106" s="176"/>
      <c r="E106" s="182" t="s">
        <v>203</v>
      </c>
      <c r="F106" s="182">
        <v>1</v>
      </c>
      <c r="G106" s="292">
        <v>238000</v>
      </c>
    </row>
    <row r="107" spans="1:7" x14ac:dyDescent="0.25">
      <c r="A107" s="188"/>
      <c r="B107" s="180">
        <v>17</v>
      </c>
      <c r="C107" s="189" t="s">
        <v>101</v>
      </c>
      <c r="D107" s="176"/>
      <c r="E107" s="182" t="s">
        <v>203</v>
      </c>
      <c r="F107" s="182">
        <v>1</v>
      </c>
      <c r="G107" s="292">
        <v>247000</v>
      </c>
    </row>
    <row r="108" spans="1:7" x14ac:dyDescent="0.25">
      <c r="A108" s="188"/>
      <c r="B108" s="180">
        <v>18</v>
      </c>
      <c r="C108" s="189" t="s">
        <v>102</v>
      </c>
      <c r="D108" s="176"/>
      <c r="E108" s="182" t="s">
        <v>203</v>
      </c>
      <c r="F108" s="182">
        <v>1</v>
      </c>
      <c r="G108" s="292">
        <v>257000</v>
      </c>
    </row>
    <row r="109" spans="1:7" x14ac:dyDescent="0.25">
      <c r="A109" s="188"/>
      <c r="B109" s="180">
        <v>19</v>
      </c>
      <c r="C109" s="189" t="s">
        <v>103</v>
      </c>
      <c r="D109" s="176"/>
      <c r="E109" s="182" t="s">
        <v>203</v>
      </c>
      <c r="F109" s="182">
        <v>1</v>
      </c>
      <c r="G109" s="292">
        <v>268500</v>
      </c>
    </row>
    <row r="110" spans="1:7" x14ac:dyDescent="0.25">
      <c r="A110" s="188"/>
      <c r="B110" s="180">
        <v>20</v>
      </c>
      <c r="C110" s="189" t="s">
        <v>104</v>
      </c>
      <c r="D110" s="176"/>
      <c r="E110" s="182" t="s">
        <v>203</v>
      </c>
      <c r="F110" s="182">
        <v>1</v>
      </c>
      <c r="G110" s="292">
        <v>277000</v>
      </c>
    </row>
    <row r="111" spans="1:7" x14ac:dyDescent="0.25">
      <c r="A111" s="188"/>
      <c r="B111" s="180">
        <v>21</v>
      </c>
      <c r="C111" s="189" t="s">
        <v>105</v>
      </c>
      <c r="D111" s="176"/>
      <c r="E111" s="182" t="s">
        <v>203</v>
      </c>
      <c r="F111" s="182">
        <v>1</v>
      </c>
      <c r="G111" s="292">
        <v>285500</v>
      </c>
    </row>
    <row r="112" spans="1:7" x14ac:dyDescent="0.25">
      <c r="A112" s="188"/>
      <c r="B112" s="180">
        <v>22</v>
      </c>
      <c r="C112" s="189" t="s">
        <v>106</v>
      </c>
      <c r="D112" s="176"/>
      <c r="E112" s="182" t="s">
        <v>203</v>
      </c>
      <c r="F112" s="182">
        <v>1</v>
      </c>
      <c r="G112" s="292">
        <v>294500</v>
      </c>
    </row>
    <row r="113" spans="1:7" x14ac:dyDescent="0.25">
      <c r="A113" s="188"/>
      <c r="B113" s="180">
        <v>23</v>
      </c>
      <c r="C113" s="189" t="s">
        <v>107</v>
      </c>
      <c r="D113" s="176"/>
      <c r="E113" s="182" t="s">
        <v>203</v>
      </c>
      <c r="F113" s="182">
        <v>1</v>
      </c>
      <c r="G113" s="292">
        <v>304500</v>
      </c>
    </row>
    <row r="114" spans="1:7" x14ac:dyDescent="0.25">
      <c r="A114" s="188"/>
      <c r="B114" s="180">
        <v>24</v>
      </c>
      <c r="C114" s="189" t="s">
        <v>108</v>
      </c>
      <c r="D114" s="176"/>
      <c r="E114" s="182" t="s">
        <v>203</v>
      </c>
      <c r="F114" s="182">
        <v>1</v>
      </c>
      <c r="G114" s="292">
        <v>316000</v>
      </c>
    </row>
    <row r="115" spans="1:7" x14ac:dyDescent="0.25">
      <c r="A115" s="188"/>
      <c r="B115" s="180">
        <v>25</v>
      </c>
      <c r="C115" s="189" t="s">
        <v>109</v>
      </c>
      <c r="D115" s="176"/>
      <c r="E115" s="182" t="s">
        <v>203</v>
      </c>
      <c r="F115" s="182">
        <v>1</v>
      </c>
      <c r="G115" s="292">
        <v>324500</v>
      </c>
    </row>
    <row r="116" spans="1:7" x14ac:dyDescent="0.25">
      <c r="A116" s="183" t="s">
        <v>110</v>
      </c>
      <c r="B116" s="184" t="s">
        <v>111</v>
      </c>
      <c r="C116" s="185"/>
      <c r="D116" s="186"/>
      <c r="E116" s="187"/>
      <c r="F116" s="187"/>
      <c r="G116" s="292"/>
    </row>
    <row r="117" spans="1:7" x14ac:dyDescent="0.25">
      <c r="A117" s="188"/>
      <c r="B117" s="180">
        <v>1</v>
      </c>
      <c r="C117" s="189" t="s">
        <v>112</v>
      </c>
      <c r="D117" s="176"/>
      <c r="E117" s="182" t="s">
        <v>203</v>
      </c>
      <c r="F117" s="182">
        <v>1</v>
      </c>
      <c r="G117" s="292">
        <v>75000</v>
      </c>
    </row>
    <row r="118" spans="1:7" x14ac:dyDescent="0.25">
      <c r="A118" s="188"/>
      <c r="B118" s="180">
        <v>2</v>
      </c>
      <c r="C118" s="189" t="s">
        <v>113</v>
      </c>
      <c r="D118" s="176"/>
      <c r="E118" s="182" t="s">
        <v>203</v>
      </c>
      <c r="F118" s="182">
        <v>1</v>
      </c>
      <c r="G118" s="292">
        <v>85500</v>
      </c>
    </row>
    <row r="119" spans="1:7" x14ac:dyDescent="0.25">
      <c r="A119" s="188"/>
      <c r="B119" s="180">
        <v>3</v>
      </c>
      <c r="C119" s="189" t="s">
        <v>114</v>
      </c>
      <c r="D119" s="176"/>
      <c r="E119" s="182" t="s">
        <v>203</v>
      </c>
      <c r="F119" s="182">
        <v>1</v>
      </c>
      <c r="G119" s="292">
        <v>93250</v>
      </c>
    </row>
    <row r="120" spans="1:7" x14ac:dyDescent="0.25">
      <c r="A120" s="188"/>
      <c r="B120" s="180">
        <v>4</v>
      </c>
      <c r="C120" s="189" t="s">
        <v>115</v>
      </c>
      <c r="D120" s="176"/>
      <c r="E120" s="182" t="s">
        <v>203</v>
      </c>
      <c r="F120" s="182">
        <v>1</v>
      </c>
      <c r="G120" s="292">
        <v>101250</v>
      </c>
    </row>
    <row r="121" spans="1:7" x14ac:dyDescent="0.25">
      <c r="A121" s="188"/>
      <c r="B121" s="180">
        <v>5</v>
      </c>
      <c r="C121" s="189" t="s">
        <v>116</v>
      </c>
      <c r="D121" s="176"/>
      <c r="E121" s="182" t="s">
        <v>203</v>
      </c>
      <c r="F121" s="182">
        <v>1</v>
      </c>
      <c r="G121" s="292">
        <v>109000</v>
      </c>
    </row>
    <row r="122" spans="1:7" x14ac:dyDescent="0.25">
      <c r="A122" s="188"/>
      <c r="B122" s="180">
        <v>6</v>
      </c>
      <c r="C122" s="189" t="s">
        <v>117</v>
      </c>
      <c r="D122" s="176"/>
      <c r="E122" s="182" t="s">
        <v>203</v>
      </c>
      <c r="F122" s="182">
        <v>1</v>
      </c>
      <c r="G122" s="292">
        <v>117000</v>
      </c>
    </row>
    <row r="123" spans="1:7" x14ac:dyDescent="0.25">
      <c r="A123" s="188"/>
      <c r="B123" s="180">
        <v>7</v>
      </c>
      <c r="C123" s="189" t="s">
        <v>118</v>
      </c>
      <c r="D123" s="176"/>
      <c r="E123" s="182" t="s">
        <v>203</v>
      </c>
      <c r="F123" s="182">
        <v>1</v>
      </c>
      <c r="G123" s="292">
        <v>125000</v>
      </c>
    </row>
    <row r="124" spans="1:7" x14ac:dyDescent="0.25">
      <c r="A124" s="188"/>
      <c r="B124" s="180">
        <v>8</v>
      </c>
      <c r="C124" s="189" t="s">
        <v>119</v>
      </c>
      <c r="D124" s="176"/>
      <c r="E124" s="182" t="s">
        <v>203</v>
      </c>
      <c r="F124" s="182">
        <v>1</v>
      </c>
      <c r="G124" s="292">
        <v>133000</v>
      </c>
    </row>
    <row r="125" spans="1:7" x14ac:dyDescent="0.25">
      <c r="A125" s="188"/>
      <c r="B125" s="180">
        <v>9</v>
      </c>
      <c r="C125" s="189" t="s">
        <v>120</v>
      </c>
      <c r="D125" s="176"/>
      <c r="E125" s="182" t="s">
        <v>203</v>
      </c>
      <c r="F125" s="182">
        <v>1</v>
      </c>
      <c r="G125" s="292">
        <v>141250</v>
      </c>
    </row>
    <row r="126" spans="1:7" x14ac:dyDescent="0.25">
      <c r="A126" s="188"/>
      <c r="B126" s="180">
        <v>10</v>
      </c>
      <c r="C126" s="189" t="s">
        <v>121</v>
      </c>
      <c r="D126" s="176"/>
      <c r="E126" s="182" t="s">
        <v>203</v>
      </c>
      <c r="F126" s="182">
        <v>1</v>
      </c>
      <c r="G126" s="292">
        <v>149500</v>
      </c>
    </row>
    <row r="127" spans="1:7" x14ac:dyDescent="0.25">
      <c r="A127" s="188"/>
      <c r="B127" s="180">
        <v>11</v>
      </c>
      <c r="C127" s="189" t="s">
        <v>122</v>
      </c>
      <c r="D127" s="176"/>
      <c r="E127" s="182" t="s">
        <v>203</v>
      </c>
      <c r="F127" s="182">
        <v>1</v>
      </c>
      <c r="G127" s="292">
        <v>157250</v>
      </c>
    </row>
    <row r="128" spans="1:7" x14ac:dyDescent="0.25">
      <c r="A128" s="188"/>
      <c r="B128" s="180">
        <v>12</v>
      </c>
      <c r="C128" s="189" t="s">
        <v>123</v>
      </c>
      <c r="D128" s="176"/>
      <c r="E128" s="182" t="s">
        <v>203</v>
      </c>
      <c r="F128" s="182">
        <v>1</v>
      </c>
      <c r="G128" s="292">
        <v>165500</v>
      </c>
    </row>
    <row r="129" spans="1:7" x14ac:dyDescent="0.25">
      <c r="A129" s="188"/>
      <c r="B129" s="180">
        <v>13</v>
      </c>
      <c r="C129" s="189" t="s">
        <v>124</v>
      </c>
      <c r="D129" s="176"/>
      <c r="E129" s="182" t="s">
        <v>203</v>
      </c>
      <c r="F129" s="182">
        <v>1</v>
      </c>
      <c r="G129" s="292">
        <v>173000</v>
      </c>
    </row>
    <row r="130" spans="1:7" x14ac:dyDescent="0.25">
      <c r="A130" s="188"/>
      <c r="B130" s="180">
        <v>14</v>
      </c>
      <c r="C130" s="189" t="s">
        <v>125</v>
      </c>
      <c r="D130" s="176"/>
      <c r="E130" s="182" t="s">
        <v>203</v>
      </c>
      <c r="F130" s="182">
        <v>1</v>
      </c>
      <c r="G130" s="292">
        <v>181000</v>
      </c>
    </row>
    <row r="131" spans="1:7" x14ac:dyDescent="0.25">
      <c r="A131" s="188"/>
      <c r="B131" s="180">
        <v>15</v>
      </c>
      <c r="C131" s="189" t="s">
        <v>126</v>
      </c>
      <c r="D131" s="176"/>
      <c r="E131" s="182" t="s">
        <v>203</v>
      </c>
      <c r="F131" s="182">
        <v>1</v>
      </c>
      <c r="G131" s="292">
        <v>187500</v>
      </c>
    </row>
    <row r="132" spans="1:7" x14ac:dyDescent="0.25">
      <c r="A132" s="188"/>
      <c r="B132" s="180">
        <v>16</v>
      </c>
      <c r="C132" s="189" t="s">
        <v>127</v>
      </c>
      <c r="D132" s="176"/>
      <c r="E132" s="182" t="s">
        <v>203</v>
      </c>
      <c r="F132" s="182">
        <v>1</v>
      </c>
      <c r="G132" s="292">
        <v>194500</v>
      </c>
    </row>
    <row r="133" spans="1:7" x14ac:dyDescent="0.25">
      <c r="A133" s="188"/>
      <c r="B133" s="180">
        <v>17</v>
      </c>
      <c r="C133" s="189" t="s">
        <v>128</v>
      </c>
      <c r="D133" s="176"/>
      <c r="E133" s="182" t="s">
        <v>203</v>
      </c>
      <c r="F133" s="182">
        <v>1</v>
      </c>
      <c r="G133" s="292">
        <v>202000</v>
      </c>
    </row>
    <row r="134" spans="1:7" x14ac:dyDescent="0.25">
      <c r="A134" s="188"/>
      <c r="B134" s="180">
        <v>18</v>
      </c>
      <c r="C134" s="189" t="s">
        <v>129</v>
      </c>
      <c r="D134" s="176"/>
      <c r="E134" s="182" t="s">
        <v>203</v>
      </c>
      <c r="F134" s="182">
        <v>1</v>
      </c>
      <c r="G134" s="292">
        <v>210500</v>
      </c>
    </row>
    <row r="135" spans="1:7" x14ac:dyDescent="0.25">
      <c r="A135" s="188"/>
      <c r="B135" s="180">
        <v>19</v>
      </c>
      <c r="C135" s="189" t="s">
        <v>130</v>
      </c>
      <c r="D135" s="176"/>
      <c r="E135" s="182" t="s">
        <v>203</v>
      </c>
      <c r="F135" s="182">
        <v>1</v>
      </c>
      <c r="G135" s="292">
        <v>220500</v>
      </c>
    </row>
    <row r="136" spans="1:7" x14ac:dyDescent="0.25">
      <c r="A136" s="188"/>
      <c r="B136" s="180">
        <v>20</v>
      </c>
      <c r="C136" s="189" t="s">
        <v>131</v>
      </c>
      <c r="D136" s="176"/>
      <c r="E136" s="182" t="s">
        <v>203</v>
      </c>
      <c r="F136" s="182">
        <v>1</v>
      </c>
      <c r="G136" s="292">
        <v>227500</v>
      </c>
    </row>
    <row r="137" spans="1:7" x14ac:dyDescent="0.25">
      <c r="A137" s="188"/>
      <c r="B137" s="180">
        <v>21</v>
      </c>
      <c r="C137" s="189" t="s">
        <v>132</v>
      </c>
      <c r="D137" s="176"/>
      <c r="E137" s="182" t="s">
        <v>203</v>
      </c>
      <c r="F137" s="182">
        <v>1</v>
      </c>
      <c r="G137" s="292">
        <v>234500</v>
      </c>
    </row>
    <row r="138" spans="1:7" x14ac:dyDescent="0.25">
      <c r="A138" s="188"/>
      <c r="B138" s="180">
        <v>22</v>
      </c>
      <c r="C138" s="189" t="s">
        <v>133</v>
      </c>
      <c r="D138" s="176"/>
      <c r="E138" s="182" t="s">
        <v>203</v>
      </c>
      <c r="F138" s="182">
        <v>1</v>
      </c>
      <c r="G138" s="292">
        <v>242000</v>
      </c>
    </row>
    <row r="139" spans="1:7" x14ac:dyDescent="0.25">
      <c r="A139" s="188"/>
      <c r="B139" s="180">
        <v>23</v>
      </c>
      <c r="C139" s="189" t="s">
        <v>134</v>
      </c>
      <c r="D139" s="176"/>
      <c r="E139" s="182" t="s">
        <v>203</v>
      </c>
      <c r="F139" s="182">
        <v>1</v>
      </c>
      <c r="G139" s="292">
        <v>250500</v>
      </c>
    </row>
    <row r="140" spans="1:7" x14ac:dyDescent="0.25">
      <c r="A140" s="188"/>
      <c r="B140" s="180">
        <v>24</v>
      </c>
      <c r="C140" s="189" t="s">
        <v>135</v>
      </c>
      <c r="D140" s="176"/>
      <c r="E140" s="182" t="s">
        <v>203</v>
      </c>
      <c r="F140" s="182">
        <v>1</v>
      </c>
      <c r="G140" s="292">
        <v>260500</v>
      </c>
    </row>
    <row r="141" spans="1:7" x14ac:dyDescent="0.25">
      <c r="A141" s="188"/>
      <c r="B141" s="180">
        <v>25</v>
      </c>
      <c r="C141" s="189" t="s">
        <v>136</v>
      </c>
      <c r="D141" s="176"/>
      <c r="E141" s="182" t="s">
        <v>203</v>
      </c>
      <c r="F141" s="182">
        <v>1</v>
      </c>
      <c r="G141" s="292">
        <v>267500</v>
      </c>
    </row>
    <row r="142" spans="1:7" x14ac:dyDescent="0.25">
      <c r="A142" s="183" t="s">
        <v>137</v>
      </c>
      <c r="B142" s="184" t="s">
        <v>138</v>
      </c>
      <c r="C142" s="185"/>
      <c r="D142" s="186"/>
      <c r="E142" s="187"/>
      <c r="F142" s="187"/>
      <c r="G142" s="292"/>
    </row>
    <row r="143" spans="1:7" ht="13.2" customHeight="1" x14ac:dyDescent="0.25">
      <c r="A143" s="188"/>
      <c r="B143" s="180">
        <v>1</v>
      </c>
      <c r="C143" s="189" t="s">
        <v>139</v>
      </c>
      <c r="D143" s="176"/>
      <c r="E143" s="182" t="s">
        <v>235</v>
      </c>
      <c r="F143" s="182">
        <v>1</v>
      </c>
      <c r="G143" s="292">
        <v>2400000</v>
      </c>
    </row>
    <row r="144" spans="1:7" ht="13.2" customHeight="1" x14ac:dyDescent="0.25">
      <c r="A144" s="188"/>
      <c r="B144" s="180">
        <v>2</v>
      </c>
      <c r="C144" s="189" t="s">
        <v>140</v>
      </c>
      <c r="D144" s="176"/>
      <c r="E144" s="182" t="s">
        <v>235</v>
      </c>
      <c r="F144" s="182">
        <v>1</v>
      </c>
      <c r="G144" s="292">
        <v>1200000</v>
      </c>
    </row>
    <row r="145" spans="1:7" ht="13.2" customHeight="1" x14ac:dyDescent="0.25">
      <c r="A145" s="188"/>
      <c r="B145" s="180">
        <v>3</v>
      </c>
      <c r="C145" s="189" t="s">
        <v>141</v>
      </c>
      <c r="D145" s="176"/>
      <c r="E145" s="182" t="s">
        <v>235</v>
      </c>
      <c r="F145" s="182">
        <v>1</v>
      </c>
      <c r="G145" s="292">
        <v>1000000</v>
      </c>
    </row>
    <row r="146" spans="1:7" ht="13.2" customHeight="1" x14ac:dyDescent="0.25">
      <c r="A146" s="188"/>
      <c r="B146" s="180">
        <v>4</v>
      </c>
      <c r="C146" s="189" t="s">
        <v>142</v>
      </c>
      <c r="D146" s="176"/>
      <c r="E146" s="182" t="s">
        <v>235</v>
      </c>
      <c r="F146" s="182">
        <v>1</v>
      </c>
      <c r="G146" s="292">
        <v>900000</v>
      </c>
    </row>
    <row r="147" spans="1:7" ht="13.2" customHeight="1" x14ac:dyDescent="0.25">
      <c r="A147" s="188"/>
      <c r="B147" s="180">
        <v>5</v>
      </c>
      <c r="C147" s="189" t="s">
        <v>143</v>
      </c>
      <c r="D147" s="176"/>
      <c r="E147" s="182" t="s">
        <v>235</v>
      </c>
      <c r="F147" s="182">
        <v>1</v>
      </c>
      <c r="G147" s="292">
        <v>800000</v>
      </c>
    </row>
    <row r="148" spans="1:7" ht="13.2" customHeight="1" x14ac:dyDescent="0.25">
      <c r="A148" s="188"/>
      <c r="B148" s="180">
        <v>6</v>
      </c>
      <c r="C148" s="189" t="s">
        <v>144</v>
      </c>
      <c r="D148" s="176"/>
      <c r="E148" s="182" t="s">
        <v>235</v>
      </c>
      <c r="F148" s="182">
        <v>1</v>
      </c>
      <c r="G148" s="292">
        <v>700000</v>
      </c>
    </row>
    <row r="149" spans="1:7" ht="13.2" customHeight="1" x14ac:dyDescent="0.25">
      <c r="A149" s="188"/>
      <c r="B149" s="180">
        <v>7</v>
      </c>
      <c r="C149" s="189" t="s">
        <v>145</v>
      </c>
      <c r="D149" s="176"/>
      <c r="E149" s="182" t="s">
        <v>235</v>
      </c>
      <c r="F149" s="182">
        <v>1</v>
      </c>
      <c r="G149" s="292">
        <v>600000</v>
      </c>
    </row>
    <row r="150" spans="1:7" ht="13.2" customHeight="1" x14ac:dyDescent="0.25">
      <c r="A150" s="188"/>
      <c r="B150" s="180">
        <v>8</v>
      </c>
      <c r="C150" s="189" t="s">
        <v>146</v>
      </c>
      <c r="D150" s="176"/>
      <c r="E150" s="182" t="s">
        <v>235</v>
      </c>
      <c r="F150" s="182">
        <v>1</v>
      </c>
      <c r="G150" s="292">
        <v>570000</v>
      </c>
    </row>
    <row r="151" spans="1:7" ht="13.2" customHeight="1" x14ac:dyDescent="0.25">
      <c r="A151" s="188"/>
      <c r="B151" s="180">
        <v>9</v>
      </c>
      <c r="C151" s="189" t="s">
        <v>147</v>
      </c>
      <c r="D151" s="176"/>
      <c r="E151" s="182" t="s">
        <v>235</v>
      </c>
      <c r="F151" s="182">
        <v>1</v>
      </c>
      <c r="G151" s="292">
        <v>400000</v>
      </c>
    </row>
    <row r="152" spans="1:7" ht="13.2" customHeight="1" x14ac:dyDescent="0.25">
      <c r="A152" s="188"/>
      <c r="B152" s="180">
        <v>10</v>
      </c>
      <c r="C152" s="189" t="s">
        <v>148</v>
      </c>
      <c r="D152" s="176"/>
      <c r="E152" s="182" t="s">
        <v>235</v>
      </c>
      <c r="F152" s="182">
        <v>1</v>
      </c>
      <c r="G152" s="292">
        <v>320000</v>
      </c>
    </row>
    <row r="153" spans="1:7" ht="13.2" customHeight="1" x14ac:dyDescent="0.25">
      <c r="A153" s="188"/>
      <c r="B153" s="180">
        <v>11</v>
      </c>
      <c r="C153" s="189" t="s">
        <v>149</v>
      </c>
      <c r="D153" s="176"/>
      <c r="E153" s="182" t="s">
        <v>235</v>
      </c>
      <c r="F153" s="182">
        <v>1</v>
      </c>
      <c r="G153" s="292">
        <v>356250</v>
      </c>
    </row>
    <row r="154" spans="1:7" ht="13.2" customHeight="1" x14ac:dyDescent="0.25">
      <c r="A154" s="188"/>
      <c r="B154" s="180">
        <v>12</v>
      </c>
      <c r="C154" s="189" t="s">
        <v>150</v>
      </c>
      <c r="D154" s="176"/>
      <c r="E154" s="182" t="s">
        <v>235</v>
      </c>
      <c r="F154" s="182">
        <v>1</v>
      </c>
      <c r="G154" s="292">
        <v>250000</v>
      </c>
    </row>
    <row r="155" spans="1:7" ht="13.2" customHeight="1" x14ac:dyDescent="0.25">
      <c r="A155" s="188"/>
      <c r="B155" s="180">
        <v>13</v>
      </c>
      <c r="C155" s="189" t="s">
        <v>151</v>
      </c>
      <c r="D155" s="176"/>
      <c r="E155" s="182" t="s">
        <v>235</v>
      </c>
      <c r="F155" s="182">
        <v>1</v>
      </c>
      <c r="G155" s="292">
        <v>237500</v>
      </c>
    </row>
    <row r="156" spans="1:7" ht="13.2" customHeight="1" x14ac:dyDescent="0.25">
      <c r="A156" s="188"/>
      <c r="B156" s="180">
        <v>14</v>
      </c>
      <c r="C156" s="189" t="s">
        <v>152</v>
      </c>
      <c r="D156" s="176"/>
      <c r="E156" s="182" t="s">
        <v>235</v>
      </c>
      <c r="F156" s="182">
        <v>1</v>
      </c>
      <c r="G156" s="292">
        <v>190000</v>
      </c>
    </row>
    <row r="157" spans="1:7" ht="13.2" customHeight="1" x14ac:dyDescent="0.25">
      <c r="A157" s="188"/>
      <c r="B157" s="180">
        <v>15</v>
      </c>
      <c r="C157" s="189" t="s">
        <v>153</v>
      </c>
      <c r="D157" s="176"/>
      <c r="E157" s="182" t="s">
        <v>235</v>
      </c>
      <c r="F157" s="182">
        <v>1</v>
      </c>
      <c r="G157" s="292">
        <v>142500</v>
      </c>
    </row>
    <row r="158" spans="1:7" ht="13.2" customHeight="1" x14ac:dyDescent="0.25">
      <c r="A158" s="188"/>
      <c r="B158" s="180">
        <v>16</v>
      </c>
      <c r="C158" s="189" t="s">
        <v>154</v>
      </c>
      <c r="D158" s="176"/>
      <c r="E158" s="182" t="s">
        <v>235</v>
      </c>
      <c r="F158" s="182">
        <v>1</v>
      </c>
      <c r="G158" s="292">
        <v>118750</v>
      </c>
    </row>
    <row r="159" spans="1:7" ht="13.2" customHeight="1" x14ac:dyDescent="0.25">
      <c r="A159" s="188"/>
      <c r="B159" s="180">
        <v>17</v>
      </c>
      <c r="C159" s="189" t="s">
        <v>155</v>
      </c>
      <c r="D159" s="176"/>
      <c r="E159" s="182" t="s">
        <v>235</v>
      </c>
      <c r="F159" s="182">
        <v>1</v>
      </c>
      <c r="G159" s="292">
        <v>95000</v>
      </c>
    </row>
    <row r="160" spans="1:7" x14ac:dyDescent="0.25">
      <c r="A160" s="183" t="s">
        <v>156</v>
      </c>
      <c r="B160" s="184" t="s">
        <v>157</v>
      </c>
      <c r="C160" s="185"/>
      <c r="D160" s="186"/>
      <c r="E160" s="187"/>
      <c r="F160" s="187"/>
      <c r="G160" s="292"/>
    </row>
    <row r="161" spans="1:7" ht="13.2" customHeight="1" x14ac:dyDescent="0.25">
      <c r="A161" s="188"/>
      <c r="B161" s="180">
        <v>1</v>
      </c>
      <c r="C161" s="189" t="s">
        <v>158</v>
      </c>
      <c r="D161" s="176"/>
      <c r="E161" s="182" t="s">
        <v>235</v>
      </c>
      <c r="F161" s="182">
        <v>1</v>
      </c>
      <c r="G161" s="292">
        <v>1969750</v>
      </c>
    </row>
    <row r="162" spans="1:7" ht="13.2" customHeight="1" x14ac:dyDescent="0.25">
      <c r="A162" s="188"/>
      <c r="B162" s="180">
        <v>2</v>
      </c>
      <c r="C162" s="189" t="s">
        <v>159</v>
      </c>
      <c r="D162" s="176"/>
      <c r="E162" s="182" t="s">
        <v>235</v>
      </c>
      <c r="F162" s="182">
        <v>1</v>
      </c>
      <c r="G162" s="292">
        <v>989500</v>
      </c>
    </row>
    <row r="163" spans="1:7" ht="13.2" customHeight="1" x14ac:dyDescent="0.25">
      <c r="A163" s="188"/>
      <c r="B163" s="180">
        <v>3</v>
      </c>
      <c r="C163" s="189" t="s">
        <v>160</v>
      </c>
      <c r="D163" s="176"/>
      <c r="E163" s="182" t="s">
        <v>235</v>
      </c>
      <c r="F163" s="182">
        <v>1</v>
      </c>
      <c r="G163" s="292">
        <v>824700</v>
      </c>
    </row>
    <row r="164" spans="1:7" ht="13.2" customHeight="1" x14ac:dyDescent="0.25">
      <c r="A164" s="188"/>
      <c r="B164" s="180">
        <v>4</v>
      </c>
      <c r="C164" s="189" t="s">
        <v>161</v>
      </c>
      <c r="D164" s="176"/>
      <c r="E164" s="182" t="s">
        <v>235</v>
      </c>
      <c r="F164" s="182">
        <v>1</v>
      </c>
      <c r="G164" s="292">
        <v>725750</v>
      </c>
    </row>
    <row r="165" spans="1:7" ht="13.2" customHeight="1" x14ac:dyDescent="0.25">
      <c r="A165" s="188"/>
      <c r="B165" s="180">
        <v>5</v>
      </c>
      <c r="C165" s="189" t="s">
        <v>162</v>
      </c>
      <c r="D165" s="176"/>
      <c r="E165" s="182" t="s">
        <v>235</v>
      </c>
      <c r="F165" s="182">
        <v>1</v>
      </c>
      <c r="G165" s="292">
        <v>659600</v>
      </c>
    </row>
    <row r="166" spans="1:7" ht="13.2" customHeight="1" x14ac:dyDescent="0.25">
      <c r="A166" s="188"/>
      <c r="B166" s="180">
        <v>6</v>
      </c>
      <c r="C166" s="189" t="s">
        <v>163</v>
      </c>
      <c r="D166" s="176"/>
      <c r="E166" s="182" t="s">
        <v>235</v>
      </c>
      <c r="F166" s="182">
        <v>1</v>
      </c>
      <c r="G166" s="292">
        <v>593750</v>
      </c>
    </row>
    <row r="167" spans="1:7" ht="13.2" customHeight="1" x14ac:dyDescent="0.25">
      <c r="A167" s="188"/>
      <c r="B167" s="180">
        <v>7</v>
      </c>
      <c r="C167" s="189" t="s">
        <v>164</v>
      </c>
      <c r="D167" s="176"/>
      <c r="E167" s="182" t="s">
        <v>235</v>
      </c>
      <c r="F167" s="182">
        <v>1</v>
      </c>
      <c r="G167" s="292">
        <v>494500</v>
      </c>
    </row>
    <row r="168" spans="1:7" ht="13.2" customHeight="1" x14ac:dyDescent="0.25">
      <c r="A168" s="188"/>
      <c r="B168" s="180">
        <v>8</v>
      </c>
      <c r="C168" s="189" t="s">
        <v>165</v>
      </c>
      <c r="D168" s="176"/>
      <c r="E168" s="182" t="s">
        <v>235</v>
      </c>
      <c r="F168" s="182">
        <v>1</v>
      </c>
      <c r="G168" s="292">
        <v>395700</v>
      </c>
    </row>
    <row r="169" spans="1:7" ht="13.2" customHeight="1" x14ac:dyDescent="0.25">
      <c r="A169" s="188"/>
      <c r="B169" s="180">
        <v>9</v>
      </c>
      <c r="C169" s="189" t="s">
        <v>166</v>
      </c>
      <c r="D169" s="176"/>
      <c r="E169" s="182" t="s">
        <v>235</v>
      </c>
      <c r="F169" s="182">
        <v>1</v>
      </c>
      <c r="G169" s="292">
        <v>329750</v>
      </c>
    </row>
    <row r="170" spans="1:7" ht="13.2" customHeight="1" x14ac:dyDescent="0.25">
      <c r="A170" s="188"/>
      <c r="B170" s="180">
        <v>10</v>
      </c>
      <c r="C170" s="189" t="s">
        <v>167</v>
      </c>
      <c r="D170" s="176"/>
      <c r="E170" s="182" t="s">
        <v>235</v>
      </c>
      <c r="F170" s="182">
        <v>1</v>
      </c>
      <c r="G170" s="292">
        <v>263600</v>
      </c>
    </row>
    <row r="171" spans="1:7" ht="13.2" customHeight="1" x14ac:dyDescent="0.25">
      <c r="A171" s="188"/>
      <c r="B171" s="180">
        <v>11</v>
      </c>
      <c r="C171" s="189" t="s">
        <v>168</v>
      </c>
      <c r="D171" s="176"/>
      <c r="E171" s="182" t="s">
        <v>235</v>
      </c>
      <c r="F171" s="182">
        <v>1</v>
      </c>
      <c r="G171" s="292">
        <v>247250</v>
      </c>
    </row>
    <row r="172" spans="1:7" ht="13.2" customHeight="1" x14ac:dyDescent="0.25">
      <c r="A172" s="188"/>
      <c r="B172" s="180">
        <v>12</v>
      </c>
      <c r="C172" s="189" t="s">
        <v>169</v>
      </c>
      <c r="D172" s="176"/>
      <c r="E172" s="182" t="s">
        <v>235</v>
      </c>
      <c r="F172" s="182">
        <v>1</v>
      </c>
      <c r="G172" s="292">
        <v>197500</v>
      </c>
    </row>
    <row r="173" spans="1:7" ht="13.2" customHeight="1" x14ac:dyDescent="0.25">
      <c r="A173" s="188"/>
      <c r="B173" s="180">
        <v>13</v>
      </c>
      <c r="C173" s="189" t="s">
        <v>170</v>
      </c>
      <c r="D173" s="176"/>
      <c r="E173" s="182" t="s">
        <v>235</v>
      </c>
      <c r="F173" s="182">
        <v>1</v>
      </c>
      <c r="G173" s="292">
        <v>164700</v>
      </c>
    </row>
    <row r="174" spans="1:7" ht="13.2" customHeight="1" x14ac:dyDescent="0.25">
      <c r="A174" s="188"/>
      <c r="B174" s="180">
        <v>14</v>
      </c>
      <c r="C174" s="189" t="s">
        <v>171</v>
      </c>
      <c r="D174" s="176"/>
      <c r="E174" s="182" t="s">
        <v>235</v>
      </c>
      <c r="F174" s="182">
        <v>1</v>
      </c>
      <c r="G174" s="292">
        <v>131750</v>
      </c>
    </row>
    <row r="175" spans="1:7" ht="13.2" customHeight="1" x14ac:dyDescent="0.25">
      <c r="A175" s="188"/>
      <c r="B175" s="180">
        <v>15</v>
      </c>
      <c r="C175" s="189" t="s">
        <v>172</v>
      </c>
      <c r="D175" s="176"/>
      <c r="E175" s="182" t="s">
        <v>235</v>
      </c>
      <c r="F175" s="182">
        <v>1</v>
      </c>
      <c r="G175" s="292">
        <v>98600</v>
      </c>
    </row>
    <row r="176" spans="1:7" ht="13.2" customHeight="1" x14ac:dyDescent="0.25">
      <c r="A176" s="188"/>
      <c r="B176" s="180">
        <v>16</v>
      </c>
      <c r="C176" s="189" t="s">
        <v>173</v>
      </c>
      <c r="D176" s="176"/>
      <c r="E176" s="182" t="s">
        <v>235</v>
      </c>
      <c r="F176" s="182">
        <v>1</v>
      </c>
      <c r="G176" s="292">
        <v>82200</v>
      </c>
    </row>
    <row r="177" spans="1:7" ht="13.2" customHeight="1" x14ac:dyDescent="0.25">
      <c r="A177" s="188"/>
      <c r="B177" s="180">
        <v>17</v>
      </c>
      <c r="C177" s="189" t="s">
        <v>174</v>
      </c>
      <c r="D177" s="176"/>
      <c r="E177" s="182" t="s">
        <v>235</v>
      </c>
      <c r="F177" s="182">
        <v>1</v>
      </c>
      <c r="G177" s="292">
        <v>65750</v>
      </c>
    </row>
    <row r="178" spans="1:7" x14ac:dyDescent="0.25">
      <c r="A178" s="183" t="s">
        <v>175</v>
      </c>
      <c r="B178" s="184" t="s">
        <v>176</v>
      </c>
      <c r="C178" s="185"/>
      <c r="D178" s="186"/>
      <c r="E178" s="187"/>
      <c r="F178" s="187"/>
      <c r="G178" s="292"/>
    </row>
    <row r="179" spans="1:7" x14ac:dyDescent="0.25">
      <c r="A179" s="188"/>
      <c r="B179" s="180">
        <v>1</v>
      </c>
      <c r="C179" s="189" t="s">
        <v>1585</v>
      </c>
      <c r="D179" s="176"/>
      <c r="E179" s="182" t="s">
        <v>235</v>
      </c>
      <c r="F179" s="182">
        <v>1</v>
      </c>
      <c r="G179" s="292">
        <v>1693750.0000000002</v>
      </c>
    </row>
    <row r="180" spans="1:7" x14ac:dyDescent="0.25">
      <c r="A180" s="188"/>
      <c r="B180" s="180">
        <v>2</v>
      </c>
      <c r="C180" s="189" t="s">
        <v>1586</v>
      </c>
      <c r="D180" s="176"/>
      <c r="E180" s="182" t="s">
        <v>235</v>
      </c>
      <c r="F180" s="182">
        <v>1</v>
      </c>
      <c r="G180" s="292">
        <v>857500.00000000012</v>
      </c>
    </row>
    <row r="181" spans="1:7" x14ac:dyDescent="0.25">
      <c r="A181" s="188"/>
      <c r="B181" s="180">
        <v>3</v>
      </c>
      <c r="C181" s="189" t="s">
        <v>1587</v>
      </c>
      <c r="D181" s="176"/>
      <c r="E181" s="182" t="s">
        <v>235</v>
      </c>
      <c r="F181" s="182">
        <v>1</v>
      </c>
      <c r="G181" s="292">
        <v>714700</v>
      </c>
    </row>
    <row r="182" spans="1:7" x14ac:dyDescent="0.25">
      <c r="A182" s="188"/>
      <c r="B182" s="180">
        <v>4</v>
      </c>
      <c r="C182" s="189" t="s">
        <v>1588</v>
      </c>
      <c r="D182" s="176"/>
      <c r="E182" s="182" t="s">
        <v>235</v>
      </c>
      <c r="F182" s="182">
        <v>1</v>
      </c>
      <c r="G182" s="292">
        <v>606950</v>
      </c>
    </row>
    <row r="183" spans="1:7" x14ac:dyDescent="0.25">
      <c r="A183" s="188"/>
      <c r="B183" s="180">
        <v>5</v>
      </c>
      <c r="C183" s="189" t="s">
        <v>1589</v>
      </c>
      <c r="D183" s="176"/>
      <c r="E183" s="182" t="s">
        <v>235</v>
      </c>
      <c r="F183" s="182">
        <v>1</v>
      </c>
      <c r="G183" s="292">
        <v>571600</v>
      </c>
    </row>
    <row r="184" spans="1:7" x14ac:dyDescent="0.25">
      <c r="A184" s="188"/>
      <c r="B184" s="180">
        <v>6</v>
      </c>
      <c r="C184" s="189" t="s">
        <v>1590</v>
      </c>
      <c r="D184" s="176"/>
      <c r="E184" s="182" t="s">
        <v>235</v>
      </c>
      <c r="F184" s="182">
        <v>1</v>
      </c>
      <c r="G184" s="292">
        <v>536550</v>
      </c>
    </row>
    <row r="185" spans="1:7" x14ac:dyDescent="0.25">
      <c r="A185" s="188"/>
      <c r="B185" s="180">
        <v>7</v>
      </c>
      <c r="C185" s="189" t="s">
        <v>1591</v>
      </c>
      <c r="D185" s="176"/>
      <c r="E185" s="182" t="s">
        <v>235</v>
      </c>
      <c r="F185" s="182">
        <v>1</v>
      </c>
      <c r="G185" s="292">
        <v>428500.00000000006</v>
      </c>
    </row>
    <row r="186" spans="1:7" x14ac:dyDescent="0.25">
      <c r="A186" s="188"/>
      <c r="B186" s="180">
        <v>8</v>
      </c>
      <c r="C186" s="189" t="s">
        <v>1592</v>
      </c>
      <c r="D186" s="176"/>
      <c r="E186" s="182" t="s">
        <v>235</v>
      </c>
      <c r="F186" s="182">
        <v>1</v>
      </c>
      <c r="G186" s="292">
        <v>243900.00000000003</v>
      </c>
    </row>
    <row r="187" spans="1:7" x14ac:dyDescent="0.25">
      <c r="A187" s="188"/>
      <c r="B187" s="180">
        <v>9</v>
      </c>
      <c r="C187" s="189" t="s">
        <v>1593</v>
      </c>
      <c r="D187" s="176"/>
      <c r="E187" s="182" t="s">
        <v>235</v>
      </c>
      <c r="F187" s="182">
        <v>1</v>
      </c>
      <c r="G187" s="292">
        <v>285750</v>
      </c>
    </row>
    <row r="188" spans="1:7" x14ac:dyDescent="0.25">
      <c r="A188" s="188"/>
      <c r="B188" s="180">
        <v>10</v>
      </c>
      <c r="C188" s="189" t="s">
        <v>1594</v>
      </c>
      <c r="D188" s="176"/>
      <c r="E188" s="182" t="s">
        <v>235</v>
      </c>
      <c r="F188" s="182">
        <v>1</v>
      </c>
      <c r="G188" s="292">
        <v>228400.00000000003</v>
      </c>
    </row>
    <row r="189" spans="1:7" x14ac:dyDescent="0.25">
      <c r="A189" s="188"/>
      <c r="B189" s="180">
        <v>11</v>
      </c>
      <c r="C189" s="189" t="s">
        <v>1595</v>
      </c>
      <c r="D189" s="176"/>
      <c r="E189" s="182" t="s">
        <v>235</v>
      </c>
      <c r="F189" s="182">
        <v>1</v>
      </c>
      <c r="G189" s="292">
        <v>152375</v>
      </c>
    </row>
    <row r="190" spans="1:7" x14ac:dyDescent="0.25">
      <c r="A190" s="188"/>
      <c r="B190" s="180">
        <v>12</v>
      </c>
      <c r="C190" s="189" t="s">
        <v>1596</v>
      </c>
      <c r="D190" s="176"/>
      <c r="E190" s="182" t="s">
        <v>235</v>
      </c>
      <c r="F190" s="182">
        <v>1</v>
      </c>
      <c r="G190" s="292">
        <v>160100</v>
      </c>
    </row>
    <row r="191" spans="1:7" x14ac:dyDescent="0.25">
      <c r="A191" s="188"/>
      <c r="B191" s="180">
        <v>13</v>
      </c>
      <c r="C191" s="189" t="s">
        <v>1597</v>
      </c>
      <c r="D191" s="176"/>
      <c r="E191" s="182" t="s">
        <v>235</v>
      </c>
      <c r="F191" s="182">
        <v>1</v>
      </c>
      <c r="G191" s="292">
        <v>101450.00000000001</v>
      </c>
    </row>
    <row r="192" spans="1:7" x14ac:dyDescent="0.25">
      <c r="A192" s="188"/>
      <c r="B192" s="180">
        <v>14</v>
      </c>
      <c r="C192" s="189" t="s">
        <v>1598</v>
      </c>
      <c r="D192" s="176"/>
      <c r="E192" s="182" t="s">
        <v>235</v>
      </c>
      <c r="F192" s="182">
        <v>1</v>
      </c>
      <c r="G192" s="292">
        <v>81150</v>
      </c>
    </row>
    <row r="193" spans="1:7" x14ac:dyDescent="0.25">
      <c r="A193" s="188"/>
      <c r="B193" s="180">
        <v>15</v>
      </c>
      <c r="C193" s="189" t="s">
        <v>1599</v>
      </c>
      <c r="D193" s="176"/>
      <c r="E193" s="182" t="s">
        <v>235</v>
      </c>
      <c r="F193" s="182">
        <v>1</v>
      </c>
      <c r="G193" s="292">
        <v>60650.000000000007</v>
      </c>
    </row>
    <row r="194" spans="1:7" x14ac:dyDescent="0.25">
      <c r="A194" s="188"/>
      <c r="B194" s="180">
        <v>16</v>
      </c>
      <c r="C194" s="189" t="s">
        <v>1600</v>
      </c>
      <c r="D194" s="176"/>
      <c r="E194" s="182" t="s">
        <v>235</v>
      </c>
      <c r="F194" s="182">
        <v>1</v>
      </c>
      <c r="G194" s="292">
        <v>50575.000000000007</v>
      </c>
    </row>
    <row r="195" spans="1:7" x14ac:dyDescent="0.25">
      <c r="A195" s="188"/>
      <c r="B195" s="180">
        <v>17</v>
      </c>
      <c r="C195" s="189" t="s">
        <v>1601</v>
      </c>
      <c r="D195" s="176"/>
      <c r="E195" s="182" t="s">
        <v>235</v>
      </c>
      <c r="F195" s="182">
        <v>1</v>
      </c>
      <c r="G195" s="292">
        <v>40450</v>
      </c>
    </row>
    <row r="196" spans="1:7" x14ac:dyDescent="0.25">
      <c r="A196" s="183" t="s">
        <v>177</v>
      </c>
      <c r="B196" s="184" t="s">
        <v>1602</v>
      </c>
      <c r="C196" s="185"/>
      <c r="D196" s="186"/>
      <c r="E196" s="187"/>
      <c r="F196" s="187"/>
      <c r="G196" s="292"/>
    </row>
    <row r="197" spans="1:7" ht="13.5" customHeight="1" x14ac:dyDescent="0.25">
      <c r="A197" s="188"/>
      <c r="B197" s="180">
        <v>1</v>
      </c>
      <c r="C197" s="189" t="s">
        <v>178</v>
      </c>
      <c r="D197" s="176"/>
      <c r="E197" s="182" t="s">
        <v>235</v>
      </c>
      <c r="F197" s="182">
        <v>1</v>
      </c>
      <c r="G197" s="292">
        <v>1348500</v>
      </c>
    </row>
    <row r="198" spans="1:7" ht="13.5" customHeight="1" x14ac:dyDescent="0.25">
      <c r="A198" s="188"/>
      <c r="B198" s="180">
        <v>2</v>
      </c>
      <c r="C198" s="189" t="s">
        <v>179</v>
      </c>
      <c r="D198" s="176"/>
      <c r="E198" s="182" t="s">
        <v>235</v>
      </c>
      <c r="F198" s="182">
        <v>1</v>
      </c>
      <c r="G198" s="292">
        <v>672500</v>
      </c>
    </row>
    <row r="199" spans="1:7" ht="13.5" customHeight="1" x14ac:dyDescent="0.25">
      <c r="A199" s="188"/>
      <c r="B199" s="180">
        <v>3</v>
      </c>
      <c r="C199" s="189" t="s">
        <v>180</v>
      </c>
      <c r="D199" s="176"/>
      <c r="E199" s="182" t="s">
        <v>235</v>
      </c>
      <c r="F199" s="182">
        <v>1</v>
      </c>
      <c r="G199" s="292">
        <v>559500</v>
      </c>
    </row>
    <row r="200" spans="1:7" ht="13.5" customHeight="1" x14ac:dyDescent="0.25">
      <c r="A200" s="188"/>
      <c r="B200" s="180">
        <v>4</v>
      </c>
      <c r="C200" s="189" t="s">
        <v>181</v>
      </c>
      <c r="D200" s="176"/>
      <c r="E200" s="182" t="s">
        <v>235</v>
      </c>
      <c r="F200" s="182">
        <v>1</v>
      </c>
      <c r="G200" s="292">
        <v>447500</v>
      </c>
    </row>
    <row r="201" spans="1:7" ht="13.5" customHeight="1" x14ac:dyDescent="0.25">
      <c r="A201" s="188"/>
      <c r="B201" s="180">
        <v>5</v>
      </c>
      <c r="C201" s="189" t="s">
        <v>182</v>
      </c>
      <c r="D201" s="176"/>
      <c r="E201" s="182" t="s">
        <v>235</v>
      </c>
      <c r="F201" s="182">
        <v>1</v>
      </c>
      <c r="G201" s="292">
        <v>393250</v>
      </c>
    </row>
    <row r="202" spans="1:7" ht="13.5" customHeight="1" x14ac:dyDescent="0.25">
      <c r="A202" s="188"/>
      <c r="B202" s="180">
        <v>6</v>
      </c>
      <c r="C202" s="189" t="s">
        <v>183</v>
      </c>
      <c r="D202" s="176"/>
      <c r="E202" s="182" t="s">
        <v>235</v>
      </c>
      <c r="F202" s="182">
        <v>1</v>
      </c>
      <c r="G202" s="292">
        <v>336000</v>
      </c>
    </row>
    <row r="203" spans="1:7" ht="13.5" customHeight="1" x14ac:dyDescent="0.25">
      <c r="A203" s="188"/>
      <c r="B203" s="180">
        <v>7</v>
      </c>
      <c r="C203" s="189" t="s">
        <v>184</v>
      </c>
      <c r="D203" s="176"/>
      <c r="E203" s="182" t="s">
        <v>235</v>
      </c>
      <c r="F203" s="182">
        <v>1</v>
      </c>
      <c r="G203" s="292">
        <v>283250</v>
      </c>
    </row>
    <row r="204" spans="1:7" ht="13.5" customHeight="1" x14ac:dyDescent="0.25">
      <c r="A204" s="188"/>
      <c r="B204" s="180">
        <v>8</v>
      </c>
      <c r="C204" s="189" t="s">
        <v>185</v>
      </c>
      <c r="D204" s="176"/>
      <c r="E204" s="182" t="s">
        <v>235</v>
      </c>
      <c r="F204" s="182">
        <v>1</v>
      </c>
      <c r="G204" s="292">
        <v>279750</v>
      </c>
    </row>
    <row r="205" spans="1:7" ht="13.5" customHeight="1" x14ac:dyDescent="0.25">
      <c r="A205" s="188"/>
      <c r="B205" s="180">
        <v>9</v>
      </c>
      <c r="C205" s="189" t="s">
        <v>186</v>
      </c>
      <c r="D205" s="176"/>
      <c r="E205" s="182" t="s">
        <v>235</v>
      </c>
      <c r="F205" s="182">
        <v>1</v>
      </c>
      <c r="G205" s="292">
        <v>267500</v>
      </c>
    </row>
    <row r="206" spans="1:7" ht="13.5" customHeight="1" x14ac:dyDescent="0.25">
      <c r="A206" s="188"/>
      <c r="B206" s="180">
        <v>10</v>
      </c>
      <c r="C206" s="189" t="s">
        <v>187</v>
      </c>
      <c r="D206" s="176"/>
      <c r="E206" s="182" t="s">
        <v>235</v>
      </c>
      <c r="F206" s="182">
        <v>1</v>
      </c>
      <c r="G206" s="292">
        <v>222000</v>
      </c>
    </row>
    <row r="207" spans="1:7" ht="13.5" customHeight="1" x14ac:dyDescent="0.25">
      <c r="A207" s="188"/>
      <c r="B207" s="180">
        <v>11</v>
      </c>
      <c r="C207" s="189" t="s">
        <v>188</v>
      </c>
      <c r="D207" s="176"/>
      <c r="E207" s="182" t="s">
        <v>235</v>
      </c>
      <c r="F207" s="182">
        <v>1</v>
      </c>
      <c r="G207" s="292">
        <v>177500</v>
      </c>
    </row>
    <row r="208" spans="1:7" ht="13.5" customHeight="1" x14ac:dyDescent="0.25">
      <c r="A208" s="188"/>
      <c r="B208" s="180">
        <v>12</v>
      </c>
      <c r="C208" s="189" t="s">
        <v>189</v>
      </c>
      <c r="D208" s="176"/>
      <c r="E208" s="182" t="s">
        <v>235</v>
      </c>
      <c r="F208" s="182">
        <v>1</v>
      </c>
      <c r="G208" s="292">
        <v>168250</v>
      </c>
    </row>
    <row r="209" spans="1:7" ht="13.5" customHeight="1" x14ac:dyDescent="0.25">
      <c r="A209" s="188"/>
      <c r="B209" s="180">
        <v>13</v>
      </c>
      <c r="C209" s="189" t="s">
        <v>190</v>
      </c>
      <c r="D209" s="176"/>
      <c r="E209" s="182" t="s">
        <v>235</v>
      </c>
      <c r="F209" s="182">
        <v>1</v>
      </c>
      <c r="G209" s="292">
        <v>133500</v>
      </c>
    </row>
    <row r="210" spans="1:7" ht="13.5" customHeight="1" x14ac:dyDescent="0.25">
      <c r="A210" s="188"/>
      <c r="B210" s="180">
        <v>14</v>
      </c>
      <c r="C210" s="189" t="s">
        <v>191</v>
      </c>
      <c r="D210" s="176"/>
      <c r="E210" s="182" t="s">
        <v>235</v>
      </c>
      <c r="F210" s="182">
        <v>1</v>
      </c>
      <c r="G210" s="292">
        <v>110000</v>
      </c>
    </row>
    <row r="211" spans="1:7" ht="13.5" customHeight="1" x14ac:dyDescent="0.25">
      <c r="A211" s="188"/>
      <c r="B211" s="180">
        <v>15</v>
      </c>
      <c r="C211" s="189" t="s">
        <v>192</v>
      </c>
      <c r="D211" s="176"/>
      <c r="E211" s="182" t="s">
        <v>235</v>
      </c>
      <c r="F211" s="182">
        <v>1</v>
      </c>
      <c r="G211" s="292">
        <v>88500</v>
      </c>
    </row>
    <row r="212" spans="1:7" ht="13.5" customHeight="1" x14ac:dyDescent="0.25">
      <c r="A212" s="188"/>
      <c r="B212" s="180">
        <v>16</v>
      </c>
      <c r="C212" s="189" t="s">
        <v>193</v>
      </c>
      <c r="D212" s="176"/>
      <c r="E212" s="182" t="s">
        <v>235</v>
      </c>
      <c r="F212" s="182">
        <v>1</v>
      </c>
      <c r="G212" s="292">
        <v>65000</v>
      </c>
    </row>
    <row r="213" spans="1:7" ht="13.5" customHeight="1" x14ac:dyDescent="0.25">
      <c r="A213" s="188"/>
      <c r="B213" s="180">
        <v>17</v>
      </c>
      <c r="C213" s="189" t="s">
        <v>194</v>
      </c>
      <c r="D213" s="176"/>
      <c r="E213" s="182" t="s">
        <v>235</v>
      </c>
      <c r="F213" s="182">
        <v>1</v>
      </c>
      <c r="G213" s="292">
        <v>53250</v>
      </c>
    </row>
    <row r="214" spans="1:7" ht="13.5" customHeight="1" x14ac:dyDescent="0.25">
      <c r="A214" s="188"/>
      <c r="B214" s="180">
        <v>18</v>
      </c>
      <c r="C214" s="189" t="s">
        <v>195</v>
      </c>
      <c r="D214" s="176"/>
      <c r="E214" s="182" t="s">
        <v>235</v>
      </c>
      <c r="F214" s="182">
        <v>1</v>
      </c>
      <c r="G214" s="292">
        <v>42500</v>
      </c>
    </row>
    <row r="215" spans="1:7" ht="13.5" customHeight="1" x14ac:dyDescent="0.25">
      <c r="A215" s="188"/>
      <c r="B215" s="180">
        <v>19</v>
      </c>
      <c r="C215" s="189" t="s">
        <v>196</v>
      </c>
      <c r="D215" s="176"/>
      <c r="E215" s="182" t="s">
        <v>235</v>
      </c>
      <c r="F215" s="182">
        <v>1</v>
      </c>
      <c r="G215" s="292">
        <v>22000</v>
      </c>
    </row>
    <row r="216" spans="1:7" x14ac:dyDescent="0.25">
      <c r="A216" s="183" t="s">
        <v>197</v>
      </c>
      <c r="B216" s="184" t="s">
        <v>1603</v>
      </c>
      <c r="C216" s="185"/>
      <c r="D216" s="186"/>
      <c r="E216" s="187"/>
      <c r="F216" s="187"/>
      <c r="G216" s="292"/>
    </row>
    <row r="217" spans="1:7" ht="13.2" customHeight="1" x14ac:dyDescent="0.25">
      <c r="A217" s="188"/>
      <c r="B217" s="180">
        <v>1</v>
      </c>
      <c r="C217" s="189" t="s">
        <v>178</v>
      </c>
      <c r="D217" s="176"/>
      <c r="E217" s="182" t="s">
        <v>235</v>
      </c>
      <c r="F217" s="182">
        <v>1</v>
      </c>
      <c r="G217" s="292">
        <v>1078500</v>
      </c>
    </row>
    <row r="218" spans="1:7" ht="13.2" customHeight="1" x14ac:dyDescent="0.25">
      <c r="A218" s="188"/>
      <c r="B218" s="180">
        <v>2</v>
      </c>
      <c r="C218" s="189" t="s">
        <v>179</v>
      </c>
      <c r="D218" s="176"/>
      <c r="E218" s="182" t="s">
        <v>235</v>
      </c>
      <c r="F218" s="182">
        <v>1</v>
      </c>
      <c r="G218" s="292">
        <v>537500</v>
      </c>
    </row>
    <row r="219" spans="1:7" ht="13.2" customHeight="1" x14ac:dyDescent="0.25">
      <c r="A219" s="188"/>
      <c r="B219" s="180">
        <v>3</v>
      </c>
      <c r="C219" s="189" t="s">
        <v>180</v>
      </c>
      <c r="D219" s="176"/>
      <c r="E219" s="182" t="s">
        <v>235</v>
      </c>
      <c r="F219" s="182">
        <v>1</v>
      </c>
      <c r="G219" s="292">
        <v>447000</v>
      </c>
    </row>
    <row r="220" spans="1:7" ht="13.2" customHeight="1" x14ac:dyDescent="0.25">
      <c r="A220" s="188"/>
      <c r="B220" s="180">
        <v>4</v>
      </c>
      <c r="C220" s="189" t="s">
        <v>181</v>
      </c>
      <c r="D220" s="176"/>
      <c r="E220" s="182" t="s">
        <v>235</v>
      </c>
      <c r="F220" s="182">
        <v>1</v>
      </c>
      <c r="G220" s="292">
        <v>357500</v>
      </c>
    </row>
    <row r="221" spans="1:7" ht="13.2" customHeight="1" x14ac:dyDescent="0.25">
      <c r="A221" s="188"/>
      <c r="B221" s="180">
        <v>5</v>
      </c>
      <c r="C221" s="189" t="s">
        <v>183</v>
      </c>
      <c r="D221" s="176"/>
      <c r="E221" s="182" t="s">
        <v>235</v>
      </c>
      <c r="F221" s="182">
        <v>1</v>
      </c>
      <c r="G221" s="292">
        <v>269500</v>
      </c>
    </row>
    <row r="222" spans="1:7" ht="13.2" customHeight="1" x14ac:dyDescent="0.25">
      <c r="A222" s="188"/>
      <c r="B222" s="180">
        <v>6</v>
      </c>
      <c r="C222" s="189" t="s">
        <v>184</v>
      </c>
      <c r="D222" s="176"/>
      <c r="E222" s="182" t="s">
        <v>235</v>
      </c>
      <c r="F222" s="182">
        <v>1</v>
      </c>
      <c r="G222" s="292">
        <v>227100</v>
      </c>
    </row>
    <row r="223" spans="1:7" ht="13.2" customHeight="1" x14ac:dyDescent="0.25">
      <c r="A223" s="188"/>
      <c r="B223" s="180">
        <v>7</v>
      </c>
      <c r="C223" s="189" t="s">
        <v>185</v>
      </c>
      <c r="D223" s="176"/>
      <c r="E223" s="182" t="s">
        <v>235</v>
      </c>
      <c r="F223" s="182">
        <v>1</v>
      </c>
      <c r="G223" s="292">
        <v>222500</v>
      </c>
    </row>
    <row r="224" spans="1:7" ht="13.2" customHeight="1" x14ac:dyDescent="0.25">
      <c r="A224" s="188"/>
      <c r="B224" s="180">
        <v>8</v>
      </c>
      <c r="C224" s="189" t="s">
        <v>186</v>
      </c>
      <c r="D224" s="176"/>
      <c r="E224" s="182" t="s">
        <v>235</v>
      </c>
      <c r="F224" s="182">
        <v>1</v>
      </c>
      <c r="G224" s="292">
        <v>214500</v>
      </c>
    </row>
    <row r="225" spans="1:7" ht="13.2" customHeight="1" x14ac:dyDescent="0.25">
      <c r="A225" s="188"/>
      <c r="B225" s="180">
        <v>9</v>
      </c>
      <c r="C225" s="189" t="s">
        <v>187</v>
      </c>
      <c r="D225" s="176"/>
      <c r="E225" s="182" t="s">
        <v>235</v>
      </c>
      <c r="F225" s="182">
        <v>1</v>
      </c>
      <c r="G225" s="292">
        <v>177500</v>
      </c>
    </row>
    <row r="226" spans="1:7" ht="13.2" customHeight="1" x14ac:dyDescent="0.25">
      <c r="A226" s="188"/>
      <c r="B226" s="180">
        <v>10</v>
      </c>
      <c r="C226" s="189" t="s">
        <v>188</v>
      </c>
      <c r="D226" s="176"/>
      <c r="E226" s="182" t="s">
        <v>235</v>
      </c>
      <c r="F226" s="182">
        <v>1</v>
      </c>
      <c r="G226" s="292">
        <v>141000</v>
      </c>
    </row>
    <row r="227" spans="1:7" ht="13.2" customHeight="1" x14ac:dyDescent="0.25">
      <c r="A227" s="188"/>
      <c r="B227" s="180">
        <v>11</v>
      </c>
      <c r="C227" s="189" t="s">
        <v>189</v>
      </c>
      <c r="D227" s="176"/>
      <c r="E227" s="182" t="s">
        <v>235</v>
      </c>
      <c r="F227" s="182">
        <v>1</v>
      </c>
      <c r="G227" s="292">
        <v>132500</v>
      </c>
    </row>
    <row r="228" spans="1:7" ht="13.2" customHeight="1" x14ac:dyDescent="0.25">
      <c r="A228" s="188"/>
      <c r="B228" s="180">
        <v>12</v>
      </c>
      <c r="C228" s="189" t="s">
        <v>190</v>
      </c>
      <c r="D228" s="176"/>
      <c r="E228" s="182" t="s">
        <v>235</v>
      </c>
      <c r="F228" s="182">
        <v>1</v>
      </c>
      <c r="G228" s="292">
        <v>107500</v>
      </c>
    </row>
    <row r="229" spans="1:7" ht="13.2" customHeight="1" x14ac:dyDescent="0.25">
      <c r="A229" s="188"/>
      <c r="B229" s="180">
        <v>13</v>
      </c>
      <c r="C229" s="189" t="s">
        <v>191</v>
      </c>
      <c r="D229" s="176"/>
      <c r="E229" s="182" t="s">
        <v>235</v>
      </c>
      <c r="F229" s="182">
        <v>1</v>
      </c>
      <c r="G229" s="292">
        <v>88500</v>
      </c>
    </row>
    <row r="230" spans="1:7" ht="13.2" customHeight="1" x14ac:dyDescent="0.25">
      <c r="A230" s="188"/>
      <c r="B230" s="180">
        <v>14</v>
      </c>
      <c r="C230" s="189" t="s">
        <v>192</v>
      </c>
      <c r="D230" s="176"/>
      <c r="E230" s="182" t="s">
        <v>235</v>
      </c>
      <c r="F230" s="182">
        <v>1</v>
      </c>
      <c r="G230" s="292">
        <v>69500</v>
      </c>
    </row>
    <row r="231" spans="1:7" ht="13.2" customHeight="1" x14ac:dyDescent="0.25">
      <c r="A231" s="188"/>
      <c r="B231" s="180">
        <v>15</v>
      </c>
      <c r="C231" s="189" t="s">
        <v>193</v>
      </c>
      <c r="D231" s="176"/>
      <c r="E231" s="182" t="s">
        <v>235</v>
      </c>
      <c r="F231" s="182">
        <v>1</v>
      </c>
      <c r="G231" s="292">
        <v>52500</v>
      </c>
    </row>
    <row r="232" spans="1:7" ht="13.2" customHeight="1" x14ac:dyDescent="0.25">
      <c r="A232" s="188"/>
      <c r="B232" s="180">
        <v>16</v>
      </c>
      <c r="C232" s="189" t="s">
        <v>194</v>
      </c>
      <c r="D232" s="176"/>
      <c r="E232" s="182" t="s">
        <v>235</v>
      </c>
      <c r="F232" s="182">
        <v>1</v>
      </c>
      <c r="G232" s="292">
        <v>42500</v>
      </c>
    </row>
    <row r="233" spans="1:7" ht="13.2" customHeight="1" x14ac:dyDescent="0.25">
      <c r="A233" s="188"/>
      <c r="B233" s="180">
        <v>17</v>
      </c>
      <c r="C233" s="189" t="s">
        <v>195</v>
      </c>
      <c r="D233" s="176"/>
      <c r="E233" s="182" t="s">
        <v>235</v>
      </c>
      <c r="F233" s="182">
        <v>1</v>
      </c>
      <c r="G233" s="292">
        <v>33000</v>
      </c>
    </row>
    <row r="234" spans="1:7" ht="13.2" customHeight="1" x14ac:dyDescent="0.25">
      <c r="A234" s="188"/>
      <c r="B234" s="180">
        <v>18</v>
      </c>
      <c r="C234" s="189" t="s">
        <v>196</v>
      </c>
      <c r="D234" s="176"/>
      <c r="E234" s="182" t="s">
        <v>235</v>
      </c>
      <c r="F234" s="182">
        <v>1</v>
      </c>
      <c r="G234" s="292">
        <v>15500</v>
      </c>
    </row>
    <row r="235" spans="1:7" x14ac:dyDescent="0.25">
      <c r="A235" s="183" t="s">
        <v>198</v>
      </c>
      <c r="B235" s="184" t="s">
        <v>199</v>
      </c>
      <c r="C235" s="185"/>
      <c r="D235" s="186"/>
      <c r="E235" s="187"/>
      <c r="F235" s="187"/>
      <c r="G235" s="292"/>
    </row>
    <row r="236" spans="1:7" ht="13.2" customHeight="1" x14ac:dyDescent="0.25">
      <c r="A236" s="188"/>
      <c r="B236" s="180">
        <v>1</v>
      </c>
      <c r="C236" s="189" t="s">
        <v>2016</v>
      </c>
      <c r="D236" s="176"/>
      <c r="E236" s="182" t="s">
        <v>235</v>
      </c>
      <c r="F236" s="182">
        <v>1</v>
      </c>
      <c r="G236" s="292">
        <v>99750</v>
      </c>
    </row>
    <row r="237" spans="1:7" ht="13.2" customHeight="1" x14ac:dyDescent="0.25">
      <c r="A237" s="188"/>
      <c r="B237" s="180">
        <v>2</v>
      </c>
      <c r="C237" s="189" t="s">
        <v>2017</v>
      </c>
      <c r="D237" s="176"/>
      <c r="E237" s="182" t="s">
        <v>235</v>
      </c>
      <c r="F237" s="182">
        <v>1</v>
      </c>
      <c r="G237" s="292">
        <v>105500</v>
      </c>
    </row>
    <row r="238" spans="1:7" ht="13.2" customHeight="1" x14ac:dyDescent="0.25">
      <c r="A238" s="188"/>
      <c r="B238" s="180">
        <v>3</v>
      </c>
      <c r="C238" s="189" t="s">
        <v>2018</v>
      </c>
      <c r="D238" s="176"/>
      <c r="E238" s="182" t="s">
        <v>235</v>
      </c>
      <c r="F238" s="182">
        <v>1</v>
      </c>
      <c r="G238" s="292">
        <v>106350</v>
      </c>
    </row>
    <row r="239" spans="1:7" ht="13.2" customHeight="1" x14ac:dyDescent="0.25">
      <c r="A239" s="188"/>
      <c r="B239" s="180">
        <v>4</v>
      </c>
      <c r="C239" s="189" t="s">
        <v>2019</v>
      </c>
      <c r="D239" s="176"/>
      <c r="E239" s="182" t="s">
        <v>235</v>
      </c>
      <c r="F239" s="182">
        <v>1</v>
      </c>
      <c r="G239" s="292">
        <v>125750</v>
      </c>
    </row>
    <row r="240" spans="1:7" ht="13.2" customHeight="1" x14ac:dyDescent="0.25">
      <c r="A240" s="188"/>
      <c r="B240" s="180">
        <v>5</v>
      </c>
      <c r="C240" s="189" t="s">
        <v>2020</v>
      </c>
      <c r="D240" s="176"/>
      <c r="E240" s="182" t="s">
        <v>235</v>
      </c>
      <c r="F240" s="182">
        <v>1</v>
      </c>
      <c r="G240" s="292">
        <v>129100</v>
      </c>
    </row>
    <row r="241" spans="1:7" ht="13.2" customHeight="1" x14ac:dyDescent="0.25">
      <c r="A241" s="188"/>
      <c r="B241" s="180">
        <v>6</v>
      </c>
      <c r="C241" s="189" t="s">
        <v>2021</v>
      </c>
      <c r="D241" s="176"/>
      <c r="E241" s="182" t="s">
        <v>235</v>
      </c>
      <c r="F241" s="182">
        <v>1</v>
      </c>
      <c r="G241" s="292">
        <v>132500</v>
      </c>
    </row>
    <row r="242" spans="1:7" x14ac:dyDescent="0.25">
      <c r="A242" s="183" t="s">
        <v>200</v>
      </c>
      <c r="B242" s="184" t="s">
        <v>201</v>
      </c>
      <c r="C242" s="185"/>
      <c r="D242" s="186"/>
      <c r="E242" s="187"/>
      <c r="F242" s="187"/>
      <c r="G242" s="292"/>
    </row>
    <row r="243" spans="1:7" x14ac:dyDescent="0.25">
      <c r="A243" s="188"/>
      <c r="B243" s="180">
        <v>1</v>
      </c>
      <c r="C243" s="189" t="s">
        <v>202</v>
      </c>
      <c r="D243" s="176"/>
      <c r="E243" s="182" t="s">
        <v>203</v>
      </c>
      <c r="F243" s="182">
        <v>1</v>
      </c>
      <c r="G243" s="292">
        <v>114000</v>
      </c>
    </row>
    <row r="244" spans="1:7" x14ac:dyDescent="0.25">
      <c r="A244" s="188"/>
      <c r="B244" s="180">
        <v>2</v>
      </c>
      <c r="C244" s="189" t="s">
        <v>204</v>
      </c>
      <c r="D244" s="176"/>
      <c r="E244" s="182" t="s">
        <v>203</v>
      </c>
      <c r="F244" s="182">
        <v>1</v>
      </c>
      <c r="G244" s="292">
        <v>90000</v>
      </c>
    </row>
    <row r="245" spans="1:7" x14ac:dyDescent="0.25">
      <c r="A245" s="188"/>
      <c r="B245" s="180">
        <v>3</v>
      </c>
      <c r="C245" s="189" t="s">
        <v>205</v>
      </c>
      <c r="D245" s="176"/>
      <c r="E245" s="182" t="s">
        <v>203</v>
      </c>
      <c r="F245" s="182">
        <v>1</v>
      </c>
      <c r="G245" s="292">
        <v>55000</v>
      </c>
    </row>
    <row r="246" spans="1:7" x14ac:dyDescent="0.25">
      <c r="A246" s="188"/>
      <c r="B246" s="180">
        <v>4</v>
      </c>
      <c r="C246" s="189" t="s">
        <v>206</v>
      </c>
      <c r="D246" s="176"/>
      <c r="E246" s="182" t="s">
        <v>203</v>
      </c>
      <c r="F246" s="182">
        <v>1</v>
      </c>
      <c r="G246" s="292">
        <v>50000</v>
      </c>
    </row>
    <row r="247" spans="1:7" x14ac:dyDescent="0.25">
      <c r="A247" s="188"/>
      <c r="B247" s="180">
        <v>5</v>
      </c>
      <c r="C247" s="189" t="s">
        <v>207</v>
      </c>
      <c r="D247" s="176"/>
      <c r="E247" s="182" t="s">
        <v>203</v>
      </c>
      <c r="F247" s="182">
        <v>1</v>
      </c>
      <c r="G247" s="292">
        <v>40000</v>
      </c>
    </row>
    <row r="248" spans="1:7" x14ac:dyDescent="0.25">
      <c r="A248" s="188"/>
      <c r="B248" s="180">
        <v>6</v>
      </c>
      <c r="C248" s="189" t="s">
        <v>208</v>
      </c>
      <c r="D248" s="176"/>
      <c r="E248" s="182" t="s">
        <v>203</v>
      </c>
      <c r="F248" s="182">
        <v>1</v>
      </c>
      <c r="G248" s="292">
        <v>27000</v>
      </c>
    </row>
    <row r="249" spans="1:7" x14ac:dyDescent="0.25">
      <c r="A249" s="188"/>
      <c r="B249" s="180">
        <v>7</v>
      </c>
      <c r="C249" s="189" t="s">
        <v>209</v>
      </c>
      <c r="D249" s="176"/>
      <c r="E249" s="182" t="s">
        <v>203</v>
      </c>
      <c r="F249" s="182">
        <v>1</v>
      </c>
      <c r="G249" s="292">
        <v>25000</v>
      </c>
    </row>
    <row r="250" spans="1:7" x14ac:dyDescent="0.25">
      <c r="A250" s="188"/>
      <c r="B250" s="180">
        <v>8</v>
      </c>
      <c r="C250" s="189" t="s">
        <v>210</v>
      </c>
      <c r="D250" s="176"/>
      <c r="E250" s="182" t="s">
        <v>203</v>
      </c>
      <c r="F250" s="182">
        <v>1</v>
      </c>
      <c r="G250" s="292">
        <v>19500</v>
      </c>
    </row>
    <row r="251" spans="1:7" x14ac:dyDescent="0.25">
      <c r="A251" s="188"/>
      <c r="B251" s="180">
        <v>9</v>
      </c>
      <c r="C251" s="189" t="s">
        <v>211</v>
      </c>
      <c r="D251" s="176"/>
      <c r="E251" s="182" t="s">
        <v>203</v>
      </c>
      <c r="F251" s="182">
        <v>1</v>
      </c>
      <c r="G251" s="292">
        <v>17000</v>
      </c>
    </row>
    <row r="252" spans="1:7" x14ac:dyDescent="0.25">
      <c r="A252" s="188"/>
      <c r="B252" s="180">
        <v>10</v>
      </c>
      <c r="C252" s="189" t="s">
        <v>212</v>
      </c>
      <c r="D252" s="176"/>
      <c r="E252" s="182" t="s">
        <v>203</v>
      </c>
      <c r="F252" s="182">
        <v>1</v>
      </c>
      <c r="G252" s="292">
        <v>14000</v>
      </c>
    </row>
    <row r="253" spans="1:7" x14ac:dyDescent="0.25">
      <c r="A253" s="183" t="s">
        <v>213</v>
      </c>
      <c r="B253" s="184" t="s">
        <v>214</v>
      </c>
      <c r="C253" s="185"/>
      <c r="D253" s="186"/>
      <c r="E253" s="187"/>
      <c r="F253" s="187"/>
      <c r="G253" s="292"/>
    </row>
    <row r="254" spans="1:7" x14ac:dyDescent="0.25">
      <c r="A254" s="188"/>
      <c r="B254" s="180">
        <v>1</v>
      </c>
      <c r="C254" s="189" t="s">
        <v>215</v>
      </c>
      <c r="D254" s="176"/>
      <c r="E254" s="182" t="s">
        <v>203</v>
      </c>
      <c r="F254" s="182">
        <v>1</v>
      </c>
      <c r="G254" s="292">
        <v>87500</v>
      </c>
    </row>
    <row r="255" spans="1:7" x14ac:dyDescent="0.25">
      <c r="A255" s="188"/>
      <c r="B255" s="180">
        <v>2</v>
      </c>
      <c r="C255" s="189" t="s">
        <v>216</v>
      </c>
      <c r="D255" s="176"/>
      <c r="E255" s="182" t="s">
        <v>203</v>
      </c>
      <c r="F255" s="182">
        <v>1</v>
      </c>
      <c r="G255" s="292">
        <v>70000</v>
      </c>
    </row>
    <row r="256" spans="1:7" x14ac:dyDescent="0.25">
      <c r="A256" s="188"/>
      <c r="B256" s="180">
        <v>3</v>
      </c>
      <c r="C256" s="189" t="s">
        <v>217</v>
      </c>
      <c r="D256" s="176"/>
      <c r="E256" s="182" t="s">
        <v>203</v>
      </c>
      <c r="F256" s="182">
        <v>1</v>
      </c>
      <c r="G256" s="292">
        <v>61250</v>
      </c>
    </row>
    <row r="257" spans="1:7" x14ac:dyDescent="0.25">
      <c r="A257" s="188"/>
      <c r="B257" s="180">
        <v>4</v>
      </c>
      <c r="C257" s="189" t="s">
        <v>218</v>
      </c>
      <c r="D257" s="176"/>
      <c r="E257" s="182" t="s">
        <v>203</v>
      </c>
      <c r="F257" s="182">
        <v>1</v>
      </c>
      <c r="G257" s="292">
        <v>52500</v>
      </c>
    </row>
    <row r="258" spans="1:7" x14ac:dyDescent="0.25">
      <c r="A258" s="183" t="s">
        <v>219</v>
      </c>
      <c r="B258" s="184" t="s">
        <v>220</v>
      </c>
      <c r="C258" s="185"/>
      <c r="D258" s="186"/>
      <c r="E258" s="187"/>
      <c r="F258" s="187"/>
      <c r="G258" s="292"/>
    </row>
    <row r="259" spans="1:7" x14ac:dyDescent="0.25">
      <c r="A259" s="188"/>
      <c r="B259" s="180">
        <v>1</v>
      </c>
      <c r="C259" s="189" t="s">
        <v>221</v>
      </c>
      <c r="D259" s="176"/>
      <c r="E259" s="182" t="s">
        <v>203</v>
      </c>
      <c r="F259" s="182">
        <v>1</v>
      </c>
      <c r="G259" s="292">
        <v>6600</v>
      </c>
    </row>
    <row r="260" spans="1:7" x14ac:dyDescent="0.25">
      <c r="A260" s="188"/>
      <c r="B260" s="180">
        <v>2</v>
      </c>
      <c r="C260" s="189" t="s">
        <v>222</v>
      </c>
      <c r="D260" s="176"/>
      <c r="E260" s="182" t="s">
        <v>203</v>
      </c>
      <c r="F260" s="182">
        <v>1</v>
      </c>
      <c r="G260" s="292">
        <v>7900</v>
      </c>
    </row>
    <row r="261" spans="1:7" x14ac:dyDescent="0.25">
      <c r="A261" s="188"/>
      <c r="B261" s="180">
        <v>3</v>
      </c>
      <c r="C261" s="189" t="s">
        <v>223</v>
      </c>
      <c r="D261" s="176"/>
      <c r="E261" s="182" t="s">
        <v>203</v>
      </c>
      <c r="F261" s="182">
        <v>1</v>
      </c>
      <c r="G261" s="292">
        <v>10500</v>
      </c>
    </row>
    <row r="262" spans="1:7" x14ac:dyDescent="0.25">
      <c r="A262" s="188"/>
      <c r="B262" s="180">
        <v>4</v>
      </c>
      <c r="C262" s="189" t="s">
        <v>224</v>
      </c>
      <c r="D262" s="176"/>
      <c r="E262" s="182" t="s">
        <v>203</v>
      </c>
      <c r="F262" s="182">
        <v>1</v>
      </c>
      <c r="G262" s="292">
        <v>13150</v>
      </c>
    </row>
    <row r="263" spans="1:7" x14ac:dyDescent="0.25">
      <c r="A263" s="188"/>
      <c r="B263" s="180">
        <v>5</v>
      </c>
      <c r="C263" s="189" t="s">
        <v>225</v>
      </c>
      <c r="D263" s="176"/>
      <c r="E263" s="182" t="s">
        <v>203</v>
      </c>
      <c r="F263" s="182">
        <v>1</v>
      </c>
      <c r="G263" s="292">
        <v>19700</v>
      </c>
    </row>
    <row r="264" spans="1:7" x14ac:dyDescent="0.25">
      <c r="A264" s="183" t="s">
        <v>226</v>
      </c>
      <c r="B264" s="184" t="s">
        <v>227</v>
      </c>
      <c r="C264" s="185"/>
      <c r="D264" s="186"/>
      <c r="E264" s="187"/>
      <c r="F264" s="187"/>
      <c r="G264" s="292"/>
    </row>
    <row r="265" spans="1:7" x14ac:dyDescent="0.25">
      <c r="A265" s="188"/>
      <c r="B265" s="180">
        <v>1</v>
      </c>
      <c r="C265" s="189" t="s">
        <v>228</v>
      </c>
      <c r="D265" s="176"/>
      <c r="E265" s="182" t="s">
        <v>203</v>
      </c>
      <c r="F265" s="182">
        <v>1</v>
      </c>
      <c r="G265" s="292">
        <v>5650</v>
      </c>
    </row>
    <row r="266" spans="1:7" x14ac:dyDescent="0.25">
      <c r="A266" s="188"/>
      <c r="B266" s="180">
        <v>2</v>
      </c>
      <c r="C266" s="189" t="s">
        <v>229</v>
      </c>
      <c r="D266" s="176"/>
      <c r="E266" s="182" t="s">
        <v>203</v>
      </c>
      <c r="F266" s="182">
        <v>1</v>
      </c>
      <c r="G266" s="292">
        <v>6800</v>
      </c>
    </row>
    <row r="267" spans="1:7" x14ac:dyDescent="0.25">
      <c r="A267" s="188"/>
      <c r="B267" s="180">
        <v>3</v>
      </c>
      <c r="C267" s="189" t="s">
        <v>230</v>
      </c>
      <c r="D267" s="176"/>
      <c r="E267" s="182" t="s">
        <v>203</v>
      </c>
      <c r="F267" s="182">
        <v>1</v>
      </c>
      <c r="G267" s="292">
        <v>9000</v>
      </c>
    </row>
    <row r="268" spans="1:7" x14ac:dyDescent="0.25">
      <c r="A268" s="188"/>
      <c r="B268" s="180">
        <v>4</v>
      </c>
      <c r="C268" s="189" t="s">
        <v>231</v>
      </c>
      <c r="D268" s="176"/>
      <c r="E268" s="182" t="s">
        <v>203</v>
      </c>
      <c r="F268" s="182">
        <v>1</v>
      </c>
      <c r="G268" s="292">
        <v>11300</v>
      </c>
    </row>
    <row r="269" spans="1:7" x14ac:dyDescent="0.25">
      <c r="A269" s="188"/>
      <c r="B269" s="180">
        <v>5</v>
      </c>
      <c r="C269" s="189" t="s">
        <v>232</v>
      </c>
      <c r="D269" s="176"/>
      <c r="E269" s="182" t="s">
        <v>203</v>
      </c>
      <c r="F269" s="182">
        <v>1</v>
      </c>
      <c r="G269" s="292">
        <v>16900</v>
      </c>
    </row>
    <row r="270" spans="1:7" x14ac:dyDescent="0.25">
      <c r="A270" s="188"/>
      <c r="B270" s="180">
        <v>6</v>
      </c>
      <c r="C270" s="189" t="s">
        <v>1743</v>
      </c>
      <c r="D270" s="176"/>
      <c r="E270" s="182" t="s">
        <v>203</v>
      </c>
      <c r="F270" s="182">
        <v>1</v>
      </c>
      <c r="G270" s="292">
        <v>74750</v>
      </c>
    </row>
    <row r="271" spans="1:7" x14ac:dyDescent="0.25">
      <c r="A271" s="183" t="s">
        <v>233</v>
      </c>
      <c r="B271" s="184" t="s">
        <v>234</v>
      </c>
      <c r="C271" s="185"/>
      <c r="D271" s="186"/>
      <c r="E271" s="187"/>
      <c r="F271" s="187"/>
      <c r="G271" s="292"/>
    </row>
    <row r="272" spans="1:7" x14ac:dyDescent="0.25">
      <c r="A272" s="188"/>
      <c r="B272" s="180">
        <v>1</v>
      </c>
      <c r="C272" s="189" t="s">
        <v>326</v>
      </c>
      <c r="D272" s="176"/>
      <c r="E272" s="182" t="s">
        <v>235</v>
      </c>
      <c r="F272" s="182">
        <v>1</v>
      </c>
      <c r="G272" s="292">
        <v>30000</v>
      </c>
    </row>
    <row r="273" spans="1:7" x14ac:dyDescent="0.25">
      <c r="A273" s="188"/>
      <c r="B273" s="180">
        <v>2</v>
      </c>
      <c r="C273" s="189" t="s">
        <v>327</v>
      </c>
      <c r="D273" s="176"/>
      <c r="E273" s="182" t="s">
        <v>235</v>
      </c>
      <c r="F273" s="182">
        <v>1</v>
      </c>
      <c r="G273" s="292">
        <v>41000</v>
      </c>
    </row>
    <row r="274" spans="1:7" x14ac:dyDescent="0.25">
      <c r="A274" s="188"/>
      <c r="B274" s="180">
        <v>3</v>
      </c>
      <c r="C274" s="189" t="s">
        <v>329</v>
      </c>
      <c r="D274" s="176"/>
      <c r="E274" s="182" t="s">
        <v>235</v>
      </c>
      <c r="F274" s="182">
        <v>1</v>
      </c>
      <c r="G274" s="292">
        <v>55000</v>
      </c>
    </row>
    <row r="275" spans="1:7" x14ac:dyDescent="0.25">
      <c r="A275" s="188"/>
      <c r="B275" s="180">
        <v>4</v>
      </c>
      <c r="C275" s="189" t="s">
        <v>330</v>
      </c>
      <c r="D275" s="176"/>
      <c r="E275" s="182" t="s">
        <v>235</v>
      </c>
      <c r="F275" s="182">
        <v>1</v>
      </c>
      <c r="G275" s="292">
        <v>75000</v>
      </c>
    </row>
    <row r="276" spans="1:7" x14ac:dyDescent="0.25">
      <c r="A276" s="188"/>
      <c r="B276" s="180">
        <v>5</v>
      </c>
      <c r="C276" s="189" t="s">
        <v>2027</v>
      </c>
      <c r="D276" s="176"/>
      <c r="E276" s="182" t="s">
        <v>235</v>
      </c>
      <c r="F276" s="182">
        <v>1</v>
      </c>
      <c r="G276" s="292">
        <v>82500</v>
      </c>
    </row>
    <row r="277" spans="1:7" x14ac:dyDescent="0.25">
      <c r="A277" s="188"/>
      <c r="B277" s="180">
        <v>6</v>
      </c>
      <c r="C277" s="189" t="s">
        <v>2028</v>
      </c>
      <c r="D277" s="176"/>
      <c r="E277" s="182" t="s">
        <v>235</v>
      </c>
      <c r="F277" s="182">
        <v>1</v>
      </c>
      <c r="G277" s="292">
        <v>90000</v>
      </c>
    </row>
    <row r="278" spans="1:7" x14ac:dyDescent="0.25">
      <c r="A278" s="188"/>
      <c r="B278" s="180">
        <v>7</v>
      </c>
      <c r="C278" s="189" t="s">
        <v>2029</v>
      </c>
      <c r="D278" s="176"/>
      <c r="E278" s="182" t="s">
        <v>235</v>
      </c>
      <c r="F278" s="182">
        <v>1</v>
      </c>
      <c r="G278" s="292">
        <v>105000</v>
      </c>
    </row>
    <row r="279" spans="1:7" x14ac:dyDescent="0.25">
      <c r="A279" s="188"/>
      <c r="B279" s="180">
        <v>8</v>
      </c>
      <c r="C279" s="189" t="s">
        <v>2030</v>
      </c>
      <c r="D279" s="176"/>
      <c r="E279" s="182" t="s">
        <v>235</v>
      </c>
      <c r="F279" s="182">
        <v>1</v>
      </c>
      <c r="G279" s="292">
        <v>164000</v>
      </c>
    </row>
    <row r="280" spans="1:7" x14ac:dyDescent="0.25">
      <c r="A280" s="183" t="s">
        <v>236</v>
      </c>
      <c r="B280" s="184" t="s">
        <v>237</v>
      </c>
      <c r="C280" s="185"/>
      <c r="D280" s="186"/>
      <c r="E280" s="187"/>
      <c r="F280" s="187"/>
      <c r="G280" s="292"/>
    </row>
    <row r="281" spans="1:7" x14ac:dyDescent="0.25">
      <c r="A281" s="188"/>
      <c r="B281" s="180">
        <v>1</v>
      </c>
      <c r="C281" s="189" t="s">
        <v>326</v>
      </c>
      <c r="D281" s="176"/>
      <c r="E281" s="182" t="s">
        <v>235</v>
      </c>
      <c r="F281" s="182">
        <v>1</v>
      </c>
      <c r="G281" s="292">
        <v>30000</v>
      </c>
    </row>
    <row r="282" spans="1:7" x14ac:dyDescent="0.25">
      <c r="A282" s="188"/>
      <c r="B282" s="180">
        <v>2</v>
      </c>
      <c r="C282" s="189" t="s">
        <v>327</v>
      </c>
      <c r="D282" s="176"/>
      <c r="E282" s="182" t="s">
        <v>235</v>
      </c>
      <c r="F282" s="182">
        <v>1</v>
      </c>
      <c r="G282" s="292">
        <v>45000</v>
      </c>
    </row>
    <row r="283" spans="1:7" x14ac:dyDescent="0.25">
      <c r="A283" s="188"/>
      <c r="B283" s="180">
        <v>3</v>
      </c>
      <c r="C283" s="189" t="s">
        <v>329</v>
      </c>
      <c r="D283" s="176"/>
      <c r="E283" s="182" t="s">
        <v>235</v>
      </c>
      <c r="F283" s="182">
        <v>1</v>
      </c>
      <c r="G283" s="292">
        <v>67500</v>
      </c>
    </row>
    <row r="284" spans="1:7" x14ac:dyDescent="0.25">
      <c r="A284" s="188"/>
      <c r="B284" s="180">
        <v>4</v>
      </c>
      <c r="C284" s="189" t="s">
        <v>330</v>
      </c>
      <c r="D284" s="176"/>
      <c r="E284" s="182" t="s">
        <v>235</v>
      </c>
      <c r="F284" s="182">
        <v>1</v>
      </c>
      <c r="G284" s="292">
        <v>85000</v>
      </c>
    </row>
    <row r="285" spans="1:7" x14ac:dyDescent="0.25">
      <c r="A285" s="188"/>
      <c r="B285" s="180">
        <v>5</v>
      </c>
      <c r="C285" s="189" t="s">
        <v>2027</v>
      </c>
      <c r="D285" s="176"/>
      <c r="E285" s="182" t="s">
        <v>235</v>
      </c>
      <c r="F285" s="182">
        <v>1</v>
      </c>
      <c r="G285" s="292">
        <v>100000</v>
      </c>
    </row>
    <row r="286" spans="1:7" x14ac:dyDescent="0.25">
      <c r="A286" s="188"/>
      <c r="B286" s="180">
        <v>6</v>
      </c>
      <c r="C286" s="189" t="s">
        <v>2028</v>
      </c>
      <c r="D286" s="176"/>
      <c r="E286" s="182" t="s">
        <v>235</v>
      </c>
      <c r="F286" s="182">
        <v>1</v>
      </c>
      <c r="G286" s="292">
        <v>115000</v>
      </c>
    </row>
    <row r="287" spans="1:7" x14ac:dyDescent="0.25">
      <c r="A287" s="188"/>
      <c r="B287" s="180">
        <v>7</v>
      </c>
      <c r="C287" s="189" t="s">
        <v>2029</v>
      </c>
      <c r="D287" s="176"/>
      <c r="E287" s="182" t="s">
        <v>235</v>
      </c>
      <c r="F287" s="182">
        <v>1</v>
      </c>
      <c r="G287" s="292">
        <v>135000</v>
      </c>
    </row>
    <row r="288" spans="1:7" x14ac:dyDescent="0.25">
      <c r="A288" s="188"/>
      <c r="B288" s="180">
        <v>8</v>
      </c>
      <c r="C288" s="189" t="s">
        <v>2030</v>
      </c>
      <c r="D288" s="176"/>
      <c r="E288" s="182" t="s">
        <v>235</v>
      </c>
      <c r="F288" s="182">
        <v>1</v>
      </c>
      <c r="G288" s="292">
        <v>200000</v>
      </c>
    </row>
    <row r="289" spans="1:7" x14ac:dyDescent="0.25">
      <c r="A289" s="183" t="s">
        <v>238</v>
      </c>
      <c r="B289" s="184" t="s">
        <v>239</v>
      </c>
      <c r="C289" s="185"/>
      <c r="D289" s="186"/>
      <c r="E289" s="187"/>
      <c r="F289" s="187"/>
      <c r="G289" s="292"/>
    </row>
    <row r="290" spans="1:7" x14ac:dyDescent="0.25">
      <c r="A290" s="188"/>
      <c r="B290" s="180">
        <v>1</v>
      </c>
      <c r="C290" s="189" t="s">
        <v>326</v>
      </c>
      <c r="D290" s="176"/>
      <c r="E290" s="182" t="s">
        <v>235</v>
      </c>
      <c r="F290" s="182">
        <v>1</v>
      </c>
      <c r="G290" s="292">
        <v>38500</v>
      </c>
    </row>
    <row r="291" spans="1:7" x14ac:dyDescent="0.25">
      <c r="A291" s="188"/>
      <c r="B291" s="180">
        <v>2</v>
      </c>
      <c r="C291" s="189" t="s">
        <v>327</v>
      </c>
      <c r="D291" s="176"/>
      <c r="E291" s="182" t="s">
        <v>235</v>
      </c>
      <c r="F291" s="182">
        <v>1</v>
      </c>
      <c r="G291" s="292">
        <v>57500</v>
      </c>
    </row>
    <row r="292" spans="1:7" x14ac:dyDescent="0.25">
      <c r="A292" s="188"/>
      <c r="B292" s="180">
        <v>3</v>
      </c>
      <c r="C292" s="189" t="s">
        <v>329</v>
      </c>
      <c r="D292" s="176"/>
      <c r="E292" s="182" t="s">
        <v>235</v>
      </c>
      <c r="F292" s="182">
        <v>1</v>
      </c>
      <c r="G292" s="292">
        <v>85000</v>
      </c>
    </row>
    <row r="293" spans="1:7" x14ac:dyDescent="0.25">
      <c r="A293" s="188"/>
      <c r="B293" s="180">
        <v>4</v>
      </c>
      <c r="C293" s="189" t="s">
        <v>330</v>
      </c>
      <c r="D293" s="176"/>
      <c r="E293" s="182" t="s">
        <v>235</v>
      </c>
      <c r="F293" s="182">
        <v>1</v>
      </c>
      <c r="G293" s="292">
        <v>105000</v>
      </c>
    </row>
    <row r="294" spans="1:7" x14ac:dyDescent="0.25">
      <c r="A294" s="188"/>
      <c r="B294" s="180">
        <v>5</v>
      </c>
      <c r="C294" s="189" t="s">
        <v>2027</v>
      </c>
      <c r="D294" s="176"/>
      <c r="E294" s="182" t="s">
        <v>235</v>
      </c>
      <c r="F294" s="182">
        <v>1</v>
      </c>
      <c r="G294" s="292">
        <v>128000</v>
      </c>
    </row>
    <row r="295" spans="1:7" x14ac:dyDescent="0.25">
      <c r="A295" s="188"/>
      <c r="B295" s="180">
        <v>6</v>
      </c>
      <c r="C295" s="189" t="s">
        <v>2028</v>
      </c>
      <c r="D295" s="176"/>
      <c r="E295" s="182" t="s">
        <v>235</v>
      </c>
      <c r="F295" s="182">
        <v>1</v>
      </c>
      <c r="G295" s="292">
        <v>150000</v>
      </c>
    </row>
    <row r="296" spans="1:7" x14ac:dyDescent="0.25">
      <c r="A296" s="188"/>
      <c r="B296" s="180">
        <v>7</v>
      </c>
      <c r="C296" s="189" t="s">
        <v>2029</v>
      </c>
      <c r="D296" s="176"/>
      <c r="E296" s="182" t="s">
        <v>235</v>
      </c>
      <c r="F296" s="182">
        <v>1</v>
      </c>
      <c r="G296" s="292">
        <v>172000</v>
      </c>
    </row>
    <row r="297" spans="1:7" x14ac:dyDescent="0.25">
      <c r="A297" s="188"/>
      <c r="B297" s="180">
        <v>8</v>
      </c>
      <c r="C297" s="189" t="s">
        <v>2030</v>
      </c>
      <c r="D297" s="176"/>
      <c r="E297" s="182" t="s">
        <v>235</v>
      </c>
      <c r="F297" s="182">
        <v>1</v>
      </c>
      <c r="G297" s="292">
        <v>258000</v>
      </c>
    </row>
    <row r="298" spans="1:7" x14ac:dyDescent="0.25">
      <c r="A298" s="183" t="s">
        <v>240</v>
      </c>
      <c r="B298" s="184" t="s">
        <v>241</v>
      </c>
      <c r="C298" s="185"/>
      <c r="D298" s="186"/>
      <c r="E298" s="187"/>
      <c r="F298" s="187"/>
      <c r="G298" s="292"/>
    </row>
    <row r="299" spans="1:7" x14ac:dyDescent="0.25">
      <c r="A299" s="188"/>
      <c r="B299" s="180">
        <v>1</v>
      </c>
      <c r="C299" s="189" t="s">
        <v>326</v>
      </c>
      <c r="D299" s="176"/>
      <c r="E299" s="182" t="s">
        <v>235</v>
      </c>
      <c r="F299" s="182">
        <v>1</v>
      </c>
      <c r="G299" s="292">
        <v>166000</v>
      </c>
    </row>
    <row r="300" spans="1:7" x14ac:dyDescent="0.25">
      <c r="A300" s="188"/>
      <c r="B300" s="180">
        <v>2</v>
      </c>
      <c r="C300" s="189" t="s">
        <v>2031</v>
      </c>
      <c r="D300" s="176"/>
      <c r="E300" s="182" t="s">
        <v>235</v>
      </c>
      <c r="F300" s="182">
        <v>1</v>
      </c>
      <c r="G300" s="292">
        <v>210000</v>
      </c>
    </row>
    <row r="301" spans="1:7" x14ac:dyDescent="0.25">
      <c r="A301" s="188"/>
      <c r="B301" s="180">
        <v>3</v>
      </c>
      <c r="C301" s="189" t="s">
        <v>327</v>
      </c>
      <c r="D301" s="176"/>
      <c r="E301" s="182" t="s">
        <v>235</v>
      </c>
      <c r="F301" s="182">
        <v>1</v>
      </c>
      <c r="G301" s="292">
        <v>253000</v>
      </c>
    </row>
    <row r="302" spans="1:7" x14ac:dyDescent="0.25">
      <c r="A302" s="188"/>
      <c r="B302" s="180">
        <v>4</v>
      </c>
      <c r="C302" s="189" t="s">
        <v>2032</v>
      </c>
      <c r="D302" s="176"/>
      <c r="E302" s="182" t="s">
        <v>235</v>
      </c>
      <c r="F302" s="182">
        <v>1</v>
      </c>
      <c r="G302" s="292">
        <v>298000</v>
      </c>
    </row>
    <row r="303" spans="1:7" x14ac:dyDescent="0.25">
      <c r="A303" s="188"/>
      <c r="B303" s="180">
        <v>5</v>
      </c>
      <c r="C303" s="189" t="s">
        <v>329</v>
      </c>
      <c r="D303" s="176"/>
      <c r="E303" s="182" t="s">
        <v>235</v>
      </c>
      <c r="F303" s="182">
        <v>1</v>
      </c>
      <c r="G303" s="292">
        <v>342000</v>
      </c>
    </row>
    <row r="304" spans="1:7" x14ac:dyDescent="0.25">
      <c r="A304" s="188"/>
      <c r="B304" s="180">
        <v>6</v>
      </c>
      <c r="C304" s="189" t="s">
        <v>2027</v>
      </c>
      <c r="D304" s="176"/>
      <c r="E304" s="182" t="s">
        <v>235</v>
      </c>
      <c r="F304" s="182">
        <v>1</v>
      </c>
      <c r="G304" s="292">
        <v>500000</v>
      </c>
    </row>
    <row r="305" spans="1:7" x14ac:dyDescent="0.25">
      <c r="A305" s="188"/>
      <c r="B305" s="180">
        <v>7</v>
      </c>
      <c r="C305" s="189" t="s">
        <v>2029</v>
      </c>
      <c r="D305" s="176"/>
      <c r="E305" s="182" t="s">
        <v>235</v>
      </c>
      <c r="F305" s="182">
        <v>1</v>
      </c>
      <c r="G305" s="292">
        <v>666500</v>
      </c>
    </row>
    <row r="306" spans="1:7" x14ac:dyDescent="0.25">
      <c r="A306" s="188"/>
      <c r="B306" s="180">
        <v>8</v>
      </c>
      <c r="C306" s="189" t="s">
        <v>2030</v>
      </c>
      <c r="D306" s="176"/>
      <c r="E306" s="182" t="s">
        <v>235</v>
      </c>
      <c r="F306" s="182">
        <v>1</v>
      </c>
      <c r="G306" s="292">
        <v>1000000</v>
      </c>
    </row>
    <row r="307" spans="1:7" x14ac:dyDescent="0.25">
      <c r="A307" s="183" t="s">
        <v>242</v>
      </c>
      <c r="B307" s="184" t="s">
        <v>243</v>
      </c>
      <c r="C307" s="185"/>
      <c r="D307" s="186"/>
      <c r="E307" s="187"/>
      <c r="F307" s="187"/>
      <c r="G307" s="292"/>
    </row>
    <row r="308" spans="1:7" x14ac:dyDescent="0.25">
      <c r="A308" s="188"/>
      <c r="B308" s="180">
        <v>1</v>
      </c>
      <c r="C308" s="189" t="s">
        <v>326</v>
      </c>
      <c r="D308" s="176"/>
      <c r="E308" s="182" t="s">
        <v>235</v>
      </c>
      <c r="F308" s="182">
        <v>1</v>
      </c>
      <c r="G308" s="292">
        <v>189000</v>
      </c>
    </row>
    <row r="309" spans="1:7" x14ac:dyDescent="0.25">
      <c r="A309" s="188"/>
      <c r="B309" s="180">
        <v>2</v>
      </c>
      <c r="C309" s="189" t="s">
        <v>2031</v>
      </c>
      <c r="D309" s="176"/>
      <c r="E309" s="182" t="s">
        <v>235</v>
      </c>
      <c r="F309" s="182">
        <v>1</v>
      </c>
      <c r="G309" s="292">
        <v>236000</v>
      </c>
    </row>
    <row r="310" spans="1:7" x14ac:dyDescent="0.25">
      <c r="A310" s="188"/>
      <c r="B310" s="180">
        <v>3</v>
      </c>
      <c r="C310" s="189" t="s">
        <v>327</v>
      </c>
      <c r="D310" s="176"/>
      <c r="E310" s="182" t="s">
        <v>235</v>
      </c>
      <c r="F310" s="182">
        <v>1</v>
      </c>
      <c r="G310" s="292">
        <v>283000</v>
      </c>
    </row>
    <row r="311" spans="1:7" x14ac:dyDescent="0.25">
      <c r="A311" s="188"/>
      <c r="B311" s="180">
        <v>4</v>
      </c>
      <c r="C311" s="189" t="s">
        <v>2032</v>
      </c>
      <c r="D311" s="176"/>
      <c r="E311" s="182" t="s">
        <v>235</v>
      </c>
      <c r="F311" s="182">
        <v>1</v>
      </c>
      <c r="G311" s="292">
        <v>331000</v>
      </c>
    </row>
    <row r="312" spans="1:7" x14ac:dyDescent="0.25">
      <c r="A312" s="188"/>
      <c r="B312" s="180">
        <v>5</v>
      </c>
      <c r="C312" s="189" t="s">
        <v>329</v>
      </c>
      <c r="D312" s="176"/>
      <c r="E312" s="182" t="s">
        <v>235</v>
      </c>
      <c r="F312" s="182">
        <v>1</v>
      </c>
      <c r="G312" s="292">
        <v>378000</v>
      </c>
    </row>
    <row r="313" spans="1:7" x14ac:dyDescent="0.25">
      <c r="A313" s="188"/>
      <c r="B313" s="180">
        <v>6</v>
      </c>
      <c r="C313" s="189" t="s">
        <v>2027</v>
      </c>
      <c r="D313" s="176"/>
      <c r="E313" s="182" t="s">
        <v>235</v>
      </c>
      <c r="F313" s="182">
        <v>1</v>
      </c>
      <c r="G313" s="292">
        <v>567000</v>
      </c>
    </row>
    <row r="314" spans="1:7" x14ac:dyDescent="0.25">
      <c r="A314" s="188"/>
      <c r="B314" s="180">
        <v>7</v>
      </c>
      <c r="C314" s="189" t="s">
        <v>2029</v>
      </c>
      <c r="D314" s="176"/>
      <c r="E314" s="182" t="s">
        <v>235</v>
      </c>
      <c r="F314" s="182">
        <v>1</v>
      </c>
      <c r="G314" s="292">
        <v>946000</v>
      </c>
    </row>
    <row r="315" spans="1:7" x14ac:dyDescent="0.25">
      <c r="A315" s="188"/>
      <c r="B315" s="180">
        <v>8</v>
      </c>
      <c r="C315" s="189" t="s">
        <v>2033</v>
      </c>
      <c r="D315" s="176"/>
      <c r="E315" s="182" t="s">
        <v>235</v>
      </c>
      <c r="F315" s="182">
        <v>1</v>
      </c>
      <c r="G315" s="292">
        <v>946000</v>
      </c>
    </row>
    <row r="316" spans="1:7" x14ac:dyDescent="0.25">
      <c r="A316" s="188"/>
      <c r="B316" s="180">
        <v>9</v>
      </c>
      <c r="C316" s="189" t="s">
        <v>2030</v>
      </c>
      <c r="D316" s="176"/>
      <c r="E316" s="182" t="s">
        <v>235</v>
      </c>
      <c r="F316" s="182">
        <v>1</v>
      </c>
      <c r="G316" s="292">
        <v>1135000</v>
      </c>
    </row>
    <row r="317" spans="1:7" x14ac:dyDescent="0.25">
      <c r="A317" s="183" t="s">
        <v>244</v>
      </c>
      <c r="B317" s="184" t="s">
        <v>245</v>
      </c>
      <c r="C317" s="185"/>
      <c r="D317" s="186"/>
      <c r="E317" s="187"/>
      <c r="F317" s="187"/>
      <c r="G317" s="292"/>
    </row>
    <row r="318" spans="1:7" x14ac:dyDescent="0.25">
      <c r="A318" s="188"/>
      <c r="B318" s="180">
        <v>1</v>
      </c>
      <c r="C318" s="189" t="s">
        <v>326</v>
      </c>
      <c r="D318" s="176"/>
      <c r="E318" s="182" t="s">
        <v>235</v>
      </c>
      <c r="F318" s="182">
        <v>1</v>
      </c>
      <c r="G318" s="292">
        <v>227000</v>
      </c>
    </row>
    <row r="319" spans="1:7" x14ac:dyDescent="0.25">
      <c r="A319" s="188"/>
      <c r="B319" s="180">
        <v>2</v>
      </c>
      <c r="C319" s="189" t="s">
        <v>2031</v>
      </c>
      <c r="D319" s="176"/>
      <c r="E319" s="182" t="s">
        <v>235</v>
      </c>
      <c r="F319" s="182">
        <v>1</v>
      </c>
      <c r="G319" s="292">
        <v>284000</v>
      </c>
    </row>
    <row r="320" spans="1:7" x14ac:dyDescent="0.25">
      <c r="A320" s="188"/>
      <c r="B320" s="180">
        <v>3</v>
      </c>
      <c r="C320" s="189" t="s">
        <v>327</v>
      </c>
      <c r="D320" s="176"/>
      <c r="E320" s="182" t="s">
        <v>235</v>
      </c>
      <c r="F320" s="182">
        <v>1</v>
      </c>
      <c r="G320" s="292">
        <v>340000</v>
      </c>
    </row>
    <row r="321" spans="1:7" x14ac:dyDescent="0.25">
      <c r="A321" s="188"/>
      <c r="B321" s="180">
        <v>4</v>
      </c>
      <c r="C321" s="189" t="s">
        <v>2032</v>
      </c>
      <c r="D321" s="176"/>
      <c r="E321" s="182" t="s">
        <v>235</v>
      </c>
      <c r="F321" s="182">
        <v>1</v>
      </c>
      <c r="G321" s="292">
        <v>397000</v>
      </c>
    </row>
    <row r="322" spans="1:7" x14ac:dyDescent="0.25">
      <c r="A322" s="188"/>
      <c r="B322" s="180">
        <v>5</v>
      </c>
      <c r="C322" s="189" t="s">
        <v>329</v>
      </c>
      <c r="D322" s="176"/>
      <c r="E322" s="182" t="s">
        <v>235</v>
      </c>
      <c r="F322" s="182">
        <v>1</v>
      </c>
      <c r="G322" s="292">
        <v>454000</v>
      </c>
    </row>
    <row r="323" spans="1:7" x14ac:dyDescent="0.25">
      <c r="A323" s="188"/>
      <c r="B323" s="180">
        <v>6</v>
      </c>
      <c r="C323" s="189" t="s">
        <v>2027</v>
      </c>
      <c r="D323" s="176"/>
      <c r="E323" s="182" t="s">
        <v>235</v>
      </c>
      <c r="F323" s="182">
        <v>1</v>
      </c>
      <c r="G323" s="292">
        <v>681000</v>
      </c>
    </row>
    <row r="324" spans="1:7" x14ac:dyDescent="0.25">
      <c r="A324" s="188"/>
      <c r="B324" s="180">
        <v>7</v>
      </c>
      <c r="C324" s="189" t="s">
        <v>2029</v>
      </c>
      <c r="D324" s="176"/>
      <c r="E324" s="182" t="s">
        <v>235</v>
      </c>
      <c r="F324" s="182">
        <v>1</v>
      </c>
      <c r="G324" s="292">
        <v>794000</v>
      </c>
    </row>
    <row r="325" spans="1:7" x14ac:dyDescent="0.25">
      <c r="A325" s="188"/>
      <c r="B325" s="180">
        <v>8</v>
      </c>
      <c r="C325" s="189" t="s">
        <v>2033</v>
      </c>
      <c r="D325" s="176"/>
      <c r="E325" s="182" t="s">
        <v>235</v>
      </c>
      <c r="F325" s="182">
        <v>1</v>
      </c>
      <c r="G325" s="292">
        <v>1135000</v>
      </c>
    </row>
    <row r="326" spans="1:7" x14ac:dyDescent="0.25">
      <c r="A326" s="188"/>
      <c r="B326" s="180">
        <v>9</v>
      </c>
      <c r="C326" s="189" t="s">
        <v>2030</v>
      </c>
      <c r="D326" s="176"/>
      <c r="E326" s="182" t="s">
        <v>235</v>
      </c>
      <c r="F326" s="182">
        <v>1</v>
      </c>
      <c r="G326" s="292">
        <v>1362000</v>
      </c>
    </row>
    <row r="327" spans="1:7" x14ac:dyDescent="0.25">
      <c r="A327" s="183" t="s">
        <v>246</v>
      </c>
      <c r="B327" s="184" t="s">
        <v>247</v>
      </c>
      <c r="C327" s="185"/>
      <c r="D327" s="186"/>
      <c r="E327" s="187"/>
      <c r="F327" s="187"/>
      <c r="G327" s="292"/>
    </row>
    <row r="328" spans="1:7" x14ac:dyDescent="0.25">
      <c r="A328" s="188"/>
      <c r="B328" s="180">
        <v>1</v>
      </c>
      <c r="C328" s="189" t="s">
        <v>326</v>
      </c>
      <c r="D328" s="176"/>
      <c r="E328" s="182" t="s">
        <v>235</v>
      </c>
      <c r="F328" s="182">
        <v>1</v>
      </c>
      <c r="G328" s="292">
        <v>333000</v>
      </c>
    </row>
    <row r="329" spans="1:7" x14ac:dyDescent="0.25">
      <c r="A329" s="188"/>
      <c r="B329" s="180">
        <v>2</v>
      </c>
      <c r="C329" s="189" t="s">
        <v>2031</v>
      </c>
      <c r="D329" s="176"/>
      <c r="E329" s="182" t="s">
        <v>235</v>
      </c>
      <c r="F329" s="182">
        <v>1</v>
      </c>
      <c r="G329" s="292">
        <v>420000</v>
      </c>
    </row>
    <row r="330" spans="1:7" x14ac:dyDescent="0.25">
      <c r="A330" s="188"/>
      <c r="B330" s="180">
        <v>3</v>
      </c>
      <c r="C330" s="189" t="s">
        <v>327</v>
      </c>
      <c r="D330" s="176"/>
      <c r="E330" s="182" t="s">
        <v>235</v>
      </c>
      <c r="F330" s="182">
        <v>1</v>
      </c>
      <c r="G330" s="292">
        <v>507000</v>
      </c>
    </row>
    <row r="331" spans="1:7" x14ac:dyDescent="0.25">
      <c r="A331" s="188"/>
      <c r="B331" s="180">
        <v>4</v>
      </c>
      <c r="C331" s="189" t="s">
        <v>2032</v>
      </c>
      <c r="D331" s="176"/>
      <c r="E331" s="182" t="s">
        <v>235</v>
      </c>
      <c r="F331" s="182">
        <v>1</v>
      </c>
      <c r="G331" s="292">
        <v>595000</v>
      </c>
    </row>
    <row r="332" spans="1:7" x14ac:dyDescent="0.25">
      <c r="A332" s="188"/>
      <c r="B332" s="180">
        <v>5</v>
      </c>
      <c r="C332" s="189" t="s">
        <v>329</v>
      </c>
      <c r="D332" s="176"/>
      <c r="E332" s="182" t="s">
        <v>235</v>
      </c>
      <c r="F332" s="182">
        <v>1</v>
      </c>
      <c r="G332" s="292">
        <v>682000</v>
      </c>
    </row>
    <row r="333" spans="1:7" x14ac:dyDescent="0.25">
      <c r="A333" s="188"/>
      <c r="B333" s="180">
        <v>6</v>
      </c>
      <c r="C333" s="189" t="s">
        <v>2027</v>
      </c>
      <c r="D333" s="176"/>
      <c r="E333" s="182" t="s">
        <v>235</v>
      </c>
      <c r="F333" s="182">
        <v>1</v>
      </c>
      <c r="G333" s="292">
        <v>999000</v>
      </c>
    </row>
    <row r="334" spans="1:7" x14ac:dyDescent="0.25">
      <c r="A334" s="188"/>
      <c r="B334" s="180">
        <v>7</v>
      </c>
      <c r="C334" s="189" t="s">
        <v>2029</v>
      </c>
      <c r="D334" s="176"/>
      <c r="E334" s="182" t="s">
        <v>235</v>
      </c>
      <c r="F334" s="182">
        <v>1</v>
      </c>
      <c r="G334" s="292">
        <v>1332000</v>
      </c>
    </row>
    <row r="335" spans="1:7" x14ac:dyDescent="0.25">
      <c r="A335" s="188"/>
      <c r="B335" s="180">
        <v>8</v>
      </c>
      <c r="C335" s="189" t="s">
        <v>2030</v>
      </c>
      <c r="D335" s="176"/>
      <c r="E335" s="182" t="s">
        <v>235</v>
      </c>
      <c r="F335" s="182">
        <v>1</v>
      </c>
      <c r="G335" s="292">
        <v>1998000</v>
      </c>
    </row>
    <row r="336" spans="1:7" x14ac:dyDescent="0.25">
      <c r="A336" s="183" t="s">
        <v>248</v>
      </c>
      <c r="B336" s="184" t="s">
        <v>249</v>
      </c>
      <c r="C336" s="185"/>
      <c r="D336" s="186"/>
      <c r="E336" s="187"/>
      <c r="F336" s="187"/>
      <c r="G336" s="292"/>
    </row>
    <row r="337" spans="1:7" x14ac:dyDescent="0.25">
      <c r="A337" s="188"/>
      <c r="B337" s="180">
        <v>1</v>
      </c>
      <c r="C337" s="189" t="s">
        <v>326</v>
      </c>
      <c r="D337" s="176"/>
      <c r="E337" s="182" t="s">
        <v>235</v>
      </c>
      <c r="F337" s="182">
        <v>1</v>
      </c>
      <c r="G337" s="292">
        <v>415000</v>
      </c>
    </row>
    <row r="338" spans="1:7" x14ac:dyDescent="0.25">
      <c r="A338" s="188"/>
      <c r="B338" s="180">
        <v>2</v>
      </c>
      <c r="C338" s="189" t="s">
        <v>2031</v>
      </c>
      <c r="D338" s="176"/>
      <c r="E338" s="182" t="s">
        <v>235</v>
      </c>
      <c r="F338" s="182">
        <v>1</v>
      </c>
      <c r="G338" s="292">
        <v>523100</v>
      </c>
    </row>
    <row r="339" spans="1:7" x14ac:dyDescent="0.25">
      <c r="A339" s="188"/>
      <c r="B339" s="180">
        <v>3</v>
      </c>
      <c r="C339" s="189" t="s">
        <v>327</v>
      </c>
      <c r="D339" s="176"/>
      <c r="E339" s="182" t="s">
        <v>235</v>
      </c>
      <c r="F339" s="182">
        <v>1</v>
      </c>
      <c r="G339" s="292">
        <v>633200</v>
      </c>
    </row>
    <row r="340" spans="1:7" x14ac:dyDescent="0.25">
      <c r="A340" s="188"/>
      <c r="B340" s="180">
        <v>4</v>
      </c>
      <c r="C340" s="189" t="s">
        <v>2032</v>
      </c>
      <c r="D340" s="176"/>
      <c r="E340" s="182" t="s">
        <v>235</v>
      </c>
      <c r="F340" s="182">
        <v>1</v>
      </c>
      <c r="G340" s="292">
        <v>741300</v>
      </c>
    </row>
    <row r="341" spans="1:7" x14ac:dyDescent="0.25">
      <c r="A341" s="188"/>
      <c r="B341" s="180">
        <v>5</v>
      </c>
      <c r="C341" s="189" t="s">
        <v>329</v>
      </c>
      <c r="D341" s="176"/>
      <c r="E341" s="182" t="s">
        <v>235</v>
      </c>
      <c r="F341" s="182">
        <v>1</v>
      </c>
      <c r="G341" s="292">
        <v>849900</v>
      </c>
    </row>
    <row r="342" spans="1:7" x14ac:dyDescent="0.25">
      <c r="A342" s="188"/>
      <c r="B342" s="180">
        <v>6</v>
      </c>
      <c r="C342" s="189" t="s">
        <v>2027</v>
      </c>
      <c r="D342" s="176"/>
      <c r="E342" s="182" t="s">
        <v>235</v>
      </c>
      <c r="F342" s="182">
        <v>1</v>
      </c>
      <c r="G342" s="292">
        <v>1246825.0000000002</v>
      </c>
    </row>
    <row r="343" spans="1:7" x14ac:dyDescent="0.25">
      <c r="A343" s="188"/>
      <c r="B343" s="180">
        <v>7</v>
      </c>
      <c r="C343" s="189" t="s">
        <v>2029</v>
      </c>
      <c r="D343" s="176"/>
      <c r="E343" s="182" t="s">
        <v>235</v>
      </c>
      <c r="F343" s="182">
        <v>1</v>
      </c>
      <c r="G343" s="292">
        <v>1663300</v>
      </c>
    </row>
    <row r="344" spans="1:7" x14ac:dyDescent="0.25">
      <c r="A344" s="188"/>
      <c r="B344" s="180">
        <v>8</v>
      </c>
      <c r="C344" s="189" t="s">
        <v>2030</v>
      </c>
      <c r="D344" s="176"/>
      <c r="E344" s="182" t="s">
        <v>235</v>
      </c>
      <c r="F344" s="182">
        <v>1</v>
      </c>
      <c r="G344" s="292">
        <v>2496150.0000000005</v>
      </c>
    </row>
    <row r="345" spans="1:7" x14ac:dyDescent="0.25">
      <c r="A345" s="183" t="s">
        <v>250</v>
      </c>
      <c r="B345" s="184" t="s">
        <v>251</v>
      </c>
      <c r="C345" s="185"/>
      <c r="D345" s="186"/>
      <c r="E345" s="187"/>
      <c r="F345" s="187"/>
      <c r="G345" s="292"/>
    </row>
    <row r="346" spans="1:7" x14ac:dyDescent="0.25">
      <c r="A346" s="188"/>
      <c r="B346" s="180">
        <v>1</v>
      </c>
      <c r="C346" s="189" t="s">
        <v>326</v>
      </c>
      <c r="D346" s="176"/>
      <c r="E346" s="182" t="s">
        <v>235</v>
      </c>
      <c r="F346" s="182">
        <v>1</v>
      </c>
      <c r="G346" s="292">
        <v>498300</v>
      </c>
    </row>
    <row r="347" spans="1:7" x14ac:dyDescent="0.25">
      <c r="A347" s="188"/>
      <c r="B347" s="180">
        <v>2</v>
      </c>
      <c r="C347" s="189" t="s">
        <v>2031</v>
      </c>
      <c r="D347" s="176"/>
      <c r="E347" s="182" t="s">
        <v>235</v>
      </c>
      <c r="F347" s="182">
        <v>1</v>
      </c>
      <c r="G347" s="292">
        <v>628220</v>
      </c>
    </row>
    <row r="348" spans="1:7" x14ac:dyDescent="0.25">
      <c r="A348" s="188"/>
      <c r="B348" s="180">
        <v>3</v>
      </c>
      <c r="C348" s="189" t="s">
        <v>327</v>
      </c>
      <c r="D348" s="176"/>
      <c r="E348" s="182" t="s">
        <v>235</v>
      </c>
      <c r="F348" s="182">
        <v>1</v>
      </c>
      <c r="G348" s="292">
        <v>760140</v>
      </c>
    </row>
    <row r="349" spans="1:7" x14ac:dyDescent="0.25">
      <c r="A349" s="188"/>
      <c r="B349" s="180">
        <v>4</v>
      </c>
      <c r="C349" s="189" t="s">
        <v>2032</v>
      </c>
      <c r="D349" s="176"/>
      <c r="E349" s="182" t="s">
        <v>235</v>
      </c>
      <c r="F349" s="182">
        <v>1</v>
      </c>
      <c r="G349" s="292">
        <v>890060</v>
      </c>
    </row>
    <row r="350" spans="1:7" x14ac:dyDescent="0.25">
      <c r="A350" s="188"/>
      <c r="B350" s="180">
        <v>5</v>
      </c>
      <c r="C350" s="189" t="s">
        <v>329</v>
      </c>
      <c r="D350" s="176"/>
      <c r="E350" s="182" t="s">
        <v>235</v>
      </c>
      <c r="F350" s="182">
        <v>1</v>
      </c>
      <c r="G350" s="292">
        <v>1020480</v>
      </c>
    </row>
    <row r="351" spans="1:7" x14ac:dyDescent="0.25">
      <c r="A351" s="188"/>
      <c r="B351" s="180">
        <v>6</v>
      </c>
      <c r="C351" s="189" t="s">
        <v>2027</v>
      </c>
      <c r="D351" s="176"/>
      <c r="E351" s="182" t="s">
        <v>235</v>
      </c>
      <c r="F351" s="182">
        <v>1</v>
      </c>
      <c r="G351" s="292">
        <v>1496690.0000000002</v>
      </c>
    </row>
    <row r="352" spans="1:7" x14ac:dyDescent="0.25">
      <c r="A352" s="188"/>
      <c r="B352" s="180">
        <v>7</v>
      </c>
      <c r="C352" s="189" t="s">
        <v>2029</v>
      </c>
      <c r="D352" s="176"/>
      <c r="E352" s="182" t="s">
        <v>235</v>
      </c>
      <c r="F352" s="182">
        <v>1</v>
      </c>
      <c r="G352" s="292">
        <v>1996460</v>
      </c>
    </row>
    <row r="353" spans="1:7" x14ac:dyDescent="0.25">
      <c r="A353" s="188"/>
      <c r="B353" s="180">
        <v>8</v>
      </c>
      <c r="C353" s="189" t="s">
        <v>2030</v>
      </c>
      <c r="D353" s="176"/>
      <c r="E353" s="182" t="s">
        <v>235</v>
      </c>
      <c r="F353" s="182">
        <v>1</v>
      </c>
      <c r="G353" s="292">
        <v>2995880.0000000005</v>
      </c>
    </row>
    <row r="354" spans="1:7" x14ac:dyDescent="0.25">
      <c r="A354" s="183" t="s">
        <v>252</v>
      </c>
      <c r="B354" s="184" t="s">
        <v>253</v>
      </c>
      <c r="C354" s="185"/>
      <c r="D354" s="186"/>
      <c r="E354" s="187"/>
      <c r="F354" s="187"/>
      <c r="G354" s="292"/>
    </row>
    <row r="355" spans="1:7" x14ac:dyDescent="0.25">
      <c r="A355" s="188"/>
      <c r="B355" s="180">
        <v>1</v>
      </c>
      <c r="C355" s="189" t="s">
        <v>254</v>
      </c>
      <c r="D355" s="176"/>
      <c r="E355" s="182" t="s">
        <v>203</v>
      </c>
      <c r="F355" s="182">
        <v>1</v>
      </c>
      <c r="G355" s="292">
        <v>57600.000000000007</v>
      </c>
    </row>
    <row r="356" spans="1:7" x14ac:dyDescent="0.25">
      <c r="A356" s="188"/>
      <c r="B356" s="180">
        <v>2</v>
      </c>
      <c r="C356" s="189" t="s">
        <v>255</v>
      </c>
      <c r="D356" s="176"/>
      <c r="E356" s="182" t="s">
        <v>203</v>
      </c>
      <c r="F356" s="182">
        <v>1</v>
      </c>
      <c r="G356" s="292">
        <v>107700</v>
      </c>
    </row>
    <row r="357" spans="1:7" x14ac:dyDescent="0.25">
      <c r="A357" s="188"/>
      <c r="B357" s="180">
        <v>3</v>
      </c>
      <c r="C357" s="189" t="s">
        <v>256</v>
      </c>
      <c r="D357" s="176"/>
      <c r="E357" s="182" t="s">
        <v>203</v>
      </c>
      <c r="F357" s="182">
        <v>1</v>
      </c>
      <c r="G357" s="292">
        <v>141750</v>
      </c>
    </row>
    <row r="358" spans="1:7" x14ac:dyDescent="0.25">
      <c r="A358" s="188"/>
      <c r="B358" s="180">
        <v>4</v>
      </c>
      <c r="C358" s="189" t="s">
        <v>935</v>
      </c>
      <c r="D358" s="176"/>
      <c r="E358" s="182" t="s">
        <v>203</v>
      </c>
      <c r="F358" s="182">
        <v>1</v>
      </c>
      <c r="G358" s="292">
        <v>22000</v>
      </c>
    </row>
    <row r="359" spans="1:7" x14ac:dyDescent="0.25">
      <c r="A359" s="188"/>
      <c r="B359" s="180">
        <v>5</v>
      </c>
      <c r="C359" s="189" t="s">
        <v>936</v>
      </c>
      <c r="D359" s="176"/>
      <c r="E359" s="182" t="s">
        <v>203</v>
      </c>
      <c r="F359" s="182">
        <v>1</v>
      </c>
      <c r="G359" s="292">
        <v>24350</v>
      </c>
    </row>
    <row r="360" spans="1:7" x14ac:dyDescent="0.25">
      <c r="A360" s="188"/>
      <c r="B360" s="180">
        <v>6</v>
      </c>
      <c r="C360" s="189" t="s">
        <v>937</v>
      </c>
      <c r="D360" s="176"/>
      <c r="E360" s="182" t="s">
        <v>203</v>
      </c>
      <c r="F360" s="182">
        <v>1</v>
      </c>
      <c r="G360" s="292">
        <v>41000</v>
      </c>
    </row>
    <row r="361" spans="1:7" x14ac:dyDescent="0.25">
      <c r="A361" s="183" t="s">
        <v>257</v>
      </c>
      <c r="B361" s="184" t="s">
        <v>258</v>
      </c>
      <c r="C361" s="185"/>
      <c r="D361" s="186"/>
      <c r="E361" s="187"/>
      <c r="F361" s="187"/>
      <c r="G361" s="292"/>
    </row>
    <row r="362" spans="1:7" x14ac:dyDescent="0.25">
      <c r="A362" s="188"/>
      <c r="B362" s="180">
        <v>1</v>
      </c>
      <c r="C362" s="189" t="s">
        <v>259</v>
      </c>
      <c r="D362" s="176"/>
      <c r="E362" s="182" t="s">
        <v>203</v>
      </c>
      <c r="F362" s="182">
        <v>1</v>
      </c>
      <c r="G362" s="292">
        <v>40000</v>
      </c>
    </row>
    <row r="363" spans="1:7" x14ac:dyDescent="0.25">
      <c r="A363" s="188"/>
      <c r="B363" s="180">
        <v>2</v>
      </c>
      <c r="C363" s="189" t="s">
        <v>260</v>
      </c>
      <c r="D363" s="176"/>
      <c r="E363" s="182" t="s">
        <v>203</v>
      </c>
      <c r="F363" s="182">
        <v>1</v>
      </c>
      <c r="G363" s="292">
        <v>75000</v>
      </c>
    </row>
    <row r="364" spans="1:7" x14ac:dyDescent="0.25">
      <c r="A364" s="188"/>
      <c r="B364" s="180">
        <v>3</v>
      </c>
      <c r="C364" s="189" t="s">
        <v>261</v>
      </c>
      <c r="D364" s="176"/>
      <c r="E364" s="182" t="s">
        <v>203</v>
      </c>
      <c r="F364" s="182">
        <v>1</v>
      </c>
      <c r="G364" s="292">
        <v>105000</v>
      </c>
    </row>
    <row r="365" spans="1:7" x14ac:dyDescent="0.25">
      <c r="A365" s="183" t="s">
        <v>262</v>
      </c>
      <c r="B365" s="184" t="s">
        <v>263</v>
      </c>
      <c r="C365" s="185"/>
      <c r="D365" s="186"/>
      <c r="E365" s="187"/>
      <c r="F365" s="187"/>
      <c r="G365" s="292"/>
    </row>
    <row r="366" spans="1:7" x14ac:dyDescent="0.25">
      <c r="A366" s="188"/>
      <c r="B366" s="180">
        <v>1</v>
      </c>
      <c r="C366" s="189" t="s">
        <v>2233</v>
      </c>
      <c r="D366" s="176"/>
      <c r="E366" s="182" t="s">
        <v>264</v>
      </c>
      <c r="F366" s="182">
        <v>1</v>
      </c>
      <c r="G366" s="292">
        <v>33700</v>
      </c>
    </row>
    <row r="367" spans="1:7" x14ac:dyDescent="0.25">
      <c r="A367" s="188"/>
      <c r="B367" s="180">
        <v>2</v>
      </c>
      <c r="C367" s="189" t="s">
        <v>2022</v>
      </c>
      <c r="D367" s="176"/>
      <c r="E367" s="182" t="s">
        <v>264</v>
      </c>
      <c r="F367" s="182">
        <v>1</v>
      </c>
      <c r="G367" s="292">
        <v>25500</v>
      </c>
    </row>
    <row r="368" spans="1:7" x14ac:dyDescent="0.25">
      <c r="A368" s="188"/>
      <c r="B368" s="180">
        <v>3</v>
      </c>
      <c r="C368" s="189" t="s">
        <v>2023</v>
      </c>
      <c r="D368" s="176"/>
      <c r="E368" s="182" t="s">
        <v>264</v>
      </c>
      <c r="F368" s="182">
        <v>1</v>
      </c>
      <c r="G368" s="292">
        <v>21250</v>
      </c>
    </row>
    <row r="369" spans="1:7" x14ac:dyDescent="0.25">
      <c r="A369" s="188"/>
      <c r="B369" s="180">
        <v>4</v>
      </c>
      <c r="C369" s="189" t="s">
        <v>2024</v>
      </c>
      <c r="D369" s="176"/>
      <c r="E369" s="182" t="s">
        <v>264</v>
      </c>
      <c r="F369" s="182">
        <v>1</v>
      </c>
      <c r="G369" s="292">
        <v>15250</v>
      </c>
    </row>
    <row r="370" spans="1:7" x14ac:dyDescent="0.25">
      <c r="A370" s="188"/>
      <c r="B370" s="180">
        <v>5</v>
      </c>
      <c r="C370" s="189" t="s">
        <v>2025</v>
      </c>
      <c r="D370" s="176"/>
      <c r="E370" s="182" t="s">
        <v>264</v>
      </c>
      <c r="F370" s="182">
        <v>1</v>
      </c>
      <c r="G370" s="292">
        <v>13400</v>
      </c>
    </row>
    <row r="371" spans="1:7" x14ac:dyDescent="0.25">
      <c r="A371" s="188"/>
      <c r="B371" s="180">
        <v>6</v>
      </c>
      <c r="C371" s="189" t="s">
        <v>2026</v>
      </c>
      <c r="D371" s="176"/>
      <c r="E371" s="182" t="s">
        <v>264</v>
      </c>
      <c r="F371" s="182">
        <v>1</v>
      </c>
      <c r="G371" s="292">
        <v>9750</v>
      </c>
    </row>
    <row r="372" spans="1:7" x14ac:dyDescent="0.25">
      <c r="A372" s="183" t="s">
        <v>265</v>
      </c>
      <c r="B372" s="184" t="s">
        <v>266</v>
      </c>
      <c r="C372" s="185"/>
      <c r="D372" s="186"/>
      <c r="E372" s="187"/>
      <c r="F372" s="187"/>
      <c r="G372" s="292"/>
    </row>
    <row r="373" spans="1:7" x14ac:dyDescent="0.25">
      <c r="A373" s="188"/>
      <c r="B373" s="180">
        <v>1</v>
      </c>
      <c r="C373" s="189" t="s">
        <v>267</v>
      </c>
      <c r="D373" s="176"/>
      <c r="E373" s="182" t="s">
        <v>203</v>
      </c>
      <c r="F373" s="182">
        <v>1</v>
      </c>
      <c r="G373" s="292">
        <v>82500</v>
      </c>
    </row>
    <row r="374" spans="1:7" x14ac:dyDescent="0.25">
      <c r="A374" s="188"/>
      <c r="B374" s="180">
        <v>2</v>
      </c>
      <c r="C374" s="189" t="s">
        <v>268</v>
      </c>
      <c r="D374" s="176"/>
      <c r="E374" s="182" t="s">
        <v>203</v>
      </c>
      <c r="F374" s="182">
        <v>1</v>
      </c>
      <c r="G374" s="292">
        <v>65000</v>
      </c>
    </row>
    <row r="375" spans="1:7" x14ac:dyDescent="0.25">
      <c r="A375" s="188"/>
      <c r="B375" s="180">
        <v>3</v>
      </c>
      <c r="C375" s="189" t="s">
        <v>269</v>
      </c>
      <c r="D375" s="176"/>
      <c r="E375" s="182" t="s">
        <v>203</v>
      </c>
      <c r="F375" s="182">
        <v>1</v>
      </c>
      <c r="G375" s="292">
        <v>54000</v>
      </c>
    </row>
    <row r="376" spans="1:7" x14ac:dyDescent="0.25">
      <c r="A376" s="188"/>
      <c r="B376" s="180">
        <v>4</v>
      </c>
      <c r="C376" s="189" t="s">
        <v>270</v>
      </c>
      <c r="D376" s="176"/>
      <c r="E376" s="182" t="s">
        <v>203</v>
      </c>
      <c r="F376" s="182">
        <v>1</v>
      </c>
      <c r="G376" s="292">
        <v>41000</v>
      </c>
    </row>
    <row r="377" spans="1:7" x14ac:dyDescent="0.25">
      <c r="A377" s="188"/>
      <c r="B377" s="180">
        <v>5</v>
      </c>
      <c r="C377" s="189" t="s">
        <v>271</v>
      </c>
      <c r="D377" s="176"/>
      <c r="E377" s="182" t="s">
        <v>203</v>
      </c>
      <c r="F377" s="182">
        <v>1</v>
      </c>
      <c r="G377" s="292">
        <v>30000</v>
      </c>
    </row>
    <row r="378" spans="1:7" x14ac:dyDescent="0.25">
      <c r="A378" s="188"/>
      <c r="B378" s="180">
        <v>6</v>
      </c>
      <c r="C378" s="189" t="s">
        <v>272</v>
      </c>
      <c r="D378" s="176"/>
      <c r="E378" s="182" t="s">
        <v>203</v>
      </c>
      <c r="F378" s="182">
        <v>1</v>
      </c>
      <c r="G378" s="292">
        <v>22500</v>
      </c>
    </row>
    <row r="379" spans="1:7" x14ac:dyDescent="0.25">
      <c r="A379" s="183" t="s">
        <v>273</v>
      </c>
      <c r="B379" s="184" t="s">
        <v>274</v>
      </c>
      <c r="C379" s="185"/>
      <c r="D379" s="186"/>
      <c r="E379" s="187"/>
      <c r="F379" s="187"/>
      <c r="G379" s="292"/>
    </row>
    <row r="380" spans="1:7" x14ac:dyDescent="0.25">
      <c r="A380" s="188"/>
      <c r="B380" s="180">
        <v>1</v>
      </c>
      <c r="C380" s="189" t="s">
        <v>275</v>
      </c>
      <c r="D380" s="176"/>
      <c r="E380" s="182" t="s">
        <v>203</v>
      </c>
      <c r="F380" s="182">
        <v>1</v>
      </c>
      <c r="G380" s="292">
        <v>46000</v>
      </c>
    </row>
    <row r="381" spans="1:7" x14ac:dyDescent="0.25">
      <c r="A381" s="188"/>
      <c r="B381" s="180">
        <v>2</v>
      </c>
      <c r="C381" s="189" t="s">
        <v>276</v>
      </c>
      <c r="D381" s="176"/>
      <c r="E381" s="182" t="s">
        <v>203</v>
      </c>
      <c r="F381" s="182">
        <v>1</v>
      </c>
      <c r="G381" s="292">
        <v>42000</v>
      </c>
    </row>
    <row r="382" spans="1:7" x14ac:dyDescent="0.25">
      <c r="A382" s="188"/>
      <c r="B382" s="180">
        <v>3</v>
      </c>
      <c r="C382" s="189" t="s">
        <v>277</v>
      </c>
      <c r="D382" s="176"/>
      <c r="E382" s="182" t="s">
        <v>203</v>
      </c>
      <c r="F382" s="182">
        <v>1</v>
      </c>
      <c r="G382" s="292">
        <v>39000</v>
      </c>
    </row>
    <row r="383" spans="1:7" x14ac:dyDescent="0.25">
      <c r="A383" s="188"/>
      <c r="B383" s="180">
        <v>4</v>
      </c>
      <c r="C383" s="189" t="s">
        <v>278</v>
      </c>
      <c r="D383" s="176"/>
      <c r="E383" s="182" t="s">
        <v>203</v>
      </c>
      <c r="F383" s="182">
        <v>1</v>
      </c>
      <c r="G383" s="292">
        <v>25000</v>
      </c>
    </row>
    <row r="384" spans="1:7" x14ac:dyDescent="0.25">
      <c r="A384" s="188"/>
      <c r="B384" s="180">
        <v>5</v>
      </c>
      <c r="C384" s="189" t="s">
        <v>1613</v>
      </c>
      <c r="D384" s="176"/>
      <c r="E384" s="182" t="s">
        <v>203</v>
      </c>
      <c r="F384" s="182">
        <v>1</v>
      </c>
      <c r="G384" s="292">
        <v>18000</v>
      </c>
    </row>
    <row r="385" spans="1:7" x14ac:dyDescent="0.25">
      <c r="A385" s="188"/>
      <c r="B385" s="180">
        <v>6</v>
      </c>
      <c r="C385" s="189" t="s">
        <v>1612</v>
      </c>
      <c r="D385" s="176"/>
      <c r="E385" s="182" t="s">
        <v>203</v>
      </c>
      <c r="F385" s="182">
        <v>1</v>
      </c>
      <c r="G385" s="292">
        <v>15000</v>
      </c>
    </row>
    <row r="386" spans="1:7" x14ac:dyDescent="0.25">
      <c r="A386" s="188"/>
      <c r="B386" s="180">
        <v>7</v>
      </c>
      <c r="C386" s="189" t="s">
        <v>1611</v>
      </c>
      <c r="D386" s="176"/>
      <c r="E386" s="182" t="s">
        <v>203</v>
      </c>
      <c r="F386" s="182">
        <v>1</v>
      </c>
      <c r="G386" s="292">
        <v>9000</v>
      </c>
    </row>
    <row r="387" spans="1:7" x14ac:dyDescent="0.25">
      <c r="A387" s="188"/>
      <c r="B387" s="180">
        <v>8</v>
      </c>
      <c r="C387" s="189" t="s">
        <v>1610</v>
      </c>
      <c r="D387" s="176"/>
      <c r="E387" s="182" t="s">
        <v>203</v>
      </c>
      <c r="F387" s="182">
        <v>1</v>
      </c>
      <c r="G387" s="292">
        <v>6000</v>
      </c>
    </row>
    <row r="388" spans="1:7" x14ac:dyDescent="0.25">
      <c r="A388" s="183" t="s">
        <v>279</v>
      </c>
      <c r="B388" s="184" t="s">
        <v>280</v>
      </c>
      <c r="C388" s="185"/>
      <c r="D388" s="186"/>
      <c r="E388" s="187"/>
      <c r="F388" s="187"/>
      <c r="G388" s="292"/>
    </row>
    <row r="389" spans="1:7" x14ac:dyDescent="0.25">
      <c r="A389" s="188"/>
      <c r="B389" s="180">
        <v>1</v>
      </c>
      <c r="C389" s="189" t="s">
        <v>281</v>
      </c>
      <c r="D389" s="176"/>
      <c r="E389" s="182" t="s">
        <v>203</v>
      </c>
      <c r="F389" s="182">
        <v>1</v>
      </c>
      <c r="G389" s="292">
        <v>100000</v>
      </c>
    </row>
    <row r="390" spans="1:7" x14ac:dyDescent="0.25">
      <c r="A390" s="188"/>
      <c r="B390" s="180">
        <v>2</v>
      </c>
      <c r="C390" s="189" t="s">
        <v>282</v>
      </c>
      <c r="D390" s="176"/>
      <c r="E390" s="182" t="s">
        <v>203</v>
      </c>
      <c r="F390" s="182">
        <v>1</v>
      </c>
      <c r="G390" s="292">
        <v>175000</v>
      </c>
    </row>
    <row r="391" spans="1:7" x14ac:dyDescent="0.25">
      <c r="A391" s="183" t="s">
        <v>283</v>
      </c>
      <c r="B391" s="184" t="s">
        <v>284</v>
      </c>
      <c r="C391" s="185"/>
      <c r="D391" s="186"/>
      <c r="E391" s="187"/>
      <c r="F391" s="187"/>
      <c r="G391" s="292"/>
    </row>
    <row r="392" spans="1:7" x14ac:dyDescent="0.25">
      <c r="A392" s="188"/>
      <c r="B392" s="180">
        <v>1</v>
      </c>
      <c r="C392" s="189" t="s">
        <v>285</v>
      </c>
      <c r="D392" s="176"/>
      <c r="E392" s="182" t="s">
        <v>203</v>
      </c>
      <c r="F392" s="182">
        <v>1</v>
      </c>
      <c r="G392" s="292">
        <v>112000</v>
      </c>
    </row>
    <row r="393" spans="1:7" x14ac:dyDescent="0.25">
      <c r="A393" s="188"/>
      <c r="B393" s="180">
        <v>2</v>
      </c>
      <c r="C393" s="189" t="s">
        <v>286</v>
      </c>
      <c r="D393" s="176"/>
      <c r="E393" s="182" t="s">
        <v>203</v>
      </c>
      <c r="F393" s="182">
        <v>1</v>
      </c>
      <c r="G393" s="292">
        <v>84000</v>
      </c>
    </row>
    <row r="394" spans="1:7" x14ac:dyDescent="0.25">
      <c r="A394" s="188"/>
      <c r="B394" s="180">
        <v>3</v>
      </c>
      <c r="C394" s="189" t="s">
        <v>287</v>
      </c>
      <c r="D394" s="176"/>
      <c r="E394" s="182" t="s">
        <v>203</v>
      </c>
      <c r="F394" s="182">
        <v>1</v>
      </c>
      <c r="G394" s="292">
        <v>56000</v>
      </c>
    </row>
    <row r="395" spans="1:7" x14ac:dyDescent="0.25">
      <c r="A395" s="188"/>
      <c r="B395" s="180">
        <v>4</v>
      </c>
      <c r="C395" s="189" t="s">
        <v>288</v>
      </c>
      <c r="D395" s="176"/>
      <c r="E395" s="182" t="s">
        <v>203</v>
      </c>
      <c r="F395" s="182">
        <v>1</v>
      </c>
      <c r="G395" s="292">
        <v>25000</v>
      </c>
    </row>
    <row r="396" spans="1:7" x14ac:dyDescent="0.25">
      <c r="A396" s="188"/>
      <c r="B396" s="180">
        <v>5</v>
      </c>
      <c r="C396" s="189" t="s">
        <v>289</v>
      </c>
      <c r="D396" s="176"/>
      <c r="E396" s="182" t="s">
        <v>203</v>
      </c>
      <c r="F396" s="182">
        <v>1</v>
      </c>
      <c r="G396" s="292">
        <v>20000</v>
      </c>
    </row>
    <row r="397" spans="1:7" x14ac:dyDescent="0.25">
      <c r="A397" s="183" t="s">
        <v>290</v>
      </c>
      <c r="B397" s="184" t="s">
        <v>291</v>
      </c>
      <c r="C397" s="185"/>
      <c r="D397" s="186"/>
      <c r="E397" s="187"/>
      <c r="F397" s="187"/>
      <c r="G397" s="292"/>
    </row>
    <row r="398" spans="1:7" x14ac:dyDescent="0.25">
      <c r="A398" s="188"/>
      <c r="B398" s="180">
        <v>1</v>
      </c>
      <c r="C398" s="189" t="s">
        <v>292</v>
      </c>
      <c r="D398" s="176"/>
      <c r="E398" s="182" t="s">
        <v>235</v>
      </c>
      <c r="F398" s="182">
        <v>1</v>
      </c>
      <c r="G398" s="292">
        <v>240000</v>
      </c>
    </row>
    <row r="399" spans="1:7" x14ac:dyDescent="0.25">
      <c r="A399" s="188"/>
      <c r="B399" s="180">
        <v>2</v>
      </c>
      <c r="C399" s="189" t="s">
        <v>293</v>
      </c>
      <c r="D399" s="176"/>
      <c r="E399" s="182" t="s">
        <v>235</v>
      </c>
      <c r="F399" s="182">
        <v>1</v>
      </c>
      <c r="G399" s="292">
        <v>199000</v>
      </c>
    </row>
    <row r="400" spans="1:7" x14ac:dyDescent="0.25">
      <c r="A400" s="188"/>
      <c r="B400" s="180">
        <v>3</v>
      </c>
      <c r="C400" s="189" t="s">
        <v>294</v>
      </c>
      <c r="D400" s="176"/>
      <c r="E400" s="182" t="s">
        <v>235</v>
      </c>
      <c r="F400" s="182">
        <v>1</v>
      </c>
      <c r="G400" s="292">
        <v>175000</v>
      </c>
    </row>
    <row r="401" spans="1:7" x14ac:dyDescent="0.25">
      <c r="A401" s="188"/>
      <c r="B401" s="180">
        <v>4</v>
      </c>
      <c r="C401" s="189" t="s">
        <v>295</v>
      </c>
      <c r="D401" s="176"/>
      <c r="E401" s="182" t="s">
        <v>235</v>
      </c>
      <c r="F401" s="182">
        <v>1</v>
      </c>
      <c r="G401" s="292">
        <v>147500</v>
      </c>
    </row>
    <row r="402" spans="1:7" x14ac:dyDescent="0.25">
      <c r="A402" s="188"/>
      <c r="B402" s="180">
        <v>5</v>
      </c>
      <c r="C402" s="190" t="s">
        <v>296</v>
      </c>
      <c r="D402" s="176"/>
      <c r="E402" s="182" t="s">
        <v>235</v>
      </c>
      <c r="F402" s="182">
        <v>1</v>
      </c>
      <c r="G402" s="292">
        <v>218000</v>
      </c>
    </row>
    <row r="403" spans="1:7" x14ac:dyDescent="0.25">
      <c r="A403" s="188"/>
      <c r="B403" s="180">
        <v>6</v>
      </c>
      <c r="C403" s="190" t="s">
        <v>297</v>
      </c>
      <c r="D403" s="176"/>
      <c r="E403" s="182" t="s">
        <v>235</v>
      </c>
      <c r="F403" s="182">
        <v>1</v>
      </c>
      <c r="G403" s="292">
        <v>140500</v>
      </c>
    </row>
    <row r="404" spans="1:7" x14ac:dyDescent="0.25">
      <c r="A404" s="188"/>
      <c r="B404" s="180">
        <v>7</v>
      </c>
      <c r="C404" s="190" t="s">
        <v>298</v>
      </c>
      <c r="D404" s="176"/>
      <c r="E404" s="182" t="s">
        <v>235</v>
      </c>
      <c r="F404" s="182">
        <v>1</v>
      </c>
      <c r="G404" s="292">
        <v>125000</v>
      </c>
    </row>
    <row r="405" spans="1:7" x14ac:dyDescent="0.25">
      <c r="A405" s="188"/>
      <c r="B405" s="180">
        <v>8</v>
      </c>
      <c r="C405" s="190" t="s">
        <v>299</v>
      </c>
      <c r="D405" s="176"/>
      <c r="E405" s="182" t="s">
        <v>235</v>
      </c>
      <c r="F405" s="182">
        <v>1</v>
      </c>
      <c r="G405" s="292">
        <v>105000</v>
      </c>
    </row>
    <row r="406" spans="1:7" x14ac:dyDescent="0.25">
      <c r="A406" s="188"/>
      <c r="B406" s="180">
        <v>9</v>
      </c>
      <c r="C406" s="190" t="s">
        <v>300</v>
      </c>
      <c r="D406" s="176"/>
      <c r="E406" s="182" t="s">
        <v>235</v>
      </c>
      <c r="F406" s="182">
        <v>1</v>
      </c>
      <c r="G406" s="292">
        <v>50000</v>
      </c>
    </row>
    <row r="407" spans="1:7" x14ac:dyDescent="0.25">
      <c r="A407" s="183" t="s">
        <v>301</v>
      </c>
      <c r="B407" s="184" t="s">
        <v>302</v>
      </c>
      <c r="C407" s="185"/>
      <c r="D407" s="186"/>
      <c r="E407" s="187"/>
      <c r="F407" s="187"/>
      <c r="G407" s="292"/>
    </row>
    <row r="408" spans="1:7" x14ac:dyDescent="0.25">
      <c r="A408" s="188"/>
      <c r="B408" s="180">
        <v>1</v>
      </c>
      <c r="C408" s="189" t="s">
        <v>303</v>
      </c>
      <c r="D408" s="176"/>
      <c r="E408" s="182" t="s">
        <v>203</v>
      </c>
      <c r="F408" s="182">
        <v>1</v>
      </c>
      <c r="G408" s="292">
        <v>47000</v>
      </c>
    </row>
    <row r="409" spans="1:7" x14ac:dyDescent="0.25">
      <c r="A409" s="188"/>
      <c r="B409" s="180">
        <v>2</v>
      </c>
      <c r="C409" s="189" t="s">
        <v>304</v>
      </c>
      <c r="D409" s="176"/>
      <c r="E409" s="182" t="s">
        <v>203</v>
      </c>
      <c r="F409" s="182">
        <v>1</v>
      </c>
      <c r="G409" s="292">
        <v>44000</v>
      </c>
    </row>
    <row r="410" spans="1:7" x14ac:dyDescent="0.25">
      <c r="A410" s="188"/>
      <c r="B410" s="180">
        <v>3</v>
      </c>
      <c r="C410" s="189" t="s">
        <v>305</v>
      </c>
      <c r="D410" s="176"/>
      <c r="E410" s="182" t="s">
        <v>203</v>
      </c>
      <c r="F410" s="182">
        <v>1</v>
      </c>
      <c r="G410" s="292">
        <v>39000</v>
      </c>
    </row>
    <row r="411" spans="1:7" x14ac:dyDescent="0.25">
      <c r="A411" s="183" t="s">
        <v>306</v>
      </c>
      <c r="B411" s="184" t="s">
        <v>307</v>
      </c>
      <c r="C411" s="185"/>
      <c r="D411" s="186"/>
      <c r="E411" s="187"/>
      <c r="F411" s="187"/>
      <c r="G411" s="292"/>
    </row>
    <row r="412" spans="1:7" x14ac:dyDescent="0.25">
      <c r="A412" s="188"/>
      <c r="B412" s="180">
        <v>1</v>
      </c>
      <c r="C412" s="189" t="s">
        <v>308</v>
      </c>
      <c r="D412" s="176"/>
      <c r="E412" s="182" t="s">
        <v>203</v>
      </c>
      <c r="F412" s="182">
        <v>1</v>
      </c>
      <c r="G412" s="292">
        <v>105000</v>
      </c>
    </row>
    <row r="413" spans="1:7" x14ac:dyDescent="0.25">
      <c r="A413" s="188"/>
      <c r="B413" s="180">
        <v>2</v>
      </c>
      <c r="C413" s="189" t="s">
        <v>309</v>
      </c>
      <c r="D413" s="176"/>
      <c r="E413" s="182" t="s">
        <v>203</v>
      </c>
      <c r="F413" s="182">
        <v>1</v>
      </c>
      <c r="G413" s="292">
        <v>85000</v>
      </c>
    </row>
    <row r="414" spans="1:7" x14ac:dyDescent="0.25">
      <c r="A414" s="183" t="s">
        <v>310</v>
      </c>
      <c r="B414" s="184" t="s">
        <v>311</v>
      </c>
      <c r="C414" s="185"/>
      <c r="D414" s="186"/>
      <c r="E414" s="187"/>
      <c r="F414" s="187"/>
      <c r="G414" s="292"/>
    </row>
    <row r="415" spans="1:7" x14ac:dyDescent="0.25">
      <c r="A415" s="188"/>
      <c r="B415" s="180">
        <v>1</v>
      </c>
      <c r="C415" s="189" t="s">
        <v>312</v>
      </c>
      <c r="D415" s="176"/>
      <c r="E415" s="182" t="s">
        <v>203</v>
      </c>
      <c r="F415" s="182">
        <v>1</v>
      </c>
      <c r="G415" s="292">
        <v>68500</v>
      </c>
    </row>
    <row r="416" spans="1:7" x14ac:dyDescent="0.25">
      <c r="A416" s="188"/>
      <c r="B416" s="180">
        <v>2</v>
      </c>
      <c r="C416" s="189" t="s">
        <v>313</v>
      </c>
      <c r="D416" s="176"/>
      <c r="E416" s="182" t="s">
        <v>203</v>
      </c>
      <c r="F416" s="182">
        <v>1</v>
      </c>
      <c r="G416" s="292">
        <v>33500</v>
      </c>
    </row>
    <row r="417" spans="1:7" x14ac:dyDescent="0.25">
      <c r="A417" s="183" t="s">
        <v>314</v>
      </c>
      <c r="B417" s="184" t="s">
        <v>315</v>
      </c>
      <c r="C417" s="185"/>
      <c r="D417" s="186"/>
      <c r="E417" s="187"/>
      <c r="F417" s="187"/>
      <c r="G417" s="292"/>
    </row>
    <row r="418" spans="1:7" x14ac:dyDescent="0.25">
      <c r="A418" s="188"/>
      <c r="B418" s="180">
        <v>1</v>
      </c>
      <c r="C418" s="189" t="s">
        <v>316</v>
      </c>
      <c r="D418" s="176"/>
      <c r="E418" s="182" t="s">
        <v>203</v>
      </c>
      <c r="F418" s="182">
        <v>1</v>
      </c>
      <c r="G418" s="292">
        <v>260000</v>
      </c>
    </row>
    <row r="419" spans="1:7" x14ac:dyDescent="0.25">
      <c r="A419" s="188"/>
      <c r="B419" s="180">
        <v>2</v>
      </c>
      <c r="C419" s="189" t="s">
        <v>317</v>
      </c>
      <c r="D419" s="176"/>
      <c r="E419" s="182" t="s">
        <v>203</v>
      </c>
      <c r="F419" s="182">
        <v>1</v>
      </c>
      <c r="G419" s="292">
        <v>235000</v>
      </c>
    </row>
    <row r="420" spans="1:7" x14ac:dyDescent="0.25">
      <c r="A420" s="188"/>
      <c r="B420" s="180">
        <v>3</v>
      </c>
      <c r="C420" s="189" t="s">
        <v>318</v>
      </c>
      <c r="D420" s="176"/>
      <c r="E420" s="182" t="s">
        <v>203</v>
      </c>
      <c r="F420" s="182">
        <v>1</v>
      </c>
      <c r="G420" s="292">
        <v>217000</v>
      </c>
    </row>
    <row r="421" spans="1:7" x14ac:dyDescent="0.25">
      <c r="A421" s="188"/>
      <c r="B421" s="180">
        <v>4</v>
      </c>
      <c r="C421" s="189" t="s">
        <v>319</v>
      </c>
      <c r="D421" s="176"/>
      <c r="E421" s="182" t="s">
        <v>203</v>
      </c>
      <c r="F421" s="182">
        <v>1</v>
      </c>
      <c r="G421" s="292">
        <v>204000</v>
      </c>
    </row>
    <row r="422" spans="1:7" x14ac:dyDescent="0.25">
      <c r="A422" s="188"/>
      <c r="B422" s="180">
        <v>5</v>
      </c>
      <c r="C422" s="189" t="s">
        <v>320</v>
      </c>
      <c r="D422" s="176"/>
      <c r="E422" s="182" t="s">
        <v>203</v>
      </c>
      <c r="F422" s="182">
        <v>1</v>
      </c>
      <c r="G422" s="292">
        <v>300000</v>
      </c>
    </row>
    <row r="423" spans="1:7" x14ac:dyDescent="0.25">
      <c r="A423" s="188"/>
      <c r="B423" s="180">
        <v>6</v>
      </c>
      <c r="C423" s="189" t="s">
        <v>321</v>
      </c>
      <c r="D423" s="176"/>
      <c r="E423" s="182" t="s">
        <v>203</v>
      </c>
      <c r="F423" s="182">
        <v>1</v>
      </c>
      <c r="G423" s="292">
        <v>250000</v>
      </c>
    </row>
    <row r="424" spans="1:7" x14ac:dyDescent="0.25">
      <c r="A424" s="183" t="s">
        <v>322</v>
      </c>
      <c r="B424" s="184" t="s">
        <v>323</v>
      </c>
      <c r="C424" s="185"/>
      <c r="D424" s="186"/>
      <c r="E424" s="187"/>
      <c r="F424" s="187"/>
      <c r="G424" s="292"/>
    </row>
    <row r="425" spans="1:7" x14ac:dyDescent="0.25">
      <c r="A425" s="188"/>
      <c r="B425" s="180">
        <v>1</v>
      </c>
      <c r="C425" s="189" t="s">
        <v>316</v>
      </c>
      <c r="D425" s="176"/>
      <c r="E425" s="182" t="s">
        <v>203</v>
      </c>
      <c r="F425" s="182">
        <v>1</v>
      </c>
      <c r="G425" s="292">
        <v>234000</v>
      </c>
    </row>
    <row r="426" spans="1:7" x14ac:dyDescent="0.25">
      <c r="A426" s="188"/>
      <c r="B426" s="180">
        <v>2</v>
      </c>
      <c r="C426" s="189" t="s">
        <v>317</v>
      </c>
      <c r="D426" s="176"/>
      <c r="E426" s="182" t="s">
        <v>203</v>
      </c>
      <c r="F426" s="182">
        <v>1</v>
      </c>
      <c r="G426" s="292">
        <v>222000</v>
      </c>
    </row>
    <row r="427" spans="1:7" x14ac:dyDescent="0.25">
      <c r="A427" s="188"/>
      <c r="B427" s="180">
        <v>3</v>
      </c>
      <c r="C427" s="189" t="s">
        <v>318</v>
      </c>
      <c r="D427" s="176"/>
      <c r="E427" s="182" t="s">
        <v>203</v>
      </c>
      <c r="F427" s="182">
        <v>1</v>
      </c>
      <c r="G427" s="292">
        <v>204000</v>
      </c>
    </row>
    <row r="428" spans="1:7" x14ac:dyDescent="0.25">
      <c r="A428" s="188"/>
      <c r="B428" s="180">
        <v>4</v>
      </c>
      <c r="C428" s="189" t="s">
        <v>319</v>
      </c>
      <c r="D428" s="176"/>
      <c r="E428" s="182" t="s">
        <v>203</v>
      </c>
      <c r="F428" s="182">
        <v>1</v>
      </c>
      <c r="G428" s="292">
        <v>195000</v>
      </c>
    </row>
    <row r="429" spans="1:7" x14ac:dyDescent="0.25">
      <c r="A429" s="183" t="s">
        <v>324</v>
      </c>
      <c r="B429" s="184" t="s">
        <v>325</v>
      </c>
      <c r="C429" s="185"/>
      <c r="D429" s="186"/>
      <c r="E429" s="187"/>
      <c r="F429" s="187"/>
      <c r="G429" s="292"/>
    </row>
    <row r="430" spans="1:7" x14ac:dyDescent="0.25">
      <c r="A430" s="188"/>
      <c r="B430" s="180">
        <v>1</v>
      </c>
      <c r="C430" s="189" t="s">
        <v>326</v>
      </c>
      <c r="D430" s="176"/>
      <c r="E430" s="182" t="s">
        <v>203</v>
      </c>
      <c r="F430" s="182">
        <v>1</v>
      </c>
      <c r="G430" s="292">
        <v>95000</v>
      </c>
    </row>
    <row r="431" spans="1:7" x14ac:dyDescent="0.25">
      <c r="A431" s="188"/>
      <c r="B431" s="180">
        <v>2</v>
      </c>
      <c r="C431" s="189" t="s">
        <v>327</v>
      </c>
      <c r="D431" s="176"/>
      <c r="E431" s="182" t="s">
        <v>203</v>
      </c>
      <c r="F431" s="182">
        <v>1</v>
      </c>
      <c r="G431" s="292">
        <v>142000</v>
      </c>
    </row>
    <row r="432" spans="1:7" x14ac:dyDescent="0.25">
      <c r="A432" s="188"/>
      <c r="B432" s="180">
        <v>3</v>
      </c>
      <c r="C432" s="189" t="s">
        <v>328</v>
      </c>
      <c r="D432" s="176"/>
      <c r="E432" s="182" t="s">
        <v>203</v>
      </c>
      <c r="F432" s="182">
        <v>1</v>
      </c>
      <c r="G432" s="292">
        <v>170000</v>
      </c>
    </row>
    <row r="433" spans="1:7" x14ac:dyDescent="0.25">
      <c r="A433" s="188"/>
      <c r="B433" s="180">
        <v>4</v>
      </c>
      <c r="C433" s="189" t="s">
        <v>329</v>
      </c>
      <c r="D433" s="176"/>
      <c r="E433" s="182" t="s">
        <v>203</v>
      </c>
      <c r="F433" s="182">
        <v>1</v>
      </c>
      <c r="G433" s="292">
        <v>187000</v>
      </c>
    </row>
    <row r="434" spans="1:7" x14ac:dyDescent="0.25">
      <c r="A434" s="188"/>
      <c r="B434" s="180">
        <v>5</v>
      </c>
      <c r="C434" s="189" t="s">
        <v>330</v>
      </c>
      <c r="D434" s="176"/>
      <c r="E434" s="182" t="s">
        <v>203</v>
      </c>
      <c r="F434" s="182">
        <v>1</v>
      </c>
      <c r="G434" s="292">
        <v>233000</v>
      </c>
    </row>
    <row r="435" spans="1:7" x14ac:dyDescent="0.25">
      <c r="A435" s="183" t="s">
        <v>331</v>
      </c>
      <c r="B435" s="184" t="s">
        <v>332</v>
      </c>
      <c r="C435" s="185"/>
      <c r="D435" s="186"/>
      <c r="E435" s="187"/>
      <c r="F435" s="187"/>
      <c r="G435" s="292"/>
    </row>
    <row r="436" spans="1:7" x14ac:dyDescent="0.25">
      <c r="A436" s="188"/>
      <c r="B436" s="180">
        <v>1</v>
      </c>
      <c r="C436" s="189" t="s">
        <v>326</v>
      </c>
      <c r="D436" s="176"/>
      <c r="E436" s="182" t="s">
        <v>203</v>
      </c>
      <c r="F436" s="182">
        <v>1</v>
      </c>
      <c r="G436" s="292">
        <v>114000</v>
      </c>
    </row>
    <row r="437" spans="1:7" x14ac:dyDescent="0.25">
      <c r="A437" s="188"/>
      <c r="B437" s="180">
        <v>2</v>
      </c>
      <c r="C437" s="189" t="s">
        <v>327</v>
      </c>
      <c r="D437" s="176"/>
      <c r="E437" s="182" t="s">
        <v>203</v>
      </c>
      <c r="F437" s="182">
        <v>1</v>
      </c>
      <c r="G437" s="292">
        <v>170000</v>
      </c>
    </row>
    <row r="438" spans="1:7" x14ac:dyDescent="0.25">
      <c r="A438" s="188"/>
      <c r="B438" s="180">
        <v>3</v>
      </c>
      <c r="C438" s="189" t="s">
        <v>328</v>
      </c>
      <c r="D438" s="176"/>
      <c r="E438" s="182" t="s">
        <v>203</v>
      </c>
      <c r="F438" s="182">
        <v>1</v>
      </c>
      <c r="G438" s="292">
        <v>204000</v>
      </c>
    </row>
    <row r="439" spans="1:7" x14ac:dyDescent="0.25">
      <c r="A439" s="188"/>
      <c r="B439" s="180">
        <v>4</v>
      </c>
      <c r="C439" s="189" t="s">
        <v>329</v>
      </c>
      <c r="D439" s="176"/>
      <c r="E439" s="182" t="s">
        <v>203</v>
      </c>
      <c r="F439" s="182">
        <v>1</v>
      </c>
      <c r="G439" s="292">
        <v>224000</v>
      </c>
    </row>
    <row r="440" spans="1:7" x14ac:dyDescent="0.25">
      <c r="A440" s="188"/>
      <c r="B440" s="180">
        <v>5</v>
      </c>
      <c r="C440" s="189" t="s">
        <v>330</v>
      </c>
      <c r="D440" s="176"/>
      <c r="E440" s="182" t="s">
        <v>203</v>
      </c>
      <c r="F440" s="182">
        <v>1</v>
      </c>
      <c r="G440" s="292">
        <v>280000</v>
      </c>
    </row>
    <row r="441" spans="1:7" x14ac:dyDescent="0.25">
      <c r="A441" s="183" t="s">
        <v>333</v>
      </c>
      <c r="B441" s="184" t="s">
        <v>334</v>
      </c>
      <c r="C441" s="185"/>
      <c r="D441" s="186"/>
      <c r="E441" s="187"/>
      <c r="F441" s="187"/>
      <c r="G441" s="292"/>
    </row>
    <row r="442" spans="1:7" x14ac:dyDescent="0.25">
      <c r="A442" s="188"/>
      <c r="B442" s="180">
        <v>1</v>
      </c>
      <c r="C442" s="189" t="s">
        <v>335</v>
      </c>
      <c r="D442" s="176"/>
      <c r="E442" s="182" t="s">
        <v>203</v>
      </c>
      <c r="F442" s="182">
        <v>1</v>
      </c>
      <c r="G442" s="292">
        <v>120000</v>
      </c>
    </row>
    <row r="443" spans="1:7" x14ac:dyDescent="0.25">
      <c r="A443" s="188"/>
      <c r="B443" s="180">
        <v>2</v>
      </c>
      <c r="C443" s="189" t="s">
        <v>336</v>
      </c>
      <c r="D443" s="176"/>
      <c r="E443" s="182" t="s">
        <v>203</v>
      </c>
      <c r="F443" s="182">
        <v>1</v>
      </c>
      <c r="G443" s="292">
        <v>130000</v>
      </c>
    </row>
    <row r="444" spans="1:7" x14ac:dyDescent="0.25">
      <c r="A444" s="188"/>
      <c r="B444" s="180">
        <v>3</v>
      </c>
      <c r="C444" s="189" t="s">
        <v>337</v>
      </c>
      <c r="D444" s="176"/>
      <c r="E444" s="182" t="s">
        <v>203</v>
      </c>
      <c r="F444" s="182">
        <v>1</v>
      </c>
      <c r="G444" s="292">
        <v>135000</v>
      </c>
    </row>
    <row r="445" spans="1:7" x14ac:dyDescent="0.25">
      <c r="A445" s="188"/>
      <c r="B445" s="180">
        <v>4</v>
      </c>
      <c r="C445" s="189" t="s">
        <v>338</v>
      </c>
      <c r="D445" s="176"/>
      <c r="E445" s="182" t="s">
        <v>203</v>
      </c>
      <c r="F445" s="182">
        <v>1</v>
      </c>
      <c r="G445" s="292">
        <v>120000</v>
      </c>
    </row>
    <row r="446" spans="1:7" x14ac:dyDescent="0.25">
      <c r="A446" s="188"/>
      <c r="B446" s="180">
        <v>5</v>
      </c>
      <c r="C446" s="189" t="s">
        <v>339</v>
      </c>
      <c r="D446" s="176"/>
      <c r="E446" s="182" t="s">
        <v>203</v>
      </c>
      <c r="F446" s="182">
        <v>1</v>
      </c>
      <c r="G446" s="292">
        <v>125000</v>
      </c>
    </row>
    <row r="447" spans="1:7" x14ac:dyDescent="0.25">
      <c r="A447" s="188"/>
      <c r="B447" s="180">
        <v>6</v>
      </c>
      <c r="C447" s="189" t="s">
        <v>340</v>
      </c>
      <c r="D447" s="176"/>
      <c r="E447" s="182" t="s">
        <v>203</v>
      </c>
      <c r="F447" s="182">
        <v>1</v>
      </c>
      <c r="G447" s="292">
        <v>135000</v>
      </c>
    </row>
    <row r="448" spans="1:7" x14ac:dyDescent="0.25">
      <c r="A448" s="188"/>
      <c r="B448" s="180">
        <v>7</v>
      </c>
      <c r="C448" s="189" t="s">
        <v>341</v>
      </c>
      <c r="D448" s="176"/>
      <c r="E448" s="182" t="s">
        <v>203</v>
      </c>
      <c r="F448" s="182">
        <v>1</v>
      </c>
      <c r="G448" s="292">
        <v>225000</v>
      </c>
    </row>
    <row r="449" spans="1:7" x14ac:dyDescent="0.25">
      <c r="A449" s="188"/>
      <c r="B449" s="180">
        <v>8</v>
      </c>
      <c r="C449" s="189" t="s">
        <v>342</v>
      </c>
      <c r="D449" s="176"/>
      <c r="E449" s="182" t="s">
        <v>203</v>
      </c>
      <c r="F449" s="182">
        <v>1</v>
      </c>
      <c r="G449" s="292">
        <v>235000</v>
      </c>
    </row>
    <row r="450" spans="1:7" x14ac:dyDescent="0.25">
      <c r="A450" s="188"/>
      <c r="B450" s="180">
        <v>9</v>
      </c>
      <c r="C450" s="189" t="s">
        <v>343</v>
      </c>
      <c r="D450" s="176"/>
      <c r="E450" s="182" t="s">
        <v>203</v>
      </c>
      <c r="F450" s="182">
        <v>1</v>
      </c>
      <c r="G450" s="292">
        <v>244000</v>
      </c>
    </row>
    <row r="451" spans="1:7" x14ac:dyDescent="0.25">
      <c r="A451" s="188"/>
      <c r="B451" s="180">
        <v>10</v>
      </c>
      <c r="C451" s="189" t="s">
        <v>344</v>
      </c>
      <c r="D451" s="176"/>
      <c r="E451" s="182" t="s">
        <v>203</v>
      </c>
      <c r="F451" s="182">
        <v>1</v>
      </c>
      <c r="G451" s="292">
        <v>175000</v>
      </c>
    </row>
    <row r="452" spans="1:7" x14ac:dyDescent="0.25">
      <c r="A452" s="188"/>
      <c r="B452" s="180">
        <v>11</v>
      </c>
      <c r="C452" s="189" t="s">
        <v>345</v>
      </c>
      <c r="D452" s="176"/>
      <c r="E452" s="182" t="s">
        <v>203</v>
      </c>
      <c r="F452" s="182">
        <v>1</v>
      </c>
      <c r="G452" s="292">
        <v>190000</v>
      </c>
    </row>
    <row r="453" spans="1:7" x14ac:dyDescent="0.25">
      <c r="A453" s="188"/>
      <c r="B453" s="180">
        <v>12</v>
      </c>
      <c r="C453" s="189" t="s">
        <v>346</v>
      </c>
      <c r="D453" s="176"/>
      <c r="E453" s="182" t="s">
        <v>203</v>
      </c>
      <c r="F453" s="182">
        <v>1</v>
      </c>
      <c r="G453" s="292">
        <v>220000</v>
      </c>
    </row>
    <row r="454" spans="1:7" x14ac:dyDescent="0.25">
      <c r="A454" s="183" t="s">
        <v>347</v>
      </c>
      <c r="B454" s="184" t="s">
        <v>348</v>
      </c>
      <c r="C454" s="185"/>
      <c r="D454" s="186"/>
      <c r="E454" s="187"/>
      <c r="F454" s="187"/>
      <c r="G454" s="292"/>
    </row>
    <row r="455" spans="1:7" x14ac:dyDescent="0.25">
      <c r="A455" s="188"/>
      <c r="B455" s="180">
        <v>1</v>
      </c>
      <c r="C455" s="189" t="s">
        <v>349</v>
      </c>
      <c r="D455" s="176"/>
      <c r="E455" s="182" t="s">
        <v>203</v>
      </c>
      <c r="F455" s="182">
        <v>1</v>
      </c>
      <c r="G455" s="292">
        <v>45000</v>
      </c>
    </row>
    <row r="456" spans="1:7" x14ac:dyDescent="0.25">
      <c r="A456" s="188"/>
      <c r="B456" s="180">
        <v>2</v>
      </c>
      <c r="C456" s="189" t="s">
        <v>350</v>
      </c>
      <c r="D456" s="176"/>
      <c r="E456" s="182" t="s">
        <v>203</v>
      </c>
      <c r="F456" s="182">
        <v>1</v>
      </c>
      <c r="G456" s="292">
        <v>47000</v>
      </c>
    </row>
    <row r="457" spans="1:7" x14ac:dyDescent="0.25">
      <c r="A457" s="188"/>
      <c r="B457" s="180">
        <v>3</v>
      </c>
      <c r="C457" s="189" t="s">
        <v>351</v>
      </c>
      <c r="D457" s="176"/>
      <c r="E457" s="182" t="s">
        <v>203</v>
      </c>
      <c r="F457" s="182">
        <v>1</v>
      </c>
      <c r="G457" s="292">
        <v>68000</v>
      </c>
    </row>
    <row r="458" spans="1:7" x14ac:dyDescent="0.25">
      <c r="A458" s="188"/>
      <c r="B458" s="180">
        <v>4</v>
      </c>
      <c r="C458" s="189" t="s">
        <v>352</v>
      </c>
      <c r="D458" s="176"/>
      <c r="E458" s="182" t="s">
        <v>203</v>
      </c>
      <c r="F458" s="182">
        <v>1</v>
      </c>
      <c r="G458" s="292">
        <v>62000</v>
      </c>
    </row>
    <row r="459" spans="1:7" x14ac:dyDescent="0.25">
      <c r="A459" s="188"/>
      <c r="B459" s="180">
        <v>5</v>
      </c>
      <c r="C459" s="189" t="s">
        <v>353</v>
      </c>
      <c r="D459" s="176"/>
      <c r="E459" s="182" t="s">
        <v>203</v>
      </c>
      <c r="F459" s="182">
        <v>1</v>
      </c>
      <c r="G459" s="292">
        <v>95000</v>
      </c>
    </row>
    <row r="460" spans="1:7" x14ac:dyDescent="0.25">
      <c r="A460" s="188"/>
      <c r="B460" s="180">
        <v>6</v>
      </c>
      <c r="C460" s="189" t="s">
        <v>354</v>
      </c>
      <c r="D460" s="176"/>
      <c r="E460" s="182" t="s">
        <v>203</v>
      </c>
      <c r="F460" s="182">
        <v>1</v>
      </c>
      <c r="G460" s="292">
        <v>101000</v>
      </c>
    </row>
    <row r="461" spans="1:7" x14ac:dyDescent="0.25">
      <c r="A461" s="188"/>
      <c r="B461" s="180">
        <v>7</v>
      </c>
      <c r="C461" s="189" t="s">
        <v>355</v>
      </c>
      <c r="D461" s="176"/>
      <c r="E461" s="182" t="s">
        <v>203</v>
      </c>
      <c r="F461" s="182">
        <v>1</v>
      </c>
      <c r="G461" s="292">
        <v>145000</v>
      </c>
    </row>
    <row r="462" spans="1:7" x14ac:dyDescent="0.25">
      <c r="A462" s="183" t="s">
        <v>356</v>
      </c>
      <c r="B462" s="184" t="s">
        <v>357</v>
      </c>
      <c r="C462" s="185"/>
      <c r="D462" s="186"/>
      <c r="E462" s="187"/>
      <c r="F462" s="187"/>
      <c r="G462" s="292"/>
    </row>
    <row r="463" spans="1:7" x14ac:dyDescent="0.25">
      <c r="A463" s="188"/>
      <c r="B463" s="180">
        <v>1</v>
      </c>
      <c r="C463" s="189" t="s">
        <v>187</v>
      </c>
      <c r="D463" s="176"/>
      <c r="E463" s="182" t="s">
        <v>235</v>
      </c>
      <c r="F463" s="182">
        <v>1</v>
      </c>
      <c r="G463" s="292">
        <v>200000</v>
      </c>
    </row>
    <row r="464" spans="1:7" x14ac:dyDescent="0.25">
      <c r="A464" s="188"/>
      <c r="B464" s="180">
        <v>2</v>
      </c>
      <c r="C464" s="189" t="s">
        <v>183</v>
      </c>
      <c r="D464" s="176"/>
      <c r="E464" s="182" t="s">
        <v>235</v>
      </c>
      <c r="F464" s="182">
        <v>1</v>
      </c>
      <c r="G464" s="292">
        <v>231000</v>
      </c>
    </row>
    <row r="465" spans="1:7" x14ac:dyDescent="0.25">
      <c r="A465" s="188"/>
      <c r="B465" s="180">
        <v>3</v>
      </c>
      <c r="C465" s="189" t="s">
        <v>181</v>
      </c>
      <c r="D465" s="176"/>
      <c r="E465" s="182" t="s">
        <v>235</v>
      </c>
      <c r="F465" s="182">
        <v>1</v>
      </c>
      <c r="G465" s="292">
        <v>258000</v>
      </c>
    </row>
    <row r="466" spans="1:7" x14ac:dyDescent="0.25">
      <c r="A466" s="188"/>
      <c r="B466" s="180">
        <v>4</v>
      </c>
      <c r="C466" s="189" t="s">
        <v>180</v>
      </c>
      <c r="D466" s="176"/>
      <c r="E466" s="182" t="s">
        <v>235</v>
      </c>
      <c r="F466" s="182">
        <v>1</v>
      </c>
      <c r="G466" s="292">
        <v>320000</v>
      </c>
    </row>
    <row r="467" spans="1:7" x14ac:dyDescent="0.25">
      <c r="A467" s="188"/>
      <c r="B467" s="180">
        <v>5</v>
      </c>
      <c r="C467" s="189" t="s">
        <v>358</v>
      </c>
      <c r="D467" s="176"/>
      <c r="E467" s="182" t="s">
        <v>235</v>
      </c>
      <c r="F467" s="182">
        <v>1</v>
      </c>
      <c r="G467" s="292">
        <v>355000</v>
      </c>
    </row>
    <row r="468" spans="1:7" x14ac:dyDescent="0.25">
      <c r="A468" s="188"/>
      <c r="B468" s="180">
        <v>6</v>
      </c>
      <c r="C468" s="189" t="s">
        <v>179</v>
      </c>
      <c r="D468" s="176"/>
      <c r="E468" s="182" t="s">
        <v>235</v>
      </c>
      <c r="F468" s="182">
        <v>1</v>
      </c>
      <c r="G468" s="292">
        <v>405000</v>
      </c>
    </row>
    <row r="469" spans="1:7" x14ac:dyDescent="0.25">
      <c r="A469" s="183" t="s">
        <v>359</v>
      </c>
      <c r="B469" s="184" t="s">
        <v>360</v>
      </c>
      <c r="C469" s="185"/>
      <c r="D469" s="186"/>
      <c r="E469" s="187"/>
      <c r="F469" s="187"/>
      <c r="G469" s="292"/>
    </row>
    <row r="470" spans="1:7" ht="13.5" customHeight="1" x14ac:dyDescent="0.25">
      <c r="A470" s="188"/>
      <c r="B470" s="180">
        <v>1</v>
      </c>
      <c r="C470" s="189" t="s">
        <v>2209</v>
      </c>
      <c r="D470" s="176"/>
      <c r="E470" s="182" t="s">
        <v>264</v>
      </c>
      <c r="F470" s="182">
        <v>1</v>
      </c>
      <c r="G470" s="292">
        <v>75000</v>
      </c>
    </row>
    <row r="471" spans="1:7" ht="13.5" customHeight="1" x14ac:dyDescent="0.25">
      <c r="A471" s="188"/>
      <c r="B471" s="180">
        <v>2</v>
      </c>
      <c r="C471" s="189" t="s">
        <v>2210</v>
      </c>
      <c r="D471" s="176"/>
      <c r="E471" s="182" t="s">
        <v>264</v>
      </c>
      <c r="F471" s="182">
        <v>1</v>
      </c>
      <c r="G471" s="292">
        <v>110000</v>
      </c>
    </row>
    <row r="472" spans="1:7" ht="13.5" customHeight="1" x14ac:dyDescent="0.25">
      <c r="A472" s="188"/>
      <c r="B472" s="180">
        <v>3</v>
      </c>
      <c r="C472" s="189" t="s">
        <v>2211</v>
      </c>
      <c r="D472" s="176"/>
      <c r="E472" s="182" t="s">
        <v>264</v>
      </c>
      <c r="F472" s="182">
        <v>1</v>
      </c>
      <c r="G472" s="292">
        <v>150000</v>
      </c>
    </row>
    <row r="473" spans="1:7" ht="13.5" customHeight="1" x14ac:dyDescent="0.25">
      <c r="A473" s="188"/>
      <c r="B473" s="191">
        <v>4</v>
      </c>
      <c r="C473" s="192" t="s">
        <v>2212</v>
      </c>
      <c r="D473" s="193"/>
      <c r="E473" s="194" t="s">
        <v>264</v>
      </c>
      <c r="F473" s="194">
        <v>1</v>
      </c>
      <c r="G473" s="292">
        <v>190000</v>
      </c>
    </row>
    <row r="474" spans="1:7" x14ac:dyDescent="0.25">
      <c r="A474" s="183" t="s">
        <v>361</v>
      </c>
      <c r="B474" s="195" t="s">
        <v>362</v>
      </c>
      <c r="C474" s="189"/>
      <c r="D474" s="176"/>
      <c r="E474" s="182"/>
      <c r="F474" s="182"/>
      <c r="G474" s="292"/>
    </row>
    <row r="475" spans="1:7" ht="13.5" customHeight="1" x14ac:dyDescent="0.25">
      <c r="A475" s="188"/>
      <c r="B475" s="180">
        <v>1</v>
      </c>
      <c r="C475" s="189" t="s">
        <v>363</v>
      </c>
      <c r="D475" s="176"/>
      <c r="E475" s="182" t="s">
        <v>203</v>
      </c>
      <c r="F475" s="182">
        <v>1</v>
      </c>
      <c r="G475" s="292">
        <v>120000</v>
      </c>
    </row>
    <row r="476" spans="1:7" ht="13.5" customHeight="1" x14ac:dyDescent="0.25">
      <c r="A476" s="188"/>
      <c r="B476" s="180">
        <v>2</v>
      </c>
      <c r="C476" s="189" t="s">
        <v>364</v>
      </c>
      <c r="D476" s="176"/>
      <c r="E476" s="182" t="s">
        <v>203</v>
      </c>
      <c r="F476" s="182">
        <v>1</v>
      </c>
      <c r="G476" s="292">
        <v>127000</v>
      </c>
    </row>
    <row r="477" spans="1:7" ht="13.5" customHeight="1" x14ac:dyDescent="0.25">
      <c r="A477" s="188"/>
      <c r="B477" s="180">
        <v>3</v>
      </c>
      <c r="C477" s="189" t="s">
        <v>365</v>
      </c>
      <c r="D477" s="176"/>
      <c r="E477" s="182" t="s">
        <v>203</v>
      </c>
      <c r="F477" s="182">
        <v>1</v>
      </c>
      <c r="G477" s="292">
        <v>132000</v>
      </c>
    </row>
    <row r="478" spans="1:7" ht="13.5" customHeight="1" x14ac:dyDescent="0.25">
      <c r="A478" s="188"/>
      <c r="B478" s="180">
        <v>4</v>
      </c>
      <c r="C478" s="189" t="s">
        <v>366</v>
      </c>
      <c r="D478" s="176"/>
      <c r="E478" s="182" t="s">
        <v>203</v>
      </c>
      <c r="F478" s="182">
        <v>1</v>
      </c>
      <c r="G478" s="292">
        <v>142000</v>
      </c>
    </row>
    <row r="479" spans="1:7" ht="13.5" customHeight="1" x14ac:dyDescent="0.25">
      <c r="A479" s="188"/>
      <c r="B479" s="180">
        <v>5</v>
      </c>
      <c r="C479" s="189" t="s">
        <v>367</v>
      </c>
      <c r="D479" s="176"/>
      <c r="E479" s="182" t="s">
        <v>203</v>
      </c>
      <c r="F479" s="182">
        <v>1</v>
      </c>
      <c r="G479" s="292">
        <v>142000</v>
      </c>
    </row>
    <row r="480" spans="1:7" ht="13.5" customHeight="1" x14ac:dyDescent="0.25">
      <c r="A480" s="188"/>
      <c r="B480" s="180">
        <v>6</v>
      </c>
      <c r="C480" s="189" t="s">
        <v>368</v>
      </c>
      <c r="D480" s="176"/>
      <c r="E480" s="182" t="s">
        <v>203</v>
      </c>
      <c r="F480" s="182">
        <v>1</v>
      </c>
      <c r="G480" s="292">
        <v>157000</v>
      </c>
    </row>
    <row r="481" spans="1:7" ht="13.5" customHeight="1" x14ac:dyDescent="0.25">
      <c r="A481" s="188"/>
      <c r="B481" s="180">
        <v>7</v>
      </c>
      <c r="C481" s="189" t="s">
        <v>369</v>
      </c>
      <c r="D481" s="176"/>
      <c r="E481" s="182" t="s">
        <v>203</v>
      </c>
      <c r="F481" s="182">
        <v>1</v>
      </c>
      <c r="G481" s="292">
        <v>165000</v>
      </c>
    </row>
    <row r="482" spans="1:7" ht="13.5" customHeight="1" x14ac:dyDescent="0.25">
      <c r="A482" s="188"/>
      <c r="B482" s="180">
        <v>8</v>
      </c>
      <c r="C482" s="189" t="s">
        <v>370</v>
      </c>
      <c r="D482" s="176"/>
      <c r="E482" s="182" t="s">
        <v>203</v>
      </c>
      <c r="F482" s="182">
        <v>1</v>
      </c>
      <c r="G482" s="292">
        <v>172000</v>
      </c>
    </row>
    <row r="483" spans="1:7" ht="13.5" customHeight="1" x14ac:dyDescent="0.25">
      <c r="A483" s="188"/>
      <c r="B483" s="180">
        <v>9</v>
      </c>
      <c r="C483" s="189" t="s">
        <v>371</v>
      </c>
      <c r="D483" s="176"/>
      <c r="E483" s="182" t="s">
        <v>203</v>
      </c>
      <c r="F483" s="182">
        <v>1</v>
      </c>
      <c r="G483" s="292">
        <v>164000</v>
      </c>
    </row>
    <row r="484" spans="1:7" ht="13.5" customHeight="1" x14ac:dyDescent="0.25">
      <c r="A484" s="188"/>
      <c r="B484" s="180">
        <v>10</v>
      </c>
      <c r="C484" s="189" t="s">
        <v>372</v>
      </c>
      <c r="D484" s="176"/>
      <c r="E484" s="182" t="s">
        <v>203</v>
      </c>
      <c r="F484" s="182">
        <v>1</v>
      </c>
      <c r="G484" s="292">
        <v>187000</v>
      </c>
    </row>
    <row r="485" spans="1:7" ht="13.5" customHeight="1" x14ac:dyDescent="0.25">
      <c r="A485" s="188"/>
      <c r="B485" s="180">
        <v>11</v>
      </c>
      <c r="C485" s="189" t="s">
        <v>373</v>
      </c>
      <c r="D485" s="176"/>
      <c r="E485" s="182" t="s">
        <v>203</v>
      </c>
      <c r="F485" s="182">
        <v>1</v>
      </c>
      <c r="G485" s="292">
        <v>176000</v>
      </c>
    </row>
    <row r="486" spans="1:7" ht="13.5" customHeight="1" x14ac:dyDescent="0.25">
      <c r="A486" s="188"/>
      <c r="B486" s="180">
        <v>12</v>
      </c>
      <c r="C486" s="189" t="s">
        <v>374</v>
      </c>
      <c r="D486" s="176"/>
      <c r="E486" s="182" t="s">
        <v>203</v>
      </c>
      <c r="F486" s="182">
        <v>1</v>
      </c>
      <c r="G486" s="292">
        <v>182000</v>
      </c>
    </row>
    <row r="487" spans="1:7" ht="13.5" customHeight="1" x14ac:dyDescent="0.25">
      <c r="A487" s="188"/>
      <c r="B487" s="180">
        <v>13</v>
      </c>
      <c r="C487" s="189" t="s">
        <v>375</v>
      </c>
      <c r="D487" s="176"/>
      <c r="E487" s="182" t="s">
        <v>203</v>
      </c>
      <c r="F487" s="182">
        <v>1</v>
      </c>
      <c r="G487" s="292">
        <v>188000</v>
      </c>
    </row>
    <row r="488" spans="1:7" ht="13.5" customHeight="1" x14ac:dyDescent="0.25">
      <c r="A488" s="188"/>
      <c r="B488" s="180">
        <v>14</v>
      </c>
      <c r="C488" s="189" t="s">
        <v>376</v>
      </c>
      <c r="D488" s="176"/>
      <c r="E488" s="182" t="s">
        <v>203</v>
      </c>
      <c r="F488" s="182">
        <v>1</v>
      </c>
      <c r="G488" s="292">
        <v>196000</v>
      </c>
    </row>
    <row r="489" spans="1:7" ht="13.5" customHeight="1" x14ac:dyDescent="0.25">
      <c r="A489" s="188"/>
      <c r="B489" s="180">
        <v>15</v>
      </c>
      <c r="C489" s="189" t="s">
        <v>377</v>
      </c>
      <c r="D489" s="176"/>
      <c r="E489" s="182" t="s">
        <v>203</v>
      </c>
      <c r="F489" s="182">
        <v>1</v>
      </c>
      <c r="G489" s="292">
        <v>204000</v>
      </c>
    </row>
    <row r="490" spans="1:7" ht="13.5" customHeight="1" x14ac:dyDescent="0.25">
      <c r="A490" s="188"/>
      <c r="B490" s="180">
        <v>16</v>
      </c>
      <c r="C490" s="189" t="s">
        <v>378</v>
      </c>
      <c r="D490" s="176"/>
      <c r="E490" s="182" t="s">
        <v>203</v>
      </c>
      <c r="F490" s="182">
        <v>1</v>
      </c>
      <c r="G490" s="292">
        <v>232000</v>
      </c>
    </row>
    <row r="491" spans="1:7" ht="13.5" customHeight="1" x14ac:dyDescent="0.25">
      <c r="A491" s="188"/>
      <c r="B491" s="180">
        <v>17</v>
      </c>
      <c r="C491" s="189" t="s">
        <v>379</v>
      </c>
      <c r="D491" s="176"/>
      <c r="E491" s="182" t="s">
        <v>203</v>
      </c>
      <c r="F491" s="182">
        <v>1</v>
      </c>
      <c r="G491" s="292">
        <v>240000</v>
      </c>
    </row>
    <row r="492" spans="1:7" ht="13.5" customHeight="1" x14ac:dyDescent="0.25">
      <c r="A492" s="188"/>
      <c r="B492" s="180">
        <v>18</v>
      </c>
      <c r="C492" s="189" t="s">
        <v>380</v>
      </c>
      <c r="D492" s="176"/>
      <c r="E492" s="182" t="s">
        <v>203</v>
      </c>
      <c r="F492" s="182">
        <v>1</v>
      </c>
      <c r="G492" s="292">
        <v>247000</v>
      </c>
    </row>
    <row r="493" spans="1:7" ht="13.5" customHeight="1" x14ac:dyDescent="0.25">
      <c r="A493" s="188"/>
      <c r="B493" s="180">
        <v>19</v>
      </c>
      <c r="C493" s="189" t="s">
        <v>381</v>
      </c>
      <c r="D493" s="176"/>
      <c r="E493" s="182" t="s">
        <v>203</v>
      </c>
      <c r="F493" s="182">
        <v>1</v>
      </c>
      <c r="G493" s="292">
        <v>255000</v>
      </c>
    </row>
    <row r="494" spans="1:7" ht="13.5" customHeight="1" x14ac:dyDescent="0.25">
      <c r="A494" s="188"/>
      <c r="B494" s="180">
        <v>20</v>
      </c>
      <c r="C494" s="189" t="s">
        <v>1628</v>
      </c>
      <c r="D494" s="176"/>
      <c r="E494" s="182" t="s">
        <v>203</v>
      </c>
      <c r="F494" s="182">
        <v>2</v>
      </c>
      <c r="G494" s="292">
        <v>154000</v>
      </c>
    </row>
    <row r="495" spans="1:7" ht="13.5" customHeight="1" x14ac:dyDescent="0.25">
      <c r="A495" s="188"/>
      <c r="B495" s="180">
        <v>21</v>
      </c>
      <c r="C495" s="189" t="s">
        <v>1629</v>
      </c>
      <c r="D495" s="176"/>
      <c r="E495" s="182" t="s">
        <v>203</v>
      </c>
      <c r="F495" s="182">
        <v>3</v>
      </c>
      <c r="G495" s="292">
        <v>162000</v>
      </c>
    </row>
    <row r="496" spans="1:7" ht="13.5" customHeight="1" x14ac:dyDescent="0.25">
      <c r="A496" s="188"/>
      <c r="B496" s="180">
        <v>22</v>
      </c>
      <c r="C496" s="189" t="s">
        <v>1627</v>
      </c>
      <c r="D496" s="176"/>
      <c r="E496" s="182" t="s">
        <v>203</v>
      </c>
      <c r="F496" s="182">
        <v>1</v>
      </c>
      <c r="G496" s="292">
        <v>171000</v>
      </c>
    </row>
    <row r="497" spans="1:7" ht="13.5" customHeight="1" x14ac:dyDescent="0.25">
      <c r="A497" s="188"/>
      <c r="B497" s="180">
        <v>23</v>
      </c>
      <c r="C497" s="189" t="s">
        <v>382</v>
      </c>
      <c r="D497" s="176"/>
      <c r="E497" s="182" t="s">
        <v>203</v>
      </c>
      <c r="F497" s="182">
        <v>1</v>
      </c>
      <c r="G497" s="292">
        <v>179000</v>
      </c>
    </row>
    <row r="498" spans="1:7" ht="13.5" customHeight="1" x14ac:dyDescent="0.25">
      <c r="A498" s="188"/>
      <c r="B498" s="180">
        <v>24</v>
      </c>
      <c r="C498" s="189" t="s">
        <v>383</v>
      </c>
      <c r="D498" s="176"/>
      <c r="E498" s="182" t="s">
        <v>203</v>
      </c>
      <c r="F498" s="182">
        <v>1</v>
      </c>
      <c r="G498" s="292">
        <v>187000</v>
      </c>
    </row>
    <row r="499" spans="1:7" ht="13.5" customHeight="1" x14ac:dyDescent="0.25">
      <c r="A499" s="188"/>
      <c r="B499" s="180">
        <v>25</v>
      </c>
      <c r="C499" s="189" t="s">
        <v>384</v>
      </c>
      <c r="D499" s="176"/>
      <c r="E499" s="182" t="s">
        <v>203</v>
      </c>
      <c r="F499" s="182">
        <v>1</v>
      </c>
      <c r="G499" s="292">
        <v>196000</v>
      </c>
    </row>
    <row r="500" spans="1:7" ht="13.5" customHeight="1" x14ac:dyDescent="0.25">
      <c r="A500" s="188"/>
      <c r="B500" s="180">
        <v>26</v>
      </c>
      <c r="C500" s="189" t="s">
        <v>385</v>
      </c>
      <c r="D500" s="176"/>
      <c r="E500" s="182" t="s">
        <v>203</v>
      </c>
      <c r="F500" s="182">
        <v>1</v>
      </c>
      <c r="G500" s="292">
        <v>204000</v>
      </c>
    </row>
    <row r="501" spans="1:7" ht="13.5" customHeight="1" x14ac:dyDescent="0.25">
      <c r="A501" s="188"/>
      <c r="B501" s="180">
        <v>27</v>
      </c>
      <c r="C501" s="189" t="s">
        <v>386</v>
      </c>
      <c r="D501" s="176"/>
      <c r="E501" s="182" t="s">
        <v>203</v>
      </c>
      <c r="F501" s="182">
        <v>1</v>
      </c>
      <c r="G501" s="292">
        <v>213000</v>
      </c>
    </row>
    <row r="502" spans="1:7" ht="13.5" customHeight="1" x14ac:dyDescent="0.25">
      <c r="A502" s="188"/>
      <c r="B502" s="180">
        <v>28</v>
      </c>
      <c r="C502" s="189" t="s">
        <v>387</v>
      </c>
      <c r="D502" s="176"/>
      <c r="E502" s="182" t="s">
        <v>203</v>
      </c>
      <c r="F502" s="182">
        <v>1</v>
      </c>
      <c r="G502" s="292">
        <v>229000</v>
      </c>
    </row>
    <row r="503" spans="1:7" ht="13.5" customHeight="1" x14ac:dyDescent="0.25">
      <c r="A503" s="188"/>
      <c r="B503" s="180">
        <v>29</v>
      </c>
      <c r="C503" s="189" t="s">
        <v>388</v>
      </c>
      <c r="D503" s="176"/>
      <c r="E503" s="182" t="s">
        <v>203</v>
      </c>
      <c r="F503" s="182">
        <v>1</v>
      </c>
      <c r="G503" s="292">
        <v>238000</v>
      </c>
    </row>
    <row r="504" spans="1:7" ht="13.5" customHeight="1" x14ac:dyDescent="0.25">
      <c r="A504" s="188"/>
      <c r="B504" s="180">
        <v>30</v>
      </c>
      <c r="C504" s="189" t="s">
        <v>389</v>
      </c>
      <c r="D504" s="176"/>
      <c r="E504" s="182" t="s">
        <v>203</v>
      </c>
      <c r="F504" s="182">
        <v>1</v>
      </c>
      <c r="G504" s="292">
        <v>246000</v>
      </c>
    </row>
    <row r="505" spans="1:7" ht="13.5" customHeight="1" x14ac:dyDescent="0.25">
      <c r="A505" s="188"/>
      <c r="B505" s="180">
        <v>31</v>
      </c>
      <c r="C505" s="189" t="s">
        <v>390</v>
      </c>
      <c r="D505" s="176"/>
      <c r="E505" s="182" t="s">
        <v>203</v>
      </c>
      <c r="F505" s="182">
        <v>1</v>
      </c>
      <c r="G505" s="292">
        <v>255000</v>
      </c>
    </row>
    <row r="506" spans="1:7" ht="13.5" customHeight="1" x14ac:dyDescent="0.25">
      <c r="A506" s="188"/>
      <c r="B506" s="180">
        <v>32</v>
      </c>
      <c r="C506" s="189" t="s">
        <v>391</v>
      </c>
      <c r="D506" s="176"/>
      <c r="E506" s="182" t="s">
        <v>203</v>
      </c>
      <c r="F506" s="182">
        <v>1</v>
      </c>
      <c r="G506" s="292">
        <v>263000</v>
      </c>
    </row>
    <row r="507" spans="1:7" ht="13.5" customHeight="1" x14ac:dyDescent="0.25">
      <c r="A507" s="188"/>
      <c r="B507" s="180">
        <v>33</v>
      </c>
      <c r="C507" s="189" t="s">
        <v>392</v>
      </c>
      <c r="D507" s="176"/>
      <c r="E507" s="182" t="s">
        <v>203</v>
      </c>
      <c r="F507" s="182">
        <v>1</v>
      </c>
      <c r="G507" s="292">
        <v>271000</v>
      </c>
    </row>
    <row r="508" spans="1:7" ht="13.5" customHeight="1" x14ac:dyDescent="0.25">
      <c r="A508" s="188"/>
      <c r="B508" s="180">
        <v>34</v>
      </c>
      <c r="C508" s="189" t="s">
        <v>393</v>
      </c>
      <c r="D508" s="176"/>
      <c r="E508" s="182" t="s">
        <v>203</v>
      </c>
      <c r="F508" s="182">
        <v>1</v>
      </c>
      <c r="G508" s="292">
        <v>280000</v>
      </c>
    </row>
    <row r="509" spans="1:7" ht="13.5" customHeight="1" x14ac:dyDescent="0.25">
      <c r="A509" s="188"/>
      <c r="B509" s="180">
        <v>35</v>
      </c>
      <c r="C509" s="189" t="s">
        <v>394</v>
      </c>
      <c r="D509" s="176"/>
      <c r="E509" s="182" t="s">
        <v>203</v>
      </c>
      <c r="F509" s="182">
        <v>1</v>
      </c>
      <c r="G509" s="292">
        <v>288000</v>
      </c>
    </row>
    <row r="510" spans="1:7" ht="13.5" customHeight="1" x14ac:dyDescent="0.25">
      <c r="A510" s="188"/>
      <c r="B510" s="180">
        <v>36</v>
      </c>
      <c r="C510" s="189" t="s">
        <v>395</v>
      </c>
      <c r="D510" s="176"/>
      <c r="E510" s="182" t="s">
        <v>203</v>
      </c>
      <c r="F510" s="182">
        <v>1</v>
      </c>
      <c r="G510" s="292">
        <v>296000</v>
      </c>
    </row>
    <row r="511" spans="1:7" ht="13.5" customHeight="1" x14ac:dyDescent="0.25">
      <c r="A511" s="188"/>
      <c r="B511" s="180">
        <v>37</v>
      </c>
      <c r="C511" s="189" t="s">
        <v>2232</v>
      </c>
      <c r="D511" s="176"/>
      <c r="E511" s="182" t="s">
        <v>203</v>
      </c>
      <c r="F511" s="182">
        <v>1</v>
      </c>
      <c r="G511" s="292">
        <v>263185</v>
      </c>
    </row>
    <row r="512" spans="1:7" ht="13.5" customHeight="1" x14ac:dyDescent="0.25">
      <c r="A512" s="188"/>
      <c r="B512" s="180">
        <v>38</v>
      </c>
      <c r="C512" s="189" t="s">
        <v>2231</v>
      </c>
      <c r="D512" s="176"/>
      <c r="E512" s="182" t="s">
        <v>203</v>
      </c>
      <c r="F512" s="182">
        <v>1</v>
      </c>
      <c r="G512" s="292">
        <v>274877.5</v>
      </c>
    </row>
    <row r="513" spans="1:7" ht="13.5" customHeight="1" x14ac:dyDescent="0.25">
      <c r="A513" s="188"/>
      <c r="B513" s="180">
        <v>39</v>
      </c>
      <c r="C513" s="189" t="s">
        <v>2230</v>
      </c>
      <c r="D513" s="176"/>
      <c r="E513" s="182" t="s">
        <v>203</v>
      </c>
      <c r="F513" s="182">
        <v>1</v>
      </c>
      <c r="G513" s="292">
        <v>228107.5</v>
      </c>
    </row>
    <row r="514" spans="1:7" ht="13.5" customHeight="1" x14ac:dyDescent="0.25">
      <c r="A514" s="188"/>
      <c r="B514" s="180">
        <v>40</v>
      </c>
      <c r="C514" s="189" t="s">
        <v>2229</v>
      </c>
      <c r="D514" s="176"/>
      <c r="E514" s="182" t="s">
        <v>203</v>
      </c>
      <c r="F514" s="182">
        <v>1</v>
      </c>
      <c r="G514" s="292">
        <v>204722.5</v>
      </c>
    </row>
    <row r="515" spans="1:7" x14ac:dyDescent="0.25">
      <c r="A515" s="183" t="s">
        <v>396</v>
      </c>
      <c r="B515" s="195" t="s">
        <v>397</v>
      </c>
      <c r="C515" s="189"/>
      <c r="D515" s="176"/>
      <c r="E515" s="182"/>
      <c r="F515" s="182"/>
      <c r="G515" s="292"/>
    </row>
    <row r="516" spans="1:7" ht="13.5" customHeight="1" x14ac:dyDescent="0.25">
      <c r="A516" s="188"/>
      <c r="B516" s="180">
        <v>1</v>
      </c>
      <c r="C516" s="189" t="s">
        <v>398</v>
      </c>
      <c r="D516" s="176"/>
      <c r="E516" s="182" t="s">
        <v>399</v>
      </c>
      <c r="F516" s="182">
        <v>1</v>
      </c>
      <c r="G516" s="292">
        <v>4371000</v>
      </c>
    </row>
    <row r="517" spans="1:7" ht="13.5" customHeight="1" x14ac:dyDescent="0.25">
      <c r="A517" s="188"/>
      <c r="B517" s="180">
        <v>2</v>
      </c>
      <c r="C517" s="189" t="s">
        <v>400</v>
      </c>
      <c r="D517" s="176"/>
      <c r="E517" s="182" t="s">
        <v>399</v>
      </c>
      <c r="F517" s="182">
        <v>1</v>
      </c>
      <c r="G517" s="292">
        <v>6543000</v>
      </c>
    </row>
    <row r="518" spans="1:7" ht="13.5" customHeight="1" x14ac:dyDescent="0.25">
      <c r="A518" s="188"/>
      <c r="B518" s="180">
        <v>3</v>
      </c>
      <c r="C518" s="189" t="s">
        <v>401</v>
      </c>
      <c r="D518" s="176"/>
      <c r="E518" s="182" t="s">
        <v>399</v>
      </c>
      <c r="F518" s="182">
        <v>1</v>
      </c>
      <c r="G518" s="292">
        <v>5412000</v>
      </c>
    </row>
    <row r="519" spans="1:7" ht="13.5" customHeight="1" x14ac:dyDescent="0.25">
      <c r="A519" s="188"/>
      <c r="B519" s="180">
        <v>4</v>
      </c>
      <c r="C519" s="189" t="s">
        <v>402</v>
      </c>
      <c r="D519" s="176"/>
      <c r="E519" s="182" t="s">
        <v>399</v>
      </c>
      <c r="F519" s="182">
        <v>1</v>
      </c>
      <c r="G519" s="292">
        <v>6912000</v>
      </c>
    </row>
    <row r="520" spans="1:7" ht="13.5" customHeight="1" x14ac:dyDescent="0.25">
      <c r="A520" s="188"/>
      <c r="B520" s="180">
        <v>5</v>
      </c>
      <c r="C520" s="189" t="s">
        <v>403</v>
      </c>
      <c r="D520" s="176"/>
      <c r="E520" s="182" t="s">
        <v>399</v>
      </c>
      <c r="F520" s="182">
        <v>1</v>
      </c>
      <c r="G520" s="292">
        <v>6783000</v>
      </c>
    </row>
    <row r="521" spans="1:7" ht="13.5" customHeight="1" x14ac:dyDescent="0.25">
      <c r="A521" s="188"/>
      <c r="B521" s="180">
        <v>6</v>
      </c>
      <c r="C521" s="189" t="s">
        <v>404</v>
      </c>
      <c r="D521" s="176"/>
      <c r="E521" s="182" t="s">
        <v>399</v>
      </c>
      <c r="F521" s="182">
        <v>1</v>
      </c>
      <c r="G521" s="292">
        <v>7274000</v>
      </c>
    </row>
    <row r="522" spans="1:7" ht="13.5" customHeight="1" x14ac:dyDescent="0.25">
      <c r="A522" s="188"/>
      <c r="B522" s="180">
        <v>7</v>
      </c>
      <c r="C522" s="189" t="s">
        <v>405</v>
      </c>
      <c r="D522" s="176"/>
      <c r="E522" s="182" t="s">
        <v>399</v>
      </c>
      <c r="F522" s="182">
        <v>1</v>
      </c>
      <c r="G522" s="292">
        <v>6968000</v>
      </c>
    </row>
    <row r="523" spans="1:7" ht="13.5" customHeight="1" x14ac:dyDescent="0.25">
      <c r="A523" s="188"/>
      <c r="B523" s="180">
        <v>8</v>
      </c>
      <c r="C523" s="189" t="s">
        <v>406</v>
      </c>
      <c r="D523" s="176"/>
      <c r="E523" s="182" t="s">
        <v>399</v>
      </c>
      <c r="F523" s="182">
        <v>1</v>
      </c>
      <c r="G523" s="292">
        <v>8211000</v>
      </c>
    </row>
    <row r="524" spans="1:7" ht="13.5" customHeight="1" x14ac:dyDescent="0.25">
      <c r="A524" s="188"/>
      <c r="B524" s="180">
        <v>9</v>
      </c>
      <c r="C524" s="189" t="s">
        <v>407</v>
      </c>
      <c r="D524" s="176"/>
      <c r="E524" s="182" t="s">
        <v>399</v>
      </c>
      <c r="F524" s="182">
        <v>1</v>
      </c>
      <c r="G524" s="292">
        <v>11128000</v>
      </c>
    </row>
    <row r="525" spans="1:7" ht="13.5" customHeight="1" x14ac:dyDescent="0.25">
      <c r="A525" s="188"/>
      <c r="B525" s="180">
        <v>10</v>
      </c>
      <c r="C525" s="189" t="s">
        <v>408</v>
      </c>
      <c r="D525" s="176"/>
      <c r="E525" s="182" t="s">
        <v>399</v>
      </c>
      <c r="F525" s="182">
        <v>1</v>
      </c>
      <c r="G525" s="292">
        <v>11138000</v>
      </c>
    </row>
    <row r="526" spans="1:7" ht="13.5" customHeight="1" x14ac:dyDescent="0.25">
      <c r="A526" s="188"/>
      <c r="B526" s="180">
        <v>11</v>
      </c>
      <c r="C526" s="189" t="s">
        <v>409</v>
      </c>
      <c r="D526" s="176"/>
      <c r="E526" s="182" t="s">
        <v>399</v>
      </c>
      <c r="F526" s="182">
        <v>1</v>
      </c>
      <c r="G526" s="292">
        <v>11149000</v>
      </c>
    </row>
    <row r="527" spans="1:7" ht="13.5" customHeight="1" x14ac:dyDescent="0.25">
      <c r="A527" s="188"/>
      <c r="B527" s="180">
        <v>12</v>
      </c>
      <c r="C527" s="189" t="s">
        <v>410</v>
      </c>
      <c r="D527" s="176"/>
      <c r="E527" s="182" t="s">
        <v>399</v>
      </c>
      <c r="F527" s="182">
        <v>1</v>
      </c>
      <c r="G527" s="292">
        <v>12839000</v>
      </c>
    </row>
    <row r="528" spans="1:7" ht="13.5" customHeight="1" x14ac:dyDescent="0.25">
      <c r="A528" s="188"/>
      <c r="B528" s="180">
        <v>13</v>
      </c>
      <c r="C528" s="189" t="s">
        <v>411</v>
      </c>
      <c r="D528" s="176"/>
      <c r="E528" s="182" t="s">
        <v>399</v>
      </c>
      <c r="F528" s="182">
        <v>1</v>
      </c>
      <c r="G528" s="292">
        <v>12839000</v>
      </c>
    </row>
    <row r="529" spans="1:7" ht="13.5" customHeight="1" x14ac:dyDescent="0.25">
      <c r="A529" s="188"/>
      <c r="B529" s="180">
        <v>14</v>
      </c>
      <c r="C529" s="189" t="s">
        <v>412</v>
      </c>
      <c r="D529" s="176"/>
      <c r="E529" s="182" t="s">
        <v>399</v>
      </c>
      <c r="F529" s="182">
        <v>1</v>
      </c>
      <c r="G529" s="292">
        <v>12839000</v>
      </c>
    </row>
    <row r="530" spans="1:7" ht="13.5" customHeight="1" x14ac:dyDescent="0.25">
      <c r="A530" s="188"/>
      <c r="B530" s="180">
        <v>15</v>
      </c>
      <c r="C530" s="189" t="s">
        <v>413</v>
      </c>
      <c r="D530" s="176"/>
      <c r="E530" s="182" t="s">
        <v>399</v>
      </c>
      <c r="F530" s="182">
        <v>1</v>
      </c>
      <c r="G530" s="292">
        <v>15053000</v>
      </c>
    </row>
    <row r="531" spans="1:7" ht="13.5" customHeight="1" x14ac:dyDescent="0.25">
      <c r="A531" s="188"/>
      <c r="B531" s="180">
        <v>16</v>
      </c>
      <c r="C531" s="189" t="s">
        <v>414</v>
      </c>
      <c r="D531" s="176"/>
      <c r="E531" s="182" t="s">
        <v>399</v>
      </c>
      <c r="F531" s="182">
        <v>1</v>
      </c>
      <c r="G531" s="292">
        <v>16758000</v>
      </c>
    </row>
    <row r="532" spans="1:7" ht="13.5" customHeight="1" x14ac:dyDescent="0.25">
      <c r="A532" s="188"/>
      <c r="B532" s="180">
        <v>17</v>
      </c>
      <c r="C532" s="189" t="s">
        <v>415</v>
      </c>
      <c r="D532" s="176"/>
      <c r="E532" s="182" t="s">
        <v>399</v>
      </c>
      <c r="F532" s="182">
        <v>1</v>
      </c>
      <c r="G532" s="292">
        <v>15129000</v>
      </c>
    </row>
    <row r="533" spans="1:7" ht="13.5" customHeight="1" x14ac:dyDescent="0.25">
      <c r="A533" s="188"/>
      <c r="B533" s="180">
        <v>18</v>
      </c>
      <c r="C533" s="189" t="s">
        <v>416</v>
      </c>
      <c r="D533" s="176"/>
      <c r="E533" s="182" t="s">
        <v>399</v>
      </c>
      <c r="F533" s="182">
        <v>1</v>
      </c>
      <c r="G533" s="292">
        <v>16833000</v>
      </c>
    </row>
    <row r="534" spans="1:7" x14ac:dyDescent="0.25">
      <c r="A534" s="183" t="s">
        <v>417</v>
      </c>
      <c r="B534" s="195" t="s">
        <v>418</v>
      </c>
      <c r="C534" s="189"/>
      <c r="D534" s="176"/>
      <c r="E534" s="182"/>
      <c r="F534" s="182"/>
      <c r="G534" s="292"/>
    </row>
    <row r="535" spans="1:7" x14ac:dyDescent="0.25">
      <c r="A535" s="188"/>
      <c r="B535" s="180">
        <v>1</v>
      </c>
      <c r="C535" s="189" t="s">
        <v>419</v>
      </c>
      <c r="D535" s="176"/>
      <c r="E535" s="182" t="s">
        <v>203</v>
      </c>
      <c r="F535" s="182">
        <v>1</v>
      </c>
      <c r="G535" s="292">
        <v>32100</v>
      </c>
    </row>
    <row r="536" spans="1:7" x14ac:dyDescent="0.25">
      <c r="A536" s="188"/>
      <c r="B536" s="180">
        <v>2</v>
      </c>
      <c r="C536" s="189" t="s">
        <v>420</v>
      </c>
      <c r="D536" s="176"/>
      <c r="E536" s="182" t="s">
        <v>203</v>
      </c>
      <c r="F536" s="182">
        <v>1</v>
      </c>
      <c r="G536" s="292">
        <v>31300</v>
      </c>
    </row>
    <row r="537" spans="1:7" x14ac:dyDescent="0.25">
      <c r="A537" s="188"/>
      <c r="B537" s="180">
        <v>3</v>
      </c>
      <c r="C537" s="189" t="s">
        <v>2234</v>
      </c>
      <c r="D537" s="176"/>
      <c r="E537" s="182" t="s">
        <v>203</v>
      </c>
      <c r="F537" s="182">
        <v>1</v>
      </c>
      <c r="G537" s="292">
        <v>37600</v>
      </c>
    </row>
    <row r="538" spans="1:7" x14ac:dyDescent="0.25">
      <c r="A538" s="188"/>
      <c r="B538" s="180">
        <v>4</v>
      </c>
      <c r="C538" s="189" t="s">
        <v>2235</v>
      </c>
      <c r="D538" s="176"/>
      <c r="E538" s="182" t="s">
        <v>203</v>
      </c>
      <c r="F538" s="182">
        <v>1</v>
      </c>
      <c r="G538" s="292">
        <v>37600</v>
      </c>
    </row>
    <row r="539" spans="1:7" x14ac:dyDescent="0.25">
      <c r="A539" s="188"/>
      <c r="B539" s="180">
        <v>5</v>
      </c>
      <c r="C539" s="189" t="s">
        <v>2236</v>
      </c>
      <c r="D539" s="176"/>
      <c r="E539" s="182" t="s">
        <v>203</v>
      </c>
      <c r="F539" s="182">
        <v>1</v>
      </c>
      <c r="G539" s="292">
        <v>37600</v>
      </c>
    </row>
    <row r="540" spans="1:7" x14ac:dyDescent="0.25">
      <c r="A540" s="188"/>
      <c r="B540" s="180">
        <v>6</v>
      </c>
      <c r="C540" s="189" t="s">
        <v>2237</v>
      </c>
      <c r="D540" s="176"/>
      <c r="E540" s="182" t="s">
        <v>203</v>
      </c>
      <c r="F540" s="182">
        <v>1</v>
      </c>
      <c r="G540" s="292">
        <v>37600</v>
      </c>
    </row>
    <row r="541" spans="1:7" x14ac:dyDescent="0.25">
      <c r="A541" s="188"/>
      <c r="B541" s="180">
        <v>7</v>
      </c>
      <c r="C541" s="189" t="s">
        <v>2238</v>
      </c>
      <c r="D541" s="176"/>
      <c r="E541" s="182" t="s">
        <v>203</v>
      </c>
      <c r="F541" s="182">
        <v>1</v>
      </c>
      <c r="G541" s="292">
        <v>37600</v>
      </c>
    </row>
    <row r="542" spans="1:7" x14ac:dyDescent="0.25">
      <c r="A542" s="188"/>
      <c r="B542" s="180">
        <v>8</v>
      </c>
      <c r="C542" s="189" t="s">
        <v>2239</v>
      </c>
      <c r="D542" s="176"/>
      <c r="E542" s="182" t="s">
        <v>203</v>
      </c>
      <c r="F542" s="182">
        <v>1</v>
      </c>
      <c r="G542" s="292">
        <v>37600</v>
      </c>
    </row>
    <row r="543" spans="1:7" x14ac:dyDescent="0.25">
      <c r="A543" s="188"/>
      <c r="B543" s="180">
        <v>9</v>
      </c>
      <c r="C543" s="189" t="s">
        <v>2240</v>
      </c>
      <c r="D543" s="176"/>
      <c r="E543" s="182" t="s">
        <v>203</v>
      </c>
      <c r="F543" s="182">
        <v>1</v>
      </c>
      <c r="G543" s="292">
        <v>37600</v>
      </c>
    </row>
    <row r="544" spans="1:7" x14ac:dyDescent="0.25">
      <c r="A544" s="188"/>
      <c r="B544" s="180">
        <v>10</v>
      </c>
      <c r="C544" s="189" t="s">
        <v>2241</v>
      </c>
      <c r="D544" s="176"/>
      <c r="E544" s="182" t="s">
        <v>203</v>
      </c>
      <c r="F544" s="182">
        <v>1</v>
      </c>
      <c r="G544" s="292">
        <v>37600</v>
      </c>
    </row>
    <row r="545" spans="1:7" x14ac:dyDescent="0.25">
      <c r="A545" s="188"/>
      <c r="B545" s="180">
        <v>11</v>
      </c>
      <c r="C545" s="189" t="s">
        <v>2242</v>
      </c>
      <c r="D545" s="176"/>
      <c r="E545" s="182" t="s">
        <v>203</v>
      </c>
      <c r="F545" s="182">
        <v>1</v>
      </c>
      <c r="G545" s="292">
        <v>37600</v>
      </c>
    </row>
    <row r="546" spans="1:7" x14ac:dyDescent="0.25">
      <c r="A546" s="188"/>
      <c r="B546" s="180">
        <v>12</v>
      </c>
      <c r="C546" s="189" t="s">
        <v>2243</v>
      </c>
      <c r="D546" s="176"/>
      <c r="E546" s="182" t="s">
        <v>203</v>
      </c>
      <c r="F546" s="182">
        <v>1</v>
      </c>
      <c r="G546" s="292">
        <v>49920</v>
      </c>
    </row>
    <row r="547" spans="1:7" x14ac:dyDescent="0.25">
      <c r="A547" s="188"/>
      <c r="B547" s="180">
        <v>13</v>
      </c>
      <c r="C547" s="189" t="s">
        <v>2244</v>
      </c>
      <c r="D547" s="176"/>
      <c r="E547" s="182" t="s">
        <v>203</v>
      </c>
      <c r="F547" s="182">
        <v>1</v>
      </c>
      <c r="G547" s="292">
        <v>58320</v>
      </c>
    </row>
    <row r="548" spans="1:7" x14ac:dyDescent="0.25">
      <c r="A548" s="188"/>
      <c r="B548" s="180">
        <v>14</v>
      </c>
      <c r="C548" s="189" t="s">
        <v>2245</v>
      </c>
      <c r="D548" s="176"/>
      <c r="E548" s="182" t="s">
        <v>203</v>
      </c>
      <c r="F548" s="182">
        <v>1</v>
      </c>
      <c r="G548" s="292">
        <v>66720</v>
      </c>
    </row>
    <row r="549" spans="1:7" x14ac:dyDescent="0.25">
      <c r="A549" s="188"/>
      <c r="B549" s="180">
        <v>15</v>
      </c>
      <c r="C549" s="189" t="s">
        <v>2246</v>
      </c>
      <c r="D549" s="176"/>
      <c r="E549" s="182" t="s">
        <v>203</v>
      </c>
      <c r="F549" s="182">
        <v>1</v>
      </c>
      <c r="G549" s="292">
        <v>75120</v>
      </c>
    </row>
    <row r="550" spans="1:7" x14ac:dyDescent="0.25">
      <c r="A550" s="188"/>
      <c r="B550" s="180">
        <v>16</v>
      </c>
      <c r="C550" s="189" t="s">
        <v>2247</v>
      </c>
      <c r="D550" s="176"/>
      <c r="E550" s="182" t="s">
        <v>203</v>
      </c>
      <c r="F550" s="182">
        <v>1</v>
      </c>
      <c r="G550" s="292">
        <v>83520</v>
      </c>
    </row>
    <row r="551" spans="1:7" x14ac:dyDescent="0.25">
      <c r="A551" s="188"/>
      <c r="B551" s="180">
        <v>17</v>
      </c>
      <c r="C551" s="189" t="s">
        <v>2248</v>
      </c>
      <c r="D551" s="176"/>
      <c r="E551" s="182" t="s">
        <v>203</v>
      </c>
      <c r="F551" s="182">
        <v>1</v>
      </c>
      <c r="G551" s="292">
        <v>99720</v>
      </c>
    </row>
    <row r="552" spans="1:7" x14ac:dyDescent="0.25">
      <c r="A552" s="188"/>
      <c r="B552" s="180">
        <v>18</v>
      </c>
      <c r="C552" s="189" t="s">
        <v>2249</v>
      </c>
      <c r="D552" s="176"/>
      <c r="E552" s="182" t="s">
        <v>203</v>
      </c>
      <c r="F552" s="182">
        <v>1</v>
      </c>
      <c r="G552" s="292">
        <v>148140</v>
      </c>
    </row>
    <row r="553" spans="1:7" x14ac:dyDescent="0.25">
      <c r="A553" s="188"/>
      <c r="B553" s="180">
        <v>19</v>
      </c>
      <c r="C553" s="189" t="s">
        <v>2250</v>
      </c>
      <c r="D553" s="176"/>
      <c r="E553" s="182" t="s">
        <v>203</v>
      </c>
      <c r="F553" s="182">
        <v>1</v>
      </c>
      <c r="G553" s="292">
        <v>196560</v>
      </c>
    </row>
    <row r="554" spans="1:7" x14ac:dyDescent="0.25">
      <c r="A554" s="188"/>
      <c r="B554" s="180">
        <v>20</v>
      </c>
      <c r="C554" s="189" t="s">
        <v>2251</v>
      </c>
      <c r="D554" s="176"/>
      <c r="E554" s="182" t="s">
        <v>203</v>
      </c>
      <c r="F554" s="182">
        <v>1</v>
      </c>
      <c r="G554" s="292">
        <v>244980</v>
      </c>
    </row>
    <row r="555" spans="1:7" x14ac:dyDescent="0.25">
      <c r="A555" s="183" t="s">
        <v>421</v>
      </c>
      <c r="B555" s="195" t="s">
        <v>422</v>
      </c>
      <c r="C555" s="189"/>
      <c r="D555" s="176"/>
      <c r="E555" s="182"/>
      <c r="F555" s="182"/>
      <c r="G555" s="292"/>
    </row>
    <row r="556" spans="1:7" x14ac:dyDescent="0.25">
      <c r="A556" s="188"/>
      <c r="B556" s="180">
        <v>1</v>
      </c>
      <c r="C556" s="189" t="s">
        <v>423</v>
      </c>
      <c r="D556" s="176"/>
      <c r="E556" s="182" t="s">
        <v>203</v>
      </c>
      <c r="F556" s="182">
        <v>1</v>
      </c>
      <c r="G556" s="292">
        <v>32000</v>
      </c>
    </row>
    <row r="557" spans="1:7" x14ac:dyDescent="0.25">
      <c r="A557" s="188"/>
      <c r="B557" s="180">
        <v>2</v>
      </c>
      <c r="C557" s="189" t="s">
        <v>424</v>
      </c>
      <c r="D557" s="176"/>
      <c r="E557" s="182" t="s">
        <v>203</v>
      </c>
      <c r="F557" s="182">
        <v>1</v>
      </c>
      <c r="G557" s="292">
        <v>31000</v>
      </c>
    </row>
    <row r="558" spans="1:7" x14ac:dyDescent="0.25">
      <c r="A558" s="188"/>
      <c r="B558" s="180">
        <v>3</v>
      </c>
      <c r="C558" s="189" t="s">
        <v>2252</v>
      </c>
      <c r="D558" s="176"/>
      <c r="E558" s="182" t="s">
        <v>203</v>
      </c>
      <c r="F558" s="182">
        <v>1</v>
      </c>
      <c r="G558" s="292">
        <v>38000</v>
      </c>
    </row>
    <row r="559" spans="1:7" x14ac:dyDescent="0.25">
      <c r="A559" s="188"/>
      <c r="B559" s="180">
        <v>4</v>
      </c>
      <c r="C559" s="189" t="s">
        <v>2253</v>
      </c>
      <c r="D559" s="176"/>
      <c r="E559" s="182" t="s">
        <v>203</v>
      </c>
      <c r="F559" s="182">
        <v>1</v>
      </c>
      <c r="G559" s="292">
        <v>55000</v>
      </c>
    </row>
    <row r="560" spans="1:7" x14ac:dyDescent="0.25">
      <c r="A560" s="188"/>
      <c r="B560" s="180">
        <v>5</v>
      </c>
      <c r="C560" s="189" t="s">
        <v>2254</v>
      </c>
      <c r="D560" s="176"/>
      <c r="E560" s="182" t="s">
        <v>203</v>
      </c>
      <c r="F560" s="182">
        <v>1</v>
      </c>
      <c r="G560" s="292">
        <v>77000</v>
      </c>
    </row>
    <row r="561" spans="1:7" x14ac:dyDescent="0.25">
      <c r="A561" s="188"/>
      <c r="B561" s="180">
        <v>6</v>
      </c>
      <c r="C561" s="189" t="s">
        <v>2255</v>
      </c>
      <c r="D561" s="176"/>
      <c r="E561" s="182" t="s">
        <v>203</v>
      </c>
      <c r="F561" s="182">
        <v>1</v>
      </c>
      <c r="G561" s="292">
        <v>104000</v>
      </c>
    </row>
    <row r="562" spans="1:7" x14ac:dyDescent="0.25">
      <c r="A562" s="188"/>
      <c r="B562" s="180">
        <v>7</v>
      </c>
      <c r="C562" s="189" t="s">
        <v>2256</v>
      </c>
      <c r="D562" s="176"/>
      <c r="E562" s="182" t="s">
        <v>203</v>
      </c>
      <c r="F562" s="182">
        <v>1</v>
      </c>
      <c r="G562" s="292">
        <v>52000</v>
      </c>
    </row>
    <row r="563" spans="1:7" x14ac:dyDescent="0.25">
      <c r="A563" s="188"/>
      <c r="B563" s="180">
        <v>8</v>
      </c>
      <c r="C563" s="189" t="s">
        <v>2257</v>
      </c>
      <c r="D563" s="176"/>
      <c r="E563" s="182" t="s">
        <v>203</v>
      </c>
      <c r="F563" s="182">
        <v>1</v>
      </c>
      <c r="G563" s="292">
        <v>75000</v>
      </c>
    </row>
    <row r="564" spans="1:7" x14ac:dyDescent="0.25">
      <c r="A564" s="188"/>
      <c r="B564" s="180">
        <v>9</v>
      </c>
      <c r="C564" s="189" t="s">
        <v>2258</v>
      </c>
      <c r="D564" s="176"/>
      <c r="E564" s="182" t="s">
        <v>203</v>
      </c>
      <c r="F564" s="182">
        <v>1</v>
      </c>
      <c r="G564" s="292">
        <v>105000</v>
      </c>
    </row>
    <row r="565" spans="1:7" x14ac:dyDescent="0.25">
      <c r="A565" s="188"/>
      <c r="B565" s="180">
        <v>10</v>
      </c>
      <c r="C565" s="189" t="s">
        <v>2259</v>
      </c>
      <c r="D565" s="176"/>
      <c r="E565" s="182" t="s">
        <v>203</v>
      </c>
      <c r="F565" s="182">
        <v>1</v>
      </c>
      <c r="G565" s="292">
        <v>142000</v>
      </c>
    </row>
    <row r="566" spans="1:7" x14ac:dyDescent="0.25">
      <c r="A566" s="183" t="s">
        <v>425</v>
      </c>
      <c r="B566" s="195" t="s">
        <v>428</v>
      </c>
      <c r="C566" s="189"/>
      <c r="D566" s="176"/>
      <c r="E566" s="182"/>
      <c r="F566" s="182"/>
      <c r="G566" s="292"/>
    </row>
    <row r="567" spans="1:7" x14ac:dyDescent="0.25">
      <c r="A567" s="188"/>
      <c r="B567" s="180">
        <v>1</v>
      </c>
      <c r="C567" s="189" t="s">
        <v>1616</v>
      </c>
      <c r="D567" s="176"/>
      <c r="E567" s="182" t="s">
        <v>235</v>
      </c>
      <c r="F567" s="182">
        <v>1</v>
      </c>
      <c r="G567" s="292">
        <v>11500</v>
      </c>
    </row>
    <row r="568" spans="1:7" x14ac:dyDescent="0.25">
      <c r="A568" s="183" t="s">
        <v>426</v>
      </c>
      <c r="B568" s="195" t="s">
        <v>431</v>
      </c>
      <c r="C568" s="189"/>
      <c r="D568" s="176"/>
      <c r="E568" s="182"/>
      <c r="F568" s="182"/>
      <c r="G568" s="292"/>
    </row>
    <row r="569" spans="1:7" x14ac:dyDescent="0.25">
      <c r="A569" s="188"/>
      <c r="B569" s="180">
        <v>1</v>
      </c>
      <c r="C569" s="189" t="s">
        <v>432</v>
      </c>
      <c r="D569" s="176"/>
      <c r="E569" s="182" t="s">
        <v>203</v>
      </c>
      <c r="F569" s="182">
        <v>1</v>
      </c>
      <c r="G569" s="292">
        <v>51000</v>
      </c>
    </row>
    <row r="570" spans="1:7" x14ac:dyDescent="0.25">
      <c r="A570" s="188"/>
      <c r="B570" s="180">
        <v>2</v>
      </c>
      <c r="C570" s="189" t="s">
        <v>433</v>
      </c>
      <c r="D570" s="176"/>
      <c r="E570" s="182" t="s">
        <v>203</v>
      </c>
      <c r="F570" s="182">
        <v>1</v>
      </c>
      <c r="G570" s="292">
        <v>51000</v>
      </c>
    </row>
    <row r="571" spans="1:7" x14ac:dyDescent="0.25">
      <c r="A571" s="183" t="s">
        <v>427</v>
      </c>
      <c r="B571" s="195" t="s">
        <v>436</v>
      </c>
      <c r="C571" s="189"/>
      <c r="D571" s="176"/>
      <c r="E571" s="182"/>
      <c r="F571" s="182"/>
      <c r="G571" s="292"/>
    </row>
    <row r="572" spans="1:7" x14ac:dyDescent="0.25">
      <c r="A572" s="188"/>
      <c r="B572" s="180">
        <v>1</v>
      </c>
      <c r="C572" s="189" t="s">
        <v>437</v>
      </c>
      <c r="D572" s="176"/>
      <c r="E572" s="182" t="s">
        <v>235</v>
      </c>
      <c r="F572" s="182">
        <v>1</v>
      </c>
      <c r="G572" s="292">
        <v>390000</v>
      </c>
    </row>
    <row r="573" spans="1:7" x14ac:dyDescent="0.25">
      <c r="A573" s="188"/>
      <c r="B573" s="180">
        <v>2</v>
      </c>
      <c r="C573" s="189" t="s">
        <v>438</v>
      </c>
      <c r="D573" s="176"/>
      <c r="E573" s="182" t="s">
        <v>235</v>
      </c>
      <c r="F573" s="182">
        <v>1</v>
      </c>
      <c r="G573" s="292">
        <v>355000</v>
      </c>
    </row>
    <row r="574" spans="1:7" x14ac:dyDescent="0.25">
      <c r="A574" s="188"/>
      <c r="B574" s="180">
        <v>3</v>
      </c>
      <c r="C574" s="189" t="s">
        <v>439</v>
      </c>
      <c r="D574" s="176"/>
      <c r="E574" s="182" t="s">
        <v>235</v>
      </c>
      <c r="F574" s="182">
        <v>1</v>
      </c>
      <c r="G574" s="292">
        <v>320000</v>
      </c>
    </row>
    <row r="575" spans="1:7" x14ac:dyDescent="0.25">
      <c r="A575" s="188"/>
      <c r="B575" s="180">
        <v>4</v>
      </c>
      <c r="C575" s="189" t="s">
        <v>440</v>
      </c>
      <c r="D575" s="176"/>
      <c r="E575" s="182" t="s">
        <v>235</v>
      </c>
      <c r="F575" s="182">
        <v>1</v>
      </c>
      <c r="G575" s="292">
        <v>258000</v>
      </c>
    </row>
    <row r="576" spans="1:7" x14ac:dyDescent="0.25">
      <c r="A576" s="188"/>
      <c r="B576" s="180">
        <v>5</v>
      </c>
      <c r="C576" s="189" t="s">
        <v>441</v>
      </c>
      <c r="D576" s="176"/>
      <c r="E576" s="182" t="s">
        <v>235</v>
      </c>
      <c r="F576" s="182">
        <v>1</v>
      </c>
      <c r="G576" s="292">
        <v>231000</v>
      </c>
    </row>
    <row r="577" spans="1:7" x14ac:dyDescent="0.25">
      <c r="A577" s="188"/>
      <c r="B577" s="180">
        <v>6</v>
      </c>
      <c r="C577" s="189" t="s">
        <v>442</v>
      </c>
      <c r="D577" s="176"/>
      <c r="E577" s="182" t="s">
        <v>235</v>
      </c>
      <c r="F577" s="182">
        <v>1</v>
      </c>
      <c r="G577" s="292">
        <v>205000</v>
      </c>
    </row>
    <row r="578" spans="1:7" x14ac:dyDescent="0.25">
      <c r="A578" s="183" t="s">
        <v>430</v>
      </c>
      <c r="B578" s="195" t="s">
        <v>444</v>
      </c>
      <c r="C578" s="189"/>
      <c r="D578" s="176"/>
      <c r="E578" s="182"/>
      <c r="F578" s="182"/>
      <c r="G578" s="292"/>
    </row>
    <row r="579" spans="1:7" x14ac:dyDescent="0.25">
      <c r="A579" s="188"/>
      <c r="B579" s="180">
        <v>1</v>
      </c>
      <c r="C579" s="189" t="s">
        <v>445</v>
      </c>
      <c r="D579" s="176"/>
      <c r="E579" s="182" t="s">
        <v>203</v>
      </c>
      <c r="F579" s="182">
        <v>1</v>
      </c>
      <c r="G579" s="292">
        <v>118000</v>
      </c>
    </row>
    <row r="580" spans="1:7" x14ac:dyDescent="0.25">
      <c r="A580" s="188"/>
      <c r="B580" s="180">
        <v>2</v>
      </c>
      <c r="C580" s="189" t="s">
        <v>446</v>
      </c>
      <c r="D580" s="176"/>
      <c r="E580" s="182" t="s">
        <v>203</v>
      </c>
      <c r="F580" s="182">
        <v>1</v>
      </c>
      <c r="G580" s="292">
        <v>111000</v>
      </c>
    </row>
    <row r="581" spans="1:7" x14ac:dyDescent="0.25">
      <c r="A581" s="188"/>
      <c r="B581" s="180">
        <v>3</v>
      </c>
      <c r="C581" s="189" t="s">
        <v>447</v>
      </c>
      <c r="D581" s="176"/>
      <c r="E581" s="182" t="s">
        <v>203</v>
      </c>
      <c r="F581" s="182">
        <v>1</v>
      </c>
      <c r="G581" s="292">
        <v>112000</v>
      </c>
    </row>
    <row r="582" spans="1:7" x14ac:dyDescent="0.25">
      <c r="A582" s="188"/>
      <c r="B582" s="180">
        <v>4</v>
      </c>
      <c r="C582" s="189" t="s">
        <v>448</v>
      </c>
      <c r="D582" s="176"/>
      <c r="E582" s="182" t="s">
        <v>203</v>
      </c>
      <c r="F582" s="182">
        <v>1</v>
      </c>
      <c r="G582" s="292">
        <v>101000</v>
      </c>
    </row>
    <row r="583" spans="1:7" x14ac:dyDescent="0.25">
      <c r="A583" s="188"/>
      <c r="B583" s="180">
        <v>5</v>
      </c>
      <c r="C583" s="189" t="s">
        <v>449</v>
      </c>
      <c r="D583" s="176"/>
      <c r="E583" s="182" t="s">
        <v>203</v>
      </c>
      <c r="F583" s="182">
        <v>1</v>
      </c>
      <c r="G583" s="292">
        <v>122000</v>
      </c>
    </row>
    <row r="584" spans="1:7" x14ac:dyDescent="0.25">
      <c r="A584" s="188"/>
      <c r="B584" s="180">
        <v>6</v>
      </c>
      <c r="C584" s="189" t="s">
        <v>450</v>
      </c>
      <c r="D584" s="176"/>
      <c r="E584" s="182" t="s">
        <v>203</v>
      </c>
      <c r="F584" s="182">
        <v>1</v>
      </c>
      <c r="G584" s="292">
        <v>103000</v>
      </c>
    </row>
    <row r="585" spans="1:7" x14ac:dyDescent="0.25">
      <c r="A585" s="188"/>
      <c r="B585" s="180">
        <v>7</v>
      </c>
      <c r="C585" s="189" t="s">
        <v>451</v>
      </c>
      <c r="D585" s="176"/>
      <c r="E585" s="182" t="s">
        <v>203</v>
      </c>
      <c r="F585" s="182">
        <v>1</v>
      </c>
      <c r="G585" s="292">
        <v>122000</v>
      </c>
    </row>
    <row r="586" spans="1:7" x14ac:dyDescent="0.25">
      <c r="A586" s="188"/>
      <c r="B586" s="180">
        <v>8</v>
      </c>
      <c r="C586" s="189" t="s">
        <v>452</v>
      </c>
      <c r="D586" s="176"/>
      <c r="E586" s="182" t="s">
        <v>203</v>
      </c>
      <c r="F586" s="182">
        <v>1</v>
      </c>
      <c r="G586" s="292">
        <v>69000</v>
      </c>
    </row>
    <row r="587" spans="1:7" x14ac:dyDescent="0.25">
      <c r="A587" s="188"/>
      <c r="B587" s="180">
        <v>9</v>
      </c>
      <c r="C587" s="189" t="s">
        <v>453</v>
      </c>
      <c r="D587" s="176"/>
      <c r="E587" s="182" t="s">
        <v>203</v>
      </c>
      <c r="F587" s="182">
        <v>1</v>
      </c>
      <c r="G587" s="292">
        <v>145000</v>
      </c>
    </row>
    <row r="588" spans="1:7" x14ac:dyDescent="0.25">
      <c r="A588" s="188"/>
      <c r="B588" s="180">
        <v>10</v>
      </c>
      <c r="C588" s="189" t="s">
        <v>454</v>
      </c>
      <c r="D588" s="176"/>
      <c r="E588" s="182" t="s">
        <v>203</v>
      </c>
      <c r="F588" s="182">
        <v>1</v>
      </c>
      <c r="G588" s="292">
        <v>135000</v>
      </c>
    </row>
    <row r="589" spans="1:7" x14ac:dyDescent="0.25">
      <c r="A589" s="188"/>
      <c r="B589" s="180">
        <v>11</v>
      </c>
      <c r="C589" s="189" t="s">
        <v>455</v>
      </c>
      <c r="D589" s="176"/>
      <c r="E589" s="182" t="s">
        <v>203</v>
      </c>
      <c r="F589" s="182">
        <v>1</v>
      </c>
      <c r="G589" s="292">
        <v>69000</v>
      </c>
    </row>
    <row r="590" spans="1:7" x14ac:dyDescent="0.25">
      <c r="A590" s="188"/>
      <c r="B590" s="180">
        <v>12</v>
      </c>
      <c r="C590" s="189" t="s">
        <v>456</v>
      </c>
      <c r="D590" s="176"/>
      <c r="E590" s="182" t="s">
        <v>203</v>
      </c>
      <c r="F590" s="182">
        <v>1</v>
      </c>
      <c r="G590" s="292">
        <v>75000</v>
      </c>
    </row>
    <row r="591" spans="1:7" x14ac:dyDescent="0.25">
      <c r="A591" s="188"/>
      <c r="B591" s="180">
        <v>13</v>
      </c>
      <c r="C591" s="189" t="s">
        <v>457</v>
      </c>
      <c r="D591" s="176"/>
      <c r="E591" s="182" t="s">
        <v>203</v>
      </c>
      <c r="F591" s="182">
        <v>1</v>
      </c>
      <c r="G591" s="293">
        <v>211500</v>
      </c>
    </row>
    <row r="592" spans="1:7" x14ac:dyDescent="0.25">
      <c r="A592" s="188"/>
      <c r="B592" s="180">
        <v>14</v>
      </c>
      <c r="C592" s="189" t="s">
        <v>458</v>
      </c>
      <c r="D592" s="176"/>
      <c r="E592" s="182" t="s">
        <v>203</v>
      </c>
      <c r="F592" s="182">
        <v>1</v>
      </c>
      <c r="G592" s="292">
        <v>135000</v>
      </c>
    </row>
    <row r="593" spans="1:7" x14ac:dyDescent="0.25">
      <c r="A593" s="183" t="s">
        <v>434</v>
      </c>
      <c r="B593" s="195" t="s">
        <v>460</v>
      </c>
      <c r="C593" s="189"/>
      <c r="D593" s="176"/>
      <c r="E593" s="182"/>
      <c r="F593" s="182"/>
      <c r="G593" s="292"/>
    </row>
    <row r="594" spans="1:7" x14ac:dyDescent="0.25">
      <c r="A594" s="188"/>
      <c r="B594" s="180">
        <v>1</v>
      </c>
      <c r="C594" s="189" t="s">
        <v>461</v>
      </c>
      <c r="D594" s="176"/>
      <c r="E594" s="182" t="s">
        <v>203</v>
      </c>
      <c r="F594" s="182">
        <v>1</v>
      </c>
      <c r="G594" s="292">
        <v>290000</v>
      </c>
    </row>
    <row r="595" spans="1:7" x14ac:dyDescent="0.25">
      <c r="A595" s="188"/>
      <c r="B595" s="180">
        <v>2</v>
      </c>
      <c r="C595" s="189" t="s">
        <v>462</v>
      </c>
      <c r="D595" s="176"/>
      <c r="E595" s="182" t="s">
        <v>203</v>
      </c>
      <c r="F595" s="182">
        <v>1</v>
      </c>
      <c r="G595" s="292">
        <v>301000</v>
      </c>
    </row>
    <row r="596" spans="1:7" x14ac:dyDescent="0.25">
      <c r="A596" s="188"/>
      <c r="B596" s="180">
        <v>3</v>
      </c>
      <c r="C596" s="189" t="s">
        <v>463</v>
      </c>
      <c r="D596" s="176"/>
      <c r="E596" s="182" t="s">
        <v>203</v>
      </c>
      <c r="F596" s="182">
        <v>1</v>
      </c>
      <c r="G596" s="292">
        <v>355000</v>
      </c>
    </row>
    <row r="597" spans="1:7" x14ac:dyDescent="0.25">
      <c r="A597" s="183" t="s">
        <v>435</v>
      </c>
      <c r="B597" s="195" t="s">
        <v>465</v>
      </c>
      <c r="C597" s="189"/>
      <c r="D597" s="176"/>
      <c r="E597" s="182"/>
      <c r="F597" s="182"/>
      <c r="G597" s="292"/>
    </row>
    <row r="598" spans="1:7" x14ac:dyDescent="0.25">
      <c r="A598" s="188"/>
      <c r="B598" s="180">
        <v>1</v>
      </c>
      <c r="C598" s="189" t="s">
        <v>466</v>
      </c>
      <c r="D598" s="176"/>
      <c r="E598" s="182" t="s">
        <v>203</v>
      </c>
      <c r="F598" s="182">
        <v>1</v>
      </c>
      <c r="G598" s="292">
        <v>15000</v>
      </c>
    </row>
    <row r="599" spans="1:7" x14ac:dyDescent="0.25">
      <c r="A599" s="188"/>
      <c r="B599" s="180">
        <v>2</v>
      </c>
      <c r="C599" s="189" t="s">
        <v>467</v>
      </c>
      <c r="D599" s="176"/>
      <c r="E599" s="182" t="s">
        <v>203</v>
      </c>
      <c r="F599" s="182">
        <v>1</v>
      </c>
      <c r="G599" s="292">
        <v>18200</v>
      </c>
    </row>
    <row r="600" spans="1:7" x14ac:dyDescent="0.25">
      <c r="A600" s="188"/>
      <c r="B600" s="180">
        <v>3</v>
      </c>
      <c r="C600" s="189" t="s">
        <v>468</v>
      </c>
      <c r="D600" s="176"/>
      <c r="E600" s="182" t="s">
        <v>203</v>
      </c>
      <c r="F600" s="182">
        <v>1</v>
      </c>
      <c r="G600" s="292">
        <v>19250</v>
      </c>
    </row>
    <row r="601" spans="1:7" x14ac:dyDescent="0.25">
      <c r="A601" s="188"/>
      <c r="B601" s="180">
        <v>4</v>
      </c>
      <c r="C601" s="189" t="s">
        <v>469</v>
      </c>
      <c r="D601" s="176"/>
      <c r="E601" s="182" t="s">
        <v>203</v>
      </c>
      <c r="F601" s="182">
        <v>1</v>
      </c>
      <c r="G601" s="292">
        <v>19500</v>
      </c>
    </row>
    <row r="602" spans="1:7" x14ac:dyDescent="0.25">
      <c r="A602" s="188"/>
      <c r="B602" s="180">
        <v>5</v>
      </c>
      <c r="C602" s="189" t="s">
        <v>470</v>
      </c>
      <c r="D602" s="176"/>
      <c r="E602" s="182" t="s">
        <v>203</v>
      </c>
      <c r="F602" s="182">
        <v>1</v>
      </c>
      <c r="G602" s="292">
        <v>17188</v>
      </c>
    </row>
    <row r="603" spans="1:7" x14ac:dyDescent="0.25">
      <c r="A603" s="188"/>
      <c r="B603" s="180">
        <v>6</v>
      </c>
      <c r="C603" s="189" t="s">
        <v>471</v>
      </c>
      <c r="D603" s="176"/>
      <c r="E603" s="182" t="s">
        <v>203</v>
      </c>
      <c r="F603" s="182">
        <v>1</v>
      </c>
      <c r="G603" s="292">
        <v>19144</v>
      </c>
    </row>
    <row r="604" spans="1:7" x14ac:dyDescent="0.25">
      <c r="A604" s="188"/>
      <c r="B604" s="180">
        <v>7</v>
      </c>
      <c r="C604" s="189" t="s">
        <v>472</v>
      </c>
      <c r="D604" s="176"/>
      <c r="E604" s="182" t="s">
        <v>203</v>
      </c>
      <c r="F604" s="182">
        <v>1</v>
      </c>
      <c r="G604" s="292">
        <v>19298</v>
      </c>
    </row>
    <row r="605" spans="1:7" x14ac:dyDescent="0.25">
      <c r="A605" s="188"/>
      <c r="B605" s="180">
        <v>8</v>
      </c>
      <c r="C605" s="189" t="s">
        <v>473</v>
      </c>
      <c r="D605" s="176"/>
      <c r="E605" s="182" t="s">
        <v>203</v>
      </c>
      <c r="F605" s="182">
        <v>1</v>
      </c>
      <c r="G605" s="292">
        <v>22200</v>
      </c>
    </row>
    <row r="606" spans="1:7" x14ac:dyDescent="0.25">
      <c r="A606" s="188"/>
      <c r="B606" s="180">
        <v>9</v>
      </c>
      <c r="C606" s="189" t="s">
        <v>474</v>
      </c>
      <c r="D606" s="176"/>
      <c r="E606" s="182" t="s">
        <v>203</v>
      </c>
      <c r="F606" s="182">
        <v>1</v>
      </c>
      <c r="G606" s="292">
        <v>43500</v>
      </c>
    </row>
    <row r="607" spans="1:7" x14ac:dyDescent="0.25">
      <c r="A607" s="188"/>
      <c r="B607" s="180">
        <v>10</v>
      </c>
      <c r="C607" s="189" t="s">
        <v>475</v>
      </c>
      <c r="D607" s="176"/>
      <c r="E607" s="182" t="s">
        <v>203</v>
      </c>
      <c r="F607" s="182">
        <v>1</v>
      </c>
      <c r="G607" s="292">
        <v>45000</v>
      </c>
    </row>
    <row r="608" spans="1:7" x14ac:dyDescent="0.25">
      <c r="A608" s="188"/>
      <c r="B608" s="180">
        <v>11</v>
      </c>
      <c r="C608" s="189" t="s">
        <v>476</v>
      </c>
      <c r="D608" s="176"/>
      <c r="E608" s="182" t="s">
        <v>203</v>
      </c>
      <c r="F608" s="182">
        <v>1</v>
      </c>
      <c r="G608" s="292">
        <v>52500</v>
      </c>
    </row>
    <row r="609" spans="1:7" x14ac:dyDescent="0.25">
      <c r="A609" s="188"/>
      <c r="B609" s="180">
        <v>12</v>
      </c>
      <c r="C609" s="189" t="s">
        <v>477</v>
      </c>
      <c r="D609" s="176"/>
      <c r="E609" s="182" t="s">
        <v>203</v>
      </c>
      <c r="F609" s="182">
        <v>1</v>
      </c>
      <c r="G609" s="292">
        <v>51673</v>
      </c>
    </row>
    <row r="610" spans="1:7" x14ac:dyDescent="0.25">
      <c r="A610" s="188"/>
      <c r="B610" s="180">
        <v>13</v>
      </c>
      <c r="C610" s="189" t="s">
        <v>478</v>
      </c>
      <c r="D610" s="176"/>
      <c r="E610" s="182" t="s">
        <v>203</v>
      </c>
      <c r="F610" s="182">
        <v>1</v>
      </c>
      <c r="G610" s="292">
        <v>16000</v>
      </c>
    </row>
    <row r="611" spans="1:7" x14ac:dyDescent="0.25">
      <c r="A611" s="188"/>
      <c r="B611" s="180">
        <v>14</v>
      </c>
      <c r="C611" s="189" t="s">
        <v>479</v>
      </c>
      <c r="D611" s="176"/>
      <c r="E611" s="182" t="s">
        <v>203</v>
      </c>
      <c r="F611" s="182">
        <v>1</v>
      </c>
      <c r="G611" s="292">
        <v>18611</v>
      </c>
    </row>
    <row r="612" spans="1:7" x14ac:dyDescent="0.25">
      <c r="A612" s="188"/>
      <c r="B612" s="180">
        <v>15</v>
      </c>
      <c r="C612" s="189" t="s">
        <v>480</v>
      </c>
      <c r="D612" s="176"/>
      <c r="E612" s="182" t="s">
        <v>203</v>
      </c>
      <c r="F612" s="182">
        <v>1</v>
      </c>
      <c r="G612" s="292">
        <v>22567</v>
      </c>
    </row>
    <row r="613" spans="1:7" x14ac:dyDescent="0.25">
      <c r="A613" s="188"/>
      <c r="B613" s="180">
        <v>16</v>
      </c>
      <c r="C613" s="189" t="s">
        <v>481</v>
      </c>
      <c r="D613" s="176"/>
      <c r="E613" s="182" t="s">
        <v>203</v>
      </c>
      <c r="F613" s="182">
        <v>1</v>
      </c>
      <c r="G613" s="292">
        <v>37586</v>
      </c>
    </row>
    <row r="614" spans="1:7" x14ac:dyDescent="0.25">
      <c r="A614" s="188"/>
      <c r="B614" s="180">
        <v>17</v>
      </c>
      <c r="C614" s="189" t="s">
        <v>482</v>
      </c>
      <c r="D614" s="176"/>
      <c r="E614" s="182" t="s">
        <v>203</v>
      </c>
      <c r="F614" s="182">
        <v>1</v>
      </c>
      <c r="G614" s="292">
        <v>27775</v>
      </c>
    </row>
    <row r="615" spans="1:7" x14ac:dyDescent="0.25">
      <c r="A615" s="188"/>
      <c r="B615" s="180">
        <v>18</v>
      </c>
      <c r="C615" s="189" t="s">
        <v>483</v>
      </c>
      <c r="D615" s="176"/>
      <c r="E615" s="182" t="s">
        <v>203</v>
      </c>
      <c r="F615" s="182">
        <v>1</v>
      </c>
      <c r="G615" s="292">
        <v>32756</v>
      </c>
    </row>
    <row r="616" spans="1:7" x14ac:dyDescent="0.25">
      <c r="A616" s="188"/>
      <c r="B616" s="180">
        <v>19</v>
      </c>
      <c r="C616" s="189" t="s">
        <v>484</v>
      </c>
      <c r="D616" s="176"/>
      <c r="E616" s="182" t="s">
        <v>203</v>
      </c>
      <c r="F616" s="182">
        <v>1</v>
      </c>
      <c r="G616" s="292">
        <v>33393</v>
      </c>
    </row>
    <row r="617" spans="1:7" x14ac:dyDescent="0.25">
      <c r="A617" s="188"/>
      <c r="B617" s="180">
        <v>20</v>
      </c>
      <c r="C617" s="189" t="s">
        <v>485</v>
      </c>
      <c r="D617" s="176"/>
      <c r="E617" s="182" t="s">
        <v>203</v>
      </c>
      <c r="F617" s="182">
        <v>1</v>
      </c>
      <c r="G617" s="292">
        <v>42331</v>
      </c>
    </row>
    <row r="618" spans="1:7" x14ac:dyDescent="0.25">
      <c r="A618" s="188"/>
      <c r="B618" s="180">
        <v>21</v>
      </c>
      <c r="C618" s="189" t="s">
        <v>486</v>
      </c>
      <c r="D618" s="176"/>
      <c r="E618" s="182" t="s">
        <v>203</v>
      </c>
      <c r="F618" s="182">
        <v>1</v>
      </c>
      <c r="G618" s="292">
        <v>54086</v>
      </c>
    </row>
    <row r="619" spans="1:7" x14ac:dyDescent="0.25">
      <c r="A619" s="183" t="s">
        <v>443</v>
      </c>
      <c r="B619" s="195" t="s">
        <v>488</v>
      </c>
      <c r="C619" s="189"/>
      <c r="D619" s="176"/>
      <c r="E619" s="182"/>
      <c r="F619" s="182"/>
      <c r="G619" s="292"/>
    </row>
    <row r="620" spans="1:7" x14ac:dyDescent="0.25">
      <c r="A620" s="188"/>
      <c r="B620" s="180">
        <v>1</v>
      </c>
      <c r="C620" s="189" t="s">
        <v>489</v>
      </c>
      <c r="D620" s="176"/>
      <c r="E620" s="182" t="s">
        <v>203</v>
      </c>
      <c r="F620" s="182">
        <v>1</v>
      </c>
      <c r="G620" s="292">
        <v>18000</v>
      </c>
    </row>
    <row r="621" spans="1:7" x14ac:dyDescent="0.25">
      <c r="A621" s="188"/>
      <c r="B621" s="180">
        <v>2</v>
      </c>
      <c r="C621" s="189" t="s">
        <v>490</v>
      </c>
      <c r="D621" s="176"/>
      <c r="E621" s="182" t="s">
        <v>203</v>
      </c>
      <c r="F621" s="182">
        <v>1</v>
      </c>
      <c r="G621" s="292">
        <v>38000</v>
      </c>
    </row>
    <row r="622" spans="1:7" x14ac:dyDescent="0.25">
      <c r="A622" s="188"/>
      <c r="B622" s="180">
        <v>3</v>
      </c>
      <c r="C622" s="189" t="s">
        <v>491</v>
      </c>
      <c r="D622" s="176"/>
      <c r="E622" s="182" t="s">
        <v>203</v>
      </c>
      <c r="F622" s="182">
        <v>1</v>
      </c>
      <c r="G622" s="292">
        <v>46000</v>
      </c>
    </row>
    <row r="623" spans="1:7" x14ac:dyDescent="0.25">
      <c r="A623" s="188"/>
      <c r="B623" s="180">
        <v>4</v>
      </c>
      <c r="C623" s="189" t="s">
        <v>492</v>
      </c>
      <c r="D623" s="176"/>
      <c r="E623" s="182" t="s">
        <v>203</v>
      </c>
      <c r="F623" s="182">
        <v>1</v>
      </c>
      <c r="G623" s="292">
        <v>46000</v>
      </c>
    </row>
    <row r="624" spans="1:7" x14ac:dyDescent="0.25">
      <c r="A624" s="188"/>
      <c r="B624" s="180">
        <v>5</v>
      </c>
      <c r="C624" s="189" t="s">
        <v>493</v>
      </c>
      <c r="D624" s="176"/>
      <c r="E624" s="182" t="s">
        <v>203</v>
      </c>
      <c r="F624" s="182">
        <v>1</v>
      </c>
      <c r="G624" s="292">
        <v>46000</v>
      </c>
    </row>
    <row r="625" spans="1:7" x14ac:dyDescent="0.25">
      <c r="A625" s="188"/>
      <c r="B625" s="180">
        <v>6</v>
      </c>
      <c r="C625" s="189" t="s">
        <v>494</v>
      </c>
      <c r="D625" s="176"/>
      <c r="E625" s="182" t="s">
        <v>203</v>
      </c>
      <c r="F625" s="182">
        <v>1</v>
      </c>
      <c r="G625" s="292">
        <v>46000</v>
      </c>
    </row>
    <row r="626" spans="1:7" x14ac:dyDescent="0.25">
      <c r="A626" s="183" t="s">
        <v>459</v>
      </c>
      <c r="B626" s="195" t="s">
        <v>496</v>
      </c>
      <c r="C626" s="189"/>
      <c r="D626" s="176"/>
      <c r="E626" s="182"/>
      <c r="F626" s="182"/>
      <c r="G626" s="292"/>
    </row>
    <row r="627" spans="1:7" x14ac:dyDescent="0.25">
      <c r="A627" s="188"/>
      <c r="B627" s="180">
        <v>1</v>
      </c>
      <c r="C627" s="189" t="s">
        <v>497</v>
      </c>
      <c r="D627" s="176"/>
      <c r="E627" s="182" t="s">
        <v>203</v>
      </c>
      <c r="F627" s="182">
        <v>1</v>
      </c>
      <c r="G627" s="292">
        <v>25000</v>
      </c>
    </row>
    <row r="628" spans="1:7" x14ac:dyDescent="0.25">
      <c r="A628" s="188"/>
      <c r="B628" s="180">
        <v>2</v>
      </c>
      <c r="C628" s="189" t="s">
        <v>498</v>
      </c>
      <c r="D628" s="176"/>
      <c r="E628" s="182" t="s">
        <v>203</v>
      </c>
      <c r="F628" s="182">
        <v>1</v>
      </c>
      <c r="G628" s="292">
        <v>40000</v>
      </c>
    </row>
    <row r="629" spans="1:7" x14ac:dyDescent="0.25">
      <c r="A629" s="188"/>
      <c r="B629" s="180">
        <v>3</v>
      </c>
      <c r="C629" s="189" t="s">
        <v>499</v>
      </c>
      <c r="D629" s="176"/>
      <c r="E629" s="182" t="s">
        <v>203</v>
      </c>
      <c r="F629" s="182">
        <v>1</v>
      </c>
      <c r="G629" s="292">
        <v>44500</v>
      </c>
    </row>
    <row r="630" spans="1:7" x14ac:dyDescent="0.25">
      <c r="A630" s="188"/>
      <c r="B630" s="180">
        <v>4</v>
      </c>
      <c r="C630" s="189" t="s">
        <v>500</v>
      </c>
      <c r="D630" s="176"/>
      <c r="E630" s="182" t="s">
        <v>203</v>
      </c>
      <c r="F630" s="182">
        <v>1</v>
      </c>
      <c r="G630" s="292">
        <v>60500</v>
      </c>
    </row>
    <row r="631" spans="1:7" x14ac:dyDescent="0.25">
      <c r="A631" s="188"/>
      <c r="B631" s="180">
        <v>5</v>
      </c>
      <c r="C631" s="189" t="s">
        <v>501</v>
      </c>
      <c r="D631" s="176"/>
      <c r="E631" s="182" t="s">
        <v>203</v>
      </c>
      <c r="F631" s="182">
        <v>1</v>
      </c>
      <c r="G631" s="292">
        <v>76184</v>
      </c>
    </row>
    <row r="632" spans="1:7" x14ac:dyDescent="0.25">
      <c r="A632" s="188"/>
      <c r="B632" s="180">
        <v>6</v>
      </c>
      <c r="C632" s="189" t="s">
        <v>502</v>
      </c>
      <c r="D632" s="176"/>
      <c r="E632" s="182" t="s">
        <v>203</v>
      </c>
      <c r="F632" s="182">
        <v>1</v>
      </c>
      <c r="G632" s="292">
        <v>115000</v>
      </c>
    </row>
    <row r="633" spans="1:7" x14ac:dyDescent="0.25">
      <c r="A633" s="188"/>
      <c r="B633" s="180">
        <v>7</v>
      </c>
      <c r="C633" s="189" t="s">
        <v>503</v>
      </c>
      <c r="D633" s="176"/>
      <c r="E633" s="182" t="s">
        <v>203</v>
      </c>
      <c r="F633" s="182">
        <v>1</v>
      </c>
      <c r="G633" s="292">
        <v>142000</v>
      </c>
    </row>
    <row r="634" spans="1:7" x14ac:dyDescent="0.25">
      <c r="A634" s="183" t="s">
        <v>464</v>
      </c>
      <c r="B634" s="195" t="s">
        <v>505</v>
      </c>
      <c r="C634" s="189"/>
      <c r="D634" s="176"/>
      <c r="E634" s="182"/>
      <c r="F634" s="182"/>
      <c r="G634" s="292"/>
    </row>
    <row r="635" spans="1:7" ht="13.5" customHeight="1" x14ac:dyDescent="0.25">
      <c r="A635" s="188"/>
      <c r="B635" s="180">
        <v>1</v>
      </c>
      <c r="C635" s="189" t="s">
        <v>506</v>
      </c>
      <c r="D635" s="176"/>
      <c r="E635" s="182" t="s">
        <v>203</v>
      </c>
      <c r="F635" s="182">
        <v>1</v>
      </c>
      <c r="G635" s="292">
        <v>27500</v>
      </c>
    </row>
    <row r="636" spans="1:7" ht="13.5" customHeight="1" x14ac:dyDescent="0.25">
      <c r="A636" s="188"/>
      <c r="B636" s="180">
        <v>2</v>
      </c>
      <c r="C636" s="189" t="s">
        <v>507</v>
      </c>
      <c r="D636" s="176"/>
      <c r="E636" s="182" t="s">
        <v>203</v>
      </c>
      <c r="F636" s="182">
        <v>1</v>
      </c>
      <c r="G636" s="292">
        <v>31000</v>
      </c>
    </row>
    <row r="637" spans="1:7" ht="13.5" customHeight="1" x14ac:dyDescent="0.25">
      <c r="A637" s="188"/>
      <c r="B637" s="180">
        <v>3</v>
      </c>
      <c r="C637" s="189" t="s">
        <v>508</v>
      </c>
      <c r="D637" s="176"/>
      <c r="E637" s="182" t="s">
        <v>203</v>
      </c>
      <c r="F637" s="182">
        <v>1</v>
      </c>
      <c r="G637" s="292">
        <v>44000</v>
      </c>
    </row>
    <row r="638" spans="1:7" ht="13.5" customHeight="1" x14ac:dyDescent="0.25">
      <c r="A638" s="188"/>
      <c r="B638" s="180">
        <v>4</v>
      </c>
      <c r="C638" s="189" t="s">
        <v>509</v>
      </c>
      <c r="D638" s="176"/>
      <c r="E638" s="182" t="s">
        <v>203</v>
      </c>
      <c r="F638" s="182">
        <v>1</v>
      </c>
      <c r="G638" s="292">
        <v>54087</v>
      </c>
    </row>
    <row r="639" spans="1:7" ht="13.5" customHeight="1" x14ac:dyDescent="0.25">
      <c r="A639" s="188"/>
      <c r="B639" s="180">
        <v>5</v>
      </c>
      <c r="C639" s="189" t="s">
        <v>510</v>
      </c>
      <c r="D639" s="176"/>
      <c r="E639" s="182" t="s">
        <v>203</v>
      </c>
      <c r="F639" s="182">
        <v>1</v>
      </c>
      <c r="G639" s="292">
        <v>68000</v>
      </c>
    </row>
    <row r="640" spans="1:7" ht="13.5" customHeight="1" x14ac:dyDescent="0.25">
      <c r="A640" s="188"/>
      <c r="B640" s="180">
        <v>6</v>
      </c>
      <c r="C640" s="189" t="s">
        <v>511</v>
      </c>
      <c r="D640" s="176"/>
      <c r="E640" s="182" t="s">
        <v>203</v>
      </c>
      <c r="F640" s="182">
        <v>1</v>
      </c>
      <c r="G640" s="292">
        <v>67000</v>
      </c>
    </row>
    <row r="641" spans="1:7" ht="13.5" customHeight="1" x14ac:dyDescent="0.25">
      <c r="A641" s="188"/>
      <c r="B641" s="180">
        <v>7</v>
      </c>
      <c r="C641" s="189" t="s">
        <v>512</v>
      </c>
      <c r="D641" s="176"/>
      <c r="E641" s="182" t="s">
        <v>203</v>
      </c>
      <c r="F641" s="182">
        <v>1</v>
      </c>
      <c r="G641" s="292">
        <v>67000</v>
      </c>
    </row>
    <row r="642" spans="1:7" ht="13.5" customHeight="1" x14ac:dyDescent="0.25">
      <c r="A642" s="188"/>
      <c r="B642" s="180">
        <v>8</v>
      </c>
      <c r="C642" s="189" t="s">
        <v>513</v>
      </c>
      <c r="D642" s="176"/>
      <c r="E642" s="182" t="s">
        <v>203</v>
      </c>
      <c r="F642" s="182">
        <v>1</v>
      </c>
      <c r="G642" s="292">
        <v>67037.25</v>
      </c>
    </row>
    <row r="643" spans="1:7" ht="13.5" customHeight="1" x14ac:dyDescent="0.25">
      <c r="A643" s="188"/>
      <c r="B643" s="180">
        <v>9</v>
      </c>
      <c r="C643" s="189" t="s">
        <v>514</v>
      </c>
      <c r="D643" s="176"/>
      <c r="E643" s="182" t="s">
        <v>203</v>
      </c>
      <c r="F643" s="182">
        <v>1</v>
      </c>
      <c r="G643" s="292">
        <v>67492</v>
      </c>
    </row>
    <row r="644" spans="1:7" ht="13.5" customHeight="1" x14ac:dyDescent="0.25">
      <c r="A644" s="188"/>
      <c r="B644" s="180">
        <v>10</v>
      </c>
      <c r="C644" s="189" t="s">
        <v>515</v>
      </c>
      <c r="D644" s="176"/>
      <c r="E644" s="182" t="s">
        <v>203</v>
      </c>
      <c r="F644" s="182">
        <v>1</v>
      </c>
      <c r="G644" s="292">
        <v>82500</v>
      </c>
    </row>
    <row r="645" spans="1:7" ht="13.5" customHeight="1" x14ac:dyDescent="0.25">
      <c r="A645" s="188"/>
      <c r="B645" s="180">
        <v>11</v>
      </c>
      <c r="C645" s="189" t="s">
        <v>516</v>
      </c>
      <c r="D645" s="176"/>
      <c r="E645" s="182" t="s">
        <v>203</v>
      </c>
      <c r="F645" s="182">
        <v>1</v>
      </c>
      <c r="G645" s="292">
        <v>105664</v>
      </c>
    </row>
    <row r="646" spans="1:7" x14ac:dyDescent="0.25">
      <c r="A646" s="183" t="s">
        <v>487</v>
      </c>
      <c r="B646" s="195" t="s">
        <v>517</v>
      </c>
      <c r="C646" s="189"/>
      <c r="D646" s="176"/>
      <c r="E646" s="182"/>
      <c r="F646" s="182"/>
      <c r="G646" s="292"/>
    </row>
    <row r="647" spans="1:7" ht="13.5" customHeight="1" x14ac:dyDescent="0.25">
      <c r="A647" s="188"/>
      <c r="B647" s="180">
        <v>1</v>
      </c>
      <c r="C647" s="189" t="s">
        <v>518</v>
      </c>
      <c r="D647" s="176"/>
      <c r="E647" s="182" t="s">
        <v>203</v>
      </c>
      <c r="F647" s="182">
        <v>1</v>
      </c>
      <c r="G647" s="292">
        <v>33500</v>
      </c>
    </row>
    <row r="648" spans="1:7" ht="13.5" customHeight="1" x14ac:dyDescent="0.25">
      <c r="A648" s="188"/>
      <c r="B648" s="180">
        <v>2</v>
      </c>
      <c r="C648" s="189" t="s">
        <v>519</v>
      </c>
      <c r="D648" s="176"/>
      <c r="E648" s="182" t="s">
        <v>203</v>
      </c>
      <c r="F648" s="182">
        <v>1</v>
      </c>
      <c r="G648" s="292">
        <v>33500</v>
      </c>
    </row>
    <row r="649" spans="1:7" ht="13.5" customHeight="1" x14ac:dyDescent="0.25">
      <c r="A649" s="188"/>
      <c r="B649" s="180">
        <v>3</v>
      </c>
      <c r="C649" s="189" t="s">
        <v>520</v>
      </c>
      <c r="D649" s="176"/>
      <c r="E649" s="182" t="s">
        <v>203</v>
      </c>
      <c r="F649" s="182">
        <v>1</v>
      </c>
      <c r="G649" s="292">
        <v>48500</v>
      </c>
    </row>
    <row r="650" spans="1:7" ht="13.5" customHeight="1" x14ac:dyDescent="0.25">
      <c r="A650" s="188"/>
      <c r="B650" s="180">
        <v>4</v>
      </c>
      <c r="C650" s="189" t="s">
        <v>521</v>
      </c>
      <c r="D650" s="176"/>
      <c r="E650" s="182" t="s">
        <v>203</v>
      </c>
      <c r="F650" s="182">
        <v>1</v>
      </c>
      <c r="G650" s="292">
        <v>48500</v>
      </c>
    </row>
    <row r="651" spans="1:7" ht="13.5" customHeight="1" x14ac:dyDescent="0.25">
      <c r="A651" s="188"/>
      <c r="B651" s="180">
        <v>5</v>
      </c>
      <c r="C651" s="189" t="s">
        <v>522</v>
      </c>
      <c r="D651" s="176"/>
      <c r="E651" s="182" t="s">
        <v>203</v>
      </c>
      <c r="F651" s="182">
        <v>1</v>
      </c>
      <c r="G651" s="292">
        <v>50000</v>
      </c>
    </row>
    <row r="652" spans="1:7" ht="13.5" customHeight="1" x14ac:dyDescent="0.25">
      <c r="A652" s="188"/>
      <c r="B652" s="180">
        <v>6</v>
      </c>
      <c r="C652" s="189" t="s">
        <v>523</v>
      </c>
      <c r="D652" s="176"/>
      <c r="E652" s="182" t="s">
        <v>203</v>
      </c>
      <c r="F652" s="182">
        <v>1</v>
      </c>
      <c r="G652" s="292">
        <v>57900</v>
      </c>
    </row>
    <row r="653" spans="1:7" ht="13.5" customHeight="1" x14ac:dyDescent="0.25">
      <c r="A653" s="188"/>
      <c r="B653" s="180">
        <v>7</v>
      </c>
      <c r="C653" s="189" t="s">
        <v>524</v>
      </c>
      <c r="D653" s="176"/>
      <c r="E653" s="182" t="s">
        <v>203</v>
      </c>
      <c r="F653" s="182">
        <v>1</v>
      </c>
      <c r="G653" s="292">
        <v>71500</v>
      </c>
    </row>
    <row r="654" spans="1:7" ht="13.5" customHeight="1" x14ac:dyDescent="0.25">
      <c r="A654" s="188"/>
      <c r="B654" s="180">
        <v>8</v>
      </c>
      <c r="C654" s="189" t="s">
        <v>525</v>
      </c>
      <c r="D654" s="176"/>
      <c r="E654" s="182" t="s">
        <v>203</v>
      </c>
      <c r="F654" s="182">
        <v>1</v>
      </c>
      <c r="G654" s="292">
        <v>76500</v>
      </c>
    </row>
    <row r="655" spans="1:7" ht="13.5" customHeight="1" x14ac:dyDescent="0.25">
      <c r="A655" s="188"/>
      <c r="B655" s="180">
        <v>9</v>
      </c>
      <c r="C655" s="189" t="s">
        <v>526</v>
      </c>
      <c r="D655" s="176"/>
      <c r="E655" s="182" t="s">
        <v>203</v>
      </c>
      <c r="F655" s="182">
        <v>1</v>
      </c>
      <c r="G655" s="292">
        <v>73000</v>
      </c>
    </row>
    <row r="656" spans="1:7" ht="13.5" customHeight="1" x14ac:dyDescent="0.25">
      <c r="A656" s="188"/>
      <c r="B656" s="180">
        <v>10</v>
      </c>
      <c r="C656" s="189" t="s">
        <v>527</v>
      </c>
      <c r="D656" s="176"/>
      <c r="E656" s="182" t="s">
        <v>203</v>
      </c>
      <c r="F656" s="182">
        <v>1</v>
      </c>
      <c r="G656" s="292">
        <v>83000</v>
      </c>
    </row>
    <row r="657" spans="1:7" ht="13.5" customHeight="1" x14ac:dyDescent="0.25">
      <c r="A657" s="188"/>
      <c r="B657" s="180">
        <v>11</v>
      </c>
      <c r="C657" s="189" t="s">
        <v>528</v>
      </c>
      <c r="D657" s="176"/>
      <c r="E657" s="182" t="s">
        <v>203</v>
      </c>
      <c r="F657" s="182">
        <v>1</v>
      </c>
      <c r="G657" s="292">
        <v>88000</v>
      </c>
    </row>
    <row r="658" spans="1:7" ht="13.5" customHeight="1" x14ac:dyDescent="0.25">
      <c r="A658" s="188"/>
      <c r="B658" s="180">
        <v>12</v>
      </c>
      <c r="C658" s="189" t="s">
        <v>529</v>
      </c>
      <c r="D658" s="176"/>
      <c r="E658" s="182" t="s">
        <v>203</v>
      </c>
      <c r="F658" s="182">
        <v>1</v>
      </c>
      <c r="G658" s="292">
        <v>78000</v>
      </c>
    </row>
    <row r="659" spans="1:7" ht="13.5" customHeight="1" x14ac:dyDescent="0.25">
      <c r="A659" s="188"/>
      <c r="B659" s="180">
        <v>13</v>
      </c>
      <c r="C659" s="189" t="s">
        <v>530</v>
      </c>
      <c r="D659" s="176"/>
      <c r="E659" s="182" t="s">
        <v>203</v>
      </c>
      <c r="F659" s="182">
        <v>1</v>
      </c>
      <c r="G659" s="292">
        <v>65000</v>
      </c>
    </row>
    <row r="660" spans="1:7" ht="13.5" customHeight="1" x14ac:dyDescent="0.25">
      <c r="A660" s="188"/>
      <c r="B660" s="180">
        <v>14</v>
      </c>
      <c r="C660" s="189" t="s">
        <v>531</v>
      </c>
      <c r="D660" s="176"/>
      <c r="E660" s="182" t="s">
        <v>203</v>
      </c>
      <c r="F660" s="182">
        <v>1</v>
      </c>
      <c r="G660" s="292">
        <v>84000</v>
      </c>
    </row>
    <row r="661" spans="1:7" ht="13.5" customHeight="1" x14ac:dyDescent="0.25">
      <c r="A661" s="188"/>
      <c r="B661" s="180">
        <v>15</v>
      </c>
      <c r="C661" s="189" t="s">
        <v>532</v>
      </c>
      <c r="D661" s="176"/>
      <c r="E661" s="182" t="s">
        <v>203</v>
      </c>
      <c r="F661" s="182">
        <v>1</v>
      </c>
      <c r="G661" s="292">
        <v>83000</v>
      </c>
    </row>
    <row r="662" spans="1:7" ht="13.5" customHeight="1" x14ac:dyDescent="0.25">
      <c r="A662" s="188"/>
      <c r="B662" s="180">
        <v>16</v>
      </c>
      <c r="C662" s="189" t="s">
        <v>533</v>
      </c>
      <c r="D662" s="176"/>
      <c r="E662" s="182" t="s">
        <v>203</v>
      </c>
      <c r="F662" s="182">
        <v>1</v>
      </c>
      <c r="G662" s="292">
        <v>230000</v>
      </c>
    </row>
    <row r="663" spans="1:7" ht="13.5" customHeight="1" x14ac:dyDescent="0.25">
      <c r="A663" s="188"/>
      <c r="B663" s="180">
        <v>17</v>
      </c>
      <c r="C663" s="189" t="s">
        <v>534</v>
      </c>
      <c r="D663" s="176"/>
      <c r="E663" s="182" t="s">
        <v>203</v>
      </c>
      <c r="F663" s="182">
        <v>1</v>
      </c>
      <c r="G663" s="292">
        <v>114900</v>
      </c>
    </row>
    <row r="664" spans="1:7" ht="13.5" customHeight="1" x14ac:dyDescent="0.25">
      <c r="A664" s="188"/>
      <c r="B664" s="180">
        <v>18</v>
      </c>
      <c r="C664" s="189" t="s">
        <v>535</v>
      </c>
      <c r="D664" s="176"/>
      <c r="E664" s="182" t="s">
        <v>203</v>
      </c>
      <c r="F664" s="182">
        <v>1</v>
      </c>
      <c r="G664" s="292">
        <v>108568</v>
      </c>
    </row>
    <row r="665" spans="1:7" ht="13.5" customHeight="1" x14ac:dyDescent="0.25">
      <c r="A665" s="188"/>
      <c r="B665" s="180">
        <v>19</v>
      </c>
      <c r="C665" s="189" t="s">
        <v>536</v>
      </c>
      <c r="D665" s="176"/>
      <c r="E665" s="182" t="s">
        <v>203</v>
      </c>
      <c r="F665" s="182">
        <v>1</v>
      </c>
      <c r="G665" s="292">
        <v>129300</v>
      </c>
    </row>
    <row r="666" spans="1:7" ht="13.5" customHeight="1" x14ac:dyDescent="0.25">
      <c r="A666" s="188"/>
      <c r="B666" s="180">
        <v>20</v>
      </c>
      <c r="C666" s="189" t="s">
        <v>537</v>
      </c>
      <c r="D666" s="176"/>
      <c r="E666" s="182" t="s">
        <v>203</v>
      </c>
      <c r="F666" s="182">
        <v>1</v>
      </c>
      <c r="G666" s="292">
        <v>175000</v>
      </c>
    </row>
    <row r="667" spans="1:7" ht="13.5" customHeight="1" x14ac:dyDescent="0.25">
      <c r="A667" s="188"/>
      <c r="B667" s="180">
        <v>21</v>
      </c>
      <c r="C667" s="189" t="s">
        <v>538</v>
      </c>
      <c r="D667" s="176"/>
      <c r="E667" s="182" t="s">
        <v>203</v>
      </c>
      <c r="F667" s="182">
        <v>1</v>
      </c>
      <c r="G667" s="292">
        <v>145000</v>
      </c>
    </row>
    <row r="668" spans="1:7" ht="13.5" customHeight="1" x14ac:dyDescent="0.25">
      <c r="A668" s="188"/>
      <c r="B668" s="180">
        <v>22</v>
      </c>
      <c r="C668" s="189" t="s">
        <v>539</v>
      </c>
      <c r="D668" s="176"/>
      <c r="E668" s="182" t="s">
        <v>203</v>
      </c>
      <c r="F668" s="182">
        <v>1</v>
      </c>
      <c r="G668" s="292">
        <v>200000</v>
      </c>
    </row>
    <row r="669" spans="1:7" x14ac:dyDescent="0.25">
      <c r="A669" s="183" t="s">
        <v>495</v>
      </c>
      <c r="B669" s="195" t="s">
        <v>541</v>
      </c>
      <c r="C669" s="189"/>
      <c r="D669" s="176"/>
      <c r="E669" s="182"/>
      <c r="F669" s="182"/>
      <c r="G669" s="292"/>
    </row>
    <row r="670" spans="1:7" ht="13.5" customHeight="1" x14ac:dyDescent="0.25">
      <c r="A670" s="188"/>
      <c r="B670" s="180">
        <v>1</v>
      </c>
      <c r="C670" s="189" t="s">
        <v>542</v>
      </c>
      <c r="D670" s="176"/>
      <c r="E670" s="182" t="s">
        <v>203</v>
      </c>
      <c r="F670" s="182">
        <v>1</v>
      </c>
      <c r="G670" s="292">
        <v>50500</v>
      </c>
    </row>
    <row r="671" spans="1:7" ht="13.5" customHeight="1" x14ac:dyDescent="0.25">
      <c r="A671" s="188"/>
      <c r="B671" s="180">
        <v>2</v>
      </c>
      <c r="C671" s="189" t="s">
        <v>543</v>
      </c>
      <c r="D671" s="176"/>
      <c r="E671" s="182" t="s">
        <v>203</v>
      </c>
      <c r="F671" s="182">
        <v>1</v>
      </c>
      <c r="G671" s="292">
        <v>62500</v>
      </c>
    </row>
    <row r="672" spans="1:7" ht="13.5" customHeight="1" x14ac:dyDescent="0.25">
      <c r="A672" s="188"/>
      <c r="B672" s="180">
        <v>3</v>
      </c>
      <c r="C672" s="189" t="s">
        <v>544</v>
      </c>
      <c r="D672" s="176"/>
      <c r="E672" s="182" t="s">
        <v>203</v>
      </c>
      <c r="F672" s="182">
        <v>1</v>
      </c>
      <c r="G672" s="292">
        <v>30492</v>
      </c>
    </row>
    <row r="673" spans="1:7" ht="13.5" customHeight="1" x14ac:dyDescent="0.25">
      <c r="A673" s="188"/>
      <c r="B673" s="180">
        <v>4</v>
      </c>
      <c r="C673" s="189" t="s">
        <v>545</v>
      </c>
      <c r="D673" s="176"/>
      <c r="E673" s="182" t="s">
        <v>203</v>
      </c>
      <c r="F673" s="182">
        <v>1</v>
      </c>
      <c r="G673" s="292">
        <v>44000</v>
      </c>
    </row>
    <row r="674" spans="1:7" ht="13.5" customHeight="1" x14ac:dyDescent="0.25">
      <c r="A674" s="188"/>
      <c r="B674" s="180">
        <v>5</v>
      </c>
      <c r="C674" s="189" t="s">
        <v>546</v>
      </c>
      <c r="D674" s="176"/>
      <c r="E674" s="182" t="s">
        <v>203</v>
      </c>
      <c r="F674" s="182">
        <v>1</v>
      </c>
      <c r="G674" s="292">
        <v>75000</v>
      </c>
    </row>
    <row r="675" spans="1:7" ht="13.5" customHeight="1" x14ac:dyDescent="0.25">
      <c r="A675" s="188"/>
      <c r="B675" s="180">
        <v>6</v>
      </c>
      <c r="C675" s="189" t="s">
        <v>547</v>
      </c>
      <c r="D675" s="176"/>
      <c r="E675" s="182" t="s">
        <v>203</v>
      </c>
      <c r="F675" s="182">
        <v>1</v>
      </c>
      <c r="G675" s="292">
        <v>86300</v>
      </c>
    </row>
    <row r="676" spans="1:7" ht="13.5" customHeight="1" x14ac:dyDescent="0.25">
      <c r="A676" s="188"/>
      <c r="B676" s="180">
        <v>7</v>
      </c>
      <c r="C676" s="189" t="s">
        <v>548</v>
      </c>
      <c r="D676" s="176"/>
      <c r="E676" s="182" t="s">
        <v>203</v>
      </c>
      <c r="F676" s="182">
        <v>1</v>
      </c>
      <c r="G676" s="292">
        <v>102400</v>
      </c>
    </row>
    <row r="677" spans="1:7" ht="13.5" customHeight="1" x14ac:dyDescent="0.25">
      <c r="A677" s="188"/>
      <c r="B677" s="180">
        <v>8</v>
      </c>
      <c r="C677" s="189" t="s">
        <v>549</v>
      </c>
      <c r="D677" s="176"/>
      <c r="E677" s="182" t="s">
        <v>203</v>
      </c>
      <c r="F677" s="182">
        <v>1</v>
      </c>
      <c r="G677" s="292">
        <v>116000</v>
      </c>
    </row>
    <row r="678" spans="1:7" ht="13.5" customHeight="1" x14ac:dyDescent="0.25">
      <c r="A678" s="188"/>
      <c r="B678" s="180">
        <v>9</v>
      </c>
      <c r="C678" s="189" t="s">
        <v>550</v>
      </c>
      <c r="D678" s="176"/>
      <c r="E678" s="182" t="s">
        <v>203</v>
      </c>
      <c r="F678" s="182">
        <v>1</v>
      </c>
      <c r="G678" s="292">
        <v>170600</v>
      </c>
    </row>
    <row r="679" spans="1:7" ht="13.5" customHeight="1" x14ac:dyDescent="0.25">
      <c r="A679" s="188"/>
      <c r="B679" s="180">
        <v>10</v>
      </c>
      <c r="C679" s="189" t="s">
        <v>551</v>
      </c>
      <c r="D679" s="176"/>
      <c r="E679" s="182" t="s">
        <v>203</v>
      </c>
      <c r="F679" s="182">
        <v>1</v>
      </c>
      <c r="G679" s="292">
        <v>155000</v>
      </c>
    </row>
    <row r="680" spans="1:7" ht="13.5" customHeight="1" x14ac:dyDescent="0.25">
      <c r="A680" s="188"/>
      <c r="B680" s="180">
        <v>11</v>
      </c>
      <c r="C680" s="189" t="s">
        <v>552</v>
      </c>
      <c r="D680" s="176"/>
      <c r="E680" s="182" t="s">
        <v>203</v>
      </c>
      <c r="F680" s="182">
        <v>1</v>
      </c>
      <c r="G680" s="292">
        <v>337107</v>
      </c>
    </row>
    <row r="681" spans="1:7" ht="13.5" customHeight="1" x14ac:dyDescent="0.25">
      <c r="A681" s="188"/>
      <c r="B681" s="180">
        <v>12</v>
      </c>
      <c r="C681" s="189" t="s">
        <v>553</v>
      </c>
      <c r="D681" s="176"/>
      <c r="E681" s="182" t="s">
        <v>203</v>
      </c>
      <c r="F681" s="182">
        <v>1</v>
      </c>
      <c r="G681" s="292">
        <v>160000</v>
      </c>
    </row>
    <row r="682" spans="1:7" ht="13.5" customHeight="1" x14ac:dyDescent="0.25">
      <c r="A682" s="188"/>
      <c r="B682" s="180">
        <v>13</v>
      </c>
      <c r="C682" s="189" t="s">
        <v>554</v>
      </c>
      <c r="D682" s="176"/>
      <c r="E682" s="182" t="s">
        <v>203</v>
      </c>
      <c r="F682" s="182">
        <v>1</v>
      </c>
      <c r="G682" s="292">
        <v>185000</v>
      </c>
    </row>
    <row r="683" spans="1:7" ht="13.5" customHeight="1" x14ac:dyDescent="0.25">
      <c r="A683" s="188"/>
      <c r="B683" s="180">
        <v>14</v>
      </c>
      <c r="C683" s="189" t="s">
        <v>555</v>
      </c>
      <c r="D683" s="176"/>
      <c r="E683" s="182" t="s">
        <v>203</v>
      </c>
      <c r="F683" s="182">
        <v>1</v>
      </c>
      <c r="G683" s="292">
        <v>210000</v>
      </c>
    </row>
    <row r="684" spans="1:7" x14ac:dyDescent="0.25">
      <c r="A684" s="183" t="s">
        <v>504</v>
      </c>
      <c r="B684" s="195" t="s">
        <v>557</v>
      </c>
      <c r="C684" s="189"/>
      <c r="D684" s="176"/>
      <c r="E684" s="182"/>
      <c r="F684" s="182"/>
      <c r="G684" s="292"/>
    </row>
    <row r="685" spans="1:7" ht="13.5" customHeight="1" x14ac:dyDescent="0.25">
      <c r="A685" s="188"/>
      <c r="B685" s="180">
        <v>1</v>
      </c>
      <c r="C685" s="189" t="s">
        <v>558</v>
      </c>
      <c r="D685" s="176"/>
      <c r="E685" s="182" t="s">
        <v>203</v>
      </c>
      <c r="F685" s="182">
        <v>1</v>
      </c>
      <c r="G685" s="292">
        <v>35500</v>
      </c>
    </row>
    <row r="686" spans="1:7" ht="13.5" customHeight="1" x14ac:dyDescent="0.25">
      <c r="A686" s="188"/>
      <c r="B686" s="180">
        <v>2</v>
      </c>
      <c r="C686" s="189" t="s">
        <v>559</v>
      </c>
      <c r="D686" s="176"/>
      <c r="E686" s="182" t="s">
        <v>203</v>
      </c>
      <c r="F686" s="182">
        <v>1</v>
      </c>
      <c r="G686" s="292">
        <v>38000</v>
      </c>
    </row>
    <row r="687" spans="1:7" ht="13.5" customHeight="1" x14ac:dyDescent="0.25">
      <c r="A687" s="188"/>
      <c r="B687" s="180">
        <v>3</v>
      </c>
      <c r="C687" s="189" t="s">
        <v>560</v>
      </c>
      <c r="D687" s="176"/>
      <c r="E687" s="182" t="s">
        <v>203</v>
      </c>
      <c r="F687" s="182">
        <v>1</v>
      </c>
      <c r="G687" s="292">
        <v>40000</v>
      </c>
    </row>
    <row r="688" spans="1:7" ht="13.5" customHeight="1" x14ac:dyDescent="0.25">
      <c r="A688" s="188"/>
      <c r="B688" s="180">
        <v>4</v>
      </c>
      <c r="C688" s="189" t="s">
        <v>561</v>
      </c>
      <c r="D688" s="176"/>
      <c r="E688" s="182" t="s">
        <v>203</v>
      </c>
      <c r="F688" s="182">
        <v>1</v>
      </c>
      <c r="G688" s="292">
        <v>56000</v>
      </c>
    </row>
    <row r="689" spans="1:7" ht="13.5" customHeight="1" x14ac:dyDescent="0.25">
      <c r="A689" s="188"/>
      <c r="B689" s="180">
        <v>5</v>
      </c>
      <c r="C689" s="189" t="s">
        <v>562</v>
      </c>
      <c r="D689" s="176"/>
      <c r="E689" s="182" t="s">
        <v>203</v>
      </c>
      <c r="F689" s="182">
        <v>1</v>
      </c>
      <c r="G689" s="292">
        <v>75000</v>
      </c>
    </row>
    <row r="690" spans="1:7" ht="13.5" customHeight="1" x14ac:dyDescent="0.25">
      <c r="A690" s="188"/>
      <c r="B690" s="180">
        <v>6</v>
      </c>
      <c r="C690" s="189" t="s">
        <v>563</v>
      </c>
      <c r="D690" s="176"/>
      <c r="E690" s="182" t="s">
        <v>203</v>
      </c>
      <c r="F690" s="182">
        <v>1</v>
      </c>
      <c r="G690" s="292">
        <v>85000</v>
      </c>
    </row>
    <row r="691" spans="1:7" ht="13.5" customHeight="1" x14ac:dyDescent="0.25">
      <c r="A691" s="188"/>
      <c r="B691" s="180">
        <v>7</v>
      </c>
      <c r="C691" s="189" t="s">
        <v>564</v>
      </c>
      <c r="D691" s="176"/>
      <c r="E691" s="182" t="s">
        <v>203</v>
      </c>
      <c r="F691" s="182">
        <v>1</v>
      </c>
      <c r="G691" s="292">
        <v>91209</v>
      </c>
    </row>
    <row r="692" spans="1:7" ht="13.5" customHeight="1" x14ac:dyDescent="0.25">
      <c r="A692" s="188"/>
      <c r="B692" s="180">
        <v>8</v>
      </c>
      <c r="C692" s="189" t="s">
        <v>565</v>
      </c>
      <c r="D692" s="176"/>
      <c r="E692" s="182" t="s">
        <v>203</v>
      </c>
      <c r="F692" s="182">
        <v>1</v>
      </c>
      <c r="G692" s="292">
        <v>142500</v>
      </c>
    </row>
    <row r="693" spans="1:7" ht="13.5" customHeight="1" x14ac:dyDescent="0.25">
      <c r="A693" s="188"/>
      <c r="B693" s="180">
        <v>9</v>
      </c>
      <c r="C693" s="189" t="s">
        <v>566</v>
      </c>
      <c r="D693" s="176"/>
      <c r="E693" s="182" t="s">
        <v>203</v>
      </c>
      <c r="F693" s="182">
        <v>1</v>
      </c>
      <c r="G693" s="292">
        <v>213500</v>
      </c>
    </row>
    <row r="694" spans="1:7" ht="13.5" customHeight="1" x14ac:dyDescent="0.25">
      <c r="A694" s="188"/>
      <c r="B694" s="180">
        <v>10</v>
      </c>
      <c r="C694" s="189" t="s">
        <v>567</v>
      </c>
      <c r="D694" s="176"/>
      <c r="E694" s="182" t="s">
        <v>203</v>
      </c>
      <c r="F694" s="182">
        <v>1</v>
      </c>
      <c r="G694" s="292">
        <v>185000</v>
      </c>
    </row>
    <row r="695" spans="1:7" ht="13.5" customHeight="1" x14ac:dyDescent="0.25">
      <c r="A695" s="188"/>
      <c r="B695" s="180">
        <v>11</v>
      </c>
      <c r="C695" s="189" t="s">
        <v>568</v>
      </c>
      <c r="D695" s="176"/>
      <c r="E695" s="182" t="s">
        <v>203</v>
      </c>
      <c r="F695" s="182">
        <v>1</v>
      </c>
      <c r="G695" s="292">
        <v>410535</v>
      </c>
    </row>
    <row r="696" spans="1:7" x14ac:dyDescent="0.25">
      <c r="A696" s="183" t="s">
        <v>1608</v>
      </c>
      <c r="B696" s="195" t="s">
        <v>569</v>
      </c>
      <c r="C696" s="189"/>
      <c r="D696" s="176"/>
      <c r="E696" s="182"/>
      <c r="F696" s="182"/>
      <c r="G696" s="292"/>
    </row>
    <row r="697" spans="1:7" x14ac:dyDescent="0.25">
      <c r="A697" s="188"/>
      <c r="B697" s="180">
        <v>1</v>
      </c>
      <c r="C697" s="189" t="s">
        <v>570</v>
      </c>
      <c r="D697" s="176"/>
      <c r="E697" s="182" t="s">
        <v>203</v>
      </c>
      <c r="F697" s="182">
        <v>1</v>
      </c>
      <c r="G697" s="292">
        <v>11300</v>
      </c>
    </row>
    <row r="698" spans="1:7" x14ac:dyDescent="0.25">
      <c r="A698" s="188"/>
      <c r="B698" s="180">
        <v>2</v>
      </c>
      <c r="C698" s="189" t="s">
        <v>571</v>
      </c>
      <c r="D698" s="176"/>
      <c r="E698" s="182" t="s">
        <v>203</v>
      </c>
      <c r="F698" s="182">
        <v>1</v>
      </c>
      <c r="G698" s="292">
        <v>12250</v>
      </c>
    </row>
    <row r="699" spans="1:7" x14ac:dyDescent="0.25">
      <c r="A699" s="188"/>
      <c r="B699" s="180">
        <v>3</v>
      </c>
      <c r="C699" s="189" t="s">
        <v>572</v>
      </c>
      <c r="D699" s="176"/>
      <c r="E699" s="182" t="s">
        <v>203</v>
      </c>
      <c r="F699" s="182">
        <v>1</v>
      </c>
      <c r="G699" s="292">
        <v>15000</v>
      </c>
    </row>
    <row r="700" spans="1:7" x14ac:dyDescent="0.25">
      <c r="A700" s="188"/>
      <c r="B700" s="180">
        <v>4</v>
      </c>
      <c r="C700" s="189" t="s">
        <v>573</v>
      </c>
      <c r="D700" s="176"/>
      <c r="E700" s="182" t="s">
        <v>203</v>
      </c>
      <c r="F700" s="182">
        <v>1</v>
      </c>
      <c r="G700" s="292">
        <v>19300</v>
      </c>
    </row>
    <row r="701" spans="1:7" x14ac:dyDescent="0.25">
      <c r="A701" s="188"/>
      <c r="B701" s="180">
        <v>5</v>
      </c>
      <c r="C701" s="189" t="s">
        <v>574</v>
      </c>
      <c r="D701" s="176"/>
      <c r="E701" s="182" t="s">
        <v>203</v>
      </c>
      <c r="F701" s="182">
        <v>1</v>
      </c>
      <c r="G701" s="292">
        <v>25000</v>
      </c>
    </row>
    <row r="702" spans="1:7" x14ac:dyDescent="0.25">
      <c r="A702" s="188"/>
      <c r="B702" s="180">
        <v>6</v>
      </c>
      <c r="C702" s="189" t="s">
        <v>575</v>
      </c>
      <c r="D702" s="176"/>
      <c r="E702" s="182" t="s">
        <v>203</v>
      </c>
      <c r="F702" s="182">
        <v>1</v>
      </c>
      <c r="G702" s="292">
        <v>29500</v>
      </c>
    </row>
    <row r="703" spans="1:7" x14ac:dyDescent="0.25">
      <c r="A703" s="188"/>
      <c r="B703" s="180">
        <v>7</v>
      </c>
      <c r="C703" s="189" t="s">
        <v>576</v>
      </c>
      <c r="D703" s="176"/>
      <c r="E703" s="182" t="s">
        <v>203</v>
      </c>
      <c r="F703" s="182">
        <v>1</v>
      </c>
      <c r="G703" s="292">
        <v>90000</v>
      </c>
    </row>
    <row r="704" spans="1:7" x14ac:dyDescent="0.25">
      <c r="A704" s="188"/>
      <c r="B704" s="180">
        <v>8</v>
      </c>
      <c r="C704" s="189" t="s">
        <v>577</v>
      </c>
      <c r="D704" s="176"/>
      <c r="E704" s="182" t="s">
        <v>203</v>
      </c>
      <c r="F704" s="182">
        <v>1</v>
      </c>
      <c r="G704" s="292">
        <v>50100</v>
      </c>
    </row>
    <row r="705" spans="1:7" x14ac:dyDescent="0.25">
      <c r="A705" s="188"/>
      <c r="B705" s="180">
        <v>9</v>
      </c>
      <c r="C705" s="189" t="s">
        <v>578</v>
      </c>
      <c r="D705" s="176"/>
      <c r="E705" s="182" t="s">
        <v>203</v>
      </c>
      <c r="F705" s="182">
        <v>1</v>
      </c>
      <c r="G705" s="292">
        <v>129300</v>
      </c>
    </row>
    <row r="706" spans="1:7" x14ac:dyDescent="0.25">
      <c r="A706" s="188"/>
      <c r="B706" s="180">
        <v>10</v>
      </c>
      <c r="C706" s="189" t="s">
        <v>579</v>
      </c>
      <c r="D706" s="176"/>
      <c r="E706" s="182" t="s">
        <v>203</v>
      </c>
      <c r="F706" s="182">
        <v>1</v>
      </c>
      <c r="G706" s="292">
        <v>158300</v>
      </c>
    </row>
    <row r="707" spans="1:7" x14ac:dyDescent="0.25">
      <c r="A707" s="183" t="s">
        <v>540</v>
      </c>
      <c r="B707" s="195" t="s">
        <v>580</v>
      </c>
      <c r="C707" s="189"/>
      <c r="D707" s="176"/>
      <c r="E707" s="182"/>
      <c r="F707" s="182"/>
      <c r="G707" s="292"/>
    </row>
    <row r="708" spans="1:7" x14ac:dyDescent="0.25">
      <c r="A708" s="188"/>
      <c r="B708" s="180">
        <v>1</v>
      </c>
      <c r="C708" s="189" t="s">
        <v>581</v>
      </c>
      <c r="D708" s="176"/>
      <c r="E708" s="182" t="s">
        <v>399</v>
      </c>
      <c r="F708" s="182">
        <v>1</v>
      </c>
      <c r="G708" s="292">
        <v>47700</v>
      </c>
    </row>
    <row r="709" spans="1:7" x14ac:dyDescent="0.25">
      <c r="A709" s="188"/>
      <c r="B709" s="180">
        <v>2</v>
      </c>
      <c r="C709" s="189" t="s">
        <v>582</v>
      </c>
      <c r="D709" s="176"/>
      <c r="E709" s="182" t="s">
        <v>399</v>
      </c>
      <c r="F709" s="182">
        <v>1</v>
      </c>
      <c r="G709" s="292">
        <v>74500</v>
      </c>
    </row>
    <row r="710" spans="1:7" x14ac:dyDescent="0.25">
      <c r="A710" s="188"/>
      <c r="B710" s="180">
        <v>3</v>
      </c>
      <c r="C710" s="189" t="s">
        <v>419</v>
      </c>
      <c r="D710" s="176"/>
      <c r="E710" s="182" t="s">
        <v>399</v>
      </c>
      <c r="F710" s="182">
        <v>1</v>
      </c>
      <c r="G710" s="292">
        <v>31800</v>
      </c>
    </row>
    <row r="711" spans="1:7" x14ac:dyDescent="0.25">
      <c r="A711" s="188"/>
      <c r="B711" s="180">
        <v>4</v>
      </c>
      <c r="C711" s="189" t="s">
        <v>420</v>
      </c>
      <c r="D711" s="176"/>
      <c r="E711" s="182" t="s">
        <v>399</v>
      </c>
      <c r="F711" s="182">
        <v>1</v>
      </c>
      <c r="G711" s="292">
        <v>31000</v>
      </c>
    </row>
    <row r="712" spans="1:7" x14ac:dyDescent="0.25">
      <c r="A712" s="188"/>
      <c r="B712" s="180">
        <v>5</v>
      </c>
      <c r="C712" s="189" t="s">
        <v>2193</v>
      </c>
      <c r="D712" s="176"/>
      <c r="E712" s="182" t="s">
        <v>399</v>
      </c>
      <c r="F712" s="182">
        <v>1</v>
      </c>
      <c r="G712" s="292">
        <v>111600</v>
      </c>
    </row>
    <row r="713" spans="1:7" x14ac:dyDescent="0.25">
      <c r="A713" s="188"/>
      <c r="B713" s="180">
        <v>6</v>
      </c>
      <c r="C713" s="189" t="s">
        <v>2194</v>
      </c>
      <c r="D713" s="176"/>
      <c r="E713" s="182" t="s">
        <v>399</v>
      </c>
      <c r="F713" s="182">
        <v>1</v>
      </c>
      <c r="G713" s="292">
        <v>117250</v>
      </c>
    </row>
    <row r="714" spans="1:7" x14ac:dyDescent="0.25">
      <c r="A714" s="188"/>
      <c r="B714" s="180">
        <v>7</v>
      </c>
      <c r="C714" s="189" t="s">
        <v>2195</v>
      </c>
      <c r="D714" s="176"/>
      <c r="E714" s="182" t="s">
        <v>399</v>
      </c>
      <c r="F714" s="182">
        <v>1</v>
      </c>
      <c r="G714" s="292">
        <v>109750</v>
      </c>
    </row>
    <row r="715" spans="1:7" x14ac:dyDescent="0.25">
      <c r="A715" s="188"/>
      <c r="B715" s="180">
        <v>8</v>
      </c>
      <c r="C715" s="189" t="s">
        <v>2196</v>
      </c>
      <c r="D715" s="176"/>
      <c r="E715" s="182" t="s">
        <v>399</v>
      </c>
      <c r="F715" s="182">
        <v>1</v>
      </c>
      <c r="G715" s="292">
        <v>119500</v>
      </c>
    </row>
    <row r="716" spans="1:7" x14ac:dyDescent="0.25">
      <c r="A716" s="188"/>
      <c r="B716" s="180">
        <v>9</v>
      </c>
      <c r="C716" s="189" t="s">
        <v>2197</v>
      </c>
      <c r="D716" s="176"/>
      <c r="E716" s="182" t="s">
        <v>399</v>
      </c>
      <c r="F716" s="182">
        <v>1</v>
      </c>
      <c r="G716" s="292">
        <v>129700</v>
      </c>
    </row>
    <row r="717" spans="1:7" x14ac:dyDescent="0.25">
      <c r="A717" s="188"/>
      <c r="B717" s="180">
        <v>10</v>
      </c>
      <c r="C717" s="189" t="s">
        <v>2198</v>
      </c>
      <c r="D717" s="176"/>
      <c r="E717" s="182" t="s">
        <v>399</v>
      </c>
      <c r="F717" s="182">
        <v>1</v>
      </c>
      <c r="G717" s="292">
        <v>143700</v>
      </c>
    </row>
    <row r="718" spans="1:7" x14ac:dyDescent="0.25">
      <c r="A718" s="188"/>
      <c r="B718" s="180">
        <v>11</v>
      </c>
      <c r="C718" s="189" t="s">
        <v>2199</v>
      </c>
      <c r="D718" s="176"/>
      <c r="E718" s="182" t="s">
        <v>399</v>
      </c>
      <c r="F718" s="182">
        <v>1</v>
      </c>
      <c r="G718" s="292">
        <v>164600</v>
      </c>
    </row>
    <row r="719" spans="1:7" x14ac:dyDescent="0.25">
      <c r="A719" s="188"/>
      <c r="B719" s="180">
        <v>12</v>
      </c>
      <c r="C719" s="189" t="s">
        <v>2200</v>
      </c>
      <c r="D719" s="176"/>
      <c r="E719" s="182" t="s">
        <v>399</v>
      </c>
      <c r="F719" s="182">
        <v>1</v>
      </c>
      <c r="G719" s="292">
        <v>185750</v>
      </c>
    </row>
    <row r="720" spans="1:7" x14ac:dyDescent="0.25">
      <c r="A720" s="188"/>
      <c r="B720" s="180">
        <v>13</v>
      </c>
      <c r="C720" s="189" t="s">
        <v>2201</v>
      </c>
      <c r="D720" s="176"/>
      <c r="E720" s="182" t="s">
        <v>399</v>
      </c>
      <c r="F720" s="182">
        <v>1</v>
      </c>
      <c r="G720" s="292">
        <v>152250</v>
      </c>
    </row>
    <row r="721" spans="1:7" x14ac:dyDescent="0.25">
      <c r="A721" s="188"/>
      <c r="B721" s="180">
        <v>14</v>
      </c>
      <c r="C721" s="189" t="s">
        <v>2202</v>
      </c>
      <c r="D721" s="176"/>
      <c r="E721" s="182" t="s">
        <v>399</v>
      </c>
      <c r="F721" s="182">
        <v>1</v>
      </c>
      <c r="G721" s="292">
        <v>169500</v>
      </c>
    </row>
    <row r="722" spans="1:7" x14ac:dyDescent="0.25">
      <c r="A722" s="188"/>
      <c r="B722" s="180">
        <v>15</v>
      </c>
      <c r="C722" s="189" t="s">
        <v>2203</v>
      </c>
      <c r="D722" s="176"/>
      <c r="E722" s="182" t="s">
        <v>399</v>
      </c>
      <c r="F722" s="182">
        <v>1</v>
      </c>
      <c r="G722" s="292">
        <v>194200</v>
      </c>
    </row>
    <row r="723" spans="1:7" x14ac:dyDescent="0.25">
      <c r="A723" s="183" t="s">
        <v>556</v>
      </c>
      <c r="B723" s="195" t="s">
        <v>583</v>
      </c>
      <c r="C723" s="189"/>
      <c r="D723" s="176"/>
      <c r="E723" s="182"/>
      <c r="F723" s="182"/>
      <c r="G723" s="292"/>
    </row>
    <row r="724" spans="1:7" x14ac:dyDescent="0.25">
      <c r="A724" s="188"/>
      <c r="B724" s="180">
        <v>1</v>
      </c>
      <c r="C724" s="189" t="s">
        <v>423</v>
      </c>
      <c r="D724" s="176"/>
      <c r="E724" s="182" t="s">
        <v>399</v>
      </c>
      <c r="F724" s="182">
        <v>1</v>
      </c>
      <c r="G724" s="292">
        <v>31500</v>
      </c>
    </row>
    <row r="725" spans="1:7" x14ac:dyDescent="0.25">
      <c r="A725" s="188"/>
      <c r="B725" s="180">
        <v>2</v>
      </c>
      <c r="C725" s="189" t="s">
        <v>424</v>
      </c>
      <c r="D725" s="176"/>
      <c r="E725" s="182" t="s">
        <v>399</v>
      </c>
      <c r="F725" s="182">
        <v>1</v>
      </c>
      <c r="G725" s="292">
        <v>30900</v>
      </c>
    </row>
    <row r="726" spans="1:7" x14ac:dyDescent="0.25">
      <c r="A726" s="188"/>
      <c r="B726" s="180">
        <v>3</v>
      </c>
      <c r="C726" s="189" t="s">
        <v>2204</v>
      </c>
      <c r="D726" s="176"/>
      <c r="E726" s="182" t="s">
        <v>399</v>
      </c>
      <c r="F726" s="182">
        <v>1</v>
      </c>
      <c r="G726" s="292">
        <v>95300</v>
      </c>
    </row>
    <row r="727" spans="1:7" x14ac:dyDescent="0.25">
      <c r="A727" s="188"/>
      <c r="B727" s="180">
        <v>4</v>
      </c>
      <c r="C727" s="189" t="s">
        <v>2205</v>
      </c>
      <c r="D727" s="176"/>
      <c r="E727" s="182" t="s">
        <v>399</v>
      </c>
      <c r="F727" s="182">
        <v>1</v>
      </c>
      <c r="G727" s="292">
        <v>107000</v>
      </c>
    </row>
    <row r="728" spans="1:7" x14ac:dyDescent="0.25">
      <c r="A728" s="188"/>
      <c r="B728" s="180">
        <v>5</v>
      </c>
      <c r="C728" s="189" t="s">
        <v>2206</v>
      </c>
      <c r="D728" s="176"/>
      <c r="E728" s="182" t="s">
        <v>399</v>
      </c>
      <c r="F728" s="182">
        <v>1</v>
      </c>
      <c r="G728" s="292">
        <v>144000</v>
      </c>
    </row>
    <row r="729" spans="1:7" x14ac:dyDescent="0.25">
      <c r="A729" s="188"/>
      <c r="B729" s="180">
        <v>6</v>
      </c>
      <c r="C729" s="189" t="s">
        <v>2207</v>
      </c>
      <c r="D729" s="176"/>
      <c r="E729" s="182" t="s">
        <v>399</v>
      </c>
      <c r="F729" s="182">
        <v>1</v>
      </c>
      <c r="G729" s="292">
        <v>177000</v>
      </c>
    </row>
    <row r="730" spans="1:7" x14ac:dyDescent="0.25">
      <c r="A730" s="188"/>
      <c r="B730" s="180">
        <v>7</v>
      </c>
      <c r="C730" s="189" t="s">
        <v>2208</v>
      </c>
      <c r="D730" s="176"/>
      <c r="E730" s="182" t="s">
        <v>399</v>
      </c>
      <c r="F730" s="182">
        <v>1</v>
      </c>
      <c r="G730" s="292">
        <v>79200</v>
      </c>
    </row>
    <row r="731" spans="1:7" x14ac:dyDescent="0.25">
      <c r="A731" s="196">
        <v>63</v>
      </c>
      <c r="B731" s="197" t="s">
        <v>584</v>
      </c>
      <c r="C731" s="189"/>
      <c r="D731" s="176"/>
      <c r="E731" s="198" t="s">
        <v>264</v>
      </c>
      <c r="F731" s="198">
        <v>1</v>
      </c>
      <c r="G731" s="292">
        <v>14700</v>
      </c>
    </row>
    <row r="732" spans="1:7" x14ac:dyDescent="0.25">
      <c r="A732" s="199">
        <v>64</v>
      </c>
      <c r="B732" s="197" t="s">
        <v>585</v>
      </c>
      <c r="C732" s="189"/>
      <c r="D732" s="176"/>
      <c r="E732" s="198" t="s">
        <v>203</v>
      </c>
      <c r="F732" s="198">
        <v>1</v>
      </c>
      <c r="G732" s="292">
        <v>3960</v>
      </c>
    </row>
    <row r="733" spans="1:7" x14ac:dyDescent="0.25">
      <c r="A733" s="199">
        <v>65</v>
      </c>
      <c r="B733" s="197" t="s">
        <v>586</v>
      </c>
      <c r="C733" s="189"/>
      <c r="D733" s="176"/>
      <c r="E733" s="198" t="s">
        <v>203</v>
      </c>
      <c r="F733" s="198">
        <v>1</v>
      </c>
      <c r="G733" s="292">
        <v>3650</v>
      </c>
    </row>
    <row r="734" spans="1:7" x14ac:dyDescent="0.25">
      <c r="A734" s="199">
        <v>66</v>
      </c>
      <c r="B734" s="197" t="s">
        <v>587</v>
      </c>
      <c r="C734" s="189"/>
      <c r="D734" s="176"/>
      <c r="E734" s="198" t="s">
        <v>203</v>
      </c>
      <c r="F734" s="198">
        <v>1</v>
      </c>
      <c r="G734" s="292">
        <v>5700</v>
      </c>
    </row>
    <row r="735" spans="1:7" x14ac:dyDescent="0.25">
      <c r="A735" s="199">
        <v>67</v>
      </c>
      <c r="B735" s="197" t="s">
        <v>1220</v>
      </c>
      <c r="C735" s="189"/>
      <c r="D735" s="176"/>
      <c r="E735" s="198" t="s">
        <v>203</v>
      </c>
      <c r="F735" s="198">
        <v>1</v>
      </c>
      <c r="G735" s="292">
        <v>3150</v>
      </c>
    </row>
    <row r="736" spans="1:7" x14ac:dyDescent="0.25">
      <c r="A736" s="199">
        <v>68</v>
      </c>
      <c r="B736" s="197" t="s">
        <v>588</v>
      </c>
      <c r="C736" s="189"/>
      <c r="D736" s="176"/>
      <c r="E736" s="198" t="s">
        <v>264</v>
      </c>
      <c r="F736" s="198">
        <v>1</v>
      </c>
      <c r="G736" s="292">
        <v>21750</v>
      </c>
    </row>
    <row r="737" spans="1:7" x14ac:dyDescent="0.25">
      <c r="A737" s="199">
        <v>69</v>
      </c>
      <c r="B737" s="197" t="s">
        <v>589</v>
      </c>
      <c r="C737" s="189"/>
      <c r="D737" s="176"/>
      <c r="E737" s="198" t="s">
        <v>203</v>
      </c>
      <c r="F737" s="198">
        <v>1</v>
      </c>
      <c r="G737" s="292">
        <v>27550</v>
      </c>
    </row>
    <row r="738" spans="1:7" x14ac:dyDescent="0.25">
      <c r="A738" s="199">
        <v>70</v>
      </c>
      <c r="B738" s="197" t="s">
        <v>590</v>
      </c>
      <c r="C738" s="189"/>
      <c r="D738" s="176"/>
      <c r="E738" s="198" t="s">
        <v>203</v>
      </c>
      <c r="F738" s="198">
        <v>1</v>
      </c>
      <c r="G738" s="292">
        <v>128700</v>
      </c>
    </row>
    <row r="739" spans="1:7" x14ac:dyDescent="0.25">
      <c r="A739" s="199">
        <v>71</v>
      </c>
      <c r="B739" s="197" t="s">
        <v>1609</v>
      </c>
      <c r="C739" s="189"/>
      <c r="D739" s="176"/>
      <c r="E739" s="198" t="s">
        <v>203</v>
      </c>
      <c r="F739" s="198">
        <v>1</v>
      </c>
      <c r="G739" s="292">
        <v>249000</v>
      </c>
    </row>
    <row r="740" spans="1:7" x14ac:dyDescent="0.25">
      <c r="A740" s="199">
        <v>72</v>
      </c>
      <c r="B740" s="197" t="s">
        <v>591</v>
      </c>
      <c r="C740" s="189"/>
      <c r="D740" s="176"/>
      <c r="E740" s="198" t="s">
        <v>203</v>
      </c>
      <c r="F740" s="198">
        <v>1</v>
      </c>
      <c r="G740" s="292">
        <v>92700</v>
      </c>
    </row>
    <row r="741" spans="1:7" x14ac:dyDescent="0.25">
      <c r="A741" s="199">
        <v>73</v>
      </c>
      <c r="B741" s="197" t="s">
        <v>1668</v>
      </c>
      <c r="C741" s="189"/>
      <c r="D741" s="176"/>
      <c r="E741" s="198" t="s">
        <v>203</v>
      </c>
      <c r="F741" s="198">
        <v>1</v>
      </c>
      <c r="G741" s="292">
        <v>132500</v>
      </c>
    </row>
    <row r="742" spans="1:7" x14ac:dyDescent="0.25">
      <c r="A742" s="199">
        <v>74</v>
      </c>
      <c r="B742" s="197" t="s">
        <v>592</v>
      </c>
      <c r="C742" s="189"/>
      <c r="D742" s="176"/>
      <c r="E742" s="198" t="s">
        <v>203</v>
      </c>
      <c r="F742" s="198">
        <v>2</v>
      </c>
      <c r="G742" s="292">
        <v>94700</v>
      </c>
    </row>
    <row r="743" spans="1:7" x14ac:dyDescent="0.25">
      <c r="A743" s="199">
        <v>75</v>
      </c>
      <c r="B743" s="197" t="s">
        <v>593</v>
      </c>
      <c r="C743" s="189"/>
      <c r="D743" s="176"/>
      <c r="E743" s="198" t="s">
        <v>203</v>
      </c>
      <c r="F743" s="198">
        <v>1</v>
      </c>
      <c r="G743" s="292">
        <v>3350</v>
      </c>
    </row>
    <row r="744" spans="1:7" x14ac:dyDescent="0.25">
      <c r="A744" s="199">
        <v>76</v>
      </c>
      <c r="B744" s="197" t="s">
        <v>594</v>
      </c>
      <c r="C744" s="189"/>
      <c r="D744" s="176"/>
      <c r="E744" s="198" t="s">
        <v>203</v>
      </c>
      <c r="F744" s="198">
        <v>1</v>
      </c>
      <c r="G744" s="292">
        <v>18700</v>
      </c>
    </row>
    <row r="745" spans="1:7" x14ac:dyDescent="0.25">
      <c r="A745" s="199">
        <v>77</v>
      </c>
      <c r="B745" s="197" t="s">
        <v>595</v>
      </c>
      <c r="C745" s="189"/>
      <c r="D745" s="176"/>
      <c r="E745" s="198" t="s">
        <v>203</v>
      </c>
      <c r="F745" s="198">
        <v>1</v>
      </c>
      <c r="G745" s="292">
        <v>276500</v>
      </c>
    </row>
    <row r="746" spans="1:7" x14ac:dyDescent="0.25">
      <c r="A746" s="199">
        <v>78</v>
      </c>
      <c r="B746" s="197" t="s">
        <v>1707</v>
      </c>
      <c r="C746" s="189"/>
      <c r="D746" s="176"/>
      <c r="E746" s="198" t="s">
        <v>235</v>
      </c>
      <c r="F746" s="198">
        <v>1</v>
      </c>
      <c r="G746" s="292">
        <v>17200</v>
      </c>
    </row>
    <row r="747" spans="1:7" x14ac:dyDescent="0.25">
      <c r="A747" s="199">
        <v>79</v>
      </c>
      <c r="B747" s="197" t="s">
        <v>1706</v>
      </c>
      <c r="C747" s="189"/>
      <c r="D747" s="176"/>
      <c r="E747" s="198" t="s">
        <v>235</v>
      </c>
      <c r="F747" s="198">
        <v>1</v>
      </c>
      <c r="G747" s="292">
        <v>23400</v>
      </c>
    </row>
    <row r="748" spans="1:7" x14ac:dyDescent="0.25">
      <c r="A748" s="199">
        <v>80</v>
      </c>
      <c r="B748" s="197" t="s">
        <v>1705</v>
      </c>
      <c r="C748" s="189"/>
      <c r="D748" s="176"/>
      <c r="E748" s="198" t="s">
        <v>235</v>
      </c>
      <c r="F748" s="198">
        <v>1</v>
      </c>
      <c r="G748" s="292">
        <v>31300</v>
      </c>
    </row>
    <row r="749" spans="1:7" x14ac:dyDescent="0.25">
      <c r="A749" s="199">
        <v>81</v>
      </c>
      <c r="B749" s="197" t="s">
        <v>1714</v>
      </c>
      <c r="C749" s="189"/>
      <c r="D749" s="176"/>
      <c r="E749" s="198" t="s">
        <v>235</v>
      </c>
      <c r="F749" s="198">
        <v>1</v>
      </c>
      <c r="G749" s="292">
        <v>101500</v>
      </c>
    </row>
    <row r="750" spans="1:7" x14ac:dyDescent="0.25">
      <c r="A750" s="199">
        <v>82</v>
      </c>
      <c r="B750" s="197" t="s">
        <v>1704</v>
      </c>
      <c r="C750" s="189"/>
      <c r="D750" s="176"/>
      <c r="E750" s="198" t="s">
        <v>235</v>
      </c>
      <c r="F750" s="198">
        <v>1</v>
      </c>
      <c r="G750" s="292">
        <v>208500</v>
      </c>
    </row>
    <row r="751" spans="1:7" x14ac:dyDescent="0.25">
      <c r="A751" s="199">
        <v>83</v>
      </c>
      <c r="B751" s="197" t="s">
        <v>1687</v>
      </c>
      <c r="C751" s="189"/>
      <c r="D751" s="176"/>
      <c r="E751" s="198" t="s">
        <v>203</v>
      </c>
      <c r="F751" s="198">
        <v>1</v>
      </c>
      <c r="G751" s="292">
        <v>59400</v>
      </c>
    </row>
    <row r="752" spans="1:7" x14ac:dyDescent="0.25">
      <c r="A752" s="199">
        <v>84</v>
      </c>
      <c r="B752" s="197" t="s">
        <v>1688</v>
      </c>
      <c r="C752" s="189"/>
      <c r="D752" s="176"/>
      <c r="E752" s="198" t="s">
        <v>203</v>
      </c>
      <c r="F752" s="198">
        <v>1</v>
      </c>
      <c r="G752" s="292">
        <v>118800</v>
      </c>
    </row>
    <row r="753" spans="1:7" x14ac:dyDescent="0.25">
      <c r="A753" s="199">
        <v>85</v>
      </c>
      <c r="B753" s="197" t="s">
        <v>965</v>
      </c>
      <c r="C753" s="189"/>
      <c r="D753" s="176"/>
      <c r="E753" s="198" t="s">
        <v>203</v>
      </c>
      <c r="F753" s="198">
        <v>1</v>
      </c>
      <c r="G753" s="292">
        <v>2186800</v>
      </c>
    </row>
    <row r="754" spans="1:7" x14ac:dyDescent="0.25">
      <c r="A754" s="199">
        <v>86</v>
      </c>
      <c r="B754" s="197" t="s">
        <v>1470</v>
      </c>
      <c r="C754" s="189"/>
      <c r="D754" s="176"/>
      <c r="E754" s="198" t="s">
        <v>203</v>
      </c>
      <c r="F754" s="198">
        <v>1</v>
      </c>
      <c r="G754" s="292">
        <v>25750</v>
      </c>
    </row>
    <row r="755" spans="1:7" x14ac:dyDescent="0.25">
      <c r="A755" s="199">
        <v>87</v>
      </c>
      <c r="B755" s="197" t="s">
        <v>1464</v>
      </c>
      <c r="C755" s="189"/>
      <c r="D755" s="176"/>
      <c r="E755" s="198" t="s">
        <v>203</v>
      </c>
      <c r="F755" s="198">
        <v>1</v>
      </c>
      <c r="G755" s="292">
        <v>40000</v>
      </c>
    </row>
    <row r="756" spans="1:7" ht="13.65" customHeight="1" x14ac:dyDescent="0.25">
      <c r="A756" s="199">
        <v>88</v>
      </c>
      <c r="B756" s="197" t="s">
        <v>1640</v>
      </c>
      <c r="C756" s="189"/>
      <c r="D756" s="176"/>
      <c r="E756" s="198" t="s">
        <v>1639</v>
      </c>
      <c r="F756" s="198">
        <v>1</v>
      </c>
      <c r="G756" s="292">
        <v>17800</v>
      </c>
    </row>
    <row r="757" spans="1:7" ht="13.65" customHeight="1" x14ac:dyDescent="0.25">
      <c r="A757" s="199">
        <v>89</v>
      </c>
      <c r="B757" s="197" t="s">
        <v>1641</v>
      </c>
      <c r="C757" s="189"/>
      <c r="D757" s="176"/>
      <c r="E757" s="198" t="s">
        <v>1653</v>
      </c>
      <c r="F757" s="198">
        <v>1</v>
      </c>
      <c r="G757" s="292">
        <v>1250000</v>
      </c>
    </row>
    <row r="758" spans="1:7" ht="13.65" customHeight="1" x14ac:dyDescent="0.25">
      <c r="A758" s="199">
        <v>90</v>
      </c>
      <c r="B758" s="197" t="s">
        <v>758</v>
      </c>
      <c r="C758" s="189"/>
      <c r="D758" s="176"/>
      <c r="E758" s="198" t="s">
        <v>203</v>
      </c>
      <c r="F758" s="198">
        <v>1</v>
      </c>
      <c r="G758" s="292">
        <v>89500</v>
      </c>
    </row>
    <row r="759" spans="1:7" ht="13.65" customHeight="1" x14ac:dyDescent="0.25">
      <c r="A759" s="199">
        <v>91</v>
      </c>
      <c r="B759" s="197" t="s">
        <v>975</v>
      </c>
      <c r="C759" s="189"/>
      <c r="D759" s="176"/>
      <c r="E759" s="198" t="s">
        <v>203</v>
      </c>
      <c r="F759" s="198">
        <v>1</v>
      </c>
      <c r="G759" s="292">
        <v>56500</v>
      </c>
    </row>
    <row r="760" spans="1:7" ht="13.65" customHeight="1" x14ac:dyDescent="0.25">
      <c r="A760" s="199">
        <v>92</v>
      </c>
      <c r="B760" s="197" t="s">
        <v>1708</v>
      </c>
      <c r="C760" s="189"/>
      <c r="D760" s="176"/>
      <c r="E760" s="198" t="s">
        <v>1709</v>
      </c>
      <c r="F760" s="198">
        <v>1</v>
      </c>
      <c r="G760" s="292">
        <v>51500</v>
      </c>
    </row>
    <row r="761" spans="1:7" ht="13.65" customHeight="1" x14ac:dyDescent="0.25">
      <c r="A761" s="199">
        <v>93</v>
      </c>
      <c r="B761" s="197" t="s">
        <v>601</v>
      </c>
      <c r="C761" s="189"/>
      <c r="D761" s="176"/>
      <c r="E761" s="198" t="s">
        <v>596</v>
      </c>
      <c r="F761" s="198">
        <v>1</v>
      </c>
      <c r="G761" s="292">
        <v>595000</v>
      </c>
    </row>
    <row r="762" spans="1:7" ht="13.65" customHeight="1" x14ac:dyDescent="0.25">
      <c r="A762" s="199">
        <v>94</v>
      </c>
      <c r="B762" s="197" t="s">
        <v>1845</v>
      </c>
      <c r="C762" s="189"/>
      <c r="D762" s="176"/>
      <c r="E762" s="198" t="s">
        <v>596</v>
      </c>
      <c r="F762" s="198">
        <v>1</v>
      </c>
      <c r="G762" s="292">
        <v>341500</v>
      </c>
    </row>
    <row r="763" spans="1:7" ht="13.65" customHeight="1" x14ac:dyDescent="0.25">
      <c r="A763" s="199">
        <v>95</v>
      </c>
      <c r="B763" s="197" t="s">
        <v>1846</v>
      </c>
      <c r="C763" s="189"/>
      <c r="D763" s="176"/>
      <c r="E763" s="198" t="s">
        <v>596</v>
      </c>
      <c r="F763" s="198">
        <v>1</v>
      </c>
      <c r="G763" s="292">
        <v>519500</v>
      </c>
    </row>
    <row r="764" spans="1:7" ht="13.65" customHeight="1" x14ac:dyDescent="0.25">
      <c r="A764" s="199">
        <v>96</v>
      </c>
      <c r="B764" s="197" t="s">
        <v>602</v>
      </c>
      <c r="C764" s="189"/>
      <c r="D764" s="176"/>
      <c r="E764" s="198" t="s">
        <v>596</v>
      </c>
      <c r="F764" s="198">
        <v>1</v>
      </c>
      <c r="G764" s="292">
        <v>445500</v>
      </c>
    </row>
    <row r="765" spans="1:7" ht="13.65" customHeight="1" x14ac:dyDescent="0.25">
      <c r="A765" s="199">
        <v>97</v>
      </c>
      <c r="B765" s="197" t="s">
        <v>1642</v>
      </c>
      <c r="C765" s="189"/>
      <c r="D765" s="176"/>
      <c r="E765" s="198" t="s">
        <v>203</v>
      </c>
      <c r="F765" s="198">
        <v>1</v>
      </c>
      <c r="G765" s="292">
        <v>97500</v>
      </c>
    </row>
    <row r="766" spans="1:7" ht="13.65" customHeight="1" x14ac:dyDescent="0.25">
      <c r="A766" s="199">
        <v>98</v>
      </c>
      <c r="B766" s="197" t="s">
        <v>1643</v>
      </c>
      <c r="C766" s="189"/>
      <c r="D766" s="176"/>
      <c r="E766" s="198" t="s">
        <v>203</v>
      </c>
      <c r="F766" s="198">
        <v>1</v>
      </c>
      <c r="G766" s="292">
        <v>10750</v>
      </c>
    </row>
    <row r="767" spans="1:7" ht="13.65" customHeight="1" x14ac:dyDescent="0.25">
      <c r="A767" s="199">
        <v>99</v>
      </c>
      <c r="B767" s="197" t="s">
        <v>1670</v>
      </c>
      <c r="C767" s="189"/>
      <c r="D767" s="176"/>
      <c r="E767" s="198" t="s">
        <v>203</v>
      </c>
      <c r="F767" s="198">
        <v>1</v>
      </c>
      <c r="G767" s="292">
        <v>144800</v>
      </c>
    </row>
    <row r="768" spans="1:7" ht="13.65" customHeight="1" x14ac:dyDescent="0.25">
      <c r="A768" s="199">
        <v>100</v>
      </c>
      <c r="B768" s="197" t="s">
        <v>1671</v>
      </c>
      <c r="C768" s="189"/>
      <c r="D768" s="176"/>
      <c r="E768" s="198" t="s">
        <v>203</v>
      </c>
      <c r="F768" s="198">
        <v>1</v>
      </c>
      <c r="G768" s="292">
        <v>139500</v>
      </c>
    </row>
    <row r="769" spans="1:7" ht="13.65" customHeight="1" x14ac:dyDescent="0.25">
      <c r="A769" s="199">
        <v>101</v>
      </c>
      <c r="B769" s="197" t="s">
        <v>1645</v>
      </c>
      <c r="C769" s="189"/>
      <c r="D769" s="176"/>
      <c r="E769" s="198" t="s">
        <v>203</v>
      </c>
      <c r="F769" s="198">
        <v>1</v>
      </c>
      <c r="G769" s="292">
        <v>89500</v>
      </c>
    </row>
    <row r="770" spans="1:7" ht="13.65" customHeight="1" x14ac:dyDescent="0.25">
      <c r="A770" s="199">
        <v>102</v>
      </c>
      <c r="B770" s="197" t="s">
        <v>1646</v>
      </c>
      <c r="C770" s="189"/>
      <c r="D770" s="176"/>
      <c r="E770" s="198" t="s">
        <v>203</v>
      </c>
      <c r="F770" s="198">
        <v>1</v>
      </c>
      <c r="G770" s="292">
        <v>54500</v>
      </c>
    </row>
    <row r="771" spans="1:7" ht="13.65" customHeight="1" x14ac:dyDescent="0.25">
      <c r="A771" s="199">
        <v>103</v>
      </c>
      <c r="B771" s="197" t="s">
        <v>1647</v>
      </c>
      <c r="C771" s="189"/>
      <c r="D771" s="176"/>
      <c r="E771" s="198" t="s">
        <v>203</v>
      </c>
      <c r="F771" s="198">
        <v>1</v>
      </c>
      <c r="G771" s="292">
        <v>143500</v>
      </c>
    </row>
    <row r="772" spans="1:7" ht="13.65" customHeight="1" x14ac:dyDescent="0.25">
      <c r="A772" s="199">
        <v>104</v>
      </c>
      <c r="B772" s="197" t="s">
        <v>1648</v>
      </c>
      <c r="C772" s="189"/>
      <c r="D772" s="176"/>
      <c r="E772" s="198" t="s">
        <v>203</v>
      </c>
      <c r="F772" s="198">
        <v>1</v>
      </c>
      <c r="G772" s="292">
        <v>12300</v>
      </c>
    </row>
    <row r="773" spans="1:7" ht="13.65" customHeight="1" x14ac:dyDescent="0.25">
      <c r="A773" s="199">
        <v>105</v>
      </c>
      <c r="B773" s="197" t="s">
        <v>1649</v>
      </c>
      <c r="C773" s="189"/>
      <c r="D773" s="176"/>
      <c r="E773" s="198" t="s">
        <v>1478</v>
      </c>
      <c r="F773" s="198">
        <v>1</v>
      </c>
      <c r="G773" s="292">
        <v>49500</v>
      </c>
    </row>
    <row r="774" spans="1:7" ht="13.65" customHeight="1" x14ac:dyDescent="0.25">
      <c r="A774" s="199">
        <v>106</v>
      </c>
      <c r="B774" s="197" t="s">
        <v>1650</v>
      </c>
      <c r="C774" s="189"/>
      <c r="D774" s="176"/>
      <c r="E774" s="198" t="s">
        <v>1478</v>
      </c>
      <c r="F774" s="198">
        <v>1</v>
      </c>
      <c r="G774" s="292">
        <v>10000</v>
      </c>
    </row>
    <row r="775" spans="1:7" ht="13.65" customHeight="1" x14ac:dyDescent="0.25">
      <c r="A775" s="199">
        <v>107</v>
      </c>
      <c r="B775" s="197" t="s">
        <v>1651</v>
      </c>
      <c r="C775" s="189"/>
      <c r="D775" s="176"/>
      <c r="E775" s="198" t="s">
        <v>709</v>
      </c>
      <c r="F775" s="198">
        <v>1</v>
      </c>
      <c r="G775" s="292">
        <v>2079000</v>
      </c>
    </row>
    <row r="776" spans="1:7" ht="13.65" customHeight="1" x14ac:dyDescent="0.25">
      <c r="A776" s="199">
        <v>108</v>
      </c>
      <c r="B776" s="197" t="s">
        <v>710</v>
      </c>
      <c r="C776" s="189"/>
      <c r="D776" s="176"/>
      <c r="E776" s="198" t="s">
        <v>1478</v>
      </c>
      <c r="F776" s="198">
        <v>1</v>
      </c>
      <c r="G776" s="292">
        <v>26600</v>
      </c>
    </row>
    <row r="777" spans="1:7" ht="13.65" customHeight="1" x14ac:dyDescent="0.25">
      <c r="A777" s="199">
        <v>109</v>
      </c>
      <c r="B777" s="197" t="s">
        <v>2216</v>
      </c>
      <c r="C777" s="189"/>
      <c r="D777" s="176"/>
      <c r="E777" s="198" t="s">
        <v>709</v>
      </c>
      <c r="F777" s="198">
        <v>1</v>
      </c>
      <c r="G777" s="292">
        <v>1143800</v>
      </c>
    </row>
    <row r="778" spans="1:7" ht="13.65" customHeight="1" x14ac:dyDescent="0.25">
      <c r="A778" s="199">
        <v>110</v>
      </c>
      <c r="B778" s="197" t="s">
        <v>1652</v>
      </c>
      <c r="C778" s="189"/>
      <c r="D778" s="176"/>
      <c r="E778" s="198" t="s">
        <v>709</v>
      </c>
      <c r="F778" s="198">
        <v>1</v>
      </c>
      <c r="G778" s="292">
        <v>206000</v>
      </c>
    </row>
    <row r="779" spans="1:7" ht="13.65" customHeight="1" x14ac:dyDescent="0.25">
      <c r="A779" s="199">
        <v>111</v>
      </c>
      <c r="B779" s="197" t="s">
        <v>1654</v>
      </c>
      <c r="C779" s="189"/>
      <c r="D779" s="176"/>
      <c r="E779" s="198" t="s">
        <v>203</v>
      </c>
      <c r="F779" s="198">
        <v>1</v>
      </c>
      <c r="G779" s="292">
        <v>204500</v>
      </c>
    </row>
    <row r="780" spans="1:7" ht="13.65" customHeight="1" x14ac:dyDescent="0.25">
      <c r="A780" s="199">
        <v>112</v>
      </c>
      <c r="B780" s="197" t="s">
        <v>1673</v>
      </c>
      <c r="C780" s="189"/>
      <c r="D780" s="176"/>
      <c r="E780" s="198" t="s">
        <v>203</v>
      </c>
      <c r="F780" s="198">
        <v>1</v>
      </c>
      <c r="G780" s="292">
        <v>71200</v>
      </c>
    </row>
    <row r="781" spans="1:7" ht="13.65" customHeight="1" x14ac:dyDescent="0.25">
      <c r="A781" s="199">
        <v>113</v>
      </c>
      <c r="B781" s="197" t="s">
        <v>1690</v>
      </c>
      <c r="C781" s="189"/>
      <c r="D781" s="176"/>
      <c r="E781" s="198" t="s">
        <v>203</v>
      </c>
      <c r="F781" s="198">
        <v>1</v>
      </c>
      <c r="G781" s="292">
        <v>1889000</v>
      </c>
    </row>
    <row r="782" spans="1:7" ht="13.65" customHeight="1" x14ac:dyDescent="0.25">
      <c r="A782" s="199">
        <v>114</v>
      </c>
      <c r="B782" s="197" t="s">
        <v>1644</v>
      </c>
      <c r="C782" s="189"/>
      <c r="D782" s="176"/>
      <c r="E782" s="198" t="s">
        <v>203</v>
      </c>
      <c r="F782" s="198">
        <v>1</v>
      </c>
      <c r="G782" s="292">
        <v>295500</v>
      </c>
    </row>
    <row r="783" spans="1:7" ht="13.65" customHeight="1" x14ac:dyDescent="0.25">
      <c r="A783" s="199">
        <v>115</v>
      </c>
      <c r="B783" s="197" t="s">
        <v>1691</v>
      </c>
      <c r="C783" s="189"/>
      <c r="D783" s="176"/>
      <c r="E783" s="198" t="s">
        <v>203</v>
      </c>
      <c r="F783" s="198">
        <v>1</v>
      </c>
      <c r="G783" s="292">
        <v>44000</v>
      </c>
    </row>
    <row r="784" spans="1:7" ht="13.65" customHeight="1" x14ac:dyDescent="0.25">
      <c r="A784" s="199">
        <v>116</v>
      </c>
      <c r="B784" s="197" t="s">
        <v>1693</v>
      </c>
      <c r="C784" s="189"/>
      <c r="D784" s="176"/>
      <c r="E784" s="198" t="s">
        <v>203</v>
      </c>
      <c r="F784" s="198">
        <v>1</v>
      </c>
      <c r="G784" s="292">
        <v>535000</v>
      </c>
    </row>
    <row r="785" spans="1:7" ht="13.65" customHeight="1" x14ac:dyDescent="0.25">
      <c r="A785" s="199">
        <v>117</v>
      </c>
      <c r="B785" s="197" t="s">
        <v>1694</v>
      </c>
      <c r="C785" s="189"/>
      <c r="D785" s="176"/>
      <c r="E785" s="198" t="s">
        <v>203</v>
      </c>
      <c r="F785" s="198">
        <v>1</v>
      </c>
      <c r="G785" s="292">
        <v>1655000</v>
      </c>
    </row>
    <row r="786" spans="1:7" ht="13.65" customHeight="1" x14ac:dyDescent="0.25">
      <c r="A786" s="199">
        <v>118</v>
      </c>
      <c r="B786" s="197" t="s">
        <v>1696</v>
      </c>
      <c r="C786" s="189"/>
      <c r="D786" s="176"/>
      <c r="E786" s="198" t="s">
        <v>203</v>
      </c>
      <c r="F786" s="198">
        <v>1</v>
      </c>
      <c r="G786" s="292">
        <v>94000</v>
      </c>
    </row>
    <row r="787" spans="1:7" ht="13.65" customHeight="1" x14ac:dyDescent="0.25">
      <c r="A787" s="199">
        <v>119</v>
      </c>
      <c r="B787" s="197" t="s">
        <v>1697</v>
      </c>
      <c r="C787" s="189"/>
      <c r="D787" s="176"/>
      <c r="E787" s="198" t="s">
        <v>203</v>
      </c>
      <c r="F787" s="198">
        <v>1</v>
      </c>
      <c r="G787" s="292">
        <v>208500</v>
      </c>
    </row>
    <row r="788" spans="1:7" ht="13.65" customHeight="1" x14ac:dyDescent="0.25">
      <c r="A788" s="199">
        <v>120</v>
      </c>
      <c r="B788" s="197" t="s">
        <v>1698</v>
      </c>
      <c r="C788" s="189"/>
      <c r="D788" s="176"/>
      <c r="E788" s="198" t="s">
        <v>203</v>
      </c>
      <c r="F788" s="198">
        <v>1</v>
      </c>
      <c r="G788" s="292">
        <v>138500</v>
      </c>
    </row>
    <row r="789" spans="1:7" ht="13.65" customHeight="1" x14ac:dyDescent="0.25">
      <c r="A789" s="199">
        <v>121</v>
      </c>
      <c r="B789" s="197" t="s">
        <v>1699</v>
      </c>
      <c r="C789" s="189"/>
      <c r="D789" s="176"/>
      <c r="E789" s="198" t="s">
        <v>203</v>
      </c>
      <c r="F789" s="198">
        <v>1</v>
      </c>
      <c r="G789" s="292">
        <v>143500</v>
      </c>
    </row>
    <row r="790" spans="1:7" ht="13.65" customHeight="1" x14ac:dyDescent="0.25">
      <c r="A790" s="199">
        <v>122</v>
      </c>
      <c r="B790" s="197" t="s">
        <v>1700</v>
      </c>
      <c r="C790" s="189"/>
      <c r="D790" s="176"/>
      <c r="E790" s="198" t="s">
        <v>203</v>
      </c>
      <c r="F790" s="198">
        <v>1</v>
      </c>
      <c r="G790" s="292">
        <v>89500</v>
      </c>
    </row>
    <row r="791" spans="1:7" ht="13.65" customHeight="1" x14ac:dyDescent="0.25">
      <c r="A791" s="199">
        <v>123</v>
      </c>
      <c r="B791" s="197" t="s">
        <v>1701</v>
      </c>
      <c r="C791" s="189"/>
      <c r="D791" s="176"/>
      <c r="E791" s="198" t="s">
        <v>203</v>
      </c>
      <c r="F791" s="198">
        <v>1</v>
      </c>
      <c r="G791" s="292">
        <v>125000</v>
      </c>
    </row>
    <row r="792" spans="1:7" ht="13.65" customHeight="1" x14ac:dyDescent="0.25">
      <c r="A792" s="199">
        <v>124</v>
      </c>
      <c r="B792" s="197" t="s">
        <v>1702</v>
      </c>
      <c r="C792" s="189"/>
      <c r="D792" s="176"/>
      <c r="E792" s="198" t="s">
        <v>203</v>
      </c>
      <c r="F792" s="198">
        <v>1</v>
      </c>
      <c r="G792" s="292">
        <v>55700</v>
      </c>
    </row>
    <row r="793" spans="1:7" ht="13.65" customHeight="1" x14ac:dyDescent="0.25">
      <c r="A793" s="199">
        <v>125</v>
      </c>
      <c r="B793" s="197" t="s">
        <v>1740</v>
      </c>
      <c r="C793" s="189"/>
      <c r="D793" s="176"/>
      <c r="E793" s="198" t="s">
        <v>203</v>
      </c>
      <c r="F793" s="198">
        <v>1</v>
      </c>
      <c r="G793" s="292">
        <v>276500</v>
      </c>
    </row>
    <row r="794" spans="1:7" ht="13.65" customHeight="1" x14ac:dyDescent="0.25">
      <c r="A794" s="199">
        <v>126</v>
      </c>
      <c r="B794" s="197" t="s">
        <v>1770</v>
      </c>
      <c r="C794" s="189"/>
      <c r="D794" s="176"/>
      <c r="E794" s="198"/>
      <c r="F794" s="198"/>
      <c r="G794" s="292"/>
    </row>
    <row r="795" spans="1:7" ht="13.65" customHeight="1" x14ac:dyDescent="0.25">
      <c r="A795" s="200"/>
      <c r="B795" s="201" t="s">
        <v>4</v>
      </c>
      <c r="C795" s="189" t="s">
        <v>1771</v>
      </c>
      <c r="D795" s="176"/>
      <c r="E795" s="198" t="s">
        <v>399</v>
      </c>
      <c r="F795" s="198">
        <v>1</v>
      </c>
      <c r="G795" s="292">
        <v>6200000</v>
      </c>
    </row>
    <row r="796" spans="1:7" ht="13.65" customHeight="1" x14ac:dyDescent="0.25">
      <c r="A796" s="200"/>
      <c r="B796" s="201" t="s">
        <v>30</v>
      </c>
      <c r="C796" s="189" t="s">
        <v>1772</v>
      </c>
      <c r="D796" s="176"/>
      <c r="E796" s="198" t="s">
        <v>399</v>
      </c>
      <c r="F796" s="198">
        <v>1</v>
      </c>
      <c r="G796" s="292">
        <v>6435000</v>
      </c>
    </row>
    <row r="797" spans="1:7" ht="13.65" customHeight="1" x14ac:dyDescent="0.25">
      <c r="A797" s="200"/>
      <c r="B797" s="201" t="s">
        <v>57</v>
      </c>
      <c r="C797" s="189" t="s">
        <v>1773</v>
      </c>
      <c r="D797" s="176"/>
      <c r="E797" s="198" t="s">
        <v>399</v>
      </c>
      <c r="F797" s="198">
        <v>1</v>
      </c>
      <c r="G797" s="292">
        <v>6975000</v>
      </c>
    </row>
    <row r="798" spans="1:7" ht="13.65" customHeight="1" x14ac:dyDescent="0.25">
      <c r="A798" s="200"/>
      <c r="B798" s="201" t="s">
        <v>83</v>
      </c>
      <c r="C798" s="189" t="s">
        <v>1774</v>
      </c>
      <c r="D798" s="176"/>
      <c r="E798" s="198" t="s">
        <v>399</v>
      </c>
      <c r="F798" s="198">
        <v>1</v>
      </c>
      <c r="G798" s="292">
        <v>6975000</v>
      </c>
    </row>
    <row r="799" spans="1:7" ht="13.65" customHeight="1" x14ac:dyDescent="0.25">
      <c r="A799" s="200"/>
      <c r="B799" s="201" t="s">
        <v>110</v>
      </c>
      <c r="C799" s="189" t="s">
        <v>1775</v>
      </c>
      <c r="D799" s="176"/>
      <c r="E799" s="198" t="s">
        <v>399</v>
      </c>
      <c r="F799" s="198">
        <v>1</v>
      </c>
      <c r="G799" s="292">
        <v>7590000</v>
      </c>
    </row>
    <row r="800" spans="1:7" ht="13.65" customHeight="1" x14ac:dyDescent="0.25">
      <c r="A800" s="200"/>
      <c r="B800" s="201" t="s">
        <v>137</v>
      </c>
      <c r="C800" s="189" t="s">
        <v>1776</v>
      </c>
      <c r="D800" s="176"/>
      <c r="E800" s="198" t="s">
        <v>399</v>
      </c>
      <c r="F800" s="198">
        <v>1</v>
      </c>
      <c r="G800" s="292">
        <v>7679000</v>
      </c>
    </row>
    <row r="801" spans="1:7" ht="13.65" customHeight="1" x14ac:dyDescent="0.25">
      <c r="A801" s="200"/>
      <c r="B801" s="201" t="s">
        <v>156</v>
      </c>
      <c r="C801" s="189" t="s">
        <v>1777</v>
      </c>
      <c r="D801" s="176"/>
      <c r="E801" s="198" t="s">
        <v>399</v>
      </c>
      <c r="F801" s="198">
        <v>1</v>
      </c>
      <c r="G801" s="292">
        <v>7950000</v>
      </c>
    </row>
    <row r="802" spans="1:7" ht="13.65" customHeight="1" x14ac:dyDescent="0.25">
      <c r="A802" s="200"/>
      <c r="B802" s="201" t="s">
        <v>175</v>
      </c>
      <c r="C802" s="189" t="s">
        <v>1778</v>
      </c>
      <c r="D802" s="176"/>
      <c r="E802" s="198" t="s">
        <v>399</v>
      </c>
      <c r="F802" s="198">
        <v>1</v>
      </c>
      <c r="G802" s="292">
        <v>8080000</v>
      </c>
    </row>
    <row r="803" spans="1:7" ht="13.65" customHeight="1" x14ac:dyDescent="0.25">
      <c r="A803" s="196">
        <v>127</v>
      </c>
      <c r="B803" s="197" t="s">
        <v>1779</v>
      </c>
      <c r="C803" s="189"/>
      <c r="D803" s="176"/>
      <c r="E803" s="198"/>
      <c r="F803" s="198"/>
      <c r="G803" s="292"/>
    </row>
    <row r="804" spans="1:7" ht="13.65" customHeight="1" x14ac:dyDescent="0.25">
      <c r="A804" s="200"/>
      <c r="B804" s="201" t="s">
        <v>4</v>
      </c>
      <c r="C804" s="189" t="s">
        <v>1780</v>
      </c>
      <c r="D804" s="176"/>
      <c r="E804" s="198" t="s">
        <v>399</v>
      </c>
      <c r="F804" s="198">
        <v>1</v>
      </c>
      <c r="G804" s="292">
        <v>10179000</v>
      </c>
    </row>
    <row r="805" spans="1:7" ht="13.65" customHeight="1" x14ac:dyDescent="0.25">
      <c r="A805" s="200"/>
      <c r="B805" s="201" t="s">
        <v>30</v>
      </c>
      <c r="C805" s="189" t="s">
        <v>1781</v>
      </c>
      <c r="D805" s="176"/>
      <c r="E805" s="198" t="s">
        <v>399</v>
      </c>
      <c r="F805" s="198">
        <v>1</v>
      </c>
      <c r="G805" s="292">
        <v>10300000</v>
      </c>
    </row>
    <row r="806" spans="1:7" ht="13.65" customHeight="1" x14ac:dyDescent="0.25">
      <c r="A806" s="200"/>
      <c r="B806" s="201" t="s">
        <v>57</v>
      </c>
      <c r="C806" s="189" t="s">
        <v>1782</v>
      </c>
      <c r="D806" s="176"/>
      <c r="E806" s="198" t="s">
        <v>399</v>
      </c>
      <c r="F806" s="198">
        <v>1</v>
      </c>
      <c r="G806" s="292">
        <v>11800000</v>
      </c>
    </row>
    <row r="807" spans="1:7" ht="13.65" customHeight="1" x14ac:dyDescent="0.25">
      <c r="A807" s="200"/>
      <c r="B807" s="201" t="s">
        <v>83</v>
      </c>
      <c r="C807" s="189" t="s">
        <v>1783</v>
      </c>
      <c r="D807" s="176"/>
      <c r="E807" s="198" t="s">
        <v>399</v>
      </c>
      <c r="F807" s="198">
        <v>1</v>
      </c>
      <c r="G807" s="292">
        <v>12950000</v>
      </c>
    </row>
    <row r="808" spans="1:7" ht="13.65" customHeight="1" x14ac:dyDescent="0.25">
      <c r="A808" s="200"/>
      <c r="B808" s="201" t="s">
        <v>110</v>
      </c>
      <c r="C808" s="189" t="s">
        <v>1784</v>
      </c>
      <c r="D808" s="176"/>
      <c r="E808" s="198" t="s">
        <v>399</v>
      </c>
      <c r="F808" s="198">
        <v>1</v>
      </c>
      <c r="G808" s="292">
        <v>13075000</v>
      </c>
    </row>
    <row r="809" spans="1:7" ht="13.65" customHeight="1" x14ac:dyDescent="0.25">
      <c r="A809" s="200"/>
      <c r="B809" s="201" t="s">
        <v>137</v>
      </c>
      <c r="C809" s="189" t="s">
        <v>1785</v>
      </c>
      <c r="D809" s="176"/>
      <c r="E809" s="198" t="s">
        <v>399</v>
      </c>
      <c r="F809" s="198">
        <v>1</v>
      </c>
      <c r="G809" s="292">
        <v>14000000</v>
      </c>
    </row>
    <row r="810" spans="1:7" ht="13.65" customHeight="1" x14ac:dyDescent="0.25">
      <c r="A810" s="200">
        <v>128</v>
      </c>
      <c r="B810" s="202" t="s">
        <v>1786</v>
      </c>
      <c r="C810" s="189"/>
      <c r="D810" s="176"/>
      <c r="E810" s="198"/>
      <c r="F810" s="198"/>
      <c r="G810" s="292"/>
    </row>
    <row r="811" spans="1:7" ht="13.65" customHeight="1" x14ac:dyDescent="0.25">
      <c r="A811" s="200"/>
      <c r="B811" s="201" t="s">
        <v>4</v>
      </c>
      <c r="C811" s="189" t="s">
        <v>1787</v>
      </c>
      <c r="D811" s="176"/>
      <c r="E811" s="198" t="s">
        <v>399</v>
      </c>
      <c r="F811" s="198">
        <v>1</v>
      </c>
      <c r="G811" s="292">
        <v>14475000</v>
      </c>
    </row>
    <row r="812" spans="1:7" ht="13.65" customHeight="1" x14ac:dyDescent="0.25">
      <c r="A812" s="200"/>
      <c r="B812" s="201" t="s">
        <v>30</v>
      </c>
      <c r="C812" s="189" t="s">
        <v>1788</v>
      </c>
      <c r="D812" s="176"/>
      <c r="E812" s="198" t="s">
        <v>399</v>
      </c>
      <c r="F812" s="198">
        <v>1</v>
      </c>
      <c r="G812" s="292">
        <v>14130000</v>
      </c>
    </row>
    <row r="813" spans="1:7" ht="13.65" customHeight="1" x14ac:dyDescent="0.25">
      <c r="A813" s="200"/>
      <c r="B813" s="201" t="s">
        <v>57</v>
      </c>
      <c r="C813" s="189" t="s">
        <v>1789</v>
      </c>
      <c r="D813" s="176"/>
      <c r="E813" s="198" t="s">
        <v>399</v>
      </c>
      <c r="F813" s="198">
        <v>1</v>
      </c>
      <c r="G813" s="292">
        <v>14475000</v>
      </c>
    </row>
    <row r="814" spans="1:7" ht="13.65" customHeight="1" x14ac:dyDescent="0.25">
      <c r="A814" s="200"/>
      <c r="B814" s="201" t="s">
        <v>83</v>
      </c>
      <c r="C814" s="189" t="s">
        <v>2213</v>
      </c>
      <c r="D814" s="176"/>
      <c r="E814" s="198" t="s">
        <v>399</v>
      </c>
      <c r="F814" s="198">
        <v>1</v>
      </c>
      <c r="G814" s="292">
        <v>14130000</v>
      </c>
    </row>
    <row r="815" spans="1:7" ht="13.65" customHeight="1" x14ac:dyDescent="0.25">
      <c r="A815" s="200">
        <v>129</v>
      </c>
      <c r="B815" s="202" t="s">
        <v>1805</v>
      </c>
      <c r="C815" s="189"/>
      <c r="D815" s="176"/>
      <c r="E815" s="198" t="s">
        <v>203</v>
      </c>
      <c r="F815" s="198">
        <v>1</v>
      </c>
      <c r="G815" s="292">
        <v>1690000</v>
      </c>
    </row>
    <row r="816" spans="1:7" ht="13.65" customHeight="1" x14ac:dyDescent="0.25">
      <c r="A816" s="200">
        <v>130</v>
      </c>
      <c r="B816" s="202" t="s">
        <v>2215</v>
      </c>
      <c r="C816" s="189"/>
      <c r="D816" s="176"/>
      <c r="E816" s="198" t="s">
        <v>709</v>
      </c>
      <c r="F816" s="198">
        <v>1</v>
      </c>
      <c r="G816" s="292">
        <v>1485000</v>
      </c>
    </row>
    <row r="817" spans="1:7" ht="13.65" customHeight="1" x14ac:dyDescent="0.25">
      <c r="A817" s="200">
        <v>131</v>
      </c>
      <c r="B817" s="202" t="s">
        <v>1930</v>
      </c>
      <c r="C817" s="189"/>
      <c r="D817" s="176"/>
      <c r="E817" s="198" t="s">
        <v>203</v>
      </c>
      <c r="F817" s="198">
        <v>1</v>
      </c>
      <c r="G817" s="292">
        <v>5000</v>
      </c>
    </row>
    <row r="818" spans="1:7" ht="13.65" customHeight="1" x14ac:dyDescent="0.25">
      <c r="A818" s="200">
        <v>132</v>
      </c>
      <c r="B818" s="202" t="s">
        <v>1932</v>
      </c>
      <c r="C818" s="189"/>
      <c r="D818" s="176"/>
      <c r="E818" s="198" t="s">
        <v>235</v>
      </c>
      <c r="F818" s="198">
        <v>1</v>
      </c>
      <c r="G818" s="292">
        <v>14850</v>
      </c>
    </row>
    <row r="819" spans="1:7" ht="13.65" customHeight="1" x14ac:dyDescent="0.25">
      <c r="A819" s="200">
        <v>133</v>
      </c>
      <c r="B819" s="202" t="s">
        <v>1931</v>
      </c>
      <c r="C819" s="189"/>
      <c r="D819" s="176"/>
      <c r="E819" s="198" t="s">
        <v>203</v>
      </c>
      <c r="F819" s="198">
        <v>1</v>
      </c>
      <c r="G819" s="292">
        <v>4950</v>
      </c>
    </row>
    <row r="820" spans="1:7" ht="13.65" customHeight="1" x14ac:dyDescent="0.25">
      <c r="A820" s="200">
        <v>134</v>
      </c>
      <c r="B820" s="202" t="s">
        <v>2260</v>
      </c>
      <c r="C820" s="189"/>
      <c r="D820" s="176"/>
      <c r="E820" s="198" t="s">
        <v>264</v>
      </c>
      <c r="F820" s="198">
        <v>1</v>
      </c>
      <c r="G820" s="292">
        <v>21780</v>
      </c>
    </row>
    <row r="821" spans="1:7" x14ac:dyDescent="0.25">
      <c r="A821" s="200">
        <v>135</v>
      </c>
      <c r="B821" s="202" t="s">
        <v>2261</v>
      </c>
      <c r="C821" s="189"/>
      <c r="D821" s="176"/>
      <c r="E821" s="198" t="s">
        <v>203</v>
      </c>
      <c r="F821" s="198">
        <v>1</v>
      </c>
      <c r="G821" s="292">
        <v>9900</v>
      </c>
    </row>
    <row r="822" spans="1:7" x14ac:dyDescent="0.25">
      <c r="A822" s="200">
        <v>136</v>
      </c>
      <c r="B822" s="202" t="s">
        <v>2262</v>
      </c>
      <c r="C822" s="189"/>
      <c r="D822" s="176"/>
      <c r="E822" s="198" t="s">
        <v>264</v>
      </c>
      <c r="F822" s="198">
        <v>1</v>
      </c>
      <c r="G822" s="292">
        <v>11800</v>
      </c>
    </row>
    <row r="823" spans="1:7" x14ac:dyDescent="0.25">
      <c r="A823" s="200">
        <v>137</v>
      </c>
      <c r="B823" s="202" t="s">
        <v>1933</v>
      </c>
      <c r="C823" s="189"/>
      <c r="D823" s="176"/>
      <c r="E823" s="198" t="s">
        <v>1934</v>
      </c>
      <c r="F823" s="198">
        <v>1</v>
      </c>
      <c r="G823" s="292">
        <v>23750</v>
      </c>
    </row>
    <row r="824" spans="1:7" x14ac:dyDescent="0.25">
      <c r="A824" s="200">
        <v>138</v>
      </c>
      <c r="B824" s="202" t="s">
        <v>1935</v>
      </c>
      <c r="C824" s="189"/>
      <c r="D824" s="176"/>
      <c r="E824" s="198" t="s">
        <v>203</v>
      </c>
      <c r="F824" s="198">
        <v>1</v>
      </c>
      <c r="G824" s="292">
        <v>1500</v>
      </c>
    </row>
    <row r="825" spans="1:7" x14ac:dyDescent="0.25">
      <c r="A825" s="200">
        <v>139</v>
      </c>
      <c r="B825" s="202" t="s">
        <v>1936</v>
      </c>
      <c r="C825" s="189"/>
      <c r="D825" s="176"/>
      <c r="E825" s="198" t="s">
        <v>203</v>
      </c>
      <c r="F825" s="198">
        <v>1</v>
      </c>
      <c r="G825" s="292">
        <v>14850</v>
      </c>
    </row>
    <row r="826" spans="1:7" x14ac:dyDescent="0.25">
      <c r="A826" s="200">
        <v>140</v>
      </c>
      <c r="B826" s="202" t="s">
        <v>1892</v>
      </c>
      <c r="C826" s="189"/>
      <c r="D826" s="176"/>
      <c r="E826" s="198" t="s">
        <v>709</v>
      </c>
      <c r="F826" s="198">
        <v>1</v>
      </c>
      <c r="G826" s="292">
        <v>75000</v>
      </c>
    </row>
    <row r="827" spans="1:7" x14ac:dyDescent="0.25">
      <c r="A827" s="200">
        <v>141</v>
      </c>
      <c r="B827" s="202" t="s">
        <v>1895</v>
      </c>
      <c r="C827" s="189"/>
      <c r="D827" s="176"/>
      <c r="E827" s="198" t="s">
        <v>1639</v>
      </c>
      <c r="F827" s="198">
        <v>1</v>
      </c>
      <c r="G827" s="292">
        <v>15000</v>
      </c>
    </row>
    <row r="828" spans="1:7" x14ac:dyDescent="0.25">
      <c r="A828" s="200">
        <v>142</v>
      </c>
      <c r="B828" s="202" t="s">
        <v>1900</v>
      </c>
      <c r="C828" s="189"/>
      <c r="D828" s="176"/>
      <c r="E828" s="198" t="s">
        <v>1639</v>
      </c>
      <c r="F828" s="198">
        <v>1</v>
      </c>
      <c r="G828" s="292">
        <v>1000</v>
      </c>
    </row>
    <row r="829" spans="1:7" x14ac:dyDescent="0.25">
      <c r="A829" s="200">
        <v>143</v>
      </c>
      <c r="B829" s="202" t="s">
        <v>2034</v>
      </c>
      <c r="C829" s="189"/>
      <c r="D829" s="176"/>
      <c r="E829" s="198" t="s">
        <v>1639</v>
      </c>
      <c r="F829" s="198">
        <v>1</v>
      </c>
      <c r="G829" s="292">
        <v>10000</v>
      </c>
    </row>
    <row r="830" spans="1:7" ht="13.8" thickBot="1" x14ac:dyDescent="0.3">
      <c r="A830" s="204">
        <v>144</v>
      </c>
      <c r="B830" s="205" t="s">
        <v>2035</v>
      </c>
      <c r="C830" s="206"/>
      <c r="D830" s="207"/>
      <c r="E830" s="208" t="s">
        <v>1639</v>
      </c>
      <c r="F830" s="208">
        <v>1</v>
      </c>
      <c r="G830" s="294">
        <v>100000</v>
      </c>
    </row>
    <row r="831" spans="1:7" x14ac:dyDescent="0.25">
      <c r="G831" s="203">
        <f>SUM(G13:G830)</f>
        <v>533728120.75</v>
      </c>
    </row>
  </sheetData>
  <mergeCells count="10">
    <mergeCell ref="A9:A10"/>
    <mergeCell ref="B9:D10"/>
    <mergeCell ref="E9:E10"/>
    <mergeCell ref="F9:F10"/>
    <mergeCell ref="A2:G2"/>
    <mergeCell ref="A6:G6"/>
    <mergeCell ref="A7:G7"/>
    <mergeCell ref="A3:G3"/>
    <mergeCell ref="A4:G4"/>
    <mergeCell ref="A5:G5"/>
  </mergeCells>
  <pageMargins left="0.70866141732283472" right="0.11811023622047245" top="0.55118110236220474" bottom="0.35433070866141736" header="0.31496062992125984" footer="0.31496062992125984"/>
  <pageSetup paperSize="9" scale="88" orientation="portrait" verticalDpi="0" r:id="rId1"/>
  <rowBreaks count="11" manualBreakCount="11">
    <brk id="63" max="16383" man="1"/>
    <brk id="115" max="16383" man="1"/>
    <brk id="297" max="16383" man="1"/>
    <brk id="353" max="16383" man="1"/>
    <brk id="413" max="16383" man="1"/>
    <brk id="468" max="16383" man="1"/>
    <brk id="533" max="16383" man="1"/>
    <brk id="577" max="16383" man="1"/>
    <brk id="633" max="16383" man="1"/>
    <brk id="695" max="16383" man="1"/>
    <brk id="7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REKAP</vt:lpstr>
      <vt:lpstr>RAB Pasang</vt:lpstr>
      <vt:lpstr>RAB Bongkar</vt:lpstr>
      <vt:lpstr>RAB Perbaikan</vt:lpstr>
      <vt:lpstr>D1 Tiang</vt:lpstr>
      <vt:lpstr>D2 SUTM</vt:lpstr>
      <vt:lpstr>D3 SKUTM</vt:lpstr>
      <vt:lpstr>D4 SKTM</vt:lpstr>
      <vt:lpstr>D5 Gardu</vt:lpstr>
      <vt:lpstr>D6 SKUTR</vt:lpstr>
      <vt:lpstr>D7 SKTR</vt:lpstr>
      <vt:lpstr>D8 SRAPP</vt:lpstr>
      <vt:lpstr>D9 Arde</vt:lpstr>
      <vt:lpstr>D 10 Finishing</vt:lpstr>
      <vt:lpstr>Harga Satuan Dasar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Agussuwaryanto</dc:creator>
  <cp:lastModifiedBy>UIW NTT 131</cp:lastModifiedBy>
  <cp:lastPrinted>2026-08-06T07:18:06Z</cp:lastPrinted>
  <dcterms:created xsi:type="dcterms:W3CDTF">2026-01-27T00:20:22Z</dcterms:created>
  <dcterms:modified xsi:type="dcterms:W3CDTF">2026-08-14T01:25:47Z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2026-04-30T10:03:33Z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1293eb55-138e-409e-a9d8-60421070fea7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